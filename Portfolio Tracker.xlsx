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mc:AlternateContent xmlns:mc="http://schemas.openxmlformats.org/markup-compatibility/2006">
    <mc:Choice Requires="x15">
      <x15ac:absPath xmlns:x15ac="http://schemas.microsoft.com/office/spreadsheetml/2010/11/ac" url="https://d.docs.live.net/1bf8a79c4a10d6fc/Desktop/Data Horizons Solutions/Example Project/Stock Tracker/"/>
    </mc:Choice>
  </mc:AlternateContent>
  <xr:revisionPtr revIDLastSave="3345" documentId="14_{41F9F5C1-454F-4E30-9497-B7CBD282427B}" xr6:coauthVersionLast="47" xr6:coauthVersionMax="47" xr10:uidLastSave="{3F8A1DC5-7FC7-4D3B-99B9-14327ACFA268}"/>
  <bookViews>
    <workbookView xWindow="-120" yWindow="-120" windowWidth="29040" windowHeight="15720" activeTab="4" xr2:uid="{00000000-000D-0000-FFFF-FFFF00000000}"/>
  </bookViews>
  <sheets>
    <sheet name="Menu" sheetId="18" r:id="rId1"/>
    <sheet name="Stock Details" sheetId="8" r:id="rId2"/>
    <sheet name="Exchange Tracker" sheetId="16" r:id="rId3"/>
    <sheet name="Stock Transactions" sheetId="7" r:id="rId4"/>
    <sheet name="Historical Portfolio Value" sheetId="17" r:id="rId5"/>
  </sheets>
  <definedNames>
    <definedName name="_xlcn.WorksheetConnection_WealthTracker2.0.xlsxStockTransactionsTable1" hidden="1">StockTransactionsTable[]</definedName>
    <definedName name="BaseSalary">#REF!</definedName>
    <definedName name="ExternalData_1" localSheetId="4" hidden="1">'Historical Portfolio Value'!$B$4:$C$2350</definedName>
    <definedName name="MealTicketsRON">#REF!</definedName>
    <definedName name="MonthlyDividends">#REF!</definedName>
    <definedName name="SelectedCurrency">#REF!</definedName>
    <definedName name="StartDateBancaTransilvania">#REF!</definedName>
    <definedName name="TotalAnnualDividendAfterTax">SUM(CompanyDetailsList[Total Annual Dividend])</definedName>
    <definedName name="TotalStockCost">SUM(CompanyDetailsList[Total Cost])</definedName>
    <definedName name="TotalStockPrice">SUM(CompanyDetailsList[Total Price])</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ckTransactionsTable" name="StockTransactionsTable" connection="WorksheetConnection_Wealth Tracker 2.0.xlsx!StockTransactions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6" l="1"/>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D5" i="17"/>
  <c r="D6" i="17"/>
  <c r="D7" i="17"/>
  <c r="D8" i="17"/>
  <c r="D9" i="17"/>
  <c r="D10" i="17"/>
  <c r="D11" i="17"/>
  <c r="D12"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71" i="17"/>
  <c r="D72" i="17"/>
  <c r="D73" i="17"/>
  <c r="D74" i="17"/>
  <c r="D75" i="17"/>
  <c r="D76" i="17"/>
  <c r="D77" i="17"/>
  <c r="D78" i="17"/>
  <c r="D79" i="17"/>
  <c r="D80" i="17"/>
  <c r="D81" i="17"/>
  <c r="D82" i="17"/>
  <c r="D83" i="17"/>
  <c r="D84" i="17"/>
  <c r="D85" i="17"/>
  <c r="D86" i="17"/>
  <c r="D87" i="17"/>
  <c r="D88" i="17"/>
  <c r="D89" i="17"/>
  <c r="D90" i="17"/>
  <c r="D91" i="17"/>
  <c r="D92" i="17"/>
  <c r="D93" i="17"/>
  <c r="D94" i="17"/>
  <c r="D95" i="17"/>
  <c r="D96" i="17"/>
  <c r="D97" i="17"/>
  <c r="D98" i="17"/>
  <c r="D99" i="17"/>
  <c r="D100" i="17"/>
  <c r="D101" i="17"/>
  <c r="D102" i="17"/>
  <c r="D103" i="17"/>
  <c r="D104" i="17"/>
  <c r="D105" i="17"/>
  <c r="D106" i="17"/>
  <c r="D107" i="17"/>
  <c r="D108" i="17"/>
  <c r="D109" i="17"/>
  <c r="D110" i="17"/>
  <c r="D111" i="17"/>
  <c r="D112" i="17"/>
  <c r="D113" i="17"/>
  <c r="D114" i="17"/>
  <c r="D115" i="17"/>
  <c r="D116" i="17"/>
  <c r="D117" i="17"/>
  <c r="D118" i="17"/>
  <c r="D119" i="17"/>
  <c r="D120" i="17"/>
  <c r="D121" i="17"/>
  <c r="D122" i="17"/>
  <c r="D123" i="17"/>
  <c r="D124" i="17"/>
  <c r="D125" i="17"/>
  <c r="D126" i="17"/>
  <c r="D127" i="17"/>
  <c r="D128" i="17"/>
  <c r="D129" i="17"/>
  <c r="D130" i="17"/>
  <c r="D131" i="17"/>
  <c r="D132" i="17"/>
  <c r="D133" i="17"/>
  <c r="D134" i="17"/>
  <c r="D135"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51" i="17"/>
  <c r="D252" i="17"/>
  <c r="D253" i="17"/>
  <c r="D254" i="17"/>
  <c r="D255" i="17"/>
  <c r="D256" i="17"/>
  <c r="D257" i="17"/>
  <c r="D258" i="17"/>
  <c r="D259" i="17"/>
  <c r="D260" i="17"/>
  <c r="D261" i="17"/>
  <c r="D262" i="17"/>
  <c r="D263" i="17"/>
  <c r="D264" i="17"/>
  <c r="D265" i="17"/>
  <c r="D266" i="17"/>
  <c r="D267" i="17"/>
  <c r="D268" i="17"/>
  <c r="D269" i="17"/>
  <c r="D270" i="17"/>
  <c r="D271" i="17"/>
  <c r="D272" i="17"/>
  <c r="D273" i="17"/>
  <c r="D274" i="17"/>
  <c r="D275" i="17"/>
  <c r="D276" i="17"/>
  <c r="D277" i="17"/>
  <c r="D278" i="17"/>
  <c r="D279" i="17"/>
  <c r="D280" i="17"/>
  <c r="D281" i="17"/>
  <c r="D282" i="17"/>
  <c r="D283" i="17"/>
  <c r="D284" i="17"/>
  <c r="D285" i="17"/>
  <c r="D286" i="17"/>
  <c r="D287" i="17"/>
  <c r="D288" i="17"/>
  <c r="D289" i="17"/>
  <c r="D290" i="17"/>
  <c r="D291" i="17"/>
  <c r="D292" i="17"/>
  <c r="D293" i="17"/>
  <c r="D294" i="17"/>
  <c r="D295" i="17"/>
  <c r="D296" i="17"/>
  <c r="D297" i="17"/>
  <c r="D298" i="17"/>
  <c r="D299" i="17"/>
  <c r="D300" i="17"/>
  <c r="D301" i="17"/>
  <c r="D302" i="17"/>
  <c r="D303" i="17"/>
  <c r="D304" i="17"/>
  <c r="D305" i="17"/>
  <c r="D306" i="17"/>
  <c r="D307" i="17"/>
  <c r="D308" i="17"/>
  <c r="D309" i="17"/>
  <c r="D310" i="17"/>
  <c r="D311" i="17"/>
  <c r="D312" i="17"/>
  <c r="D313" i="17"/>
  <c r="D314" i="17"/>
  <c r="D315" i="17"/>
  <c r="D316" i="17"/>
  <c r="D317" i="17"/>
  <c r="D318" i="17"/>
  <c r="D319" i="17"/>
  <c r="D320" i="17"/>
  <c r="D321" i="17"/>
  <c r="D322" i="17"/>
  <c r="D323" i="17"/>
  <c r="D324" i="17"/>
  <c r="D325" i="17"/>
  <c r="D326" i="17"/>
  <c r="D327" i="17"/>
  <c r="D328" i="17"/>
  <c r="D329" i="17"/>
  <c r="D330" i="17"/>
  <c r="D331" i="17"/>
  <c r="D332" i="17"/>
  <c r="D333" i="17"/>
  <c r="D334" i="17"/>
  <c r="D335" i="17"/>
  <c r="D336" i="17"/>
  <c r="D337" i="17"/>
  <c r="D338" i="17"/>
  <c r="D339" i="17"/>
  <c r="D340" i="17"/>
  <c r="D341" i="17"/>
  <c r="D342" i="17"/>
  <c r="D343" i="17"/>
  <c r="D344" i="17"/>
  <c r="D345" i="17"/>
  <c r="D346" i="17"/>
  <c r="D347" i="17"/>
  <c r="D348" i="17"/>
  <c r="D349" i="17"/>
  <c r="D350" i="17"/>
  <c r="D351" i="17"/>
  <c r="D352" i="17"/>
  <c r="D353" i="17"/>
  <c r="D354" i="17"/>
  <c r="D355" i="17"/>
  <c r="D356" i="17"/>
  <c r="D357" i="17"/>
  <c r="D358" i="17"/>
  <c r="D359" i="17"/>
  <c r="D360" i="17"/>
  <c r="D361" i="17"/>
  <c r="D362" i="17"/>
  <c r="D363" i="17"/>
  <c r="D364" i="17"/>
  <c r="D365" i="17"/>
  <c r="D366" i="17"/>
  <c r="D367" i="17"/>
  <c r="D368" i="17"/>
  <c r="D369" i="17"/>
  <c r="D370" i="17"/>
  <c r="D371" i="17"/>
  <c r="D372" i="17"/>
  <c r="D373" i="17"/>
  <c r="D374" i="17"/>
  <c r="D375" i="17"/>
  <c r="D376" i="17"/>
  <c r="D377" i="17"/>
  <c r="D378" i="17"/>
  <c r="D379" i="17"/>
  <c r="D380" i="17"/>
  <c r="D381" i="17"/>
  <c r="D382" i="17"/>
  <c r="D383" i="17"/>
  <c r="D384" i="17"/>
  <c r="D385" i="17"/>
  <c r="D386" i="17"/>
  <c r="D387" i="17"/>
  <c r="D388" i="17"/>
  <c r="D389" i="17"/>
  <c r="D390" i="17"/>
  <c r="D391" i="17"/>
  <c r="D392" i="17"/>
  <c r="D393" i="17"/>
  <c r="D394" i="17"/>
  <c r="D395" i="17"/>
  <c r="D396" i="17"/>
  <c r="D397" i="17"/>
  <c r="D398" i="17"/>
  <c r="D399" i="17"/>
  <c r="D400" i="17"/>
  <c r="D401" i="17"/>
  <c r="D402" i="17"/>
  <c r="D403" i="17"/>
  <c r="D404" i="17"/>
  <c r="D405" i="17"/>
  <c r="D406" i="17"/>
  <c r="D407" i="17"/>
  <c r="D408" i="17"/>
  <c r="D409" i="17"/>
  <c r="D410" i="17"/>
  <c r="D411" i="17"/>
  <c r="D412" i="17"/>
  <c r="D413" i="17"/>
  <c r="D414" i="17"/>
  <c r="D415" i="17"/>
  <c r="D416" i="17"/>
  <c r="D417" i="17"/>
  <c r="D418" i="17"/>
  <c r="D419" i="17"/>
  <c r="D420" i="17"/>
  <c r="D421" i="17"/>
  <c r="D422" i="17"/>
  <c r="D423" i="17"/>
  <c r="D424" i="17"/>
  <c r="D425" i="17"/>
  <c r="D426" i="17"/>
  <c r="D427" i="17"/>
  <c r="D428" i="17"/>
  <c r="D429" i="17"/>
  <c r="D430" i="17"/>
  <c r="D431" i="17"/>
  <c r="D432" i="17"/>
  <c r="D433" i="17"/>
  <c r="D434" i="17"/>
  <c r="D435" i="17"/>
  <c r="D436" i="17"/>
  <c r="D437" i="17"/>
  <c r="D438" i="17"/>
  <c r="D439" i="17"/>
  <c r="D440" i="17"/>
  <c r="D441" i="17"/>
  <c r="D442" i="17"/>
  <c r="D443" i="17"/>
  <c r="D444" i="17"/>
  <c r="D445" i="17"/>
  <c r="D446" i="17"/>
  <c r="D447" i="17"/>
  <c r="D448" i="17"/>
  <c r="D449" i="17"/>
  <c r="D450" i="17"/>
  <c r="D451" i="17"/>
  <c r="D452" i="17"/>
  <c r="D453" i="17"/>
  <c r="D454" i="17"/>
  <c r="D455" i="17"/>
  <c r="D456" i="17"/>
  <c r="D457" i="17"/>
  <c r="D458" i="17"/>
  <c r="D459" i="17"/>
  <c r="D460" i="17"/>
  <c r="D461" i="17"/>
  <c r="D462" i="17"/>
  <c r="D463" i="17"/>
  <c r="D464" i="17"/>
  <c r="D465" i="17"/>
  <c r="D466" i="17"/>
  <c r="D467" i="17"/>
  <c r="D468" i="17"/>
  <c r="D469" i="17"/>
  <c r="D470" i="17"/>
  <c r="D471" i="17"/>
  <c r="D472" i="17"/>
  <c r="D473" i="17"/>
  <c r="D474" i="17"/>
  <c r="D475" i="17"/>
  <c r="D476" i="17"/>
  <c r="D477" i="17"/>
  <c r="D478" i="17"/>
  <c r="D479" i="17"/>
  <c r="D480" i="17"/>
  <c r="D481" i="17"/>
  <c r="D482" i="17"/>
  <c r="D483" i="17"/>
  <c r="D484" i="17"/>
  <c r="D485" i="17"/>
  <c r="D486" i="17"/>
  <c r="D487" i="17"/>
  <c r="D488" i="17"/>
  <c r="D489" i="17"/>
  <c r="D490" i="17"/>
  <c r="D491" i="17"/>
  <c r="D492" i="17"/>
  <c r="D493" i="17"/>
  <c r="D494" i="17"/>
  <c r="D495" i="17"/>
  <c r="D496" i="17"/>
  <c r="D497" i="17"/>
  <c r="D498" i="17"/>
  <c r="D499" i="17"/>
  <c r="D500" i="17"/>
  <c r="D501" i="17"/>
  <c r="D502" i="17"/>
  <c r="D503" i="17"/>
  <c r="D504" i="17"/>
  <c r="D505" i="17"/>
  <c r="D506" i="17"/>
  <c r="D507" i="17"/>
  <c r="D508" i="17"/>
  <c r="D509" i="17"/>
  <c r="D510" i="17"/>
  <c r="D511" i="17"/>
  <c r="D512" i="17"/>
  <c r="D513" i="17"/>
  <c r="D514" i="17"/>
  <c r="D515" i="17"/>
  <c r="D516" i="17"/>
  <c r="D517" i="17"/>
  <c r="D518" i="17"/>
  <c r="D519" i="17"/>
  <c r="D520" i="17"/>
  <c r="D521" i="17"/>
  <c r="D522" i="17"/>
  <c r="D523" i="17"/>
  <c r="D524" i="17"/>
  <c r="D525" i="17"/>
  <c r="D526" i="17"/>
  <c r="D527" i="17"/>
  <c r="D528" i="17"/>
  <c r="D529" i="17"/>
  <c r="D530" i="17"/>
  <c r="D531" i="17"/>
  <c r="D532" i="17"/>
  <c r="D533" i="17"/>
  <c r="D534" i="17"/>
  <c r="D535" i="17"/>
  <c r="D536" i="17"/>
  <c r="D537" i="17"/>
  <c r="D538" i="17"/>
  <c r="D539" i="17"/>
  <c r="D540" i="17"/>
  <c r="D541" i="17"/>
  <c r="D542" i="17"/>
  <c r="D543" i="17"/>
  <c r="D544" i="17"/>
  <c r="D545" i="17"/>
  <c r="D546" i="17"/>
  <c r="D547" i="17"/>
  <c r="D548" i="17"/>
  <c r="D549" i="17"/>
  <c r="D550" i="17"/>
  <c r="D551" i="17"/>
  <c r="D552" i="17"/>
  <c r="D553" i="17"/>
  <c r="D554" i="17"/>
  <c r="D555" i="17"/>
  <c r="D556" i="17"/>
  <c r="D557" i="17"/>
  <c r="D558" i="17"/>
  <c r="D559" i="17"/>
  <c r="D560" i="17"/>
  <c r="D561" i="17"/>
  <c r="D562" i="17"/>
  <c r="D563" i="17"/>
  <c r="D564" i="17"/>
  <c r="D565" i="17"/>
  <c r="D566" i="17"/>
  <c r="D567" i="17"/>
  <c r="D568" i="17"/>
  <c r="D569" i="17"/>
  <c r="D570" i="17"/>
  <c r="D571" i="17"/>
  <c r="D572" i="17"/>
  <c r="D573" i="17"/>
  <c r="D574" i="17"/>
  <c r="D575" i="17"/>
  <c r="D576" i="17"/>
  <c r="D577" i="17"/>
  <c r="D578" i="17"/>
  <c r="D579" i="17"/>
  <c r="D580" i="17"/>
  <c r="D581" i="17"/>
  <c r="D582" i="17"/>
  <c r="D583" i="17"/>
  <c r="D584" i="17"/>
  <c r="D585" i="17"/>
  <c r="D586" i="17"/>
  <c r="D587" i="17"/>
  <c r="D588" i="17"/>
  <c r="D589" i="17"/>
  <c r="D590" i="17"/>
  <c r="D591" i="17"/>
  <c r="D592" i="17"/>
  <c r="D593" i="17"/>
  <c r="D594" i="17"/>
  <c r="D595" i="17"/>
  <c r="D596" i="17"/>
  <c r="D597" i="17"/>
  <c r="D598" i="17"/>
  <c r="D599" i="17"/>
  <c r="D600" i="17"/>
  <c r="D601" i="17"/>
  <c r="D602" i="17"/>
  <c r="D603" i="17"/>
  <c r="D604" i="17"/>
  <c r="D605" i="17"/>
  <c r="D606" i="17"/>
  <c r="D607" i="17"/>
  <c r="D608" i="17"/>
  <c r="D609" i="17"/>
  <c r="D610" i="17"/>
  <c r="D611" i="17"/>
  <c r="D612" i="17"/>
  <c r="D613" i="17"/>
  <c r="D614" i="17"/>
  <c r="D615" i="17"/>
  <c r="D616" i="17"/>
  <c r="D617" i="17"/>
  <c r="D618" i="17"/>
  <c r="D619" i="17"/>
  <c r="D620" i="17"/>
  <c r="D621" i="17"/>
  <c r="D622" i="17"/>
  <c r="D623" i="17"/>
  <c r="D624" i="17"/>
  <c r="D625" i="17"/>
  <c r="D626" i="17"/>
  <c r="D627" i="17"/>
  <c r="D628" i="17"/>
  <c r="D629" i="17"/>
  <c r="D630" i="17"/>
  <c r="D631" i="17"/>
  <c r="D632" i="17"/>
  <c r="D633" i="17"/>
  <c r="D634" i="17"/>
  <c r="D635" i="17"/>
  <c r="D636" i="17"/>
  <c r="D637" i="17"/>
  <c r="D638" i="17"/>
  <c r="D639" i="17"/>
  <c r="D640" i="17"/>
  <c r="D641" i="17"/>
  <c r="D642" i="17"/>
  <c r="D643" i="17"/>
  <c r="D644" i="17"/>
  <c r="D645" i="17"/>
  <c r="D646" i="17"/>
  <c r="D647" i="17"/>
  <c r="D648" i="17"/>
  <c r="D649" i="17"/>
  <c r="D650" i="17"/>
  <c r="D651" i="17"/>
  <c r="D652" i="17"/>
  <c r="D653" i="17"/>
  <c r="D654" i="17"/>
  <c r="D655" i="17"/>
  <c r="D656" i="17"/>
  <c r="D657" i="17"/>
  <c r="D658" i="17"/>
  <c r="D659" i="17"/>
  <c r="D660" i="17"/>
  <c r="D661" i="17"/>
  <c r="D662" i="17"/>
  <c r="D663" i="17"/>
  <c r="D664" i="17"/>
  <c r="D665" i="17"/>
  <c r="D666" i="17"/>
  <c r="D667" i="17"/>
  <c r="D668" i="17"/>
  <c r="D669" i="17"/>
  <c r="D670" i="17"/>
  <c r="D671" i="17"/>
  <c r="D672" i="17"/>
  <c r="D673" i="17"/>
  <c r="D674" i="17"/>
  <c r="D675" i="17"/>
  <c r="D676" i="17"/>
  <c r="D677" i="17"/>
  <c r="D678" i="17"/>
  <c r="D679" i="17"/>
  <c r="D680" i="17"/>
  <c r="D681" i="17"/>
  <c r="D682" i="17"/>
  <c r="D683" i="17"/>
  <c r="D684" i="17"/>
  <c r="D685" i="17"/>
  <c r="D686" i="17"/>
  <c r="D687" i="17"/>
  <c r="D688" i="17"/>
  <c r="D689" i="17"/>
  <c r="D690" i="17"/>
  <c r="D691" i="17"/>
  <c r="D692" i="17"/>
  <c r="D693" i="17"/>
  <c r="D694" i="17"/>
  <c r="D695" i="17"/>
  <c r="D696" i="17"/>
  <c r="D697" i="17"/>
  <c r="D698" i="17"/>
  <c r="D699" i="17"/>
  <c r="D700" i="17"/>
  <c r="D701" i="17"/>
  <c r="D702" i="17"/>
  <c r="D703" i="17"/>
  <c r="D704" i="17"/>
  <c r="D705" i="17"/>
  <c r="D706" i="17"/>
  <c r="D707" i="17"/>
  <c r="D708" i="17"/>
  <c r="D709" i="17"/>
  <c r="D710" i="17"/>
  <c r="D711" i="17"/>
  <c r="D712" i="17"/>
  <c r="D713" i="17"/>
  <c r="D714" i="17"/>
  <c r="D715" i="17"/>
  <c r="D716" i="17"/>
  <c r="D717" i="17"/>
  <c r="D718" i="17"/>
  <c r="D719" i="17"/>
  <c r="D720" i="17"/>
  <c r="D721" i="17"/>
  <c r="D722" i="17"/>
  <c r="D723" i="17"/>
  <c r="D724" i="17"/>
  <c r="D725" i="17"/>
  <c r="D726" i="17"/>
  <c r="D727" i="17"/>
  <c r="D728" i="17"/>
  <c r="D729" i="17"/>
  <c r="D730" i="17"/>
  <c r="D731" i="17"/>
  <c r="D732" i="17"/>
  <c r="D733" i="17"/>
  <c r="D734" i="17"/>
  <c r="D735" i="17"/>
  <c r="D736" i="17"/>
  <c r="D737" i="17"/>
  <c r="D738" i="17"/>
  <c r="D739" i="17"/>
  <c r="D740" i="17"/>
  <c r="D741" i="17"/>
  <c r="D742" i="17"/>
  <c r="D743" i="17"/>
  <c r="D744" i="17"/>
  <c r="D745" i="17"/>
  <c r="D746" i="17"/>
  <c r="D747" i="17"/>
  <c r="D748" i="17"/>
  <c r="D749" i="17"/>
  <c r="D750" i="17"/>
  <c r="D751" i="17"/>
  <c r="D752" i="17"/>
  <c r="D753" i="17"/>
  <c r="D754" i="17"/>
  <c r="D755" i="17"/>
  <c r="D756" i="17"/>
  <c r="D757" i="17"/>
  <c r="D758" i="17"/>
  <c r="D759" i="17"/>
  <c r="D760" i="17"/>
  <c r="D761" i="17"/>
  <c r="D762" i="17"/>
  <c r="D763" i="17"/>
  <c r="D764" i="17"/>
  <c r="D765" i="17"/>
  <c r="D766" i="17"/>
  <c r="D767" i="17"/>
  <c r="D768" i="17"/>
  <c r="D769" i="17"/>
  <c r="D770" i="17"/>
  <c r="D771" i="17"/>
  <c r="D772" i="17"/>
  <c r="D773" i="17"/>
  <c r="D774" i="17"/>
  <c r="D775" i="17"/>
  <c r="D776" i="17"/>
  <c r="D777" i="17"/>
  <c r="D778" i="17"/>
  <c r="D779" i="17"/>
  <c r="D780" i="17"/>
  <c r="D781" i="17"/>
  <c r="D782" i="17"/>
  <c r="D783" i="17"/>
  <c r="D784" i="17"/>
  <c r="D785" i="17"/>
  <c r="D786" i="17"/>
  <c r="D787" i="17"/>
  <c r="D788" i="17"/>
  <c r="D789" i="17"/>
  <c r="D790" i="17"/>
  <c r="D791" i="17"/>
  <c r="D792" i="17"/>
  <c r="D793" i="17"/>
  <c r="D794" i="17"/>
  <c r="D795" i="17"/>
  <c r="D796" i="17"/>
  <c r="D797" i="17"/>
  <c r="D798" i="17"/>
  <c r="D799" i="17"/>
  <c r="D800" i="17"/>
  <c r="D801" i="17"/>
  <c r="D802" i="17"/>
  <c r="D803" i="17"/>
  <c r="D804" i="17"/>
  <c r="D805" i="17"/>
  <c r="D806" i="17"/>
  <c r="D807" i="17"/>
  <c r="D808" i="17"/>
  <c r="D809" i="17"/>
  <c r="D810" i="17"/>
  <c r="D811" i="17"/>
  <c r="D812" i="17"/>
  <c r="D813" i="17"/>
  <c r="D814" i="17"/>
  <c r="D815" i="17"/>
  <c r="D816" i="17"/>
  <c r="D817" i="17"/>
  <c r="D818" i="17"/>
  <c r="D819" i="17"/>
  <c r="D820" i="17"/>
  <c r="D821" i="17"/>
  <c r="D822" i="17"/>
  <c r="D823" i="17"/>
  <c r="D824" i="17"/>
  <c r="D825" i="17"/>
  <c r="D826" i="17"/>
  <c r="D827" i="17"/>
  <c r="D828" i="17"/>
  <c r="D829" i="17"/>
  <c r="D830" i="17"/>
  <c r="D831" i="17"/>
  <c r="D832" i="17"/>
  <c r="D833" i="17"/>
  <c r="D834" i="17"/>
  <c r="D835" i="17"/>
  <c r="D836" i="17"/>
  <c r="D837" i="17"/>
  <c r="D838" i="17"/>
  <c r="D839" i="17"/>
  <c r="D840" i="17"/>
  <c r="D841" i="17"/>
  <c r="D842" i="17"/>
  <c r="D843" i="17"/>
  <c r="D844" i="17"/>
  <c r="D845" i="17"/>
  <c r="D846" i="17"/>
  <c r="D847" i="17"/>
  <c r="D848" i="17"/>
  <c r="D849" i="17"/>
  <c r="D850" i="17"/>
  <c r="D851" i="17"/>
  <c r="D852" i="17"/>
  <c r="D853" i="17"/>
  <c r="D854" i="17"/>
  <c r="D855" i="17"/>
  <c r="D856" i="17"/>
  <c r="D857" i="17"/>
  <c r="D858" i="17"/>
  <c r="D859" i="17"/>
  <c r="D860" i="17"/>
  <c r="D861" i="17"/>
  <c r="D862" i="17"/>
  <c r="D863" i="17"/>
  <c r="D864" i="17"/>
  <c r="D865" i="17"/>
  <c r="D866" i="17"/>
  <c r="D867" i="17"/>
  <c r="D868" i="17"/>
  <c r="D869" i="17"/>
  <c r="D870" i="17"/>
  <c r="D871" i="17"/>
  <c r="D872" i="17"/>
  <c r="D873" i="17"/>
  <c r="D874" i="17"/>
  <c r="D875" i="17"/>
  <c r="D876" i="17"/>
  <c r="D877" i="17"/>
  <c r="D878" i="17"/>
  <c r="D879" i="17"/>
  <c r="D880" i="17"/>
  <c r="D881" i="17"/>
  <c r="D882" i="17"/>
  <c r="D883" i="17"/>
  <c r="D884" i="17"/>
  <c r="D885" i="17"/>
  <c r="D886" i="17"/>
  <c r="D887" i="17"/>
  <c r="D888" i="17"/>
  <c r="D889" i="17"/>
  <c r="D890" i="17"/>
  <c r="D891" i="17"/>
  <c r="D892" i="17"/>
  <c r="D893" i="17"/>
  <c r="D894" i="17"/>
  <c r="D895" i="17"/>
  <c r="D896" i="17"/>
  <c r="D897" i="17"/>
  <c r="D898" i="17"/>
  <c r="D899" i="17"/>
  <c r="D900" i="17"/>
  <c r="D901" i="17"/>
  <c r="D902" i="17"/>
  <c r="D903" i="17"/>
  <c r="D904" i="17"/>
  <c r="D905" i="17"/>
  <c r="D906" i="17"/>
  <c r="D907" i="17"/>
  <c r="D908" i="17"/>
  <c r="D909" i="17"/>
  <c r="D910" i="17"/>
  <c r="D911" i="17"/>
  <c r="D912" i="17"/>
  <c r="D913" i="17"/>
  <c r="D914" i="17"/>
  <c r="D915" i="17"/>
  <c r="D916" i="17"/>
  <c r="D917" i="17"/>
  <c r="D918" i="17"/>
  <c r="D919" i="17"/>
  <c r="D920" i="17"/>
  <c r="D921" i="17"/>
  <c r="D922" i="17"/>
  <c r="D923" i="17"/>
  <c r="D924" i="17"/>
  <c r="D925" i="17"/>
  <c r="D926" i="17"/>
  <c r="D927" i="17"/>
  <c r="D928" i="17"/>
  <c r="D929" i="17"/>
  <c r="D930" i="17"/>
  <c r="D931" i="17"/>
  <c r="D932" i="17"/>
  <c r="D933" i="17"/>
  <c r="D934" i="17"/>
  <c r="D935" i="17"/>
  <c r="D936" i="17"/>
  <c r="D937" i="17"/>
  <c r="D938" i="17"/>
  <c r="D939" i="17"/>
  <c r="D940" i="17"/>
  <c r="D941" i="17"/>
  <c r="D942" i="17"/>
  <c r="D943" i="17"/>
  <c r="D944" i="17"/>
  <c r="D945" i="17"/>
  <c r="D946" i="17"/>
  <c r="D947" i="17"/>
  <c r="D948" i="17"/>
  <c r="D949" i="17"/>
  <c r="D950" i="17"/>
  <c r="D951" i="17"/>
  <c r="D952" i="17"/>
  <c r="D953" i="17"/>
  <c r="D954" i="17"/>
  <c r="D955" i="17"/>
  <c r="D956" i="17"/>
  <c r="D957" i="17"/>
  <c r="D958" i="17"/>
  <c r="D959" i="17"/>
  <c r="D960" i="17"/>
  <c r="D961" i="17"/>
  <c r="D962" i="17"/>
  <c r="D963" i="17"/>
  <c r="D964" i="17"/>
  <c r="D965" i="17"/>
  <c r="D966" i="17"/>
  <c r="D967" i="17"/>
  <c r="D968" i="17"/>
  <c r="D969" i="17"/>
  <c r="D970" i="17"/>
  <c r="D971" i="17"/>
  <c r="D972" i="17"/>
  <c r="D973" i="17"/>
  <c r="D974" i="17"/>
  <c r="D975" i="17"/>
  <c r="D976" i="17"/>
  <c r="D977" i="17"/>
  <c r="D978" i="17"/>
  <c r="D979" i="17"/>
  <c r="D980" i="17"/>
  <c r="D981" i="17"/>
  <c r="D982" i="17"/>
  <c r="D983" i="17"/>
  <c r="D984" i="17"/>
  <c r="D985" i="17"/>
  <c r="D986" i="17"/>
  <c r="D987" i="17"/>
  <c r="D988" i="17"/>
  <c r="D989" i="17"/>
  <c r="D990" i="17"/>
  <c r="D991" i="17"/>
  <c r="D992" i="17"/>
  <c r="D993" i="17"/>
  <c r="D994" i="17"/>
  <c r="D995" i="17"/>
  <c r="D996" i="17"/>
  <c r="D997" i="17"/>
  <c r="D998" i="17"/>
  <c r="D999" i="17"/>
  <c r="D1000" i="17"/>
  <c r="D1001" i="17"/>
  <c r="D1002" i="17"/>
  <c r="D1003" i="17"/>
  <c r="D1004" i="17"/>
  <c r="D1005" i="17"/>
  <c r="D1006" i="17"/>
  <c r="D1007" i="17"/>
  <c r="D1008" i="17"/>
  <c r="D1009" i="17"/>
  <c r="D1010" i="17"/>
  <c r="D1011" i="17"/>
  <c r="D1012" i="17"/>
  <c r="D1013" i="17"/>
  <c r="D1014" i="17"/>
  <c r="D1015" i="17"/>
  <c r="D1016" i="17"/>
  <c r="D1017" i="17"/>
  <c r="D1018" i="17"/>
  <c r="D1019" i="17"/>
  <c r="D1020" i="17"/>
  <c r="D1021" i="17"/>
  <c r="D1022" i="17"/>
  <c r="D1023" i="17"/>
  <c r="D1024" i="17"/>
  <c r="D1025" i="17"/>
  <c r="D1026" i="17"/>
  <c r="D1027" i="17"/>
  <c r="D1028" i="17"/>
  <c r="D1029" i="17"/>
  <c r="D1030" i="17"/>
  <c r="D1031" i="17"/>
  <c r="D1032" i="17"/>
  <c r="D1033" i="17"/>
  <c r="D1034" i="17"/>
  <c r="D1035" i="17"/>
  <c r="D1036" i="17"/>
  <c r="D1037" i="17"/>
  <c r="D1038" i="17"/>
  <c r="D1039" i="17"/>
  <c r="D1040" i="17"/>
  <c r="D1041" i="17"/>
  <c r="D1042" i="17"/>
  <c r="D1043" i="17"/>
  <c r="D1044" i="17"/>
  <c r="D1045" i="17"/>
  <c r="D1046" i="17"/>
  <c r="D1047" i="17"/>
  <c r="D1048" i="17"/>
  <c r="D1049" i="17"/>
  <c r="D1050" i="17"/>
  <c r="D1051" i="17"/>
  <c r="D1052" i="17"/>
  <c r="D1053" i="17"/>
  <c r="D1054" i="17"/>
  <c r="D1055" i="17"/>
  <c r="D1056" i="17"/>
  <c r="D1057" i="17"/>
  <c r="D1058" i="17"/>
  <c r="D1059" i="17"/>
  <c r="D1060" i="17"/>
  <c r="D1061" i="17"/>
  <c r="D1062" i="17"/>
  <c r="D1063" i="17"/>
  <c r="D1064" i="17"/>
  <c r="D1065" i="17"/>
  <c r="D1066" i="17"/>
  <c r="D1067" i="17"/>
  <c r="D1068" i="17"/>
  <c r="D1069" i="17"/>
  <c r="D1070" i="17"/>
  <c r="D1071" i="17"/>
  <c r="D1072" i="17"/>
  <c r="D1073" i="17"/>
  <c r="D1074" i="17"/>
  <c r="D1075" i="17"/>
  <c r="D1076" i="17"/>
  <c r="D1077" i="17"/>
  <c r="D1078" i="17"/>
  <c r="D1079" i="17"/>
  <c r="D1080" i="17"/>
  <c r="D1081" i="17"/>
  <c r="D1082" i="17"/>
  <c r="D1083" i="17"/>
  <c r="D1084" i="17"/>
  <c r="D1085" i="17"/>
  <c r="D1086" i="17"/>
  <c r="D1087" i="17"/>
  <c r="D1088" i="17"/>
  <c r="D1089" i="17"/>
  <c r="D1090" i="17"/>
  <c r="D1091" i="17"/>
  <c r="D1092" i="17"/>
  <c r="D1093" i="17"/>
  <c r="D1094" i="17"/>
  <c r="D1095" i="17"/>
  <c r="D1096" i="17"/>
  <c r="D1097" i="17"/>
  <c r="D1098" i="17"/>
  <c r="D1099" i="17"/>
  <c r="D1100" i="17"/>
  <c r="D1101" i="17"/>
  <c r="D1102" i="17"/>
  <c r="D1103" i="17"/>
  <c r="D1104" i="17"/>
  <c r="D1105" i="17"/>
  <c r="D1106" i="17"/>
  <c r="D1107" i="17"/>
  <c r="D1108" i="17"/>
  <c r="D1109" i="17"/>
  <c r="D1110" i="17"/>
  <c r="D1111" i="17"/>
  <c r="D1112" i="17"/>
  <c r="D1113" i="17"/>
  <c r="D1114" i="17"/>
  <c r="D1115" i="17"/>
  <c r="D1116" i="17"/>
  <c r="D1117" i="17"/>
  <c r="D1118" i="17"/>
  <c r="D1119" i="17"/>
  <c r="D1120" i="17"/>
  <c r="D1121" i="17"/>
  <c r="D1122" i="17"/>
  <c r="D1123" i="17"/>
  <c r="D1124" i="17"/>
  <c r="D1125" i="17"/>
  <c r="D1126" i="17"/>
  <c r="D1127" i="17"/>
  <c r="D1128" i="17"/>
  <c r="D1129" i="17"/>
  <c r="D1130" i="17"/>
  <c r="D1131" i="17"/>
  <c r="D1132" i="17"/>
  <c r="D1133" i="17"/>
  <c r="D1134" i="17"/>
  <c r="D1135" i="17"/>
  <c r="D1136" i="17"/>
  <c r="D1137" i="17"/>
  <c r="D1138" i="17"/>
  <c r="D1139" i="17"/>
  <c r="D1140" i="17"/>
  <c r="D1141" i="17"/>
  <c r="D1142" i="17"/>
  <c r="D1143" i="17"/>
  <c r="D1144" i="17"/>
  <c r="D1145" i="17"/>
  <c r="D1146" i="17"/>
  <c r="D1147" i="17"/>
  <c r="D1148" i="17"/>
  <c r="D1149" i="17"/>
  <c r="D1150" i="17"/>
  <c r="D1151" i="17"/>
  <c r="D1152" i="17"/>
  <c r="D1153" i="17"/>
  <c r="D1154" i="17"/>
  <c r="D1155" i="17"/>
  <c r="D1156" i="17"/>
  <c r="D1157" i="17"/>
  <c r="D1158" i="17"/>
  <c r="D1159" i="17"/>
  <c r="D1160" i="17"/>
  <c r="D1161" i="17"/>
  <c r="D1162" i="17"/>
  <c r="D1163" i="17"/>
  <c r="D1164" i="17"/>
  <c r="D1165" i="17"/>
  <c r="D1166" i="17"/>
  <c r="D1167" i="17"/>
  <c r="D1168" i="17"/>
  <c r="D1169" i="17"/>
  <c r="D1170" i="17"/>
  <c r="D1171" i="17"/>
  <c r="D1172" i="17"/>
  <c r="D1173" i="17"/>
  <c r="D1174" i="17"/>
  <c r="D1175" i="17"/>
  <c r="D1176" i="17"/>
  <c r="D1177" i="17"/>
  <c r="D1178" i="17"/>
  <c r="D1179" i="17"/>
  <c r="D1180" i="17"/>
  <c r="D1181" i="17"/>
  <c r="D1182" i="17"/>
  <c r="D1183" i="17"/>
  <c r="D1184" i="17"/>
  <c r="D1185" i="17"/>
  <c r="D1186" i="17"/>
  <c r="D1187" i="17"/>
  <c r="D1188" i="17"/>
  <c r="D1189" i="17"/>
  <c r="D1190" i="17"/>
  <c r="D1191" i="17"/>
  <c r="D1192" i="17"/>
  <c r="D1193" i="17"/>
  <c r="D1194" i="17"/>
  <c r="D1195" i="17"/>
  <c r="D1196" i="17"/>
  <c r="D1197" i="17"/>
  <c r="D1198" i="17"/>
  <c r="D1199" i="17"/>
  <c r="D1200" i="17"/>
  <c r="D1201" i="17"/>
  <c r="D1202" i="17"/>
  <c r="D1203" i="17"/>
  <c r="D1204" i="17"/>
  <c r="D1205" i="17"/>
  <c r="D1206" i="17"/>
  <c r="D1207" i="17"/>
  <c r="D1208" i="17"/>
  <c r="D1209" i="17"/>
  <c r="D1210" i="17"/>
  <c r="D1211" i="17"/>
  <c r="D1212" i="17"/>
  <c r="D1213" i="17"/>
  <c r="D1214" i="17"/>
  <c r="D1215" i="17"/>
  <c r="D1216" i="17"/>
  <c r="D1217" i="17"/>
  <c r="D1218" i="17"/>
  <c r="D1219" i="17"/>
  <c r="D1220" i="17"/>
  <c r="D1221" i="17"/>
  <c r="D1222" i="17"/>
  <c r="D1223" i="17"/>
  <c r="D1224" i="17"/>
  <c r="D1225" i="17"/>
  <c r="D1226" i="17"/>
  <c r="D1227" i="17"/>
  <c r="D1228" i="17"/>
  <c r="D1229" i="17"/>
  <c r="D1230" i="17"/>
  <c r="D1231" i="17"/>
  <c r="D1232" i="17"/>
  <c r="D1233" i="17"/>
  <c r="D1234" i="17"/>
  <c r="D1235" i="17"/>
  <c r="D1236" i="17"/>
  <c r="D1237" i="17"/>
  <c r="D1238" i="17"/>
  <c r="D1239" i="17"/>
  <c r="D1240" i="17"/>
  <c r="D1241" i="17"/>
  <c r="D1242" i="17"/>
  <c r="D1243" i="17"/>
  <c r="D1244" i="17"/>
  <c r="D1245" i="17"/>
  <c r="D1246" i="17"/>
  <c r="D1247" i="17"/>
  <c r="D1248" i="17"/>
  <c r="D1249" i="17"/>
  <c r="D1250" i="17"/>
  <c r="D1251" i="17"/>
  <c r="D1252" i="17"/>
  <c r="D1253" i="17"/>
  <c r="D1254" i="17"/>
  <c r="D1255" i="17"/>
  <c r="D1256" i="17"/>
  <c r="D1257" i="17"/>
  <c r="D1258" i="17"/>
  <c r="D1259" i="17"/>
  <c r="D1260" i="17"/>
  <c r="D1261" i="17"/>
  <c r="D1262" i="17"/>
  <c r="D1263" i="17"/>
  <c r="D1264" i="17"/>
  <c r="D1265" i="17"/>
  <c r="D1266" i="17"/>
  <c r="D1267" i="17"/>
  <c r="D1268" i="17"/>
  <c r="D1269" i="17"/>
  <c r="D1270" i="17"/>
  <c r="D1271" i="17"/>
  <c r="D1272" i="17"/>
  <c r="D1273" i="17"/>
  <c r="D1274" i="17"/>
  <c r="D1275" i="17"/>
  <c r="D1276" i="17"/>
  <c r="D1277" i="17"/>
  <c r="D1278" i="17"/>
  <c r="D1279" i="17"/>
  <c r="D1280" i="17"/>
  <c r="D1281" i="17"/>
  <c r="D1282" i="17"/>
  <c r="D1283" i="17"/>
  <c r="D1284" i="17"/>
  <c r="D1285" i="17"/>
  <c r="D1286" i="17"/>
  <c r="D1287" i="17"/>
  <c r="D1288" i="17"/>
  <c r="D1289" i="17"/>
  <c r="D1290" i="17"/>
  <c r="D1291" i="17"/>
  <c r="D1292" i="17"/>
  <c r="D1293" i="17"/>
  <c r="D1294" i="17"/>
  <c r="D1295" i="17"/>
  <c r="D1296" i="17"/>
  <c r="D1297" i="17"/>
  <c r="D1298" i="17"/>
  <c r="D1299" i="17"/>
  <c r="D1300" i="17"/>
  <c r="D1301" i="17"/>
  <c r="D1302" i="17"/>
  <c r="D1303" i="17"/>
  <c r="D1304" i="17"/>
  <c r="D1305" i="17"/>
  <c r="D1306" i="17"/>
  <c r="D1307" i="17"/>
  <c r="D1308" i="17"/>
  <c r="D1309" i="17"/>
  <c r="D1310" i="17"/>
  <c r="D1311" i="17"/>
  <c r="D1312" i="17"/>
  <c r="D1313" i="17"/>
  <c r="D1314" i="17"/>
  <c r="D1315" i="17"/>
  <c r="D1316" i="17"/>
  <c r="D1317" i="17"/>
  <c r="D1318" i="17"/>
  <c r="D1319" i="17"/>
  <c r="D1320" i="17"/>
  <c r="D1321" i="17"/>
  <c r="D1322" i="17"/>
  <c r="D1323" i="17"/>
  <c r="D1324" i="17"/>
  <c r="D1325" i="17"/>
  <c r="D1326" i="17"/>
  <c r="D1327" i="17"/>
  <c r="D1328" i="17"/>
  <c r="D1329" i="17"/>
  <c r="D1330" i="17"/>
  <c r="D1331" i="17"/>
  <c r="D1332" i="17"/>
  <c r="D1333" i="17"/>
  <c r="D1334" i="17"/>
  <c r="D1335" i="17"/>
  <c r="D1336" i="17"/>
  <c r="D1337" i="17"/>
  <c r="D1338" i="17"/>
  <c r="D1339" i="17"/>
  <c r="D1340" i="17"/>
  <c r="D1341" i="17"/>
  <c r="D1342" i="17"/>
  <c r="D1343" i="17"/>
  <c r="D1344" i="17"/>
  <c r="D1345" i="17"/>
  <c r="D1346" i="17"/>
  <c r="D1347" i="17"/>
  <c r="D1348" i="17"/>
  <c r="D1349" i="17"/>
  <c r="D1350" i="17"/>
  <c r="D1351" i="17"/>
  <c r="D1352" i="17"/>
  <c r="D1353" i="17"/>
  <c r="D1354" i="17"/>
  <c r="D1355" i="17"/>
  <c r="D1356" i="17"/>
  <c r="D1357" i="17"/>
  <c r="D1358" i="17"/>
  <c r="D1359" i="17"/>
  <c r="D1360" i="17"/>
  <c r="D1361" i="17"/>
  <c r="D1362" i="17"/>
  <c r="D1363" i="17"/>
  <c r="D1364" i="17"/>
  <c r="D1365" i="17"/>
  <c r="D1366" i="17"/>
  <c r="D1367" i="17"/>
  <c r="D1368" i="17"/>
  <c r="D1369" i="17"/>
  <c r="D1370" i="17"/>
  <c r="D1371" i="17"/>
  <c r="D1372" i="17"/>
  <c r="D1373" i="17"/>
  <c r="D1374" i="17"/>
  <c r="D1375" i="17"/>
  <c r="D1376" i="17"/>
  <c r="D1377" i="17"/>
  <c r="D1378" i="17"/>
  <c r="D1379" i="17"/>
  <c r="D1380" i="17"/>
  <c r="D1381" i="17"/>
  <c r="D1382" i="17"/>
  <c r="D1383" i="17"/>
  <c r="D1384" i="17"/>
  <c r="D1385" i="17"/>
  <c r="D1386" i="17"/>
  <c r="D1387" i="17"/>
  <c r="D1388" i="17"/>
  <c r="D1389" i="17"/>
  <c r="D1390" i="17"/>
  <c r="D1391" i="17"/>
  <c r="D1392" i="17"/>
  <c r="D1393" i="17"/>
  <c r="D1394" i="17"/>
  <c r="D1395" i="17"/>
  <c r="D1396" i="17"/>
  <c r="D1397" i="17"/>
  <c r="D1398" i="17"/>
  <c r="D1399" i="17"/>
  <c r="D1400" i="17"/>
  <c r="D1401" i="17"/>
  <c r="D1402" i="17"/>
  <c r="D1403" i="17"/>
  <c r="D1404" i="17"/>
  <c r="D1405" i="17"/>
  <c r="D1406" i="17"/>
  <c r="D1407" i="17"/>
  <c r="D1408" i="17"/>
  <c r="D1409" i="17"/>
  <c r="D1410" i="17"/>
  <c r="D1411" i="17"/>
  <c r="D1412" i="17"/>
  <c r="D1413" i="17"/>
  <c r="D1414" i="17"/>
  <c r="D1415" i="17"/>
  <c r="D1416" i="17"/>
  <c r="D1417" i="17"/>
  <c r="D1418" i="17"/>
  <c r="D1419" i="17"/>
  <c r="D1420" i="17"/>
  <c r="D1421" i="17"/>
  <c r="D1422" i="17"/>
  <c r="D1423" i="17"/>
  <c r="D1424" i="17"/>
  <c r="D1425" i="17"/>
  <c r="D1426" i="17"/>
  <c r="D1427" i="17"/>
  <c r="D1428" i="17"/>
  <c r="D1429" i="17"/>
  <c r="D1430" i="17"/>
  <c r="D1431" i="17"/>
  <c r="D1432" i="17"/>
  <c r="D1433" i="17"/>
  <c r="D1434" i="17"/>
  <c r="D1435" i="17"/>
  <c r="D1436" i="17"/>
  <c r="D1437" i="17"/>
  <c r="D1438" i="17"/>
  <c r="D1439" i="17"/>
  <c r="D1440" i="17"/>
  <c r="D1441" i="17"/>
  <c r="D1442" i="17"/>
  <c r="D1443" i="17"/>
  <c r="D1444" i="17"/>
  <c r="D1445" i="17"/>
  <c r="D1446" i="17"/>
  <c r="D1447" i="17"/>
  <c r="D1448" i="17"/>
  <c r="D1449" i="17"/>
  <c r="D1450" i="17"/>
  <c r="D1451" i="17"/>
  <c r="D1452" i="17"/>
  <c r="D1453" i="17"/>
  <c r="D1454" i="17"/>
  <c r="D1455" i="17"/>
  <c r="D1456" i="17"/>
  <c r="D1457" i="17"/>
  <c r="D1458" i="17"/>
  <c r="D1459" i="17"/>
  <c r="D1460" i="17"/>
  <c r="D1461" i="17"/>
  <c r="D1462" i="17"/>
  <c r="D1463" i="17"/>
  <c r="D1464" i="17"/>
  <c r="D1465" i="17"/>
  <c r="D1466" i="17"/>
  <c r="D1467" i="17"/>
  <c r="D1468" i="17"/>
  <c r="D1469" i="17"/>
  <c r="D1470" i="17"/>
  <c r="D1471" i="17"/>
  <c r="D1472" i="17"/>
  <c r="D1473" i="17"/>
  <c r="D1474" i="17"/>
  <c r="D1475" i="17"/>
  <c r="D1476" i="17"/>
  <c r="D1477" i="17"/>
  <c r="D1478" i="17"/>
  <c r="D1479" i="17"/>
  <c r="D1480" i="17"/>
  <c r="D1481" i="17"/>
  <c r="D1482" i="17"/>
  <c r="D1483" i="17"/>
  <c r="D1484" i="17"/>
  <c r="D1485" i="17"/>
  <c r="D1486" i="17"/>
  <c r="D1487" i="17"/>
  <c r="D1488" i="17"/>
  <c r="D1489" i="17"/>
  <c r="D1490" i="17"/>
  <c r="D1491" i="17"/>
  <c r="D1492" i="17"/>
  <c r="D1493" i="17"/>
  <c r="D1494" i="17"/>
  <c r="D1495" i="17"/>
  <c r="D1496" i="17"/>
  <c r="D1497" i="17"/>
  <c r="D1498" i="17"/>
  <c r="D1499" i="17"/>
  <c r="D1500" i="17"/>
  <c r="D1501" i="17"/>
  <c r="D1502" i="17"/>
  <c r="D1503" i="17"/>
  <c r="D1504" i="17"/>
  <c r="D1505" i="17"/>
  <c r="D1506" i="17"/>
  <c r="D1507" i="17"/>
  <c r="D1508" i="17"/>
  <c r="D1509" i="17"/>
  <c r="D1510" i="17"/>
  <c r="D1511" i="17"/>
  <c r="D1512" i="17"/>
  <c r="D1513" i="17"/>
  <c r="D1514" i="17"/>
  <c r="D1515" i="17"/>
  <c r="D1516" i="17"/>
  <c r="D1517" i="17"/>
  <c r="D1518" i="17"/>
  <c r="D1519" i="17"/>
  <c r="D1520" i="17"/>
  <c r="D1521" i="17"/>
  <c r="D1522" i="17"/>
  <c r="D1523" i="17"/>
  <c r="D1524" i="17"/>
  <c r="D1525" i="17"/>
  <c r="D1526" i="17"/>
  <c r="D1527" i="17"/>
  <c r="D1528" i="17"/>
  <c r="D1529" i="17"/>
  <c r="D1530" i="17"/>
  <c r="D1531" i="17"/>
  <c r="D1532" i="17"/>
  <c r="D1533" i="17"/>
  <c r="D1534" i="17"/>
  <c r="D1535" i="17"/>
  <c r="D1536" i="17"/>
  <c r="D1537" i="17"/>
  <c r="D1538" i="17"/>
  <c r="D1539" i="17"/>
  <c r="D1540" i="17"/>
  <c r="D1541" i="17"/>
  <c r="D1542" i="17"/>
  <c r="D1543" i="17"/>
  <c r="D1544" i="17"/>
  <c r="D1545" i="17"/>
  <c r="D1546" i="17"/>
  <c r="D1547" i="17"/>
  <c r="D1548" i="17"/>
  <c r="D1549" i="17"/>
  <c r="D1550" i="17"/>
  <c r="D1551" i="17"/>
  <c r="D1552" i="17"/>
  <c r="D1553" i="17"/>
  <c r="D1554" i="17"/>
  <c r="D1555" i="17"/>
  <c r="D1556" i="17"/>
  <c r="D1557" i="17"/>
  <c r="D1558" i="17"/>
  <c r="D1559" i="17"/>
  <c r="D1560" i="17"/>
  <c r="D1561" i="17"/>
  <c r="D1562" i="17"/>
  <c r="D1563" i="17"/>
  <c r="D1564" i="17"/>
  <c r="D1565" i="17"/>
  <c r="D1566" i="17"/>
  <c r="D1567" i="17"/>
  <c r="D1568" i="17"/>
  <c r="D1569" i="17"/>
  <c r="D1570" i="17"/>
  <c r="D1571" i="17"/>
  <c r="D1572" i="17"/>
  <c r="D1573" i="17"/>
  <c r="D1574" i="17"/>
  <c r="D1575" i="17"/>
  <c r="D1576" i="17"/>
  <c r="D1577" i="17"/>
  <c r="D1578" i="17"/>
  <c r="D1579" i="17"/>
  <c r="D1580" i="17"/>
  <c r="D1581" i="17"/>
  <c r="D1582" i="17"/>
  <c r="D1583" i="17"/>
  <c r="D1584" i="17"/>
  <c r="D1585" i="17"/>
  <c r="D1586" i="17"/>
  <c r="D1587" i="17"/>
  <c r="D1588" i="17"/>
  <c r="D1589" i="17"/>
  <c r="D1590" i="17"/>
  <c r="D1591" i="17"/>
  <c r="D1592" i="17"/>
  <c r="D1593" i="17"/>
  <c r="D1594" i="17"/>
  <c r="D1595" i="17"/>
  <c r="D1596" i="17"/>
  <c r="D1597" i="17"/>
  <c r="D1598" i="17"/>
  <c r="D1599" i="17"/>
  <c r="D1600" i="17"/>
  <c r="D1601" i="17"/>
  <c r="D1602" i="17"/>
  <c r="D1603" i="17"/>
  <c r="D1604" i="17"/>
  <c r="D1605" i="17"/>
  <c r="D1606" i="17"/>
  <c r="D1607" i="17"/>
  <c r="D1608" i="17"/>
  <c r="D1609" i="17"/>
  <c r="D1610" i="17"/>
  <c r="D1611" i="17"/>
  <c r="D1612" i="17"/>
  <c r="D1613" i="17"/>
  <c r="D1614" i="17"/>
  <c r="D1615" i="17"/>
  <c r="D1616" i="17"/>
  <c r="D1617" i="17"/>
  <c r="D1618" i="17"/>
  <c r="D1619" i="17"/>
  <c r="D1620" i="17"/>
  <c r="D1621" i="17"/>
  <c r="D1622" i="17"/>
  <c r="D1623" i="17"/>
  <c r="D1624" i="17"/>
  <c r="D1625" i="17"/>
  <c r="D1626" i="17"/>
  <c r="D1627" i="17"/>
  <c r="D1628" i="17"/>
  <c r="D1629" i="17"/>
  <c r="D1630" i="17"/>
  <c r="D1631" i="17"/>
  <c r="D1632" i="17"/>
  <c r="D1633" i="17"/>
  <c r="D1634" i="17"/>
  <c r="D1635" i="17"/>
  <c r="D1636" i="17"/>
  <c r="D1637" i="17"/>
  <c r="D1638" i="17"/>
  <c r="D1639" i="17"/>
  <c r="D1640" i="17"/>
  <c r="D1641" i="17"/>
  <c r="D1642" i="17"/>
  <c r="D1643" i="17"/>
  <c r="D1644" i="17"/>
  <c r="D1645" i="17"/>
  <c r="D1646" i="17"/>
  <c r="D1647" i="17"/>
  <c r="D1648" i="17"/>
  <c r="D1649" i="17"/>
  <c r="D1650" i="17"/>
  <c r="D1651" i="17"/>
  <c r="D1652" i="17"/>
  <c r="D1653" i="17"/>
  <c r="D1654" i="17"/>
  <c r="D1655" i="17"/>
  <c r="D1656" i="17"/>
  <c r="D1657" i="17"/>
  <c r="D1658" i="17"/>
  <c r="D1659" i="17"/>
  <c r="D1660" i="17"/>
  <c r="D1661" i="17"/>
  <c r="D1662" i="17"/>
  <c r="D1663" i="17"/>
  <c r="D1664" i="17"/>
  <c r="D1665" i="17"/>
  <c r="D1666" i="17"/>
  <c r="D1667" i="17"/>
  <c r="D1668" i="17"/>
  <c r="D1669" i="17"/>
  <c r="D1670" i="17"/>
  <c r="D1671" i="17"/>
  <c r="D1672" i="17"/>
  <c r="D1673" i="17"/>
  <c r="D1674" i="17"/>
  <c r="D1675" i="17"/>
  <c r="D1676" i="17"/>
  <c r="D1677" i="17"/>
  <c r="D1678" i="17"/>
  <c r="D1679" i="17"/>
  <c r="D1680" i="17"/>
  <c r="D1681" i="17"/>
  <c r="D1682" i="17"/>
  <c r="D1683" i="17"/>
  <c r="D1684" i="17"/>
  <c r="D1685" i="17"/>
  <c r="D1686" i="17"/>
  <c r="D1687" i="17"/>
  <c r="D1688" i="17"/>
  <c r="D1689" i="17"/>
  <c r="D1690" i="17"/>
  <c r="D1691" i="17"/>
  <c r="D1692" i="17"/>
  <c r="D1693" i="17"/>
  <c r="D1694" i="17"/>
  <c r="D1695" i="17"/>
  <c r="D1696" i="17"/>
  <c r="D1697" i="17"/>
  <c r="D1698" i="17"/>
  <c r="D1699" i="17"/>
  <c r="D1700" i="17"/>
  <c r="D1701" i="17"/>
  <c r="D1702" i="17"/>
  <c r="D1703" i="17"/>
  <c r="D1704" i="17"/>
  <c r="D1705" i="17"/>
  <c r="D1706" i="17"/>
  <c r="D1707" i="17"/>
  <c r="D1708" i="17"/>
  <c r="D1709" i="17"/>
  <c r="D1710" i="17"/>
  <c r="D1711" i="17"/>
  <c r="D1712" i="17"/>
  <c r="D1713" i="17"/>
  <c r="D1714" i="17"/>
  <c r="D1715" i="17"/>
  <c r="D1716" i="17"/>
  <c r="D1717" i="17"/>
  <c r="D1718" i="17"/>
  <c r="D1719" i="17"/>
  <c r="D1720" i="17"/>
  <c r="D1721" i="17"/>
  <c r="D1722" i="17"/>
  <c r="D1723" i="17"/>
  <c r="D1724" i="17"/>
  <c r="D1725" i="17"/>
  <c r="D1726" i="17"/>
  <c r="D1727" i="17"/>
  <c r="D1728" i="17"/>
  <c r="D1729" i="17"/>
  <c r="D1730" i="17"/>
  <c r="D1731" i="17"/>
  <c r="D1732" i="17"/>
  <c r="D1733" i="17"/>
  <c r="D1734" i="17"/>
  <c r="D1735" i="17"/>
  <c r="D1736" i="17"/>
  <c r="D1737" i="17"/>
  <c r="D1738" i="17"/>
  <c r="D1739" i="17"/>
  <c r="D1740" i="17"/>
  <c r="D1741" i="17"/>
  <c r="D1742" i="17"/>
  <c r="D1743" i="17"/>
  <c r="D1744" i="17"/>
  <c r="D1745" i="17"/>
  <c r="D1746" i="17"/>
  <c r="D1747" i="17"/>
  <c r="D1748" i="17"/>
  <c r="D1749" i="17"/>
  <c r="D1750" i="17"/>
  <c r="D1751" i="17"/>
  <c r="D1752" i="17"/>
  <c r="D1753" i="17"/>
  <c r="D1754" i="17"/>
  <c r="D1755" i="17"/>
  <c r="D1756" i="17"/>
  <c r="D1757" i="17"/>
  <c r="D1758" i="17"/>
  <c r="D1759" i="17"/>
  <c r="D1760" i="17"/>
  <c r="D1761" i="17"/>
  <c r="D1762" i="17"/>
  <c r="D1763" i="17"/>
  <c r="D1764" i="17"/>
  <c r="D1765" i="17"/>
  <c r="D1766" i="17"/>
  <c r="D1767" i="17"/>
  <c r="D1768" i="17"/>
  <c r="D1769" i="17"/>
  <c r="D1770" i="17"/>
  <c r="D1771" i="17"/>
  <c r="D1772" i="17"/>
  <c r="D1773" i="17"/>
  <c r="D1774" i="17"/>
  <c r="D1775" i="17"/>
  <c r="D1776" i="17"/>
  <c r="D1777" i="17"/>
  <c r="D1778" i="17"/>
  <c r="D1779" i="17"/>
  <c r="D1780" i="17"/>
  <c r="D1781" i="17"/>
  <c r="D1782" i="17"/>
  <c r="D1783" i="17"/>
  <c r="D1784" i="17"/>
  <c r="D1785" i="17"/>
  <c r="D1786" i="17"/>
  <c r="D1787" i="17"/>
  <c r="D1788" i="17"/>
  <c r="D1789" i="17"/>
  <c r="D1790" i="17"/>
  <c r="D1791" i="17"/>
  <c r="D1792" i="17"/>
  <c r="D1793" i="17"/>
  <c r="D1794" i="17"/>
  <c r="D1795" i="17"/>
  <c r="D1796" i="17"/>
  <c r="D1797" i="17"/>
  <c r="D1798" i="17"/>
  <c r="D1799" i="17"/>
  <c r="D1800" i="17"/>
  <c r="D1801" i="17"/>
  <c r="D1802" i="17"/>
  <c r="D1803" i="17"/>
  <c r="D1804" i="17"/>
  <c r="D1805" i="17"/>
  <c r="D1806" i="17"/>
  <c r="D1807" i="17"/>
  <c r="D1808" i="17"/>
  <c r="D1809" i="17"/>
  <c r="D1810" i="17"/>
  <c r="D1811" i="17"/>
  <c r="D1812" i="17"/>
  <c r="D1813" i="17"/>
  <c r="D1814" i="17"/>
  <c r="D1815" i="17"/>
  <c r="D1816" i="17"/>
  <c r="D1817" i="17"/>
  <c r="D1818" i="17"/>
  <c r="D1819" i="17"/>
  <c r="D1820" i="17"/>
  <c r="D1821" i="17"/>
  <c r="D1822" i="17"/>
  <c r="D1823" i="17"/>
  <c r="D1824" i="17"/>
  <c r="D1825" i="17"/>
  <c r="D1826" i="17"/>
  <c r="D1827" i="17"/>
  <c r="D1828" i="17"/>
  <c r="D1829" i="17"/>
  <c r="D1830" i="17"/>
  <c r="D1831" i="17"/>
  <c r="D1832" i="17"/>
  <c r="D1833" i="17"/>
  <c r="D1834" i="17"/>
  <c r="D1835" i="17"/>
  <c r="D1836" i="17"/>
  <c r="D1837" i="17"/>
  <c r="D1838" i="17"/>
  <c r="D1839" i="17"/>
  <c r="D1840" i="17"/>
  <c r="D1841" i="17"/>
  <c r="D1842" i="17"/>
  <c r="D1843" i="17"/>
  <c r="D1844" i="17"/>
  <c r="D1845" i="17"/>
  <c r="D1846" i="17"/>
  <c r="D1847" i="17"/>
  <c r="D1848" i="17"/>
  <c r="D1849" i="17"/>
  <c r="D1850" i="17"/>
  <c r="D1851" i="17"/>
  <c r="D1852" i="17"/>
  <c r="D1853" i="17"/>
  <c r="D1854" i="17"/>
  <c r="D1855" i="17"/>
  <c r="D1856" i="17"/>
  <c r="D1857" i="17"/>
  <c r="D1858" i="17"/>
  <c r="D1859" i="17"/>
  <c r="D1860" i="17"/>
  <c r="D1861" i="17"/>
  <c r="D1862" i="17"/>
  <c r="D1863" i="17"/>
  <c r="D1864" i="17"/>
  <c r="D1865" i="17"/>
  <c r="D1866" i="17"/>
  <c r="D1867" i="17"/>
  <c r="D1868" i="17"/>
  <c r="D1869" i="17"/>
  <c r="D1870" i="17"/>
  <c r="D1871" i="17"/>
  <c r="D1872" i="17"/>
  <c r="D1873" i="17"/>
  <c r="D1874" i="17"/>
  <c r="D1875" i="17"/>
  <c r="D1876" i="17"/>
  <c r="D1877" i="17"/>
  <c r="D1878" i="17"/>
  <c r="D1879" i="17"/>
  <c r="D1880" i="17"/>
  <c r="D1881" i="17"/>
  <c r="D1882" i="17"/>
  <c r="D1883" i="17"/>
  <c r="D1884" i="17"/>
  <c r="D1885" i="17"/>
  <c r="D1886" i="17"/>
  <c r="D1887" i="17"/>
  <c r="D1888" i="17"/>
  <c r="D1889" i="17"/>
  <c r="D1890" i="17"/>
  <c r="D1891" i="17"/>
  <c r="D1892" i="17"/>
  <c r="D1893" i="17"/>
  <c r="D1894" i="17"/>
  <c r="D1895" i="17"/>
  <c r="D1896" i="17"/>
  <c r="D1897" i="17"/>
  <c r="D1898" i="17"/>
  <c r="D1899" i="17"/>
  <c r="D1900" i="17"/>
  <c r="D1901" i="17"/>
  <c r="D1902" i="17"/>
  <c r="D1903" i="17"/>
  <c r="D1904" i="17"/>
  <c r="D1905" i="17"/>
  <c r="D1906" i="17"/>
  <c r="D1907" i="17"/>
  <c r="D1908" i="17"/>
  <c r="D1909" i="17"/>
  <c r="D1910" i="17"/>
  <c r="D1911" i="17"/>
  <c r="D1912" i="17"/>
  <c r="D1913" i="17"/>
  <c r="D1914" i="17"/>
  <c r="D1915" i="17"/>
  <c r="D1916" i="17"/>
  <c r="D1917" i="17"/>
  <c r="D1918" i="17"/>
  <c r="D1919" i="17"/>
  <c r="D1920" i="17"/>
  <c r="D1921" i="17"/>
  <c r="D1922" i="17"/>
  <c r="D1923" i="17"/>
  <c r="D1924" i="17"/>
  <c r="D1925" i="17"/>
  <c r="D1926" i="17"/>
  <c r="D1927" i="17"/>
  <c r="D1928" i="17"/>
  <c r="D1929" i="17"/>
  <c r="D1930" i="17"/>
  <c r="D1931" i="17"/>
  <c r="D1932" i="17"/>
  <c r="D1933" i="17"/>
  <c r="D1934" i="17"/>
  <c r="D1935" i="17"/>
  <c r="D1936" i="17"/>
  <c r="D1937" i="17"/>
  <c r="D1938" i="17"/>
  <c r="D1939" i="17"/>
  <c r="D1940" i="17"/>
  <c r="D1941" i="17"/>
  <c r="D1942" i="17"/>
  <c r="D1943" i="17"/>
  <c r="D1944" i="17"/>
  <c r="D1945" i="17"/>
  <c r="D1946" i="17"/>
  <c r="D1947" i="17"/>
  <c r="D1948" i="17"/>
  <c r="D1949" i="17"/>
  <c r="D1950" i="17"/>
  <c r="D1951" i="17"/>
  <c r="D1952" i="17"/>
  <c r="D1953" i="17"/>
  <c r="D1954" i="17"/>
  <c r="D1955" i="17"/>
  <c r="D1956" i="17"/>
  <c r="D1957" i="17"/>
  <c r="D1958" i="17"/>
  <c r="D1959" i="17"/>
  <c r="D1960" i="17"/>
  <c r="D1961" i="17"/>
  <c r="D1962" i="17"/>
  <c r="D1963" i="17"/>
  <c r="D1964" i="17"/>
  <c r="D1965" i="17"/>
  <c r="D1966" i="17"/>
  <c r="D1967" i="17"/>
  <c r="D1968" i="17"/>
  <c r="D1969" i="17"/>
  <c r="D1970" i="17"/>
  <c r="D1971" i="17"/>
  <c r="D1972" i="17"/>
  <c r="D1973" i="17"/>
  <c r="D1974" i="17"/>
  <c r="D1975" i="17"/>
  <c r="D1976" i="17"/>
  <c r="D1977" i="17"/>
  <c r="D1978" i="17"/>
  <c r="D1979" i="17"/>
  <c r="D1980" i="17"/>
  <c r="D1981" i="17"/>
  <c r="D1982" i="17"/>
  <c r="D1983" i="17"/>
  <c r="D1984" i="17"/>
  <c r="D1985" i="17"/>
  <c r="D1986" i="17"/>
  <c r="D1987" i="17"/>
  <c r="D1988" i="17"/>
  <c r="D1989" i="17"/>
  <c r="D1990" i="17"/>
  <c r="D1991" i="17"/>
  <c r="D1992" i="17"/>
  <c r="D1993" i="17"/>
  <c r="D1994" i="17"/>
  <c r="D1995" i="17"/>
  <c r="D1996" i="17"/>
  <c r="D1997" i="17"/>
  <c r="D1998" i="17"/>
  <c r="D1999" i="17"/>
  <c r="D2000" i="17"/>
  <c r="D2001" i="17"/>
  <c r="D2002" i="17"/>
  <c r="D2003" i="17"/>
  <c r="D2004" i="17"/>
  <c r="D2005" i="17"/>
  <c r="D2006" i="17"/>
  <c r="D2007" i="17"/>
  <c r="D2008" i="17"/>
  <c r="D2009" i="17"/>
  <c r="D2010" i="17"/>
  <c r="D2011" i="17"/>
  <c r="D2012" i="17"/>
  <c r="D2013" i="17"/>
  <c r="D2014" i="17"/>
  <c r="D2015" i="17"/>
  <c r="D2016" i="17"/>
  <c r="D2017" i="17"/>
  <c r="D2018" i="17"/>
  <c r="D2019" i="17"/>
  <c r="D2020" i="17"/>
  <c r="D2021" i="17"/>
  <c r="D2022" i="17"/>
  <c r="D2023" i="17"/>
  <c r="D2024" i="17"/>
  <c r="D2025" i="17"/>
  <c r="D2026" i="17"/>
  <c r="D2027" i="17"/>
  <c r="D2028" i="17"/>
  <c r="D2029" i="17"/>
  <c r="D2030" i="17"/>
  <c r="D2031" i="17"/>
  <c r="D2032" i="17"/>
  <c r="D2033" i="17"/>
  <c r="D2034" i="17"/>
  <c r="D2035" i="17"/>
  <c r="D2036" i="17"/>
  <c r="D2037" i="17"/>
  <c r="D2038" i="17"/>
  <c r="D2039" i="17"/>
  <c r="D2040" i="17"/>
  <c r="D2041" i="17"/>
  <c r="D2042" i="17"/>
  <c r="D2043" i="17"/>
  <c r="D2044" i="17"/>
  <c r="D2045" i="17"/>
  <c r="D2046" i="17"/>
  <c r="D2047" i="17"/>
  <c r="D2048" i="17"/>
  <c r="D2049" i="17"/>
  <c r="D2050" i="17"/>
  <c r="D2051" i="17"/>
  <c r="D2052" i="17"/>
  <c r="D2053" i="17"/>
  <c r="D2054" i="17"/>
  <c r="D2055" i="17"/>
  <c r="D2056" i="17"/>
  <c r="D2057" i="17"/>
  <c r="D2058" i="17"/>
  <c r="D2059" i="17"/>
  <c r="D2060" i="17"/>
  <c r="D2061" i="17"/>
  <c r="D2062" i="17"/>
  <c r="D2063" i="17"/>
  <c r="D2064" i="17"/>
  <c r="D2065" i="17"/>
  <c r="D2066" i="17"/>
  <c r="D2067" i="17"/>
  <c r="D2068" i="17"/>
  <c r="D2069" i="17"/>
  <c r="D2070" i="17"/>
  <c r="D2071" i="17"/>
  <c r="D2072" i="17"/>
  <c r="D2073" i="17"/>
  <c r="D2074" i="17"/>
  <c r="D2075" i="17"/>
  <c r="D2076" i="17"/>
  <c r="D2077" i="17"/>
  <c r="D2078" i="17"/>
  <c r="D2079" i="17"/>
  <c r="D2080" i="17"/>
  <c r="D2081" i="17"/>
  <c r="D2082" i="17"/>
  <c r="D2083" i="17"/>
  <c r="D2084" i="17"/>
  <c r="D2085" i="17"/>
  <c r="D2086" i="17"/>
  <c r="D2087" i="17"/>
  <c r="D2088" i="17"/>
  <c r="D2089" i="17"/>
  <c r="D2090" i="17"/>
  <c r="D2091" i="17"/>
  <c r="D2092" i="17"/>
  <c r="D2093" i="17"/>
  <c r="D2094" i="17"/>
  <c r="D2095" i="17"/>
  <c r="D2096" i="17"/>
  <c r="D2097" i="17"/>
  <c r="D2098" i="17"/>
  <c r="D2099" i="17"/>
  <c r="D2100" i="17"/>
  <c r="D2101" i="17"/>
  <c r="D2102" i="17"/>
  <c r="D2103" i="17"/>
  <c r="D2104" i="17"/>
  <c r="D2105" i="17"/>
  <c r="D2106" i="17"/>
  <c r="D2107" i="17"/>
  <c r="D2108" i="17"/>
  <c r="D2109" i="17"/>
  <c r="D2110" i="17"/>
  <c r="D2111" i="17"/>
  <c r="D2112" i="17"/>
  <c r="D2113" i="17"/>
  <c r="D2114" i="17"/>
  <c r="D2115" i="17"/>
  <c r="D2116" i="17"/>
  <c r="D2117" i="17"/>
  <c r="D2118" i="17"/>
  <c r="D2119" i="17"/>
  <c r="D2120" i="17"/>
  <c r="D2121" i="17"/>
  <c r="D2122" i="17"/>
  <c r="D2123" i="17"/>
  <c r="D2124" i="17"/>
  <c r="D2125" i="17"/>
  <c r="D2126" i="17"/>
  <c r="D2127" i="17"/>
  <c r="D2128" i="17"/>
  <c r="D2129" i="17"/>
  <c r="D2130" i="17"/>
  <c r="D2131" i="17"/>
  <c r="D2132" i="17"/>
  <c r="D2133" i="17"/>
  <c r="D2134" i="17"/>
  <c r="D2135" i="17"/>
  <c r="D2136" i="17"/>
  <c r="D2137" i="17"/>
  <c r="D2138" i="17"/>
  <c r="D2139" i="17"/>
  <c r="D2140" i="17"/>
  <c r="D2141" i="17"/>
  <c r="D2142" i="17"/>
  <c r="D2143" i="17"/>
  <c r="D2144" i="17"/>
  <c r="D2145" i="17"/>
  <c r="D2146" i="17"/>
  <c r="D2147" i="17"/>
  <c r="D2148" i="17"/>
  <c r="D2149" i="17"/>
  <c r="D2150" i="17"/>
  <c r="D2151" i="17"/>
  <c r="D2152" i="17"/>
  <c r="D2153" i="17"/>
  <c r="D2154" i="17"/>
  <c r="D2155" i="17"/>
  <c r="D2156" i="17"/>
  <c r="D2157" i="17"/>
  <c r="D2158" i="17"/>
  <c r="D2159" i="17"/>
  <c r="D2160" i="17"/>
  <c r="D2161" i="17"/>
  <c r="D2162" i="17"/>
  <c r="D2163" i="17"/>
  <c r="D2164" i="17"/>
  <c r="D2165" i="17"/>
  <c r="D2166" i="17"/>
  <c r="D2167" i="17"/>
  <c r="D2168" i="17"/>
  <c r="D2169" i="17"/>
  <c r="D2170" i="17"/>
  <c r="D2171" i="17"/>
  <c r="D2172" i="17"/>
  <c r="D2173" i="17"/>
  <c r="D2174" i="17"/>
  <c r="D2175" i="17"/>
  <c r="D2176" i="17"/>
  <c r="D2177" i="17"/>
  <c r="D2178" i="17"/>
  <c r="D2179" i="17"/>
  <c r="D2180" i="17"/>
  <c r="D2181" i="17"/>
  <c r="D2182" i="17"/>
  <c r="D2183" i="17"/>
  <c r="L2183" i="17" s="1" a="1"/>
  <c r="D2184" i="17"/>
  <c r="L2184" i="17" s="1" a="1"/>
  <c r="D2185" i="17"/>
  <c r="L2185" i="17" s="1" a="1"/>
  <c r="D2186" i="17"/>
  <c r="L2186" i="17" s="1" a="1"/>
  <c r="D2187" i="17"/>
  <c r="L2187" i="17" s="1" a="1"/>
  <c r="D2188" i="17"/>
  <c r="L2188" i="17" s="1" a="1"/>
  <c r="D2189" i="17"/>
  <c r="L2189" i="17" s="1" a="1"/>
  <c r="D2190" i="17"/>
  <c r="L2190" i="17" s="1" a="1"/>
  <c r="D2191" i="17"/>
  <c r="L2191" i="17" s="1" a="1"/>
  <c r="D2192" i="17"/>
  <c r="L2192" i="17" s="1" a="1"/>
  <c r="D2193" i="17"/>
  <c r="L2193" i="17" s="1" a="1"/>
  <c r="D2194" i="17"/>
  <c r="L2194" i="17" s="1" a="1"/>
  <c r="D2195" i="17"/>
  <c r="L2195" i="17" s="1" a="1"/>
  <c r="D2196" i="17"/>
  <c r="D2197" i="17"/>
  <c r="D2198" i="17"/>
  <c r="D2199" i="17"/>
  <c r="D2200" i="17"/>
  <c r="D2201" i="17"/>
  <c r="D2202" i="17"/>
  <c r="D2203" i="17"/>
  <c r="D2204" i="17"/>
  <c r="D2205" i="17"/>
  <c r="D2206" i="17"/>
  <c r="D2207" i="17"/>
  <c r="D2208" i="17"/>
  <c r="D2209" i="17"/>
  <c r="D2210" i="17"/>
  <c r="D2211" i="17"/>
  <c r="D2212" i="17"/>
  <c r="D2213" i="17"/>
  <c r="D2214" i="17"/>
  <c r="D2215" i="17"/>
  <c r="D2216" i="17"/>
  <c r="D2217" i="17"/>
  <c r="D2218" i="17"/>
  <c r="D2219" i="17"/>
  <c r="D2220" i="17"/>
  <c r="D2221" i="17"/>
  <c r="D2222" i="17"/>
  <c r="D2223" i="17"/>
  <c r="D2224" i="17"/>
  <c r="D2225" i="17"/>
  <c r="D2226" i="17"/>
  <c r="D2227" i="17"/>
  <c r="D2228" i="17"/>
  <c r="D2229" i="17"/>
  <c r="D2230" i="17"/>
  <c r="D2231" i="17"/>
  <c r="D2232" i="17"/>
  <c r="D2233" i="17"/>
  <c r="D2234" i="17"/>
  <c r="D2235" i="17"/>
  <c r="D2236" i="17"/>
  <c r="D2237" i="17"/>
  <c r="D2238" i="17"/>
  <c r="D2239" i="17"/>
  <c r="D2240" i="17"/>
  <c r="D2241" i="17"/>
  <c r="D2242" i="17"/>
  <c r="D2243" i="17"/>
  <c r="D2244" i="17"/>
  <c r="D2245" i="17"/>
  <c r="D2246" i="17"/>
  <c r="D2247" i="17"/>
  <c r="D2248" i="17"/>
  <c r="D2249" i="17"/>
  <c r="D2250" i="17"/>
  <c r="D2251" i="17"/>
  <c r="D2252" i="17"/>
  <c r="D2253" i="17"/>
  <c r="D2254" i="17"/>
  <c r="D2255" i="17"/>
  <c r="D2256" i="17"/>
  <c r="D2257" i="17"/>
  <c r="D2258" i="17"/>
  <c r="D2259" i="17"/>
  <c r="D2260" i="17"/>
  <c r="D2261" i="17"/>
  <c r="D2262" i="17"/>
  <c r="D2263" i="17"/>
  <c r="D2264" i="17"/>
  <c r="D2265" i="17"/>
  <c r="D2266" i="17"/>
  <c r="D2267" i="17"/>
  <c r="D2268" i="17"/>
  <c r="D2269" i="17"/>
  <c r="D2270" i="17"/>
  <c r="D2271" i="17"/>
  <c r="D2272" i="17"/>
  <c r="D2273" i="17"/>
  <c r="D2274" i="17"/>
  <c r="D2275" i="17"/>
  <c r="D2276" i="17"/>
  <c r="D2277" i="17"/>
  <c r="D2278" i="17"/>
  <c r="D2279" i="17"/>
  <c r="D2280" i="17"/>
  <c r="D2281" i="17"/>
  <c r="D2282" i="17"/>
  <c r="D2283" i="17"/>
  <c r="D2284" i="17"/>
  <c r="D2285" i="17"/>
  <c r="D2286" i="17"/>
  <c r="D2287" i="17"/>
  <c r="D2288" i="17"/>
  <c r="D2289" i="17"/>
  <c r="D2290" i="17"/>
  <c r="D2291" i="17"/>
  <c r="D2292" i="17"/>
  <c r="D2293" i="17"/>
  <c r="D2294" i="17"/>
  <c r="D2295" i="17"/>
  <c r="D2296" i="17"/>
  <c r="D2297" i="17"/>
  <c r="D2298" i="17"/>
  <c r="D2299" i="17"/>
  <c r="D2300" i="17"/>
  <c r="D2301" i="17"/>
  <c r="D2302" i="17"/>
  <c r="D2303" i="17"/>
  <c r="D2304" i="17"/>
  <c r="D2305" i="17"/>
  <c r="D2306" i="17"/>
  <c r="D2307" i="17"/>
  <c r="D2308" i="17"/>
  <c r="D2309" i="17"/>
  <c r="D2310" i="17"/>
  <c r="D2311" i="17"/>
  <c r="D2312" i="17"/>
  <c r="D2313" i="17"/>
  <c r="D2314" i="17"/>
  <c r="D2315" i="17"/>
  <c r="D2316" i="17"/>
  <c r="D2317" i="17"/>
  <c r="D2318" i="17"/>
  <c r="D2319" i="17"/>
  <c r="D2320" i="17"/>
  <c r="D2321" i="17"/>
  <c r="D2322" i="17"/>
  <c r="D2323" i="17"/>
  <c r="D2324" i="17"/>
  <c r="D2325" i="17"/>
  <c r="D2326" i="17"/>
  <c r="D2327" i="17"/>
  <c r="D2328" i="17"/>
  <c r="D2329" i="17"/>
  <c r="D2330" i="17"/>
  <c r="D2331" i="17"/>
  <c r="D2332" i="17"/>
  <c r="D2333" i="17"/>
  <c r="D2334" i="17"/>
  <c r="D2335" i="17"/>
  <c r="D2336" i="17"/>
  <c r="D2337" i="17"/>
  <c r="D2338" i="17"/>
  <c r="D2339" i="17"/>
  <c r="D2340" i="17"/>
  <c r="D2341" i="17"/>
  <c r="D2342" i="17"/>
  <c r="D2343" i="17"/>
  <c r="D2344" i="17"/>
  <c r="D2345" i="17"/>
  <c r="D2346" i="17"/>
  <c r="D2347" i="17"/>
  <c r="D2348" i="17"/>
  <c r="D2349" i="17"/>
  <c r="D2350" i="17"/>
  <c r="E5" i="17"/>
  <c r="I5" i="17" s="1"/>
  <c r="E6" i="17"/>
  <c r="I6" i="17" s="1"/>
  <c r="E7" i="17"/>
  <c r="I7" i="17" s="1"/>
  <c r="E8" i="17"/>
  <c r="I8" i="17" s="1"/>
  <c r="E9" i="17"/>
  <c r="I9" i="17" s="1"/>
  <c r="E10" i="17"/>
  <c r="I10" i="17" s="1"/>
  <c r="E11" i="17"/>
  <c r="I11" i="17" s="1"/>
  <c r="E12" i="17"/>
  <c r="I12" i="17" s="1"/>
  <c r="E13" i="17"/>
  <c r="I13" i="17" s="1"/>
  <c r="E14" i="17"/>
  <c r="I14" i="17" s="1"/>
  <c r="E15" i="17"/>
  <c r="I15" i="17" s="1"/>
  <c r="E16" i="17"/>
  <c r="I16" i="17" s="1"/>
  <c r="E17" i="17"/>
  <c r="I17" i="17" s="1"/>
  <c r="E18" i="17"/>
  <c r="I18" i="17" s="1"/>
  <c r="E19" i="17"/>
  <c r="I19" i="17" s="1"/>
  <c r="E20" i="17"/>
  <c r="I20" i="17" s="1"/>
  <c r="E21" i="17"/>
  <c r="I21" i="17" s="1"/>
  <c r="E22" i="17"/>
  <c r="I22" i="17" s="1"/>
  <c r="E23" i="17"/>
  <c r="I23" i="17" s="1"/>
  <c r="E24" i="17"/>
  <c r="I24" i="17" s="1"/>
  <c r="E25" i="17"/>
  <c r="I25" i="17" s="1"/>
  <c r="E26" i="17"/>
  <c r="I26" i="17" s="1"/>
  <c r="E27" i="17"/>
  <c r="I27" i="17" s="1"/>
  <c r="E28" i="17"/>
  <c r="I28" i="17" s="1"/>
  <c r="E29" i="17"/>
  <c r="I29" i="17" s="1"/>
  <c r="E30" i="17"/>
  <c r="I30" i="17" s="1"/>
  <c r="E31" i="17"/>
  <c r="I31" i="17" s="1"/>
  <c r="E32" i="17"/>
  <c r="I32" i="17" s="1"/>
  <c r="E33" i="17"/>
  <c r="I33" i="17" s="1"/>
  <c r="E34" i="17"/>
  <c r="I34" i="17" s="1"/>
  <c r="E35" i="17"/>
  <c r="I35" i="17" s="1"/>
  <c r="E36" i="17"/>
  <c r="I36" i="17" s="1"/>
  <c r="E37" i="17"/>
  <c r="I37" i="17" s="1"/>
  <c r="E38" i="17"/>
  <c r="I38" i="17" s="1"/>
  <c r="E39" i="17"/>
  <c r="I39" i="17" s="1"/>
  <c r="E40" i="17"/>
  <c r="I40" i="17" s="1"/>
  <c r="E41" i="17"/>
  <c r="I41" i="17" s="1"/>
  <c r="E42" i="17"/>
  <c r="I42" i="17" s="1"/>
  <c r="E43" i="17"/>
  <c r="I43" i="17" s="1"/>
  <c r="E44" i="17"/>
  <c r="I44" i="17" s="1"/>
  <c r="E45" i="17"/>
  <c r="I45" i="17" s="1"/>
  <c r="E46" i="17"/>
  <c r="I46" i="17" s="1"/>
  <c r="E47" i="17"/>
  <c r="I47" i="17" s="1"/>
  <c r="E48" i="17"/>
  <c r="I48" i="17" s="1"/>
  <c r="E49" i="17"/>
  <c r="I49" i="17" s="1"/>
  <c r="E50" i="17"/>
  <c r="I50" i="17" s="1"/>
  <c r="E51" i="17"/>
  <c r="I51" i="17" s="1"/>
  <c r="E52" i="17"/>
  <c r="I52" i="17" s="1"/>
  <c r="E53" i="17"/>
  <c r="I53" i="17" s="1"/>
  <c r="E54" i="17"/>
  <c r="I54" i="17" s="1"/>
  <c r="E55" i="17"/>
  <c r="I55" i="17" s="1"/>
  <c r="E56" i="17"/>
  <c r="I56" i="17" s="1"/>
  <c r="E57" i="17"/>
  <c r="I57" i="17" s="1"/>
  <c r="E58" i="17"/>
  <c r="I58" i="17" s="1"/>
  <c r="E59" i="17"/>
  <c r="I59" i="17" s="1"/>
  <c r="E60" i="17"/>
  <c r="I60" i="17" s="1"/>
  <c r="E61" i="17"/>
  <c r="I61" i="17" s="1"/>
  <c r="E62" i="17"/>
  <c r="I62" i="17" s="1"/>
  <c r="E63" i="17"/>
  <c r="I63" i="17" s="1"/>
  <c r="E64" i="17"/>
  <c r="I64" i="17" s="1"/>
  <c r="E65" i="17"/>
  <c r="I65" i="17" s="1"/>
  <c r="E66" i="17"/>
  <c r="I66" i="17" s="1"/>
  <c r="E67" i="17"/>
  <c r="I67" i="17" s="1"/>
  <c r="E68" i="17"/>
  <c r="I68" i="17" s="1"/>
  <c r="E69" i="17"/>
  <c r="I69" i="17" s="1"/>
  <c r="E70" i="17"/>
  <c r="I70" i="17" s="1"/>
  <c r="E71" i="17"/>
  <c r="I71" i="17" s="1"/>
  <c r="E72" i="17"/>
  <c r="I72" i="17" s="1"/>
  <c r="E73" i="17"/>
  <c r="I73" i="17" s="1"/>
  <c r="E74" i="17"/>
  <c r="I74" i="17" s="1"/>
  <c r="E75" i="17"/>
  <c r="I75" i="17" s="1"/>
  <c r="E76" i="17"/>
  <c r="I76" i="17" s="1"/>
  <c r="E77" i="17"/>
  <c r="I77" i="17" s="1"/>
  <c r="E78" i="17"/>
  <c r="I78" i="17" s="1"/>
  <c r="E79" i="17"/>
  <c r="I79" i="17" s="1"/>
  <c r="E80" i="17"/>
  <c r="I80" i="17" s="1"/>
  <c r="E81" i="17"/>
  <c r="I81" i="17" s="1"/>
  <c r="E82" i="17"/>
  <c r="I82" i="17" s="1"/>
  <c r="E83" i="17"/>
  <c r="I83" i="17" s="1"/>
  <c r="E84" i="17"/>
  <c r="I84" i="17" s="1"/>
  <c r="E85" i="17"/>
  <c r="I85" i="17" s="1"/>
  <c r="E86" i="17"/>
  <c r="I86" i="17" s="1"/>
  <c r="E87" i="17"/>
  <c r="I87" i="17" s="1"/>
  <c r="E88" i="17"/>
  <c r="I88" i="17" s="1"/>
  <c r="E89" i="17"/>
  <c r="I89" i="17" s="1"/>
  <c r="E90" i="17"/>
  <c r="I90" i="17" s="1"/>
  <c r="E91" i="17"/>
  <c r="I91" i="17" s="1"/>
  <c r="E92" i="17"/>
  <c r="I92" i="17" s="1"/>
  <c r="E93" i="17"/>
  <c r="I93" i="17" s="1"/>
  <c r="E94" i="17"/>
  <c r="I94" i="17" s="1"/>
  <c r="E95" i="17"/>
  <c r="I95" i="17" s="1"/>
  <c r="E96" i="17"/>
  <c r="I96" i="17" s="1"/>
  <c r="E97" i="17"/>
  <c r="I97" i="17" s="1"/>
  <c r="E98" i="17"/>
  <c r="I98" i="17" s="1"/>
  <c r="E99" i="17"/>
  <c r="I99" i="17" s="1"/>
  <c r="E100" i="17"/>
  <c r="I100" i="17" s="1"/>
  <c r="E101" i="17"/>
  <c r="I101" i="17" s="1"/>
  <c r="E102" i="17"/>
  <c r="I102" i="17" s="1"/>
  <c r="E103" i="17"/>
  <c r="I103" i="17" s="1"/>
  <c r="E104" i="17"/>
  <c r="I104" i="17" s="1"/>
  <c r="E105" i="17"/>
  <c r="I105" i="17" s="1"/>
  <c r="E106" i="17"/>
  <c r="I106" i="17" s="1"/>
  <c r="E107" i="17"/>
  <c r="I107" i="17" s="1"/>
  <c r="E108" i="17"/>
  <c r="I108" i="17" s="1"/>
  <c r="E109" i="17"/>
  <c r="I109" i="17" s="1"/>
  <c r="E110" i="17"/>
  <c r="I110" i="17" s="1"/>
  <c r="E111" i="17"/>
  <c r="I111" i="17" s="1"/>
  <c r="E112" i="17"/>
  <c r="I112" i="17" s="1"/>
  <c r="E113" i="17"/>
  <c r="I113" i="17" s="1"/>
  <c r="E114" i="17"/>
  <c r="I114" i="17" s="1"/>
  <c r="E115" i="17"/>
  <c r="I115" i="17" s="1"/>
  <c r="E116" i="17"/>
  <c r="I116" i="17" s="1"/>
  <c r="E117" i="17"/>
  <c r="I117" i="17" s="1"/>
  <c r="E118" i="17"/>
  <c r="I118" i="17" s="1"/>
  <c r="E119" i="17"/>
  <c r="I119" i="17" s="1"/>
  <c r="E120" i="17"/>
  <c r="I120" i="17" s="1"/>
  <c r="E121" i="17"/>
  <c r="I121" i="17" s="1"/>
  <c r="E122" i="17"/>
  <c r="I122" i="17" s="1"/>
  <c r="E123" i="17"/>
  <c r="I123" i="17" s="1"/>
  <c r="E124" i="17"/>
  <c r="I124" i="17" s="1"/>
  <c r="E125" i="17"/>
  <c r="I125" i="17" s="1"/>
  <c r="E126" i="17"/>
  <c r="I126" i="17" s="1"/>
  <c r="E127" i="17"/>
  <c r="I127" i="17" s="1"/>
  <c r="E128" i="17"/>
  <c r="I128" i="17" s="1"/>
  <c r="E129" i="17"/>
  <c r="I129" i="17" s="1"/>
  <c r="E130" i="17"/>
  <c r="I130" i="17" s="1"/>
  <c r="E131" i="17"/>
  <c r="I131" i="17" s="1"/>
  <c r="E132" i="17"/>
  <c r="I132" i="17" s="1"/>
  <c r="E133" i="17"/>
  <c r="I133" i="17" s="1"/>
  <c r="E134" i="17"/>
  <c r="I134" i="17" s="1"/>
  <c r="E135" i="17"/>
  <c r="I135" i="17" s="1"/>
  <c r="E136" i="17"/>
  <c r="I136" i="17" s="1"/>
  <c r="E137" i="17"/>
  <c r="I137" i="17" s="1"/>
  <c r="E138" i="17"/>
  <c r="I138" i="17" s="1"/>
  <c r="E139" i="17"/>
  <c r="I139" i="17" s="1"/>
  <c r="E140" i="17"/>
  <c r="I140" i="17" s="1"/>
  <c r="E141" i="17"/>
  <c r="I141" i="17" s="1"/>
  <c r="E142" i="17"/>
  <c r="I142" i="17" s="1"/>
  <c r="E143" i="17"/>
  <c r="I143" i="17" s="1"/>
  <c r="E144" i="17"/>
  <c r="I144" i="17" s="1"/>
  <c r="E145" i="17"/>
  <c r="I145" i="17" s="1"/>
  <c r="E146" i="17"/>
  <c r="I146" i="17" s="1"/>
  <c r="E147" i="17"/>
  <c r="I147" i="17" s="1"/>
  <c r="E148" i="17"/>
  <c r="I148" i="17" s="1"/>
  <c r="E149" i="17"/>
  <c r="I149" i="17" s="1"/>
  <c r="E150" i="17"/>
  <c r="I150" i="17" s="1"/>
  <c r="E151" i="17"/>
  <c r="I151" i="17" s="1"/>
  <c r="E152" i="17"/>
  <c r="I152" i="17" s="1"/>
  <c r="E153" i="17"/>
  <c r="I153" i="17" s="1"/>
  <c r="E154" i="17"/>
  <c r="I154" i="17" s="1"/>
  <c r="E155" i="17"/>
  <c r="I155" i="17" s="1"/>
  <c r="E156" i="17"/>
  <c r="I156" i="17" s="1"/>
  <c r="E157" i="17"/>
  <c r="I157" i="17" s="1"/>
  <c r="E158" i="17"/>
  <c r="I158" i="17" s="1"/>
  <c r="E159" i="17"/>
  <c r="I159" i="17" s="1"/>
  <c r="E160" i="17"/>
  <c r="I160" i="17" s="1"/>
  <c r="E161" i="17"/>
  <c r="I161" i="17" s="1"/>
  <c r="E162" i="17"/>
  <c r="I162" i="17" s="1"/>
  <c r="E163" i="17"/>
  <c r="I163" i="17" s="1"/>
  <c r="E164" i="17"/>
  <c r="I164" i="17" s="1"/>
  <c r="E165" i="17"/>
  <c r="I165" i="17" s="1"/>
  <c r="E166" i="17"/>
  <c r="I166" i="17" s="1"/>
  <c r="E167" i="17"/>
  <c r="I167" i="17" s="1"/>
  <c r="E168" i="17"/>
  <c r="I168" i="17" s="1"/>
  <c r="E169" i="17"/>
  <c r="I169" i="17" s="1"/>
  <c r="E170" i="17"/>
  <c r="I170" i="17" s="1"/>
  <c r="E171" i="17"/>
  <c r="I171" i="17" s="1"/>
  <c r="E172" i="17"/>
  <c r="I172" i="17" s="1"/>
  <c r="E173" i="17"/>
  <c r="I173" i="17" s="1"/>
  <c r="E174" i="17"/>
  <c r="I174" i="17" s="1"/>
  <c r="E175" i="17"/>
  <c r="I175" i="17" s="1"/>
  <c r="E176" i="17"/>
  <c r="I176" i="17" s="1"/>
  <c r="E177" i="17"/>
  <c r="I177" i="17" s="1"/>
  <c r="E178" i="17"/>
  <c r="I178" i="17" s="1"/>
  <c r="E179" i="17"/>
  <c r="I179" i="17" s="1"/>
  <c r="E180" i="17"/>
  <c r="I180" i="17" s="1"/>
  <c r="E181" i="17"/>
  <c r="I181" i="17" s="1"/>
  <c r="E182" i="17"/>
  <c r="I182" i="17" s="1"/>
  <c r="E183" i="17"/>
  <c r="I183" i="17" s="1"/>
  <c r="E184" i="17"/>
  <c r="I184" i="17" s="1"/>
  <c r="E185" i="17"/>
  <c r="I185" i="17" s="1"/>
  <c r="E186" i="17"/>
  <c r="I186" i="17" s="1"/>
  <c r="E187" i="17"/>
  <c r="I187" i="17" s="1"/>
  <c r="E188" i="17"/>
  <c r="I188" i="17" s="1"/>
  <c r="E189" i="17"/>
  <c r="I189" i="17" s="1"/>
  <c r="E190" i="17"/>
  <c r="I190" i="17" s="1"/>
  <c r="E191" i="17"/>
  <c r="I191" i="17" s="1"/>
  <c r="E192" i="17"/>
  <c r="I192" i="17" s="1"/>
  <c r="E193" i="17"/>
  <c r="I193" i="17" s="1"/>
  <c r="E194" i="17"/>
  <c r="I194" i="17" s="1"/>
  <c r="E195" i="17"/>
  <c r="I195" i="17" s="1"/>
  <c r="E196" i="17"/>
  <c r="I196" i="17" s="1"/>
  <c r="E197" i="17"/>
  <c r="I197" i="17" s="1"/>
  <c r="E198" i="17"/>
  <c r="I198" i="17" s="1"/>
  <c r="E199" i="17"/>
  <c r="I199" i="17" s="1"/>
  <c r="E200" i="17"/>
  <c r="I200" i="17" s="1"/>
  <c r="E201" i="17"/>
  <c r="I201" i="17" s="1"/>
  <c r="E202" i="17"/>
  <c r="I202" i="17" s="1"/>
  <c r="E203" i="17"/>
  <c r="I203" i="17" s="1"/>
  <c r="E204" i="17"/>
  <c r="I204" i="17" s="1"/>
  <c r="E205" i="17"/>
  <c r="I205" i="17" s="1"/>
  <c r="E206" i="17"/>
  <c r="I206" i="17" s="1"/>
  <c r="E207" i="17"/>
  <c r="I207" i="17" s="1"/>
  <c r="E208" i="17"/>
  <c r="I208" i="17" s="1"/>
  <c r="E209" i="17"/>
  <c r="I209" i="17" s="1"/>
  <c r="E210" i="17"/>
  <c r="I210" i="17" s="1"/>
  <c r="E211" i="17"/>
  <c r="I211" i="17" s="1"/>
  <c r="E212" i="17"/>
  <c r="I212" i="17" s="1"/>
  <c r="E213" i="17"/>
  <c r="I213" i="17" s="1"/>
  <c r="E214" i="17"/>
  <c r="I214" i="17" s="1"/>
  <c r="E215" i="17"/>
  <c r="I215" i="17" s="1"/>
  <c r="E216" i="17"/>
  <c r="I216" i="17" s="1"/>
  <c r="E217" i="17"/>
  <c r="I217" i="17" s="1"/>
  <c r="E218" i="17"/>
  <c r="I218" i="17" s="1"/>
  <c r="E219" i="17"/>
  <c r="I219" i="17" s="1"/>
  <c r="E220" i="17"/>
  <c r="I220" i="17" s="1"/>
  <c r="E221" i="17"/>
  <c r="I221" i="17" s="1"/>
  <c r="E222" i="17"/>
  <c r="I222" i="17" s="1"/>
  <c r="E223" i="17"/>
  <c r="I223" i="17" s="1"/>
  <c r="E224" i="17"/>
  <c r="I224" i="17" s="1"/>
  <c r="E225" i="17"/>
  <c r="I225" i="17" s="1"/>
  <c r="E226" i="17"/>
  <c r="I226" i="17" s="1"/>
  <c r="E227" i="17"/>
  <c r="I227" i="17" s="1"/>
  <c r="E228" i="17"/>
  <c r="I228" i="17" s="1"/>
  <c r="E229" i="17"/>
  <c r="I229" i="17" s="1"/>
  <c r="E230" i="17"/>
  <c r="I230" i="17" s="1"/>
  <c r="E231" i="17"/>
  <c r="I231" i="17" s="1"/>
  <c r="E232" i="17"/>
  <c r="I232" i="17" s="1"/>
  <c r="E233" i="17"/>
  <c r="I233" i="17" s="1"/>
  <c r="E234" i="17"/>
  <c r="I234" i="17" s="1"/>
  <c r="E235" i="17"/>
  <c r="I235" i="17" s="1"/>
  <c r="E236" i="17"/>
  <c r="I236" i="17" s="1"/>
  <c r="E237" i="17"/>
  <c r="I237" i="17" s="1"/>
  <c r="E238" i="17"/>
  <c r="I238" i="17" s="1"/>
  <c r="E239" i="17"/>
  <c r="I239" i="17" s="1"/>
  <c r="E240" i="17"/>
  <c r="I240" i="17" s="1"/>
  <c r="E241" i="17"/>
  <c r="I241" i="17" s="1"/>
  <c r="E242" i="17"/>
  <c r="I242" i="17" s="1"/>
  <c r="E243" i="17"/>
  <c r="I243" i="17" s="1"/>
  <c r="E244" i="17"/>
  <c r="I244" i="17" s="1"/>
  <c r="E245" i="17"/>
  <c r="I245" i="17" s="1"/>
  <c r="E246" i="17"/>
  <c r="I246" i="17" s="1"/>
  <c r="E247" i="17"/>
  <c r="I247" i="17" s="1"/>
  <c r="E248" i="17"/>
  <c r="I248" i="17" s="1"/>
  <c r="E249" i="17"/>
  <c r="I249" i="17" s="1"/>
  <c r="E250" i="17"/>
  <c r="I250" i="17" s="1"/>
  <c r="E251" i="17"/>
  <c r="I251" i="17" s="1"/>
  <c r="E252" i="17"/>
  <c r="I252" i="17" s="1"/>
  <c r="E253" i="17"/>
  <c r="I253" i="17" s="1"/>
  <c r="E254" i="17"/>
  <c r="I254" i="17" s="1"/>
  <c r="E255" i="17"/>
  <c r="I255" i="17" s="1"/>
  <c r="E256" i="17"/>
  <c r="I256" i="17" s="1"/>
  <c r="E257" i="17"/>
  <c r="I257" i="17" s="1"/>
  <c r="E258" i="17"/>
  <c r="I258" i="17" s="1"/>
  <c r="E259" i="17"/>
  <c r="I259" i="17" s="1"/>
  <c r="E260" i="17"/>
  <c r="I260" i="17" s="1"/>
  <c r="E261" i="17"/>
  <c r="I261" i="17" s="1"/>
  <c r="E262" i="17"/>
  <c r="I262" i="17" s="1"/>
  <c r="E263" i="17"/>
  <c r="I263" i="17" s="1"/>
  <c r="E264" i="17"/>
  <c r="I264" i="17" s="1"/>
  <c r="E265" i="17"/>
  <c r="I265" i="17" s="1"/>
  <c r="E266" i="17"/>
  <c r="I266" i="17" s="1"/>
  <c r="E267" i="17"/>
  <c r="I267" i="17" s="1"/>
  <c r="E268" i="17"/>
  <c r="I268" i="17" s="1"/>
  <c r="E269" i="17"/>
  <c r="I269" i="17" s="1"/>
  <c r="E270" i="17"/>
  <c r="I270" i="17" s="1"/>
  <c r="E271" i="17"/>
  <c r="I271" i="17" s="1"/>
  <c r="E272" i="17"/>
  <c r="I272" i="17" s="1"/>
  <c r="E273" i="17"/>
  <c r="I273" i="17" s="1"/>
  <c r="E274" i="17"/>
  <c r="I274" i="17" s="1"/>
  <c r="E275" i="17"/>
  <c r="I275" i="17" s="1"/>
  <c r="E276" i="17"/>
  <c r="I276" i="17" s="1"/>
  <c r="E277" i="17"/>
  <c r="I277" i="17" s="1"/>
  <c r="E278" i="17"/>
  <c r="I278" i="17" s="1"/>
  <c r="E279" i="17"/>
  <c r="I279" i="17" s="1"/>
  <c r="E280" i="17"/>
  <c r="I280" i="17" s="1"/>
  <c r="E281" i="17"/>
  <c r="I281" i="17" s="1"/>
  <c r="E282" i="17"/>
  <c r="I282" i="17" s="1"/>
  <c r="E283" i="17"/>
  <c r="I283" i="17" s="1"/>
  <c r="E284" i="17"/>
  <c r="I284" i="17" s="1"/>
  <c r="E285" i="17"/>
  <c r="I285" i="17" s="1"/>
  <c r="E286" i="17"/>
  <c r="I286" i="17" s="1"/>
  <c r="E287" i="17"/>
  <c r="I287" i="17" s="1"/>
  <c r="E288" i="17"/>
  <c r="I288" i="17" s="1"/>
  <c r="E289" i="17"/>
  <c r="I289" i="17" s="1"/>
  <c r="E290" i="17"/>
  <c r="I290" i="17" s="1"/>
  <c r="E291" i="17"/>
  <c r="I291" i="17" s="1"/>
  <c r="E292" i="17"/>
  <c r="I292" i="17" s="1"/>
  <c r="E293" i="17"/>
  <c r="I293" i="17" s="1"/>
  <c r="E294" i="17"/>
  <c r="I294" i="17" s="1"/>
  <c r="E295" i="17"/>
  <c r="I295" i="17" s="1"/>
  <c r="E296" i="17"/>
  <c r="I296" i="17" s="1"/>
  <c r="E297" i="17"/>
  <c r="I297" i="17" s="1"/>
  <c r="E298" i="17"/>
  <c r="I298" i="17" s="1"/>
  <c r="E299" i="17"/>
  <c r="I299" i="17" s="1"/>
  <c r="E300" i="17"/>
  <c r="I300" i="17" s="1"/>
  <c r="E301" i="17"/>
  <c r="I301" i="17" s="1"/>
  <c r="E302" i="17"/>
  <c r="I302" i="17" s="1"/>
  <c r="E303" i="17"/>
  <c r="I303" i="17" s="1"/>
  <c r="E304" i="17"/>
  <c r="I304" i="17" s="1"/>
  <c r="E305" i="17"/>
  <c r="I305" i="17" s="1"/>
  <c r="E306" i="17"/>
  <c r="I306" i="17" s="1"/>
  <c r="E307" i="17"/>
  <c r="I307" i="17" s="1"/>
  <c r="E308" i="17"/>
  <c r="I308" i="17" s="1"/>
  <c r="E309" i="17"/>
  <c r="I309" i="17" s="1"/>
  <c r="E310" i="17"/>
  <c r="I310" i="17" s="1"/>
  <c r="E311" i="17"/>
  <c r="I311" i="17" s="1"/>
  <c r="E312" i="17"/>
  <c r="I312" i="17" s="1"/>
  <c r="E313" i="17"/>
  <c r="I313" i="17" s="1"/>
  <c r="E314" i="17"/>
  <c r="I314" i="17" s="1"/>
  <c r="E315" i="17"/>
  <c r="I315" i="17" s="1"/>
  <c r="E316" i="17"/>
  <c r="I316" i="17" s="1"/>
  <c r="E317" i="17"/>
  <c r="I317" i="17" s="1"/>
  <c r="E318" i="17"/>
  <c r="I318" i="17" s="1"/>
  <c r="E319" i="17"/>
  <c r="I319" i="17" s="1"/>
  <c r="E320" i="17"/>
  <c r="I320" i="17" s="1"/>
  <c r="E321" i="17"/>
  <c r="I321" i="17" s="1"/>
  <c r="E322" i="17"/>
  <c r="I322" i="17" s="1"/>
  <c r="E323" i="17"/>
  <c r="I323" i="17" s="1"/>
  <c r="E324" i="17"/>
  <c r="I324" i="17" s="1"/>
  <c r="E325" i="17"/>
  <c r="I325" i="17" s="1"/>
  <c r="E326" i="17"/>
  <c r="I326" i="17" s="1"/>
  <c r="E327" i="17"/>
  <c r="I327" i="17" s="1"/>
  <c r="E328" i="17"/>
  <c r="I328" i="17" s="1"/>
  <c r="E329" i="17"/>
  <c r="I329" i="17" s="1"/>
  <c r="E330" i="17"/>
  <c r="I330" i="17" s="1"/>
  <c r="E331" i="17"/>
  <c r="I331" i="17" s="1"/>
  <c r="E332" i="17"/>
  <c r="I332" i="17" s="1"/>
  <c r="E333" i="17"/>
  <c r="I333" i="17" s="1"/>
  <c r="E334" i="17"/>
  <c r="I334" i="17" s="1"/>
  <c r="E335" i="17"/>
  <c r="I335" i="17" s="1"/>
  <c r="E336" i="17"/>
  <c r="I336" i="17" s="1"/>
  <c r="E337" i="17"/>
  <c r="I337" i="17" s="1"/>
  <c r="E338" i="17"/>
  <c r="I338" i="17" s="1"/>
  <c r="E339" i="17"/>
  <c r="I339" i="17" s="1"/>
  <c r="E340" i="17"/>
  <c r="I340" i="17" s="1"/>
  <c r="E341" i="17"/>
  <c r="I341" i="17" s="1"/>
  <c r="E342" i="17"/>
  <c r="I342" i="17" s="1"/>
  <c r="E343" i="17"/>
  <c r="I343" i="17" s="1"/>
  <c r="E344" i="17"/>
  <c r="I344" i="17" s="1"/>
  <c r="E345" i="17"/>
  <c r="I345" i="17" s="1"/>
  <c r="E346" i="17"/>
  <c r="I346" i="17" s="1"/>
  <c r="E347" i="17"/>
  <c r="I347" i="17" s="1"/>
  <c r="E348" i="17"/>
  <c r="I348" i="17" s="1"/>
  <c r="E349" i="17"/>
  <c r="I349" i="17" s="1"/>
  <c r="E350" i="17"/>
  <c r="E351" i="17"/>
  <c r="I351" i="17" s="1"/>
  <c r="E352" i="17"/>
  <c r="I352" i="17" s="1"/>
  <c r="E353" i="17"/>
  <c r="I353" i="17" s="1"/>
  <c r="E354" i="17"/>
  <c r="I354" i="17" s="1"/>
  <c r="E355" i="17"/>
  <c r="I355" i="17" s="1"/>
  <c r="E356" i="17"/>
  <c r="I356" i="17" s="1"/>
  <c r="E357" i="17"/>
  <c r="I357" i="17" s="1"/>
  <c r="E358" i="17"/>
  <c r="I358" i="17" s="1"/>
  <c r="E359" i="17"/>
  <c r="I359" i="17" s="1"/>
  <c r="E360" i="17"/>
  <c r="I360" i="17" s="1"/>
  <c r="E361" i="17"/>
  <c r="I361" i="17" s="1"/>
  <c r="E362" i="17"/>
  <c r="I362" i="17" s="1"/>
  <c r="E363" i="17"/>
  <c r="I363" i="17" s="1"/>
  <c r="E364" i="17"/>
  <c r="I364" i="17" s="1"/>
  <c r="E365" i="17"/>
  <c r="I365" i="17" s="1"/>
  <c r="E366" i="17"/>
  <c r="I366" i="17" s="1"/>
  <c r="E367" i="17"/>
  <c r="I367" i="17" s="1"/>
  <c r="E368" i="17"/>
  <c r="I368" i="17" s="1"/>
  <c r="E369" i="17"/>
  <c r="I369" i="17" s="1"/>
  <c r="E370" i="17"/>
  <c r="I370" i="17" s="1"/>
  <c r="E371" i="17"/>
  <c r="I371" i="17" s="1"/>
  <c r="E372" i="17"/>
  <c r="I372" i="17" s="1"/>
  <c r="E373" i="17"/>
  <c r="I373" i="17" s="1"/>
  <c r="E374" i="17"/>
  <c r="I374" i="17" s="1"/>
  <c r="E375" i="17"/>
  <c r="I375" i="17" s="1"/>
  <c r="E376" i="17"/>
  <c r="I376" i="17" s="1"/>
  <c r="E377" i="17"/>
  <c r="I377" i="17" s="1"/>
  <c r="E378" i="17"/>
  <c r="I378" i="17" s="1"/>
  <c r="E379" i="17"/>
  <c r="I379" i="17" s="1"/>
  <c r="E380" i="17"/>
  <c r="I380" i="17" s="1"/>
  <c r="E381" i="17"/>
  <c r="I381" i="17" s="1"/>
  <c r="E382" i="17"/>
  <c r="I382" i="17" s="1"/>
  <c r="E383" i="17"/>
  <c r="I383" i="17" s="1"/>
  <c r="E384" i="17"/>
  <c r="I384" i="17" s="1"/>
  <c r="E385" i="17"/>
  <c r="I385" i="17" s="1"/>
  <c r="E386" i="17"/>
  <c r="I386" i="17" s="1"/>
  <c r="E387" i="17"/>
  <c r="I387" i="17" s="1"/>
  <c r="E388" i="17"/>
  <c r="I388" i="17" s="1"/>
  <c r="E389" i="17"/>
  <c r="I389" i="17" s="1"/>
  <c r="E390" i="17"/>
  <c r="I390" i="17" s="1"/>
  <c r="E391" i="17"/>
  <c r="I391" i="17" s="1"/>
  <c r="E392" i="17"/>
  <c r="I392" i="17" s="1"/>
  <c r="E393" i="17"/>
  <c r="I393" i="17" s="1"/>
  <c r="E394" i="17"/>
  <c r="I394" i="17" s="1"/>
  <c r="E395" i="17"/>
  <c r="I395" i="17" s="1"/>
  <c r="E396" i="17"/>
  <c r="I396" i="17" s="1"/>
  <c r="E397" i="17"/>
  <c r="I397" i="17" s="1"/>
  <c r="E398" i="17"/>
  <c r="I398" i="17" s="1"/>
  <c r="E399" i="17"/>
  <c r="I399" i="17" s="1"/>
  <c r="E400" i="17"/>
  <c r="I400" i="17" s="1"/>
  <c r="E401" i="17"/>
  <c r="I401" i="17" s="1"/>
  <c r="E402" i="17"/>
  <c r="I402" i="17" s="1"/>
  <c r="E403" i="17"/>
  <c r="I403" i="17" s="1"/>
  <c r="E404" i="17"/>
  <c r="I404" i="17" s="1"/>
  <c r="E405" i="17"/>
  <c r="I405" i="17" s="1"/>
  <c r="E406" i="17"/>
  <c r="I406" i="17" s="1"/>
  <c r="E407" i="17"/>
  <c r="I407" i="17" s="1"/>
  <c r="E408" i="17"/>
  <c r="I408" i="17" s="1"/>
  <c r="E409" i="17"/>
  <c r="I409" i="17" s="1"/>
  <c r="E410" i="17"/>
  <c r="I410" i="17" s="1"/>
  <c r="E411" i="17"/>
  <c r="I411" i="17" s="1"/>
  <c r="E412" i="17"/>
  <c r="I412" i="17" s="1"/>
  <c r="E413" i="17"/>
  <c r="I413" i="17" s="1"/>
  <c r="E414" i="17"/>
  <c r="I414" i="17" s="1"/>
  <c r="E415" i="17"/>
  <c r="I415" i="17" s="1"/>
  <c r="E416" i="17"/>
  <c r="I416" i="17" s="1"/>
  <c r="E417" i="17"/>
  <c r="I417" i="17" s="1"/>
  <c r="E418" i="17"/>
  <c r="I418" i="17" s="1"/>
  <c r="E419" i="17"/>
  <c r="I419" i="17" s="1"/>
  <c r="E420" i="17"/>
  <c r="I420" i="17" s="1"/>
  <c r="E421" i="17"/>
  <c r="I421" i="17" s="1"/>
  <c r="E422" i="17"/>
  <c r="I422" i="17" s="1"/>
  <c r="E423" i="17"/>
  <c r="I423" i="17" s="1"/>
  <c r="E424" i="17"/>
  <c r="I424" i="17" s="1"/>
  <c r="E425" i="17"/>
  <c r="I425" i="17" s="1"/>
  <c r="E426" i="17"/>
  <c r="I426" i="17" s="1"/>
  <c r="E427" i="17"/>
  <c r="I427" i="17" s="1"/>
  <c r="E428" i="17"/>
  <c r="I428" i="17" s="1"/>
  <c r="E429" i="17"/>
  <c r="I429" i="17" s="1"/>
  <c r="E430" i="17"/>
  <c r="I430" i="17" s="1"/>
  <c r="E431" i="17"/>
  <c r="I431" i="17" s="1"/>
  <c r="E432" i="17"/>
  <c r="I432" i="17" s="1"/>
  <c r="E433" i="17"/>
  <c r="I433" i="17" s="1"/>
  <c r="E434" i="17"/>
  <c r="I434" i="17" s="1"/>
  <c r="E435" i="17"/>
  <c r="I435" i="17" s="1"/>
  <c r="E436" i="17"/>
  <c r="I436" i="17" s="1"/>
  <c r="E437" i="17"/>
  <c r="I437" i="17" s="1"/>
  <c r="E438" i="17"/>
  <c r="I438" i="17" s="1"/>
  <c r="E439" i="17"/>
  <c r="I439" i="17" s="1"/>
  <c r="E440" i="17"/>
  <c r="I440" i="17" s="1"/>
  <c r="E441" i="17"/>
  <c r="I441" i="17" s="1"/>
  <c r="E442" i="17"/>
  <c r="I442" i="17" s="1"/>
  <c r="E443" i="17"/>
  <c r="I443" i="17" s="1"/>
  <c r="E444" i="17"/>
  <c r="I444" i="17" s="1"/>
  <c r="E445" i="17"/>
  <c r="I445" i="17" s="1"/>
  <c r="E446" i="17"/>
  <c r="I446" i="17" s="1"/>
  <c r="E447" i="17"/>
  <c r="I447" i="17" s="1"/>
  <c r="E448" i="17"/>
  <c r="I448" i="17" s="1"/>
  <c r="E449" i="17"/>
  <c r="I449" i="17" s="1"/>
  <c r="E450" i="17"/>
  <c r="I450" i="17" s="1"/>
  <c r="E451" i="17"/>
  <c r="I451" i="17" s="1"/>
  <c r="E452" i="17"/>
  <c r="I452" i="17" s="1"/>
  <c r="E453" i="17"/>
  <c r="I453" i="17" s="1"/>
  <c r="E454" i="17"/>
  <c r="I454" i="17" s="1"/>
  <c r="E455" i="17"/>
  <c r="I455" i="17" s="1"/>
  <c r="E456" i="17"/>
  <c r="I456" i="17" s="1"/>
  <c r="E457" i="17"/>
  <c r="I457" i="17" s="1"/>
  <c r="E458" i="17"/>
  <c r="I458" i="17" s="1"/>
  <c r="E459" i="17"/>
  <c r="I459" i="17" s="1"/>
  <c r="E460" i="17"/>
  <c r="I460" i="17" s="1"/>
  <c r="E461" i="17"/>
  <c r="I461" i="17" s="1"/>
  <c r="E462" i="17"/>
  <c r="I462" i="17" s="1"/>
  <c r="E463" i="17"/>
  <c r="I463" i="17" s="1"/>
  <c r="E464" i="17"/>
  <c r="I464" i="17" s="1"/>
  <c r="E465" i="17"/>
  <c r="I465" i="17" s="1"/>
  <c r="E466" i="17"/>
  <c r="I466" i="17" s="1"/>
  <c r="E467" i="17"/>
  <c r="I467" i="17" s="1"/>
  <c r="E468" i="17"/>
  <c r="I468" i="17" s="1"/>
  <c r="E469" i="17"/>
  <c r="I469" i="17" s="1"/>
  <c r="E470" i="17"/>
  <c r="I470" i="17" s="1"/>
  <c r="E471" i="17"/>
  <c r="I471" i="17" s="1"/>
  <c r="E472" i="17"/>
  <c r="I472" i="17" s="1"/>
  <c r="E473" i="17"/>
  <c r="I473" i="17" s="1"/>
  <c r="E474" i="17"/>
  <c r="I474" i="17" s="1"/>
  <c r="E475" i="17"/>
  <c r="I475" i="17" s="1"/>
  <c r="E476" i="17"/>
  <c r="I476" i="17" s="1"/>
  <c r="E477" i="17"/>
  <c r="I477" i="17" s="1"/>
  <c r="E478" i="17"/>
  <c r="I478" i="17" s="1"/>
  <c r="E479" i="17"/>
  <c r="I479" i="17" s="1"/>
  <c r="E480" i="17"/>
  <c r="I480" i="17" s="1"/>
  <c r="E481" i="17"/>
  <c r="I481" i="17" s="1"/>
  <c r="E482" i="17"/>
  <c r="I482" i="17" s="1"/>
  <c r="E483" i="17"/>
  <c r="I483" i="17" s="1"/>
  <c r="E484" i="17"/>
  <c r="I484" i="17" s="1"/>
  <c r="E485" i="17"/>
  <c r="I485" i="17" s="1"/>
  <c r="E486" i="17"/>
  <c r="I486" i="17" s="1"/>
  <c r="E487" i="17"/>
  <c r="I487" i="17" s="1"/>
  <c r="E488" i="17"/>
  <c r="I488" i="17" s="1"/>
  <c r="E489" i="17"/>
  <c r="I489" i="17" s="1"/>
  <c r="E490" i="17"/>
  <c r="I490" i="17" s="1"/>
  <c r="E491" i="17"/>
  <c r="I491" i="17" s="1"/>
  <c r="E492" i="17"/>
  <c r="I492" i="17" s="1"/>
  <c r="E493" i="17"/>
  <c r="I493" i="17" s="1"/>
  <c r="E494" i="17"/>
  <c r="I494" i="17" s="1"/>
  <c r="E495" i="17"/>
  <c r="I495" i="17" s="1"/>
  <c r="E496" i="17"/>
  <c r="I496" i="17" s="1"/>
  <c r="E497" i="17"/>
  <c r="I497" i="17" s="1"/>
  <c r="E498" i="17"/>
  <c r="I498" i="17" s="1"/>
  <c r="E499" i="17"/>
  <c r="I499" i="17" s="1"/>
  <c r="E500" i="17"/>
  <c r="I500" i="17" s="1"/>
  <c r="E501" i="17"/>
  <c r="I501" i="17" s="1"/>
  <c r="E502" i="17"/>
  <c r="I502" i="17" s="1"/>
  <c r="E503" i="17"/>
  <c r="I503" i="17" s="1"/>
  <c r="E504" i="17"/>
  <c r="E505" i="17"/>
  <c r="E506" i="17"/>
  <c r="E507" i="17"/>
  <c r="E508" i="17"/>
  <c r="E509" i="17"/>
  <c r="E510" i="17"/>
  <c r="E511" i="17"/>
  <c r="E512" i="17"/>
  <c r="E513" i="17"/>
  <c r="E514" i="17"/>
  <c r="E515" i="17"/>
  <c r="E516" i="17"/>
  <c r="E517" i="17"/>
  <c r="E518" i="17"/>
  <c r="E519" i="17"/>
  <c r="E520" i="17"/>
  <c r="E521" i="17"/>
  <c r="E522" i="17"/>
  <c r="E523" i="17"/>
  <c r="E524" i="17"/>
  <c r="E525" i="17"/>
  <c r="E526" i="17"/>
  <c r="E527" i="17"/>
  <c r="E528" i="17"/>
  <c r="E529" i="17"/>
  <c r="E530" i="17"/>
  <c r="E531" i="17"/>
  <c r="E532" i="17"/>
  <c r="E533" i="17"/>
  <c r="E534" i="17"/>
  <c r="E535" i="17"/>
  <c r="E536" i="17"/>
  <c r="E537" i="17"/>
  <c r="E538" i="17"/>
  <c r="E539" i="17"/>
  <c r="E540" i="17"/>
  <c r="E541" i="17"/>
  <c r="E542" i="17"/>
  <c r="E543" i="17"/>
  <c r="E544" i="17"/>
  <c r="E545" i="17"/>
  <c r="E546" i="17"/>
  <c r="E547" i="17"/>
  <c r="E548" i="17"/>
  <c r="E549" i="17"/>
  <c r="E550" i="17"/>
  <c r="E551" i="17"/>
  <c r="E552" i="17"/>
  <c r="E553" i="17"/>
  <c r="E554" i="17"/>
  <c r="E555" i="17"/>
  <c r="E556" i="17"/>
  <c r="E557" i="17"/>
  <c r="E558" i="17"/>
  <c r="E559" i="17"/>
  <c r="E560" i="17"/>
  <c r="E561" i="17"/>
  <c r="E562" i="17"/>
  <c r="E563" i="17"/>
  <c r="E564" i="17"/>
  <c r="E565" i="17"/>
  <c r="E566" i="17"/>
  <c r="E567" i="17"/>
  <c r="E568" i="17"/>
  <c r="E569" i="17"/>
  <c r="E570" i="17"/>
  <c r="E571" i="17"/>
  <c r="E572" i="17"/>
  <c r="E573" i="17"/>
  <c r="E574" i="17"/>
  <c r="E575" i="17"/>
  <c r="E576" i="17"/>
  <c r="E577" i="17"/>
  <c r="E578" i="17"/>
  <c r="E579" i="17"/>
  <c r="E580" i="17"/>
  <c r="E581" i="17"/>
  <c r="E582" i="17"/>
  <c r="E583" i="17"/>
  <c r="E584" i="17"/>
  <c r="E585" i="17"/>
  <c r="E586" i="17"/>
  <c r="E587" i="17"/>
  <c r="E588" i="17"/>
  <c r="E589" i="17"/>
  <c r="E590" i="17"/>
  <c r="E591" i="17"/>
  <c r="E592" i="17"/>
  <c r="E593" i="17"/>
  <c r="E594" i="17"/>
  <c r="E595" i="17"/>
  <c r="E596" i="17"/>
  <c r="E597" i="17"/>
  <c r="E598" i="17"/>
  <c r="E599" i="17"/>
  <c r="E600" i="17"/>
  <c r="E601" i="17"/>
  <c r="E602" i="17"/>
  <c r="E603" i="17"/>
  <c r="E604" i="17"/>
  <c r="E605" i="17"/>
  <c r="E606" i="17"/>
  <c r="E607" i="17"/>
  <c r="E608" i="17"/>
  <c r="E609" i="17"/>
  <c r="E610" i="17"/>
  <c r="E611" i="17"/>
  <c r="E612" i="17"/>
  <c r="E613" i="17"/>
  <c r="E614" i="17"/>
  <c r="E615" i="17"/>
  <c r="E616" i="17"/>
  <c r="E617" i="17"/>
  <c r="E618" i="17"/>
  <c r="E619" i="17"/>
  <c r="E620" i="17"/>
  <c r="E621" i="17"/>
  <c r="E622" i="17"/>
  <c r="E623" i="17"/>
  <c r="E624" i="17"/>
  <c r="E625" i="17"/>
  <c r="E626" i="17"/>
  <c r="E627" i="17"/>
  <c r="E628" i="17"/>
  <c r="E629" i="17"/>
  <c r="E630" i="17"/>
  <c r="E631" i="17"/>
  <c r="E632" i="17"/>
  <c r="E633" i="17"/>
  <c r="E634" i="17"/>
  <c r="E635" i="17"/>
  <c r="E636" i="17"/>
  <c r="E637" i="17"/>
  <c r="E638" i="17"/>
  <c r="E639" i="17"/>
  <c r="E640" i="17"/>
  <c r="E641" i="17"/>
  <c r="E642" i="17"/>
  <c r="E643" i="17"/>
  <c r="E644" i="17"/>
  <c r="E645" i="17"/>
  <c r="E646" i="17"/>
  <c r="E647" i="17"/>
  <c r="E648" i="17"/>
  <c r="E649" i="17"/>
  <c r="E650" i="17"/>
  <c r="E651" i="17"/>
  <c r="E652" i="17"/>
  <c r="E653" i="17"/>
  <c r="E654" i="17"/>
  <c r="E655" i="17"/>
  <c r="E656" i="17"/>
  <c r="E657" i="17"/>
  <c r="E658" i="17"/>
  <c r="E659" i="17"/>
  <c r="E660" i="17"/>
  <c r="E661" i="17"/>
  <c r="E662" i="17"/>
  <c r="E663" i="17"/>
  <c r="E664" i="17"/>
  <c r="E665" i="17"/>
  <c r="E666" i="17"/>
  <c r="E667" i="17"/>
  <c r="E668" i="17"/>
  <c r="E669" i="17"/>
  <c r="E670" i="17"/>
  <c r="E671" i="17"/>
  <c r="E672" i="17"/>
  <c r="E673" i="17"/>
  <c r="E674" i="17"/>
  <c r="E675" i="17"/>
  <c r="E676" i="17"/>
  <c r="E677" i="17"/>
  <c r="E678" i="17"/>
  <c r="E679" i="17"/>
  <c r="E680" i="17"/>
  <c r="E681" i="17"/>
  <c r="E682" i="17"/>
  <c r="E683" i="17"/>
  <c r="E684" i="17"/>
  <c r="E685" i="17"/>
  <c r="E686" i="17"/>
  <c r="E687" i="17"/>
  <c r="E688" i="17"/>
  <c r="E689" i="17"/>
  <c r="E690" i="17"/>
  <c r="E691" i="17"/>
  <c r="E692" i="17"/>
  <c r="E693" i="17"/>
  <c r="E694" i="17"/>
  <c r="E695" i="17"/>
  <c r="E696" i="17"/>
  <c r="E697" i="17"/>
  <c r="E698" i="17"/>
  <c r="E699" i="17"/>
  <c r="E700" i="17"/>
  <c r="E701" i="17"/>
  <c r="E702" i="17"/>
  <c r="E703" i="17"/>
  <c r="E704" i="17"/>
  <c r="E705" i="17"/>
  <c r="E706" i="17"/>
  <c r="E707" i="17"/>
  <c r="E708" i="17"/>
  <c r="E709" i="17"/>
  <c r="E710" i="17"/>
  <c r="E711" i="17"/>
  <c r="E712" i="17"/>
  <c r="E713" i="17"/>
  <c r="E714" i="17"/>
  <c r="E715" i="17"/>
  <c r="E716" i="17"/>
  <c r="E717" i="17"/>
  <c r="E718" i="17"/>
  <c r="E719" i="17"/>
  <c r="E720" i="17"/>
  <c r="E721" i="17"/>
  <c r="E722" i="17"/>
  <c r="E723" i="17"/>
  <c r="E724" i="17"/>
  <c r="E725" i="17"/>
  <c r="E726" i="17"/>
  <c r="E727" i="17"/>
  <c r="E728" i="17"/>
  <c r="E729" i="17"/>
  <c r="E730" i="17"/>
  <c r="E731" i="17"/>
  <c r="E732" i="17"/>
  <c r="E733" i="17"/>
  <c r="E734" i="17"/>
  <c r="E735" i="17"/>
  <c r="E736" i="17"/>
  <c r="E737" i="17"/>
  <c r="E738" i="17"/>
  <c r="E739" i="17"/>
  <c r="E740" i="17"/>
  <c r="E741" i="17"/>
  <c r="E742" i="17"/>
  <c r="E743" i="17"/>
  <c r="E744" i="17"/>
  <c r="E745" i="17"/>
  <c r="E746" i="17"/>
  <c r="E747" i="17"/>
  <c r="E748" i="17"/>
  <c r="E749" i="17"/>
  <c r="E750" i="17"/>
  <c r="E751" i="17"/>
  <c r="E752" i="17"/>
  <c r="E753" i="17"/>
  <c r="E754" i="17"/>
  <c r="E755" i="17"/>
  <c r="E756" i="17"/>
  <c r="E757" i="17"/>
  <c r="E758" i="17"/>
  <c r="E759" i="17"/>
  <c r="E760" i="17"/>
  <c r="E761" i="17"/>
  <c r="E762" i="17"/>
  <c r="E763" i="17"/>
  <c r="E764" i="17"/>
  <c r="E765" i="17"/>
  <c r="E766" i="17"/>
  <c r="E767" i="17"/>
  <c r="E768" i="17"/>
  <c r="E769" i="17"/>
  <c r="E770" i="17"/>
  <c r="E771" i="17"/>
  <c r="E772" i="17"/>
  <c r="E773" i="17"/>
  <c r="E774" i="17"/>
  <c r="E775" i="17"/>
  <c r="E776" i="17"/>
  <c r="E777" i="17"/>
  <c r="E778" i="17"/>
  <c r="E779" i="17"/>
  <c r="E780" i="17"/>
  <c r="E781" i="17"/>
  <c r="E782" i="17"/>
  <c r="E783" i="17"/>
  <c r="E784" i="17"/>
  <c r="E785" i="17"/>
  <c r="E786" i="17"/>
  <c r="E787" i="17"/>
  <c r="E788" i="17"/>
  <c r="E789" i="17"/>
  <c r="E790" i="17"/>
  <c r="E791" i="17"/>
  <c r="E792" i="17"/>
  <c r="E793" i="17"/>
  <c r="E794" i="17"/>
  <c r="E795" i="17"/>
  <c r="E796" i="17"/>
  <c r="E797" i="17"/>
  <c r="E798" i="17"/>
  <c r="E799" i="17"/>
  <c r="E800" i="17"/>
  <c r="E801" i="17"/>
  <c r="E802" i="17"/>
  <c r="E803" i="17"/>
  <c r="E804" i="17"/>
  <c r="E805" i="17"/>
  <c r="E806" i="17"/>
  <c r="E807" i="17"/>
  <c r="E808" i="17"/>
  <c r="E809" i="17"/>
  <c r="E810" i="17"/>
  <c r="E811" i="17"/>
  <c r="E812" i="17"/>
  <c r="E813" i="17"/>
  <c r="E814" i="17"/>
  <c r="E815" i="17"/>
  <c r="E816" i="17"/>
  <c r="E817" i="17"/>
  <c r="E818" i="17"/>
  <c r="E819" i="17"/>
  <c r="E820" i="17"/>
  <c r="E821" i="17"/>
  <c r="E822" i="17"/>
  <c r="E823" i="17"/>
  <c r="E824" i="17"/>
  <c r="E825" i="17"/>
  <c r="E826" i="17"/>
  <c r="E827" i="17"/>
  <c r="E828" i="17"/>
  <c r="E829" i="17"/>
  <c r="E830" i="17"/>
  <c r="E831" i="17"/>
  <c r="E832" i="17"/>
  <c r="E833" i="17"/>
  <c r="E834" i="17"/>
  <c r="E835" i="17"/>
  <c r="E836" i="17"/>
  <c r="E837" i="17"/>
  <c r="E838" i="17"/>
  <c r="E839" i="17"/>
  <c r="E840" i="17"/>
  <c r="E841" i="17"/>
  <c r="E842" i="17"/>
  <c r="E843" i="17"/>
  <c r="E844" i="17"/>
  <c r="E845" i="17"/>
  <c r="E846" i="17"/>
  <c r="E847" i="17"/>
  <c r="E848" i="17"/>
  <c r="E849" i="17"/>
  <c r="E850" i="17"/>
  <c r="E851" i="17"/>
  <c r="E852" i="17"/>
  <c r="E853" i="17"/>
  <c r="E854" i="17"/>
  <c r="E855" i="17"/>
  <c r="E856" i="17"/>
  <c r="E857" i="17"/>
  <c r="E858" i="17"/>
  <c r="E859" i="17"/>
  <c r="E860" i="17"/>
  <c r="E861" i="17"/>
  <c r="E862" i="17"/>
  <c r="E863" i="17"/>
  <c r="E864" i="17"/>
  <c r="E865" i="17"/>
  <c r="E866" i="17"/>
  <c r="E867" i="17"/>
  <c r="E868" i="17"/>
  <c r="E869" i="17"/>
  <c r="E870" i="17"/>
  <c r="E871" i="17"/>
  <c r="E872" i="17"/>
  <c r="E873" i="17"/>
  <c r="E874" i="17"/>
  <c r="E875" i="17"/>
  <c r="E876" i="17"/>
  <c r="E877" i="17"/>
  <c r="E878" i="17"/>
  <c r="E879" i="17"/>
  <c r="E880" i="17"/>
  <c r="E881" i="17"/>
  <c r="E882" i="17"/>
  <c r="E883" i="17"/>
  <c r="E884" i="17"/>
  <c r="E885" i="17"/>
  <c r="E886" i="17"/>
  <c r="E887" i="17"/>
  <c r="E888" i="17"/>
  <c r="E889" i="17"/>
  <c r="E890" i="17"/>
  <c r="E891" i="17"/>
  <c r="E892" i="17"/>
  <c r="E893" i="17"/>
  <c r="E894" i="17"/>
  <c r="E895" i="17"/>
  <c r="E896" i="17"/>
  <c r="E897" i="17"/>
  <c r="E898" i="17"/>
  <c r="E899" i="17"/>
  <c r="E900" i="17"/>
  <c r="E901" i="17"/>
  <c r="E902" i="17"/>
  <c r="E903" i="17"/>
  <c r="E904" i="17"/>
  <c r="E905" i="17"/>
  <c r="E906" i="17"/>
  <c r="E907" i="17"/>
  <c r="E908" i="17"/>
  <c r="E909" i="17"/>
  <c r="E910" i="17"/>
  <c r="E911" i="17"/>
  <c r="E912" i="17"/>
  <c r="E913" i="17"/>
  <c r="E914" i="17"/>
  <c r="E915" i="17"/>
  <c r="E916" i="17"/>
  <c r="E917" i="17"/>
  <c r="E918" i="17"/>
  <c r="E919" i="17"/>
  <c r="E920" i="17"/>
  <c r="E921" i="17"/>
  <c r="E922" i="17"/>
  <c r="E923" i="17"/>
  <c r="E924" i="17"/>
  <c r="E925" i="17"/>
  <c r="E926" i="17"/>
  <c r="E927" i="17"/>
  <c r="E928" i="17"/>
  <c r="E929" i="17"/>
  <c r="E930" i="17"/>
  <c r="E931" i="17"/>
  <c r="E932" i="17"/>
  <c r="E933" i="17"/>
  <c r="E934" i="17"/>
  <c r="E935" i="17"/>
  <c r="E936" i="17"/>
  <c r="E937" i="17"/>
  <c r="E938" i="17"/>
  <c r="E939" i="17"/>
  <c r="E940" i="17"/>
  <c r="E941" i="17"/>
  <c r="E942" i="17"/>
  <c r="E943" i="17"/>
  <c r="E944" i="17"/>
  <c r="E945" i="17"/>
  <c r="E946" i="17"/>
  <c r="E947" i="17"/>
  <c r="E948" i="17"/>
  <c r="E949" i="17"/>
  <c r="E950" i="17"/>
  <c r="E951" i="17"/>
  <c r="E952" i="17"/>
  <c r="E953" i="17"/>
  <c r="E954" i="17"/>
  <c r="E955" i="17"/>
  <c r="E956" i="17"/>
  <c r="E957" i="17"/>
  <c r="E958" i="17"/>
  <c r="E959" i="17"/>
  <c r="E960" i="17"/>
  <c r="E961" i="17"/>
  <c r="E962" i="17"/>
  <c r="E963" i="17"/>
  <c r="E964" i="17"/>
  <c r="E965" i="17"/>
  <c r="E966" i="17"/>
  <c r="E967" i="17"/>
  <c r="E968" i="17"/>
  <c r="E969" i="17"/>
  <c r="E970" i="17"/>
  <c r="E971" i="17"/>
  <c r="E972" i="17"/>
  <c r="E973" i="17"/>
  <c r="E974" i="17"/>
  <c r="E975" i="17"/>
  <c r="E976" i="17"/>
  <c r="E977" i="17"/>
  <c r="E978" i="17"/>
  <c r="E979" i="17"/>
  <c r="E980" i="17"/>
  <c r="E981" i="17"/>
  <c r="E982" i="17"/>
  <c r="E983" i="17"/>
  <c r="E984" i="17"/>
  <c r="E985" i="17"/>
  <c r="E986" i="17"/>
  <c r="E987" i="17"/>
  <c r="E988" i="17"/>
  <c r="E989" i="17"/>
  <c r="E990" i="17"/>
  <c r="E991" i="17"/>
  <c r="E992" i="17"/>
  <c r="E993" i="17"/>
  <c r="E994" i="17"/>
  <c r="E995" i="17"/>
  <c r="E996" i="17"/>
  <c r="E997" i="17"/>
  <c r="E998" i="17"/>
  <c r="E999" i="17"/>
  <c r="E1000" i="17"/>
  <c r="E1001" i="17"/>
  <c r="E1002" i="17"/>
  <c r="E1003" i="17"/>
  <c r="E1004" i="17"/>
  <c r="E1005" i="17"/>
  <c r="E1006" i="17"/>
  <c r="E1007" i="17"/>
  <c r="E1008" i="17"/>
  <c r="E1009" i="17"/>
  <c r="E1010" i="17"/>
  <c r="E1011" i="17"/>
  <c r="E1012" i="17"/>
  <c r="E1013" i="17"/>
  <c r="E1014" i="17"/>
  <c r="E1015" i="17"/>
  <c r="E1016" i="17"/>
  <c r="E1017" i="17"/>
  <c r="E1018" i="17"/>
  <c r="E1019" i="17"/>
  <c r="E1020" i="17"/>
  <c r="E1021" i="17"/>
  <c r="E1022" i="17"/>
  <c r="E1023" i="17"/>
  <c r="E1024" i="17"/>
  <c r="E1025" i="17"/>
  <c r="E1026" i="17"/>
  <c r="E1027" i="17"/>
  <c r="E1028" i="17"/>
  <c r="E1029" i="17"/>
  <c r="E1030" i="17"/>
  <c r="E1031" i="17"/>
  <c r="E1032" i="17"/>
  <c r="E1033" i="17"/>
  <c r="E1034" i="17"/>
  <c r="E1035" i="17"/>
  <c r="E1036" i="17"/>
  <c r="E1037" i="17"/>
  <c r="E1038" i="17"/>
  <c r="E1039" i="17"/>
  <c r="E1040" i="17"/>
  <c r="E1041" i="17"/>
  <c r="E1042" i="17"/>
  <c r="E1043" i="17"/>
  <c r="E1044" i="17"/>
  <c r="E1045" i="17"/>
  <c r="E1046" i="17"/>
  <c r="E1047" i="17"/>
  <c r="E1048" i="17"/>
  <c r="E1049" i="17"/>
  <c r="E1050" i="17"/>
  <c r="E1051" i="17"/>
  <c r="E1052" i="17"/>
  <c r="E1053" i="17"/>
  <c r="E1054" i="17"/>
  <c r="E1055" i="17"/>
  <c r="E1056" i="17"/>
  <c r="E1057" i="17"/>
  <c r="E1058" i="17"/>
  <c r="E1059" i="17"/>
  <c r="E1060" i="17"/>
  <c r="E1061" i="17"/>
  <c r="E1062" i="17"/>
  <c r="E1063" i="17"/>
  <c r="E1064" i="17"/>
  <c r="E1065" i="17"/>
  <c r="E1066" i="17"/>
  <c r="E1067" i="17"/>
  <c r="E1068" i="17"/>
  <c r="E1069" i="17"/>
  <c r="E1070" i="17"/>
  <c r="E1071" i="17"/>
  <c r="E1072" i="17"/>
  <c r="E1073" i="17"/>
  <c r="E1074" i="17"/>
  <c r="E1075" i="17"/>
  <c r="E1076" i="17"/>
  <c r="E1077" i="17"/>
  <c r="E1078" i="17"/>
  <c r="E1079" i="17"/>
  <c r="E1080" i="17"/>
  <c r="E1081" i="17"/>
  <c r="E1082" i="17"/>
  <c r="E1083" i="17"/>
  <c r="E1084" i="17"/>
  <c r="E1085" i="17"/>
  <c r="E1086" i="17"/>
  <c r="E1087" i="17"/>
  <c r="E1088" i="17"/>
  <c r="E1089" i="17"/>
  <c r="E1090" i="17"/>
  <c r="E1091" i="17"/>
  <c r="E1092" i="17"/>
  <c r="E1093" i="17"/>
  <c r="E1094" i="17"/>
  <c r="E1095" i="17"/>
  <c r="E1096" i="17"/>
  <c r="E1097" i="17"/>
  <c r="E1098" i="17"/>
  <c r="E1099" i="17"/>
  <c r="E1100" i="17"/>
  <c r="E1101" i="17"/>
  <c r="E1102" i="17"/>
  <c r="E1103" i="17"/>
  <c r="E1104" i="17"/>
  <c r="E1105" i="17"/>
  <c r="E1106" i="17"/>
  <c r="E1107" i="17"/>
  <c r="E1108" i="17"/>
  <c r="E1109" i="17"/>
  <c r="E1110" i="17"/>
  <c r="E1111" i="17"/>
  <c r="E1112" i="17"/>
  <c r="E1113" i="17"/>
  <c r="E1114" i="17"/>
  <c r="E1115" i="17"/>
  <c r="E1116" i="17"/>
  <c r="E1117" i="17"/>
  <c r="E1118" i="17"/>
  <c r="E1119" i="17"/>
  <c r="E1120" i="17"/>
  <c r="E1121" i="17"/>
  <c r="E1122" i="17"/>
  <c r="E1123" i="17"/>
  <c r="E1124" i="17"/>
  <c r="E1125" i="17"/>
  <c r="E1126" i="17"/>
  <c r="E1127" i="17"/>
  <c r="E1128" i="17"/>
  <c r="E1129" i="17"/>
  <c r="E1130" i="17"/>
  <c r="E1131" i="17"/>
  <c r="E1132" i="17"/>
  <c r="E1133" i="17"/>
  <c r="E1134" i="17"/>
  <c r="E1135" i="17"/>
  <c r="E1136" i="17"/>
  <c r="E1137" i="17"/>
  <c r="E1138" i="17"/>
  <c r="E1139" i="17"/>
  <c r="E1140" i="17"/>
  <c r="E1141" i="17"/>
  <c r="E1142" i="17"/>
  <c r="E1143" i="17"/>
  <c r="E1144" i="17"/>
  <c r="E1145" i="17"/>
  <c r="E1146" i="17"/>
  <c r="E1147" i="17"/>
  <c r="E1148" i="17"/>
  <c r="E1149" i="17"/>
  <c r="E1150" i="17"/>
  <c r="E1151" i="17"/>
  <c r="E1152" i="17"/>
  <c r="E1153" i="17"/>
  <c r="E1154" i="17"/>
  <c r="E1155" i="17"/>
  <c r="E1156" i="17"/>
  <c r="E1157" i="17"/>
  <c r="E1158" i="17"/>
  <c r="E1159" i="17"/>
  <c r="E1160" i="17"/>
  <c r="E1161" i="17"/>
  <c r="E1162" i="17"/>
  <c r="E1163" i="17"/>
  <c r="E1164" i="17"/>
  <c r="E1165" i="17"/>
  <c r="E1166" i="17"/>
  <c r="E1167" i="17"/>
  <c r="E1168" i="17"/>
  <c r="E1169" i="17"/>
  <c r="E1170" i="17"/>
  <c r="E1171" i="17"/>
  <c r="E1172" i="17"/>
  <c r="E1173" i="17"/>
  <c r="E1174" i="17"/>
  <c r="E1175" i="17"/>
  <c r="E1176" i="17"/>
  <c r="E1177" i="17"/>
  <c r="E1178" i="17"/>
  <c r="E1179" i="17"/>
  <c r="E1180" i="17"/>
  <c r="E1181" i="17"/>
  <c r="E1182" i="17"/>
  <c r="E1183" i="17"/>
  <c r="E1184" i="17"/>
  <c r="E1185" i="17"/>
  <c r="E1186" i="17"/>
  <c r="E1187" i="17"/>
  <c r="E1188" i="17"/>
  <c r="E1189" i="17"/>
  <c r="E1190" i="17"/>
  <c r="E1191" i="17"/>
  <c r="E1192" i="17"/>
  <c r="E1193" i="17"/>
  <c r="E1194" i="17"/>
  <c r="E1195" i="17"/>
  <c r="E1196" i="17"/>
  <c r="E1197" i="17"/>
  <c r="E1198" i="17"/>
  <c r="E1199" i="17"/>
  <c r="E1200" i="17"/>
  <c r="E1201" i="17"/>
  <c r="E1202" i="17"/>
  <c r="E1203" i="17"/>
  <c r="E1204" i="17"/>
  <c r="E1205" i="17"/>
  <c r="E1206" i="17"/>
  <c r="E1207" i="17"/>
  <c r="E1208" i="17"/>
  <c r="E1209" i="17"/>
  <c r="E1210" i="17"/>
  <c r="E1211" i="17"/>
  <c r="E1212" i="17"/>
  <c r="E1213" i="17"/>
  <c r="E1214" i="17"/>
  <c r="E1215" i="17"/>
  <c r="E1216" i="17"/>
  <c r="E1217" i="17"/>
  <c r="E1218" i="17"/>
  <c r="E1219" i="17"/>
  <c r="E1220" i="17"/>
  <c r="E1221" i="17"/>
  <c r="E1222" i="17"/>
  <c r="E1223" i="17"/>
  <c r="E1224" i="17"/>
  <c r="E1225" i="17"/>
  <c r="E1226" i="17"/>
  <c r="E1227" i="17"/>
  <c r="E1228" i="17"/>
  <c r="E1229" i="17"/>
  <c r="E1230" i="17"/>
  <c r="E1231" i="17"/>
  <c r="E1232" i="17"/>
  <c r="E1233" i="17"/>
  <c r="E1234" i="17"/>
  <c r="E1235" i="17"/>
  <c r="E1236" i="17"/>
  <c r="E1237" i="17"/>
  <c r="E1238" i="17"/>
  <c r="E1239" i="17"/>
  <c r="E1240" i="17"/>
  <c r="E1241" i="17"/>
  <c r="E1242" i="17"/>
  <c r="E1243" i="17"/>
  <c r="E1244" i="17"/>
  <c r="E1245" i="17"/>
  <c r="E1246" i="17"/>
  <c r="E1247" i="17"/>
  <c r="E1248" i="17"/>
  <c r="E1249" i="17"/>
  <c r="E1250" i="17"/>
  <c r="E1251" i="17"/>
  <c r="E1252" i="17"/>
  <c r="E1253" i="17"/>
  <c r="E1254" i="17"/>
  <c r="E1255" i="17"/>
  <c r="E1256" i="17"/>
  <c r="E1257" i="17"/>
  <c r="E1258" i="17"/>
  <c r="E1259" i="17"/>
  <c r="E1260" i="17"/>
  <c r="E1261" i="17"/>
  <c r="E1262" i="17"/>
  <c r="E1263" i="17"/>
  <c r="E1264" i="17"/>
  <c r="E1265" i="17"/>
  <c r="E1266" i="17"/>
  <c r="E1267" i="17"/>
  <c r="E1268" i="17"/>
  <c r="E1269" i="17"/>
  <c r="E1270" i="17"/>
  <c r="E1271" i="17"/>
  <c r="E1272" i="17"/>
  <c r="E1273" i="17"/>
  <c r="E1274" i="17"/>
  <c r="E1275" i="17"/>
  <c r="E1276" i="17"/>
  <c r="E1277" i="17"/>
  <c r="E1278" i="17"/>
  <c r="E1279" i="17"/>
  <c r="E1280" i="17"/>
  <c r="E1281" i="17"/>
  <c r="E1282" i="17"/>
  <c r="E1283" i="17"/>
  <c r="E1284" i="17"/>
  <c r="E1285" i="17"/>
  <c r="E1286" i="17"/>
  <c r="E1287" i="17"/>
  <c r="E1288" i="17"/>
  <c r="E1289" i="17"/>
  <c r="E1290" i="17"/>
  <c r="E1291" i="17"/>
  <c r="E1292" i="17"/>
  <c r="E1293" i="17"/>
  <c r="E1294" i="17"/>
  <c r="E1295" i="17"/>
  <c r="E1296" i="17"/>
  <c r="E1297" i="17"/>
  <c r="E1298" i="17"/>
  <c r="E1299" i="17"/>
  <c r="E1300" i="17"/>
  <c r="E1301" i="17"/>
  <c r="E1302" i="17"/>
  <c r="E1303" i="17"/>
  <c r="E1304" i="17"/>
  <c r="E1305" i="17"/>
  <c r="E1306" i="17"/>
  <c r="E1307" i="17"/>
  <c r="E1308" i="17"/>
  <c r="E1309" i="17"/>
  <c r="E1310" i="17"/>
  <c r="E1311" i="17"/>
  <c r="E1312" i="17"/>
  <c r="E1313" i="17"/>
  <c r="E1314" i="17"/>
  <c r="E1315" i="17"/>
  <c r="E1316" i="17"/>
  <c r="E1317" i="17"/>
  <c r="E1318" i="17"/>
  <c r="E1319" i="17"/>
  <c r="E1320" i="17"/>
  <c r="E1321" i="17"/>
  <c r="E1322" i="17"/>
  <c r="E1323" i="17"/>
  <c r="E1324" i="17"/>
  <c r="E1325" i="17"/>
  <c r="E1326" i="17"/>
  <c r="E1327" i="17"/>
  <c r="E1328" i="17"/>
  <c r="E1329" i="17"/>
  <c r="E1330" i="17"/>
  <c r="E1331" i="17"/>
  <c r="E1332" i="17"/>
  <c r="E1333" i="17"/>
  <c r="E1334" i="17"/>
  <c r="E1335" i="17"/>
  <c r="E1336" i="17"/>
  <c r="E1337" i="17"/>
  <c r="E1338" i="17"/>
  <c r="E1339" i="17"/>
  <c r="E1340" i="17"/>
  <c r="E1341" i="17"/>
  <c r="E1342" i="17"/>
  <c r="E1343" i="17"/>
  <c r="E1344" i="17"/>
  <c r="E1345" i="17"/>
  <c r="E1346" i="17"/>
  <c r="E1347" i="17"/>
  <c r="E1348" i="17"/>
  <c r="E1349" i="17"/>
  <c r="E1350" i="17"/>
  <c r="E1351" i="17"/>
  <c r="E1352" i="17"/>
  <c r="E1353" i="17"/>
  <c r="E1354" i="17"/>
  <c r="E1355" i="17"/>
  <c r="E1356" i="17"/>
  <c r="E1357" i="17"/>
  <c r="E1358" i="17"/>
  <c r="E1359" i="17"/>
  <c r="E1360" i="17"/>
  <c r="E1361" i="17"/>
  <c r="E1362" i="17"/>
  <c r="E1363" i="17"/>
  <c r="E1364" i="17"/>
  <c r="E1365" i="17"/>
  <c r="E1366" i="17"/>
  <c r="E1367" i="17"/>
  <c r="E1368" i="17"/>
  <c r="E1369" i="17"/>
  <c r="E1370" i="17"/>
  <c r="E1371" i="17"/>
  <c r="E1372" i="17"/>
  <c r="E1373" i="17"/>
  <c r="E1374" i="17"/>
  <c r="E1375" i="17"/>
  <c r="E1376" i="17"/>
  <c r="E1377" i="17"/>
  <c r="E1378" i="17"/>
  <c r="E1379" i="17"/>
  <c r="E1380" i="17"/>
  <c r="E1381" i="17"/>
  <c r="E1382" i="17"/>
  <c r="E1383" i="17"/>
  <c r="E1384" i="17"/>
  <c r="E1385" i="17"/>
  <c r="E1386" i="17"/>
  <c r="E1387" i="17"/>
  <c r="E1388" i="17"/>
  <c r="E1389" i="17"/>
  <c r="E1390" i="17"/>
  <c r="E1391" i="17"/>
  <c r="E1392" i="17"/>
  <c r="E1393" i="17"/>
  <c r="E1394" i="17"/>
  <c r="E1395" i="17"/>
  <c r="E1396" i="17"/>
  <c r="E1397" i="17"/>
  <c r="E1398" i="17"/>
  <c r="E1399" i="17"/>
  <c r="E1400" i="17"/>
  <c r="E1401" i="17"/>
  <c r="E1402" i="17"/>
  <c r="E1403" i="17"/>
  <c r="E1404" i="17"/>
  <c r="E1405" i="17"/>
  <c r="E1406" i="17"/>
  <c r="E1407" i="17"/>
  <c r="E1408" i="17"/>
  <c r="E1409" i="17"/>
  <c r="E1410" i="17"/>
  <c r="E1411" i="17"/>
  <c r="E1412" i="17"/>
  <c r="E1413" i="17"/>
  <c r="E1414" i="17"/>
  <c r="E1415" i="17"/>
  <c r="E1416" i="17"/>
  <c r="E1417" i="17"/>
  <c r="E1418" i="17"/>
  <c r="E1419" i="17"/>
  <c r="E1420" i="17"/>
  <c r="E1421" i="17"/>
  <c r="E1422" i="17"/>
  <c r="E1423" i="17"/>
  <c r="E1424" i="17"/>
  <c r="E1425" i="17"/>
  <c r="E1426" i="17"/>
  <c r="E1427" i="17"/>
  <c r="E1428" i="17"/>
  <c r="E1429" i="17"/>
  <c r="E1430" i="17"/>
  <c r="E1431" i="17"/>
  <c r="E1432" i="17"/>
  <c r="E1433" i="17"/>
  <c r="E1434" i="17"/>
  <c r="E1435" i="17"/>
  <c r="E1436" i="17"/>
  <c r="E1437" i="17"/>
  <c r="E1438" i="17"/>
  <c r="E1439" i="17"/>
  <c r="E1440" i="17"/>
  <c r="E1441" i="17"/>
  <c r="E1442" i="17"/>
  <c r="E1443" i="17"/>
  <c r="E1444" i="17"/>
  <c r="E1445" i="17"/>
  <c r="E1446" i="17"/>
  <c r="E1447" i="17"/>
  <c r="E1448" i="17"/>
  <c r="E1449" i="17"/>
  <c r="E1450" i="17"/>
  <c r="E1451" i="17"/>
  <c r="E1452" i="17"/>
  <c r="E1453" i="17"/>
  <c r="E1454" i="17"/>
  <c r="E1455" i="17"/>
  <c r="E1456" i="17"/>
  <c r="E1457" i="17"/>
  <c r="E1458" i="17"/>
  <c r="E1459" i="17"/>
  <c r="E1460" i="17"/>
  <c r="E1461" i="17"/>
  <c r="E1462" i="17"/>
  <c r="E1463" i="17"/>
  <c r="E1464" i="17"/>
  <c r="E1465" i="17"/>
  <c r="E1466" i="17"/>
  <c r="E1467" i="17"/>
  <c r="E1468" i="17"/>
  <c r="E1469" i="17"/>
  <c r="E1470" i="17"/>
  <c r="E1471" i="17"/>
  <c r="E1472" i="17"/>
  <c r="E1473" i="17"/>
  <c r="E1474" i="17"/>
  <c r="E1475" i="17"/>
  <c r="E1476" i="17"/>
  <c r="E1477" i="17"/>
  <c r="E1478" i="17"/>
  <c r="E1479" i="17"/>
  <c r="E1480" i="17"/>
  <c r="E1481" i="17"/>
  <c r="E1482" i="17"/>
  <c r="E1483" i="17"/>
  <c r="E1484" i="17"/>
  <c r="E1485" i="17"/>
  <c r="E1486" i="17"/>
  <c r="E1487" i="17"/>
  <c r="E1488" i="17"/>
  <c r="E1489" i="17"/>
  <c r="E1490" i="17"/>
  <c r="E1491" i="17"/>
  <c r="E1492" i="17"/>
  <c r="E1493" i="17"/>
  <c r="E1494" i="17"/>
  <c r="E1495" i="17"/>
  <c r="E1496" i="17"/>
  <c r="E1497" i="17"/>
  <c r="E1498" i="17"/>
  <c r="E1499" i="17"/>
  <c r="E1500" i="17"/>
  <c r="E1501" i="17"/>
  <c r="E1502" i="17"/>
  <c r="E1503" i="17"/>
  <c r="E1504" i="17"/>
  <c r="E1505" i="17"/>
  <c r="E1506" i="17"/>
  <c r="E1507" i="17"/>
  <c r="E1508" i="17"/>
  <c r="E1509" i="17"/>
  <c r="E1510" i="17"/>
  <c r="E1511" i="17"/>
  <c r="E1512" i="17"/>
  <c r="E1513" i="17"/>
  <c r="E1514" i="17"/>
  <c r="E1515" i="17"/>
  <c r="E1516" i="17"/>
  <c r="E1517" i="17"/>
  <c r="E1518" i="17"/>
  <c r="E1519" i="17"/>
  <c r="E1520" i="17"/>
  <c r="E1521" i="17"/>
  <c r="E1522" i="17"/>
  <c r="E1523" i="17"/>
  <c r="E1524" i="17"/>
  <c r="E1525" i="17"/>
  <c r="E1526" i="17"/>
  <c r="E1527" i="17"/>
  <c r="E1528" i="17"/>
  <c r="E1529" i="17"/>
  <c r="E1530" i="17"/>
  <c r="E1531" i="17"/>
  <c r="E1532" i="17"/>
  <c r="E1533" i="17"/>
  <c r="E1534" i="17"/>
  <c r="E1535" i="17"/>
  <c r="E1536" i="17"/>
  <c r="E1537" i="17"/>
  <c r="E1538" i="17"/>
  <c r="E1539" i="17"/>
  <c r="E1540" i="17"/>
  <c r="E1541" i="17"/>
  <c r="E1542" i="17"/>
  <c r="E1543" i="17"/>
  <c r="E1544" i="17"/>
  <c r="E1545" i="17"/>
  <c r="E1546" i="17"/>
  <c r="E1547" i="17"/>
  <c r="E1548" i="17"/>
  <c r="E1549" i="17"/>
  <c r="E1550" i="17"/>
  <c r="E1551" i="17"/>
  <c r="E1552" i="17"/>
  <c r="E1553" i="17"/>
  <c r="E1554" i="17"/>
  <c r="E1555" i="17"/>
  <c r="E1556" i="17"/>
  <c r="E1557" i="17"/>
  <c r="E1558" i="17"/>
  <c r="E1559" i="17"/>
  <c r="E1560" i="17"/>
  <c r="E1561" i="17"/>
  <c r="E1562" i="17"/>
  <c r="E1563" i="17"/>
  <c r="E1564" i="17"/>
  <c r="E1565" i="17"/>
  <c r="E1566" i="17"/>
  <c r="E1567" i="17"/>
  <c r="E1568" i="17"/>
  <c r="E1569" i="17"/>
  <c r="E1570" i="17"/>
  <c r="E1571" i="17"/>
  <c r="E1572" i="17"/>
  <c r="E1573" i="17"/>
  <c r="E1574" i="17"/>
  <c r="E1575" i="17"/>
  <c r="E1576" i="17"/>
  <c r="E1577" i="17"/>
  <c r="E1578" i="17"/>
  <c r="E1579" i="17"/>
  <c r="E1580" i="17"/>
  <c r="E1581" i="17"/>
  <c r="E1582" i="17"/>
  <c r="E1583" i="17"/>
  <c r="E1584" i="17"/>
  <c r="E1585" i="17"/>
  <c r="E1586" i="17"/>
  <c r="E1587" i="17"/>
  <c r="E1588" i="17"/>
  <c r="E1589" i="17"/>
  <c r="E1590" i="17"/>
  <c r="E1591" i="17"/>
  <c r="E1592" i="17"/>
  <c r="E1593" i="17"/>
  <c r="E1594" i="17"/>
  <c r="E1595" i="17"/>
  <c r="E1596" i="17"/>
  <c r="E1597" i="17"/>
  <c r="E1598" i="17"/>
  <c r="E1599" i="17"/>
  <c r="E1600" i="17"/>
  <c r="E1601" i="17"/>
  <c r="E1602" i="17"/>
  <c r="E1603" i="17"/>
  <c r="E1604" i="17"/>
  <c r="E1605" i="17"/>
  <c r="E1606" i="17"/>
  <c r="E1607" i="17"/>
  <c r="E1608" i="17"/>
  <c r="E1609" i="17"/>
  <c r="E1610" i="17"/>
  <c r="E1611" i="17"/>
  <c r="E1612" i="17"/>
  <c r="E1613" i="17"/>
  <c r="E1614" i="17"/>
  <c r="E1615" i="17"/>
  <c r="E1616" i="17"/>
  <c r="E1617" i="17"/>
  <c r="E1618" i="17"/>
  <c r="E1619" i="17"/>
  <c r="E1620" i="17"/>
  <c r="E1621" i="17"/>
  <c r="E1622" i="17"/>
  <c r="E1623" i="17"/>
  <c r="E1624" i="17"/>
  <c r="E1625" i="17"/>
  <c r="E1626" i="17"/>
  <c r="E1627" i="17"/>
  <c r="E1628" i="17"/>
  <c r="E1629" i="17"/>
  <c r="E1630" i="17"/>
  <c r="E1631" i="17"/>
  <c r="E1632" i="17"/>
  <c r="E1633" i="17"/>
  <c r="E1634" i="17"/>
  <c r="E1635" i="17"/>
  <c r="E1636" i="17"/>
  <c r="E1637" i="17"/>
  <c r="E1638" i="17"/>
  <c r="E1639" i="17"/>
  <c r="E1640" i="17"/>
  <c r="E1641" i="17"/>
  <c r="E1642" i="17"/>
  <c r="E1643" i="17"/>
  <c r="E1644" i="17"/>
  <c r="E1645" i="17"/>
  <c r="E1646" i="17"/>
  <c r="E1647" i="17"/>
  <c r="E1648" i="17"/>
  <c r="E1649" i="17"/>
  <c r="E1650" i="17"/>
  <c r="E1651" i="17"/>
  <c r="E1652" i="17"/>
  <c r="E1653" i="17"/>
  <c r="E1654" i="17"/>
  <c r="E1655" i="17"/>
  <c r="E1656" i="17"/>
  <c r="E1657" i="17"/>
  <c r="E1658" i="17"/>
  <c r="E1659" i="17"/>
  <c r="E1660" i="17"/>
  <c r="E1661" i="17"/>
  <c r="E1662" i="17"/>
  <c r="E1663" i="17"/>
  <c r="E1664" i="17"/>
  <c r="E1665" i="17"/>
  <c r="E1666" i="17"/>
  <c r="E1667" i="17"/>
  <c r="E1668" i="17"/>
  <c r="E1669" i="17"/>
  <c r="E1670" i="17"/>
  <c r="E1671" i="17"/>
  <c r="E1672" i="17"/>
  <c r="E1673" i="17"/>
  <c r="E1674" i="17"/>
  <c r="E1675" i="17"/>
  <c r="E1676" i="17"/>
  <c r="E1677" i="17"/>
  <c r="E1678" i="17"/>
  <c r="E1679" i="17"/>
  <c r="E1680" i="17"/>
  <c r="E1681" i="17"/>
  <c r="E1682" i="17"/>
  <c r="E1683" i="17"/>
  <c r="E1684" i="17"/>
  <c r="E1685" i="17"/>
  <c r="E1686" i="17"/>
  <c r="E1687" i="17"/>
  <c r="E1688" i="17"/>
  <c r="E1689" i="17"/>
  <c r="E1690" i="17"/>
  <c r="E1691" i="17"/>
  <c r="E1692" i="17"/>
  <c r="E1693" i="17"/>
  <c r="E1694" i="17"/>
  <c r="E1695" i="17"/>
  <c r="E1696" i="17"/>
  <c r="E1697" i="17"/>
  <c r="E1698" i="17"/>
  <c r="E1699" i="17"/>
  <c r="E1700" i="17"/>
  <c r="E1701" i="17"/>
  <c r="E1702" i="17"/>
  <c r="E1703" i="17"/>
  <c r="E1704" i="17"/>
  <c r="E1705" i="17"/>
  <c r="E1706" i="17"/>
  <c r="E1707" i="17"/>
  <c r="E1708" i="17"/>
  <c r="E1709" i="17"/>
  <c r="E1710" i="17"/>
  <c r="E1711" i="17"/>
  <c r="E1712" i="17"/>
  <c r="E1713" i="17"/>
  <c r="E1714" i="17"/>
  <c r="E1715" i="17"/>
  <c r="E1716" i="17"/>
  <c r="E1717" i="17"/>
  <c r="E1718" i="17"/>
  <c r="E1719" i="17"/>
  <c r="E1720" i="17"/>
  <c r="E1721" i="17"/>
  <c r="E1722" i="17"/>
  <c r="E1723" i="17"/>
  <c r="E1724" i="17"/>
  <c r="E1725" i="17"/>
  <c r="E1726" i="17"/>
  <c r="E1727" i="17"/>
  <c r="E1728" i="17"/>
  <c r="E1729" i="17"/>
  <c r="E1730" i="17"/>
  <c r="E1731" i="17"/>
  <c r="E1732" i="17"/>
  <c r="E1733" i="17"/>
  <c r="E1734" i="17"/>
  <c r="E1735" i="17"/>
  <c r="E1736" i="17"/>
  <c r="E1737" i="17"/>
  <c r="E1738" i="17"/>
  <c r="E1739" i="17"/>
  <c r="E1740" i="17"/>
  <c r="E1741" i="17"/>
  <c r="E1742" i="17"/>
  <c r="E1743" i="17"/>
  <c r="E1744" i="17"/>
  <c r="E1745" i="17"/>
  <c r="E1746" i="17"/>
  <c r="E1747" i="17"/>
  <c r="E1748" i="17"/>
  <c r="E1749" i="17"/>
  <c r="E1750" i="17"/>
  <c r="E1751" i="17"/>
  <c r="E1752" i="17"/>
  <c r="E1753" i="17"/>
  <c r="E1754" i="17"/>
  <c r="E1755" i="17"/>
  <c r="E1756" i="17"/>
  <c r="E1757" i="17"/>
  <c r="E1758" i="17"/>
  <c r="E1759" i="17"/>
  <c r="E1760" i="17"/>
  <c r="E1761" i="17"/>
  <c r="E1762" i="17"/>
  <c r="E1763" i="17"/>
  <c r="E1764" i="17"/>
  <c r="E1765" i="17"/>
  <c r="E1766" i="17"/>
  <c r="E1767" i="17"/>
  <c r="E1768" i="17"/>
  <c r="E1769" i="17"/>
  <c r="E1770" i="17"/>
  <c r="E1771" i="17"/>
  <c r="E1772" i="17"/>
  <c r="E1773" i="17"/>
  <c r="E1774" i="17"/>
  <c r="E1775" i="17"/>
  <c r="E1776" i="17"/>
  <c r="E1777" i="17"/>
  <c r="E1778" i="17"/>
  <c r="E1779" i="17"/>
  <c r="E1780" i="17"/>
  <c r="E1781" i="17"/>
  <c r="E1782" i="17"/>
  <c r="E1783" i="17"/>
  <c r="E1784" i="17"/>
  <c r="E1785" i="17"/>
  <c r="E1786" i="17"/>
  <c r="E1787" i="17"/>
  <c r="E1788" i="17"/>
  <c r="E1789" i="17"/>
  <c r="E1790" i="17"/>
  <c r="E1791" i="17"/>
  <c r="E1792" i="17"/>
  <c r="E1793" i="17"/>
  <c r="E1794" i="17"/>
  <c r="E1795" i="17"/>
  <c r="E1796" i="17"/>
  <c r="E1797" i="17"/>
  <c r="E1798" i="17"/>
  <c r="E1799" i="17"/>
  <c r="E1800" i="17"/>
  <c r="E1801" i="17"/>
  <c r="E1802" i="17"/>
  <c r="E1803" i="17"/>
  <c r="E1804" i="17"/>
  <c r="E1805" i="17"/>
  <c r="E1806" i="17"/>
  <c r="E1807" i="17"/>
  <c r="E1808" i="17"/>
  <c r="E1809" i="17"/>
  <c r="E1810" i="17"/>
  <c r="E1811" i="17"/>
  <c r="E1812" i="17"/>
  <c r="E1813" i="17"/>
  <c r="E1814" i="17"/>
  <c r="E1815" i="17"/>
  <c r="E1816" i="17"/>
  <c r="E1817" i="17"/>
  <c r="E1818" i="17"/>
  <c r="E1819" i="17"/>
  <c r="E1820" i="17"/>
  <c r="E1821" i="17"/>
  <c r="E1822" i="17"/>
  <c r="E1823" i="17"/>
  <c r="E1824" i="17"/>
  <c r="E1825" i="17"/>
  <c r="E1826" i="17"/>
  <c r="E1827" i="17"/>
  <c r="E1828" i="17"/>
  <c r="E1829" i="17"/>
  <c r="E1830" i="17"/>
  <c r="E1831" i="17"/>
  <c r="E1832" i="17"/>
  <c r="E1833" i="17"/>
  <c r="E1834" i="17"/>
  <c r="E1835" i="17"/>
  <c r="E1836" i="17"/>
  <c r="E1837" i="17"/>
  <c r="E1838" i="17"/>
  <c r="E1839" i="17"/>
  <c r="E1840" i="17"/>
  <c r="E1841" i="17"/>
  <c r="E1842" i="17"/>
  <c r="E1843" i="17"/>
  <c r="E1844" i="17"/>
  <c r="E1845" i="17"/>
  <c r="E1846" i="17"/>
  <c r="E1847" i="17"/>
  <c r="E1848" i="17"/>
  <c r="E1849" i="17"/>
  <c r="E1850" i="17"/>
  <c r="E1851" i="17"/>
  <c r="E1852" i="17"/>
  <c r="E1853" i="17"/>
  <c r="E1854" i="17"/>
  <c r="E1855" i="17"/>
  <c r="E1856" i="17"/>
  <c r="E1857" i="17"/>
  <c r="E1858" i="17"/>
  <c r="E1859" i="17"/>
  <c r="E1860" i="17"/>
  <c r="E1861" i="17"/>
  <c r="E1862" i="17"/>
  <c r="E1863" i="17"/>
  <c r="E1864" i="17"/>
  <c r="E1865" i="17"/>
  <c r="E1866" i="17"/>
  <c r="E1867" i="17"/>
  <c r="E1868" i="17"/>
  <c r="E1869" i="17"/>
  <c r="E1870" i="17"/>
  <c r="E1871" i="17"/>
  <c r="E1872" i="17"/>
  <c r="E1873" i="17"/>
  <c r="E1874" i="17"/>
  <c r="E1875" i="17"/>
  <c r="E1876" i="17"/>
  <c r="E1877" i="17"/>
  <c r="E1878" i="17"/>
  <c r="E1879" i="17"/>
  <c r="E1880" i="17"/>
  <c r="E1881" i="17"/>
  <c r="E1882" i="17"/>
  <c r="E1883" i="17"/>
  <c r="E1884" i="17"/>
  <c r="E1885" i="17"/>
  <c r="E1886" i="17"/>
  <c r="E1887" i="17"/>
  <c r="E1888" i="17"/>
  <c r="E1889" i="17"/>
  <c r="E1890" i="17"/>
  <c r="E1891" i="17"/>
  <c r="E1892" i="17"/>
  <c r="E1893" i="17"/>
  <c r="E1894" i="17"/>
  <c r="E1895" i="17"/>
  <c r="E1896" i="17"/>
  <c r="E1897" i="17"/>
  <c r="E1898" i="17"/>
  <c r="E1899" i="17"/>
  <c r="E1900" i="17"/>
  <c r="E1901" i="17"/>
  <c r="E1902" i="17"/>
  <c r="E1903" i="17"/>
  <c r="E1904" i="17"/>
  <c r="E1905" i="17"/>
  <c r="E1906" i="17"/>
  <c r="E1907" i="17"/>
  <c r="E1908" i="17"/>
  <c r="E1909" i="17"/>
  <c r="E1910" i="17"/>
  <c r="E1911" i="17"/>
  <c r="E1912" i="17"/>
  <c r="E1913" i="17"/>
  <c r="E1914" i="17"/>
  <c r="E1915" i="17"/>
  <c r="E1916" i="17"/>
  <c r="E1917" i="17"/>
  <c r="E1918" i="17"/>
  <c r="E1919" i="17"/>
  <c r="E1920" i="17"/>
  <c r="E1921" i="17"/>
  <c r="E1922" i="17"/>
  <c r="E1923" i="17"/>
  <c r="E1924" i="17"/>
  <c r="E1925" i="17"/>
  <c r="E1926" i="17"/>
  <c r="E1927" i="17"/>
  <c r="E1928" i="17"/>
  <c r="E1929" i="17"/>
  <c r="E1930" i="17"/>
  <c r="E1931" i="17"/>
  <c r="E1932" i="17"/>
  <c r="E1933" i="17"/>
  <c r="E1934" i="17"/>
  <c r="E1935" i="17"/>
  <c r="E1936" i="17"/>
  <c r="E1937" i="17"/>
  <c r="E1938" i="17"/>
  <c r="E1939" i="17"/>
  <c r="E1940" i="17"/>
  <c r="E1941" i="17"/>
  <c r="E1942" i="17"/>
  <c r="E1943" i="17"/>
  <c r="E1944" i="17"/>
  <c r="E1945" i="17"/>
  <c r="E1946" i="17"/>
  <c r="E1947" i="17"/>
  <c r="E1948" i="17"/>
  <c r="E1949" i="17"/>
  <c r="E1950" i="17"/>
  <c r="E1951" i="17"/>
  <c r="E1952" i="17"/>
  <c r="E1953" i="17"/>
  <c r="E1954" i="17"/>
  <c r="E1955" i="17"/>
  <c r="E1956" i="17"/>
  <c r="E1957" i="17"/>
  <c r="E1958" i="17"/>
  <c r="E1959" i="17"/>
  <c r="E1960" i="17"/>
  <c r="E1961" i="17"/>
  <c r="E1962" i="17"/>
  <c r="E1963" i="17"/>
  <c r="E1964" i="17"/>
  <c r="E1965" i="17"/>
  <c r="E1966" i="17"/>
  <c r="E1967" i="17"/>
  <c r="E1968" i="17"/>
  <c r="E1969" i="17"/>
  <c r="E1970" i="17"/>
  <c r="E1971" i="17"/>
  <c r="E1972" i="17"/>
  <c r="E1973" i="17"/>
  <c r="E1974" i="17"/>
  <c r="E1975" i="17"/>
  <c r="E1976" i="17"/>
  <c r="E1977" i="17"/>
  <c r="E1978" i="17"/>
  <c r="E1979" i="17"/>
  <c r="E1980" i="17"/>
  <c r="E1981" i="17"/>
  <c r="E1982" i="17"/>
  <c r="E1983" i="17"/>
  <c r="E1984" i="17"/>
  <c r="E1985" i="17"/>
  <c r="E1986" i="17"/>
  <c r="E1987" i="17"/>
  <c r="E1988" i="17"/>
  <c r="E1989" i="17"/>
  <c r="E1990" i="17"/>
  <c r="E1991" i="17"/>
  <c r="E1992" i="17"/>
  <c r="E1993" i="17"/>
  <c r="E1994" i="17"/>
  <c r="E1995" i="17"/>
  <c r="E1996" i="17"/>
  <c r="E1997" i="17"/>
  <c r="E1998" i="17"/>
  <c r="E1999" i="17"/>
  <c r="E2000" i="17"/>
  <c r="E2001" i="17"/>
  <c r="E2002" i="17"/>
  <c r="E2003" i="17"/>
  <c r="E2004" i="17"/>
  <c r="E2005" i="17"/>
  <c r="E2006" i="17"/>
  <c r="E2007" i="17"/>
  <c r="E2008" i="17"/>
  <c r="E2009" i="17"/>
  <c r="E2010" i="17"/>
  <c r="E2011" i="17"/>
  <c r="E2012" i="17"/>
  <c r="E2013" i="17"/>
  <c r="E2014" i="17"/>
  <c r="E2015" i="17"/>
  <c r="E2016" i="17"/>
  <c r="E2017" i="17"/>
  <c r="E2018" i="17"/>
  <c r="E2019" i="17"/>
  <c r="E2020" i="17"/>
  <c r="E2021" i="17"/>
  <c r="E2022" i="17"/>
  <c r="E2023" i="17"/>
  <c r="E2024" i="17"/>
  <c r="E2025" i="17"/>
  <c r="E2026" i="17"/>
  <c r="E2027" i="17"/>
  <c r="E2028" i="17"/>
  <c r="E2029" i="17"/>
  <c r="E2030" i="17"/>
  <c r="E2031" i="17"/>
  <c r="E2032" i="17"/>
  <c r="E2033" i="17"/>
  <c r="E2034" i="17"/>
  <c r="E2035" i="17"/>
  <c r="E2036" i="17"/>
  <c r="E2037" i="17"/>
  <c r="E2038" i="17"/>
  <c r="E2039" i="17"/>
  <c r="E2040" i="17"/>
  <c r="E2041" i="17"/>
  <c r="E2042" i="17"/>
  <c r="E2043" i="17"/>
  <c r="E2044" i="17"/>
  <c r="E2045" i="17"/>
  <c r="E2046" i="17"/>
  <c r="E2047" i="17"/>
  <c r="E2048" i="17"/>
  <c r="E2049" i="17"/>
  <c r="E2050" i="17"/>
  <c r="E2051" i="17"/>
  <c r="E2052" i="17"/>
  <c r="E2053" i="17"/>
  <c r="E2054" i="17"/>
  <c r="E2055" i="17"/>
  <c r="E2056" i="17"/>
  <c r="E2057" i="17"/>
  <c r="E2058" i="17"/>
  <c r="E2059" i="17"/>
  <c r="E2060" i="17"/>
  <c r="E2061" i="17"/>
  <c r="E2062" i="17"/>
  <c r="E2063" i="17"/>
  <c r="E2064" i="17"/>
  <c r="E2065" i="17"/>
  <c r="E2066" i="17"/>
  <c r="E2067" i="17"/>
  <c r="E2068" i="17"/>
  <c r="E2069" i="17"/>
  <c r="E2070" i="17"/>
  <c r="E2071" i="17"/>
  <c r="E2072" i="17"/>
  <c r="E2073" i="17"/>
  <c r="E2074" i="17"/>
  <c r="E2075" i="17"/>
  <c r="E2076" i="17"/>
  <c r="E2077" i="17"/>
  <c r="E2078" i="17"/>
  <c r="E2079" i="17"/>
  <c r="E2080" i="17"/>
  <c r="E2081" i="17"/>
  <c r="E2082" i="17"/>
  <c r="E2083" i="17"/>
  <c r="E2084" i="17"/>
  <c r="E2085" i="17"/>
  <c r="E2086" i="17"/>
  <c r="E2087" i="17"/>
  <c r="E2088" i="17"/>
  <c r="E2089" i="17"/>
  <c r="E2090" i="17"/>
  <c r="E2091" i="17"/>
  <c r="E2092" i="17"/>
  <c r="E2093" i="17"/>
  <c r="E2094" i="17"/>
  <c r="E2095" i="17"/>
  <c r="E2096" i="17"/>
  <c r="E2097" i="17"/>
  <c r="E2098" i="17"/>
  <c r="E2099" i="17"/>
  <c r="E2100" i="17"/>
  <c r="E2101" i="17"/>
  <c r="E2102" i="17"/>
  <c r="E2103" i="17"/>
  <c r="E2104" i="17"/>
  <c r="E2105" i="17"/>
  <c r="E2106" i="17"/>
  <c r="E2107" i="17"/>
  <c r="E2108" i="17"/>
  <c r="E2109" i="17"/>
  <c r="E2110" i="17"/>
  <c r="E2111" i="17"/>
  <c r="E2112" i="17"/>
  <c r="E2113" i="17"/>
  <c r="E2114" i="17"/>
  <c r="E2115" i="17"/>
  <c r="E2116" i="17"/>
  <c r="E2117" i="17"/>
  <c r="E2118" i="17"/>
  <c r="E2119" i="17"/>
  <c r="E2120" i="17"/>
  <c r="E2121" i="17"/>
  <c r="E2122" i="17"/>
  <c r="E2123" i="17"/>
  <c r="E2124" i="17"/>
  <c r="E2125" i="17"/>
  <c r="E2126" i="17"/>
  <c r="E2127" i="17"/>
  <c r="E2128" i="17"/>
  <c r="E2129" i="17"/>
  <c r="E2130" i="17"/>
  <c r="E2131" i="17"/>
  <c r="E2132" i="17"/>
  <c r="E2133" i="17"/>
  <c r="E2134" i="17"/>
  <c r="E2135" i="17"/>
  <c r="E2136" i="17"/>
  <c r="E2137" i="17"/>
  <c r="E2138" i="17"/>
  <c r="E2139" i="17"/>
  <c r="E2140" i="17"/>
  <c r="E2141" i="17"/>
  <c r="E2142" i="17"/>
  <c r="E2143" i="17"/>
  <c r="E2144" i="17"/>
  <c r="E2145" i="17"/>
  <c r="E2146" i="17"/>
  <c r="E2147" i="17"/>
  <c r="E2148" i="17"/>
  <c r="E2149" i="17"/>
  <c r="E2150" i="17"/>
  <c r="E2151" i="17"/>
  <c r="E2152" i="17"/>
  <c r="E2153" i="17"/>
  <c r="E2154" i="17"/>
  <c r="E2155" i="17"/>
  <c r="E2156" i="17"/>
  <c r="E2157" i="17"/>
  <c r="E2158" i="17"/>
  <c r="E2159" i="17"/>
  <c r="E2160" i="17"/>
  <c r="E2161" i="17"/>
  <c r="E2162" i="17"/>
  <c r="E2163" i="17"/>
  <c r="E2164" i="17"/>
  <c r="E2165" i="17"/>
  <c r="E2166" i="17"/>
  <c r="E2167" i="17"/>
  <c r="E2168" i="17"/>
  <c r="E2169" i="17"/>
  <c r="E2170" i="17"/>
  <c r="E2171" i="17"/>
  <c r="E2172" i="17"/>
  <c r="E2173" i="17"/>
  <c r="E2174" i="17"/>
  <c r="E2175" i="17"/>
  <c r="E2176" i="17"/>
  <c r="E2177" i="17"/>
  <c r="E2178" i="17"/>
  <c r="E2179" i="17"/>
  <c r="E2180" i="17"/>
  <c r="E2181" i="17"/>
  <c r="E2182" i="17"/>
  <c r="E2183" i="17"/>
  <c r="E2184" i="17"/>
  <c r="E2185" i="17"/>
  <c r="E2186" i="17"/>
  <c r="E2187" i="17"/>
  <c r="E2188" i="17"/>
  <c r="E2189" i="17"/>
  <c r="E2190" i="17"/>
  <c r="E2191" i="17"/>
  <c r="E2192" i="17"/>
  <c r="E2193" i="17"/>
  <c r="E2194" i="17"/>
  <c r="E2195" i="17"/>
  <c r="E2196" i="17"/>
  <c r="E2197" i="17"/>
  <c r="E2198" i="17"/>
  <c r="E2199" i="17"/>
  <c r="E2200" i="17"/>
  <c r="E2201" i="17"/>
  <c r="E2202" i="17"/>
  <c r="E2203" i="17"/>
  <c r="E2204" i="17"/>
  <c r="E2205" i="17"/>
  <c r="E2206" i="17"/>
  <c r="E2207" i="17"/>
  <c r="E2208" i="17"/>
  <c r="E2209" i="17"/>
  <c r="E2210" i="17"/>
  <c r="E2211" i="17"/>
  <c r="E2212" i="17"/>
  <c r="E2213" i="17"/>
  <c r="E2214" i="17"/>
  <c r="E2215" i="17"/>
  <c r="E2216" i="17"/>
  <c r="E2217" i="17"/>
  <c r="E2218" i="17"/>
  <c r="E2219" i="17"/>
  <c r="E2220" i="17"/>
  <c r="E2221" i="17"/>
  <c r="E2222" i="17"/>
  <c r="E2223" i="17"/>
  <c r="E2224" i="17"/>
  <c r="E2225" i="17"/>
  <c r="E2226" i="17"/>
  <c r="E2227" i="17"/>
  <c r="E2228" i="17"/>
  <c r="E2229" i="17"/>
  <c r="E2230" i="17"/>
  <c r="E2231" i="17"/>
  <c r="E2232" i="17"/>
  <c r="E2233" i="17"/>
  <c r="E2234" i="17"/>
  <c r="E2235" i="17"/>
  <c r="E2236" i="17"/>
  <c r="E2237" i="17"/>
  <c r="E2238" i="17"/>
  <c r="E2239" i="17"/>
  <c r="E2240" i="17"/>
  <c r="E2241" i="17"/>
  <c r="E2242" i="17"/>
  <c r="E2243" i="17"/>
  <c r="E2244" i="17"/>
  <c r="E2245" i="17"/>
  <c r="E2246" i="17"/>
  <c r="E2247" i="17"/>
  <c r="E2248" i="17"/>
  <c r="E2249" i="17"/>
  <c r="E2250" i="17"/>
  <c r="E2251" i="17"/>
  <c r="E2252" i="17"/>
  <c r="E2253" i="17"/>
  <c r="E2254" i="17"/>
  <c r="E2255" i="17"/>
  <c r="E2256" i="17"/>
  <c r="E2257" i="17"/>
  <c r="E2258" i="17"/>
  <c r="E2259" i="17"/>
  <c r="E2260" i="17"/>
  <c r="E2261" i="17"/>
  <c r="E2262" i="17"/>
  <c r="E2263" i="17"/>
  <c r="E2264" i="17"/>
  <c r="E2265" i="17"/>
  <c r="E2266" i="17"/>
  <c r="E2267" i="17"/>
  <c r="E2268" i="17"/>
  <c r="E2269" i="17"/>
  <c r="E2270" i="17"/>
  <c r="E2271" i="17"/>
  <c r="E2272" i="17"/>
  <c r="E2273" i="17"/>
  <c r="E2274" i="17"/>
  <c r="E2275" i="17"/>
  <c r="E2276" i="17"/>
  <c r="E2277" i="17"/>
  <c r="E2278" i="17"/>
  <c r="E2279" i="17"/>
  <c r="E2280" i="17"/>
  <c r="E2281" i="17"/>
  <c r="E2282" i="17"/>
  <c r="E2283" i="17"/>
  <c r="E2284" i="17"/>
  <c r="E2285" i="17"/>
  <c r="E2286" i="17"/>
  <c r="E2287" i="17"/>
  <c r="E2288" i="17"/>
  <c r="E2289" i="17"/>
  <c r="E2290" i="17"/>
  <c r="E2291" i="17"/>
  <c r="E2292" i="17"/>
  <c r="E2293" i="17"/>
  <c r="E2294" i="17"/>
  <c r="E2295" i="17"/>
  <c r="E2296" i="17"/>
  <c r="E2297" i="17"/>
  <c r="E2298" i="17"/>
  <c r="E2299" i="17"/>
  <c r="E2300" i="17"/>
  <c r="E2301" i="17"/>
  <c r="E2302" i="17"/>
  <c r="E2303" i="17"/>
  <c r="E2304" i="17"/>
  <c r="E2305" i="17"/>
  <c r="E2306" i="17"/>
  <c r="E2307" i="17"/>
  <c r="E2308" i="17"/>
  <c r="E2309" i="17"/>
  <c r="E2310" i="17"/>
  <c r="E2311" i="17"/>
  <c r="E2312" i="17"/>
  <c r="E2313" i="17"/>
  <c r="E2314" i="17"/>
  <c r="E2315" i="17"/>
  <c r="E2316" i="17"/>
  <c r="E2317" i="17"/>
  <c r="E2318" i="17"/>
  <c r="E2319" i="17"/>
  <c r="E2320" i="17"/>
  <c r="E2321" i="17"/>
  <c r="E2322" i="17"/>
  <c r="E2323" i="17"/>
  <c r="E2324" i="17"/>
  <c r="E2325" i="17"/>
  <c r="E2326" i="17"/>
  <c r="E2327" i="17"/>
  <c r="E2328" i="17"/>
  <c r="E2329" i="17"/>
  <c r="E2330" i="17"/>
  <c r="E2331" i="17"/>
  <c r="E2332" i="17"/>
  <c r="E2333" i="17"/>
  <c r="E2334" i="17"/>
  <c r="E2335" i="17"/>
  <c r="E2336" i="17"/>
  <c r="E2337" i="17"/>
  <c r="E2338" i="17"/>
  <c r="E2339" i="17"/>
  <c r="E2340" i="17"/>
  <c r="E2341" i="17"/>
  <c r="E2342" i="17"/>
  <c r="E2343" i="17"/>
  <c r="E2344" i="17"/>
  <c r="E2345" i="17"/>
  <c r="E2346" i="17"/>
  <c r="E2347" i="17"/>
  <c r="E2348" i="17"/>
  <c r="E2349" i="17"/>
  <c r="E2350" i="17"/>
  <c r="L5" i="17" a="1"/>
  <c r="L6" i="17" a="1"/>
  <c r="L7" i="17" a="1"/>
  <c r="L8" i="17" a="1"/>
  <c r="L9" i="17" a="1"/>
  <c r="L10" i="17" a="1"/>
  <c r="L11" i="17" a="1"/>
  <c r="L12" i="17" a="1"/>
  <c r="L13" i="17" a="1"/>
  <c r="L14" i="17" a="1"/>
  <c r="L15" i="17" a="1"/>
  <c r="L16" i="17" a="1"/>
  <c r="L17" i="17" a="1"/>
  <c r="L18" i="17" a="1"/>
  <c r="L19" i="17" a="1"/>
  <c r="L20" i="17" a="1"/>
  <c r="L21" i="17" a="1"/>
  <c r="L22" i="17" a="1"/>
  <c r="L23" i="17" a="1"/>
  <c r="L24" i="17" a="1"/>
  <c r="L25" i="17" a="1"/>
  <c r="L26" i="17" a="1"/>
  <c r="L27" i="17" a="1"/>
  <c r="L28" i="17" a="1"/>
  <c r="L29" i="17" a="1"/>
  <c r="L30" i="17" a="1"/>
  <c r="L31" i="17" a="1"/>
  <c r="L32" i="17" a="1"/>
  <c r="L33" i="17" a="1"/>
  <c r="L34" i="17" a="1"/>
  <c r="L35" i="17" a="1"/>
  <c r="L36" i="17" a="1"/>
  <c r="L37" i="17" a="1"/>
  <c r="L38" i="17" a="1"/>
  <c r="L39" i="17" a="1"/>
  <c r="L40" i="17" a="1"/>
  <c r="L41" i="17" a="1"/>
  <c r="L42" i="17" a="1"/>
  <c r="L43" i="17" a="1"/>
  <c r="L44" i="17" a="1"/>
  <c r="L45" i="17" a="1"/>
  <c r="L46" i="17" a="1"/>
  <c r="L47" i="17" a="1"/>
  <c r="L48" i="17" a="1"/>
  <c r="L49" i="17" a="1"/>
  <c r="L50" i="17" a="1"/>
  <c r="L51" i="17" a="1"/>
  <c r="L52" i="17" a="1"/>
  <c r="L53" i="17" a="1"/>
  <c r="L54" i="17" a="1"/>
  <c r="L55" i="17" a="1"/>
  <c r="L56" i="17" a="1"/>
  <c r="L57" i="17" a="1"/>
  <c r="L58" i="17" a="1"/>
  <c r="L59" i="17" a="1"/>
  <c r="L60" i="17" a="1"/>
  <c r="L61" i="17" a="1"/>
  <c r="L62" i="17" a="1"/>
  <c r="L63" i="17" a="1"/>
  <c r="L64" i="17" a="1"/>
  <c r="L65" i="17" a="1"/>
  <c r="L66" i="17" a="1"/>
  <c r="L67" i="17" a="1"/>
  <c r="L68" i="17" a="1"/>
  <c r="L69" i="17" a="1"/>
  <c r="L70" i="17" a="1"/>
  <c r="L71" i="17" a="1"/>
  <c r="L72" i="17" a="1"/>
  <c r="L73" i="17" a="1"/>
  <c r="L74" i="17" a="1"/>
  <c r="L75" i="17" a="1"/>
  <c r="L76" i="17" a="1"/>
  <c r="L77" i="17" a="1"/>
  <c r="L78" i="17" a="1"/>
  <c r="L79" i="17" a="1"/>
  <c r="L80" i="17" a="1"/>
  <c r="L81" i="17" a="1"/>
  <c r="L82" i="17" a="1"/>
  <c r="L83" i="17" a="1"/>
  <c r="L84" i="17" a="1"/>
  <c r="L85" i="17" a="1"/>
  <c r="L86" i="17" a="1"/>
  <c r="L87" i="17" a="1"/>
  <c r="L88" i="17" a="1"/>
  <c r="L89" i="17" a="1"/>
  <c r="L90" i="17" a="1"/>
  <c r="L91" i="17" a="1"/>
  <c r="L92" i="17" a="1"/>
  <c r="L93" i="17" a="1"/>
  <c r="L94" i="17" a="1"/>
  <c r="L95" i="17" a="1"/>
  <c r="L96" i="17" a="1"/>
  <c r="L97" i="17" a="1"/>
  <c r="L98" i="17" a="1"/>
  <c r="L99" i="17" a="1"/>
  <c r="L100" i="17" a="1"/>
  <c r="L101" i="17" a="1"/>
  <c r="L102" i="17" a="1"/>
  <c r="L103" i="17" a="1"/>
  <c r="L104" i="17" a="1"/>
  <c r="L105" i="17" a="1"/>
  <c r="L106" i="17" a="1"/>
  <c r="L107" i="17" a="1"/>
  <c r="L108" i="17" a="1"/>
  <c r="L109" i="17" a="1"/>
  <c r="L110" i="17" a="1"/>
  <c r="L111" i="17" a="1"/>
  <c r="L112" i="17" a="1"/>
  <c r="L113" i="17" a="1"/>
  <c r="L114" i="17" a="1"/>
  <c r="L115" i="17" a="1"/>
  <c r="L116" i="17" a="1"/>
  <c r="L117" i="17" a="1"/>
  <c r="L118" i="17" a="1"/>
  <c r="L119" i="17" a="1"/>
  <c r="L120" i="17" a="1"/>
  <c r="L121" i="17" a="1"/>
  <c r="L122" i="17" a="1"/>
  <c r="L123" i="17" a="1"/>
  <c r="L124" i="17" a="1"/>
  <c r="L125" i="17" a="1"/>
  <c r="L126" i="17" a="1"/>
  <c r="L127" i="17" a="1"/>
  <c r="L128" i="17" a="1"/>
  <c r="L129" i="17" a="1"/>
  <c r="L130" i="17" a="1"/>
  <c r="L131" i="17" a="1"/>
  <c r="L132" i="17" a="1"/>
  <c r="L133" i="17" a="1"/>
  <c r="L134" i="17" a="1"/>
  <c r="L135" i="17" a="1"/>
  <c r="L136" i="17" a="1"/>
  <c r="L137" i="17" a="1"/>
  <c r="L138" i="17" a="1"/>
  <c r="L139" i="17" a="1"/>
  <c r="L140" i="17" a="1"/>
  <c r="L141" i="17" a="1"/>
  <c r="L142" i="17" a="1"/>
  <c r="L143" i="17" a="1"/>
  <c r="L144" i="17" a="1"/>
  <c r="L145" i="17" a="1"/>
  <c r="L146" i="17" a="1"/>
  <c r="L147" i="17" a="1"/>
  <c r="L148" i="17" a="1"/>
  <c r="L149" i="17" a="1"/>
  <c r="L150" i="17" a="1"/>
  <c r="L151" i="17" a="1"/>
  <c r="L152" i="17" a="1"/>
  <c r="L153" i="17" a="1"/>
  <c r="L154" i="17" a="1"/>
  <c r="L155" i="17" a="1"/>
  <c r="L156" i="17" a="1"/>
  <c r="L157" i="17" a="1"/>
  <c r="L158" i="17" a="1"/>
  <c r="L159" i="17" a="1"/>
  <c r="L160" i="17" a="1"/>
  <c r="L161" i="17" a="1"/>
  <c r="L162" i="17" a="1"/>
  <c r="L163" i="17" a="1"/>
  <c r="L164" i="17" a="1"/>
  <c r="L165" i="17" a="1"/>
  <c r="L166" i="17" a="1"/>
  <c r="L167" i="17" a="1"/>
  <c r="L168" i="17" a="1"/>
  <c r="L169" i="17" a="1"/>
  <c r="L170" i="17" a="1"/>
  <c r="L171" i="17" a="1"/>
  <c r="L172" i="17" a="1"/>
  <c r="L173" i="17" a="1"/>
  <c r="L174" i="17" a="1"/>
  <c r="L175" i="17" a="1"/>
  <c r="L176" i="17" a="1"/>
  <c r="L177" i="17" a="1"/>
  <c r="L178" i="17" a="1"/>
  <c r="L179" i="17" a="1"/>
  <c r="L180" i="17" a="1"/>
  <c r="L181" i="17" a="1"/>
  <c r="L182" i="17" a="1"/>
  <c r="L183" i="17" a="1"/>
  <c r="L184" i="17" a="1"/>
  <c r="L185" i="17" a="1"/>
  <c r="L186" i="17" a="1"/>
  <c r="L187" i="17" a="1"/>
  <c r="L188" i="17" a="1"/>
  <c r="L189" i="17" a="1"/>
  <c r="L190" i="17" a="1"/>
  <c r="L191" i="17" a="1"/>
  <c r="L192" i="17" a="1"/>
  <c r="L193" i="17" a="1"/>
  <c r="L194" i="17" a="1"/>
  <c r="L195" i="17" a="1"/>
  <c r="L196" i="17" a="1"/>
  <c r="L197" i="17" a="1"/>
  <c r="L198" i="17" a="1"/>
  <c r="L199" i="17" a="1"/>
  <c r="L200" i="17" a="1"/>
  <c r="L201" i="17" a="1"/>
  <c r="L202" i="17" a="1"/>
  <c r="L203" i="17" a="1"/>
  <c r="L204" i="17" a="1"/>
  <c r="L205" i="17" a="1"/>
  <c r="L206" i="17" a="1"/>
  <c r="L207" i="17" a="1"/>
  <c r="L208" i="17" a="1"/>
  <c r="L209" i="17" a="1"/>
  <c r="L210" i="17" a="1"/>
  <c r="L211" i="17" a="1"/>
  <c r="L212" i="17" a="1"/>
  <c r="L213" i="17" a="1"/>
  <c r="L214" i="17" a="1"/>
  <c r="L215" i="17" a="1"/>
  <c r="L216" i="17" a="1"/>
  <c r="L217" i="17" a="1"/>
  <c r="L218" i="17" a="1"/>
  <c r="L219" i="17" a="1"/>
  <c r="L220" i="17" a="1"/>
  <c r="L221" i="17" a="1"/>
  <c r="L222" i="17" a="1"/>
  <c r="L223" i="17" a="1"/>
  <c r="L224" i="17" a="1"/>
  <c r="L225" i="17" a="1"/>
  <c r="L226" i="17" a="1"/>
  <c r="L227" i="17" a="1"/>
  <c r="L228" i="17" a="1"/>
  <c r="L229" i="17" a="1"/>
  <c r="L230" i="17" a="1"/>
  <c r="L231" i="17" a="1"/>
  <c r="L232" i="17" a="1"/>
  <c r="L233" i="17" a="1"/>
  <c r="L234" i="17" a="1"/>
  <c r="L235" i="17" a="1"/>
  <c r="L236" i="17" a="1"/>
  <c r="L237" i="17" a="1"/>
  <c r="L238" i="17" a="1"/>
  <c r="L239" i="17" a="1"/>
  <c r="L240" i="17" a="1"/>
  <c r="L241" i="17" a="1"/>
  <c r="L242" i="17" a="1"/>
  <c r="L243" i="17" a="1"/>
  <c r="L244" i="17" a="1"/>
  <c r="L245" i="17" a="1"/>
  <c r="L246" i="17" a="1"/>
  <c r="L247" i="17" a="1"/>
  <c r="L248" i="17" a="1"/>
  <c r="L249" i="17" a="1"/>
  <c r="L250" i="17" a="1"/>
  <c r="L251" i="17" a="1"/>
  <c r="L252" i="17" a="1"/>
  <c r="L253" i="17" a="1"/>
  <c r="L254" i="17" a="1"/>
  <c r="L255" i="17" a="1"/>
  <c r="L256" i="17" a="1"/>
  <c r="L257" i="17" a="1"/>
  <c r="L258" i="17" a="1"/>
  <c r="L259" i="17" a="1"/>
  <c r="L260" i="17" a="1"/>
  <c r="L261" i="17" a="1"/>
  <c r="L262" i="17" a="1"/>
  <c r="L263" i="17" a="1"/>
  <c r="L264" i="17" a="1"/>
  <c r="L265" i="17" a="1"/>
  <c r="L266" i="17" a="1"/>
  <c r="L267" i="17" a="1"/>
  <c r="L268" i="17" a="1"/>
  <c r="L269" i="17" a="1"/>
  <c r="L270" i="17" a="1"/>
  <c r="L271" i="17" a="1"/>
  <c r="L272" i="17" a="1"/>
  <c r="L273" i="17" a="1"/>
  <c r="L274" i="17" a="1"/>
  <c r="L275" i="17" a="1"/>
  <c r="L276" i="17" a="1"/>
  <c r="L277" i="17" a="1"/>
  <c r="L278" i="17" a="1"/>
  <c r="L279" i="17" a="1"/>
  <c r="L280" i="17" a="1"/>
  <c r="L281" i="17" a="1"/>
  <c r="L282" i="17" a="1"/>
  <c r="L283" i="17" a="1"/>
  <c r="L284" i="17" a="1"/>
  <c r="L285" i="17" a="1"/>
  <c r="L286" i="17" a="1"/>
  <c r="L287" i="17" a="1"/>
  <c r="L288" i="17" a="1"/>
  <c r="L289" i="17" a="1"/>
  <c r="L290" i="17" a="1"/>
  <c r="L291" i="17" a="1"/>
  <c r="L292" i="17" a="1"/>
  <c r="L293" i="17" a="1"/>
  <c r="L294" i="17" a="1"/>
  <c r="L295" i="17" a="1"/>
  <c r="L296" i="17" a="1"/>
  <c r="L297" i="17" a="1"/>
  <c r="L298" i="17" a="1"/>
  <c r="L299" i="17" a="1"/>
  <c r="L300" i="17" a="1"/>
  <c r="L301" i="17" a="1"/>
  <c r="L302" i="17" a="1"/>
  <c r="L303" i="17" a="1"/>
  <c r="L304" i="17" a="1"/>
  <c r="L305" i="17" a="1"/>
  <c r="L306" i="17" a="1"/>
  <c r="L307" i="17" a="1"/>
  <c r="L308" i="17" a="1"/>
  <c r="L309" i="17" a="1"/>
  <c r="L310" i="17" a="1"/>
  <c r="L311" i="17" a="1"/>
  <c r="L312" i="17" a="1"/>
  <c r="L313" i="17" a="1"/>
  <c r="L314" i="17" a="1"/>
  <c r="L315" i="17" a="1"/>
  <c r="L316" i="17" a="1"/>
  <c r="L317" i="17" a="1"/>
  <c r="L318" i="17" a="1"/>
  <c r="L319" i="17" a="1"/>
  <c r="L320" i="17" a="1"/>
  <c r="L321" i="17" a="1"/>
  <c r="L322" i="17" a="1"/>
  <c r="L323" i="17" a="1"/>
  <c r="L324" i="17" a="1"/>
  <c r="L325" i="17" a="1"/>
  <c r="L326" i="17" a="1"/>
  <c r="L327" i="17" a="1"/>
  <c r="L328" i="17" a="1"/>
  <c r="L329" i="17" a="1"/>
  <c r="L330" i="17" a="1"/>
  <c r="L331" i="17" a="1"/>
  <c r="L332" i="17" a="1"/>
  <c r="L333" i="17" a="1"/>
  <c r="L334" i="17" a="1"/>
  <c r="L335" i="17" a="1"/>
  <c r="L336" i="17" a="1"/>
  <c r="L337" i="17" a="1"/>
  <c r="L338" i="17" a="1"/>
  <c r="L339" i="17" a="1"/>
  <c r="L340" i="17" a="1"/>
  <c r="L341" i="17" a="1"/>
  <c r="L342" i="17" a="1"/>
  <c r="L343" i="17" a="1"/>
  <c r="L344" i="17" a="1"/>
  <c r="L345" i="17" a="1"/>
  <c r="L346" i="17" a="1"/>
  <c r="L347" i="17" a="1"/>
  <c r="L348" i="17" a="1"/>
  <c r="L349" i="17" a="1"/>
  <c r="L350" i="17" a="1"/>
  <c r="L351" i="17" a="1"/>
  <c r="L352" i="17" a="1"/>
  <c r="L353" i="17" a="1"/>
  <c r="L354" i="17" a="1"/>
  <c r="L355" i="17" a="1"/>
  <c r="L356" i="17" a="1"/>
  <c r="L357" i="17" a="1"/>
  <c r="L358" i="17" a="1"/>
  <c r="L359" i="17" a="1"/>
  <c r="L360" i="17" a="1"/>
  <c r="L361" i="17" a="1"/>
  <c r="L362" i="17" a="1"/>
  <c r="L363" i="17" a="1"/>
  <c r="L364" i="17" a="1"/>
  <c r="L365" i="17" a="1"/>
  <c r="L366" i="17" a="1"/>
  <c r="L367" i="17" a="1"/>
  <c r="L368" i="17" a="1"/>
  <c r="L369" i="17" a="1"/>
  <c r="L370" i="17" a="1"/>
  <c r="L371" i="17" a="1"/>
  <c r="L372" i="17" a="1"/>
  <c r="L373" i="17" a="1"/>
  <c r="L374" i="17" a="1"/>
  <c r="L375" i="17" a="1"/>
  <c r="L376" i="17" a="1"/>
  <c r="L377" i="17" a="1"/>
  <c r="L378" i="17" a="1"/>
  <c r="L379" i="17" a="1"/>
  <c r="L380" i="17" a="1"/>
  <c r="L381" i="17" a="1"/>
  <c r="L382" i="17" a="1"/>
  <c r="L383" i="17" a="1"/>
  <c r="L384" i="17" a="1"/>
  <c r="L385" i="17" a="1"/>
  <c r="L386" i="17" a="1"/>
  <c r="L387" i="17" a="1"/>
  <c r="L388" i="17" a="1"/>
  <c r="L389" i="17" a="1"/>
  <c r="L390" i="17" a="1"/>
  <c r="L391" i="17" a="1"/>
  <c r="L392" i="17" a="1"/>
  <c r="L393" i="17" a="1"/>
  <c r="L394" i="17" a="1"/>
  <c r="L395" i="17" a="1"/>
  <c r="L396" i="17" a="1"/>
  <c r="L397" i="17" a="1"/>
  <c r="L398" i="17" a="1"/>
  <c r="L399" i="17" a="1"/>
  <c r="L400" i="17" a="1"/>
  <c r="L401" i="17" a="1"/>
  <c r="L402" i="17" a="1"/>
  <c r="L403" i="17" a="1"/>
  <c r="L404" i="17" a="1"/>
  <c r="L405" i="17" a="1"/>
  <c r="L406" i="17" a="1"/>
  <c r="L407" i="17" a="1"/>
  <c r="L408" i="17" a="1"/>
  <c r="L409" i="17" a="1"/>
  <c r="L410" i="17" a="1"/>
  <c r="L411" i="17" a="1"/>
  <c r="L412" i="17" a="1"/>
  <c r="L413" i="17" a="1"/>
  <c r="L414" i="17" a="1"/>
  <c r="L415" i="17" a="1"/>
  <c r="L416" i="17" a="1"/>
  <c r="L417" i="17" a="1"/>
  <c r="L418" i="17" a="1"/>
  <c r="L419" i="17" a="1"/>
  <c r="L420" i="17" a="1"/>
  <c r="L421" i="17" a="1"/>
  <c r="L422" i="17" a="1"/>
  <c r="L423" i="17" a="1"/>
  <c r="L424" i="17" a="1"/>
  <c r="L425" i="17" a="1"/>
  <c r="L426" i="17" a="1"/>
  <c r="L427" i="17" a="1"/>
  <c r="L428" i="17" a="1"/>
  <c r="L429" i="17" a="1"/>
  <c r="L430" i="17" a="1"/>
  <c r="L431" i="17" a="1"/>
  <c r="L432" i="17" a="1"/>
  <c r="L433" i="17" a="1"/>
  <c r="L434" i="17" a="1"/>
  <c r="L435" i="17" a="1"/>
  <c r="L436" i="17" a="1"/>
  <c r="L437" i="17" a="1"/>
  <c r="L438" i="17" a="1"/>
  <c r="L439" i="17" a="1"/>
  <c r="L440" i="17" a="1"/>
  <c r="L441" i="17" a="1"/>
  <c r="L442" i="17" a="1"/>
  <c r="L443" i="17" a="1"/>
  <c r="L444" i="17" a="1"/>
  <c r="L445" i="17" a="1"/>
  <c r="L446" i="17" a="1"/>
  <c r="L447" i="17" a="1"/>
  <c r="L448" i="17" a="1"/>
  <c r="L449" i="17" a="1"/>
  <c r="L450" i="17" a="1"/>
  <c r="L451" i="17" a="1"/>
  <c r="L452" i="17" a="1"/>
  <c r="L453" i="17" a="1"/>
  <c r="L454" i="17" a="1"/>
  <c r="L455" i="17" a="1"/>
  <c r="L456" i="17" a="1"/>
  <c r="L457" i="17" a="1"/>
  <c r="L458" i="17" a="1"/>
  <c r="L459" i="17" a="1"/>
  <c r="L460" i="17" a="1"/>
  <c r="L461" i="17" a="1"/>
  <c r="L462" i="17" a="1"/>
  <c r="L463" i="17" a="1"/>
  <c r="L464" i="17" a="1"/>
  <c r="L465" i="17" a="1"/>
  <c r="L466" i="17" a="1"/>
  <c r="L467" i="17" a="1"/>
  <c r="L468" i="17" a="1"/>
  <c r="L469" i="17" a="1"/>
  <c r="L470" i="17" a="1"/>
  <c r="L471" i="17" a="1"/>
  <c r="L472" i="17" a="1"/>
  <c r="L473" i="17" a="1"/>
  <c r="L474" i="17" a="1"/>
  <c r="L475" i="17" a="1"/>
  <c r="L476" i="17" a="1"/>
  <c r="L477" i="17" a="1"/>
  <c r="L478" i="17" a="1"/>
  <c r="L479" i="17" a="1"/>
  <c r="L480" i="17" a="1"/>
  <c r="L481" i="17" a="1"/>
  <c r="L482" i="17" a="1"/>
  <c r="L483" i="17" a="1"/>
  <c r="L484" i="17" a="1"/>
  <c r="L485" i="17" a="1"/>
  <c r="L486" i="17" a="1"/>
  <c r="L487" i="17" a="1"/>
  <c r="L488" i="17" a="1"/>
  <c r="L489" i="17" a="1"/>
  <c r="L490" i="17" a="1"/>
  <c r="L491" i="17" a="1"/>
  <c r="L492" i="17" a="1"/>
  <c r="L493" i="17" a="1"/>
  <c r="L494" i="17" a="1"/>
  <c r="L495" i="17" a="1"/>
  <c r="L496" i="17" a="1"/>
  <c r="L497" i="17" a="1"/>
  <c r="L498" i="17" a="1"/>
  <c r="L499" i="17" a="1"/>
  <c r="L500" i="17" a="1"/>
  <c r="L501" i="17" a="1"/>
  <c r="L502" i="17" a="1"/>
  <c r="L503" i="17" a="1"/>
  <c r="L504" i="17" a="1"/>
  <c r="L505" i="17" a="1"/>
  <c r="L506" i="17" a="1"/>
  <c r="L507" i="17" a="1"/>
  <c r="L508" i="17" a="1"/>
  <c r="L509" i="17" a="1"/>
  <c r="L510" i="17" a="1"/>
  <c r="L511" i="17" a="1"/>
  <c r="L512" i="17" a="1"/>
  <c r="L513" i="17" a="1"/>
  <c r="L514" i="17" a="1"/>
  <c r="L515" i="17" a="1"/>
  <c r="L516" i="17" a="1"/>
  <c r="L517" i="17" a="1"/>
  <c r="L518" i="17" a="1"/>
  <c r="L519" i="17" a="1"/>
  <c r="L520" i="17" a="1"/>
  <c r="L521" i="17" a="1"/>
  <c r="L522" i="17" a="1"/>
  <c r="L523" i="17" a="1"/>
  <c r="L524" i="17" a="1"/>
  <c r="L525" i="17" a="1"/>
  <c r="L526" i="17" a="1"/>
  <c r="L527" i="17" a="1"/>
  <c r="L528" i="17" a="1"/>
  <c r="L529" i="17" a="1"/>
  <c r="L530" i="17" a="1"/>
  <c r="L531" i="17" a="1"/>
  <c r="L532" i="17" a="1"/>
  <c r="L533" i="17" a="1"/>
  <c r="L534" i="17" a="1"/>
  <c r="L535" i="17" a="1"/>
  <c r="L536" i="17" a="1"/>
  <c r="L537" i="17" a="1"/>
  <c r="L538" i="17" a="1"/>
  <c r="L539" i="17" a="1"/>
  <c r="L540" i="17" a="1"/>
  <c r="L541" i="17" a="1"/>
  <c r="L542" i="17" a="1"/>
  <c r="L543" i="17" a="1"/>
  <c r="L544" i="17" a="1"/>
  <c r="L545" i="17" a="1"/>
  <c r="L546" i="17" a="1"/>
  <c r="L547" i="17" a="1"/>
  <c r="L548" i="17" a="1"/>
  <c r="L549" i="17" a="1"/>
  <c r="L550" i="17" a="1"/>
  <c r="L551" i="17" a="1"/>
  <c r="L552" i="17" a="1"/>
  <c r="L553" i="17" a="1"/>
  <c r="L554" i="17" a="1"/>
  <c r="L555" i="17" a="1"/>
  <c r="L556" i="17" a="1"/>
  <c r="L557" i="17" a="1"/>
  <c r="L558" i="17" a="1"/>
  <c r="L559" i="17" a="1"/>
  <c r="L560" i="17" a="1"/>
  <c r="L561" i="17" a="1"/>
  <c r="L562" i="17" a="1"/>
  <c r="L563" i="17" a="1"/>
  <c r="L564" i="17" a="1"/>
  <c r="L565" i="17" a="1"/>
  <c r="L566" i="17" a="1"/>
  <c r="L567" i="17" a="1"/>
  <c r="L568" i="17" a="1"/>
  <c r="L569" i="17" a="1"/>
  <c r="L570" i="17" a="1"/>
  <c r="L571" i="17" a="1"/>
  <c r="L572" i="17" a="1"/>
  <c r="L573" i="17" a="1"/>
  <c r="L574" i="17" a="1"/>
  <c r="L575" i="17" a="1"/>
  <c r="L576" i="17" a="1"/>
  <c r="L577" i="17" a="1"/>
  <c r="L578" i="17" a="1"/>
  <c r="L579" i="17" a="1"/>
  <c r="L580" i="17" a="1"/>
  <c r="L581" i="17" a="1"/>
  <c r="L582" i="17" a="1"/>
  <c r="L583" i="17" a="1"/>
  <c r="L584" i="17" a="1"/>
  <c r="L585" i="17" a="1"/>
  <c r="L586" i="17" a="1"/>
  <c r="L587" i="17" a="1"/>
  <c r="L588" i="17" a="1"/>
  <c r="L589" i="17" a="1"/>
  <c r="L590" i="17" a="1"/>
  <c r="L591" i="17" a="1"/>
  <c r="L592" i="17" a="1"/>
  <c r="L593" i="17" a="1"/>
  <c r="L594" i="17" a="1"/>
  <c r="L595" i="17" a="1"/>
  <c r="L596" i="17" a="1"/>
  <c r="L597" i="17" a="1"/>
  <c r="L598" i="17" a="1"/>
  <c r="L599" i="17" a="1"/>
  <c r="L600" i="17" a="1"/>
  <c r="L601" i="17" a="1"/>
  <c r="L602" i="17" a="1"/>
  <c r="L603" i="17" a="1"/>
  <c r="L604" i="17" a="1"/>
  <c r="L605" i="17" a="1"/>
  <c r="L606" i="17" a="1"/>
  <c r="L607" i="17" a="1"/>
  <c r="L608" i="17" a="1"/>
  <c r="L609" i="17" a="1"/>
  <c r="L610" i="17" a="1"/>
  <c r="L611" i="17" a="1"/>
  <c r="L612" i="17" a="1"/>
  <c r="L613" i="17" a="1"/>
  <c r="L614" i="17" a="1"/>
  <c r="L615" i="17" a="1"/>
  <c r="L616" i="17" a="1"/>
  <c r="L617" i="17" a="1"/>
  <c r="L618" i="17" a="1"/>
  <c r="L619" i="17" a="1"/>
  <c r="L620" i="17" a="1"/>
  <c r="L621" i="17" a="1"/>
  <c r="L622" i="17" a="1"/>
  <c r="L623" i="17" a="1"/>
  <c r="L624" i="17" a="1"/>
  <c r="L625" i="17" a="1"/>
  <c r="L626" i="17" a="1"/>
  <c r="L627" i="17" a="1"/>
  <c r="L628" i="17" a="1"/>
  <c r="L629" i="17" a="1"/>
  <c r="L630" i="17" a="1"/>
  <c r="L631" i="17" a="1"/>
  <c r="L632" i="17" a="1"/>
  <c r="L633" i="17" a="1"/>
  <c r="L634" i="17" a="1"/>
  <c r="L635" i="17" a="1"/>
  <c r="L636" i="17" a="1"/>
  <c r="L637" i="17" a="1"/>
  <c r="L638" i="17" a="1"/>
  <c r="L639" i="17" a="1"/>
  <c r="L640" i="17" a="1"/>
  <c r="L641" i="17" a="1"/>
  <c r="L642" i="17" a="1"/>
  <c r="L643" i="17" a="1"/>
  <c r="L644" i="17" a="1"/>
  <c r="L645" i="17" a="1"/>
  <c r="L646" i="17" a="1"/>
  <c r="L647" i="17" a="1"/>
  <c r="L648" i="17" a="1"/>
  <c r="L649" i="17" a="1"/>
  <c r="L650" i="17" a="1"/>
  <c r="L651" i="17" a="1"/>
  <c r="L652" i="17" a="1"/>
  <c r="L653" i="17" a="1"/>
  <c r="L654" i="17" a="1"/>
  <c r="L655" i="17" a="1"/>
  <c r="L656" i="17" a="1"/>
  <c r="L657" i="17" a="1"/>
  <c r="L658" i="17" a="1"/>
  <c r="L659" i="17" a="1"/>
  <c r="L660" i="17" a="1"/>
  <c r="L661" i="17" a="1"/>
  <c r="L662" i="17" a="1"/>
  <c r="L663" i="17" a="1"/>
  <c r="L664" i="17" a="1"/>
  <c r="L665" i="17" a="1"/>
  <c r="L666" i="17" a="1"/>
  <c r="L667" i="17" a="1"/>
  <c r="L668" i="17" a="1"/>
  <c r="L669" i="17" a="1"/>
  <c r="L670" i="17" a="1"/>
  <c r="L671" i="17" a="1"/>
  <c r="L672" i="17" a="1"/>
  <c r="L673" i="17" a="1"/>
  <c r="L674" i="17" a="1"/>
  <c r="L675" i="17" a="1"/>
  <c r="L676" i="17" a="1"/>
  <c r="L677" i="17" a="1"/>
  <c r="L678" i="17" a="1"/>
  <c r="L679" i="17" a="1"/>
  <c r="L680" i="17" a="1"/>
  <c r="L681" i="17" a="1"/>
  <c r="L682" i="17" a="1"/>
  <c r="L683" i="17" a="1"/>
  <c r="L684" i="17" a="1"/>
  <c r="L685" i="17" a="1"/>
  <c r="L686" i="17" a="1"/>
  <c r="L687" i="17" a="1"/>
  <c r="L688" i="17" a="1"/>
  <c r="L689" i="17" a="1"/>
  <c r="L690" i="17" a="1"/>
  <c r="L691" i="17" a="1"/>
  <c r="L692" i="17" a="1"/>
  <c r="L693" i="17" a="1"/>
  <c r="L694" i="17" a="1"/>
  <c r="L695" i="17" a="1"/>
  <c r="L696" i="17" a="1"/>
  <c r="L697" i="17" a="1"/>
  <c r="L698" i="17" a="1"/>
  <c r="L699" i="17" a="1"/>
  <c r="L700" i="17" a="1"/>
  <c r="L701" i="17" a="1"/>
  <c r="L702" i="17" a="1"/>
  <c r="L703" i="17" a="1"/>
  <c r="L704" i="17" a="1"/>
  <c r="L705" i="17" a="1"/>
  <c r="L706" i="17" a="1"/>
  <c r="L707" i="17" a="1"/>
  <c r="L708" i="17" a="1"/>
  <c r="L709" i="17" a="1"/>
  <c r="L710" i="17" a="1"/>
  <c r="L711" i="17" a="1"/>
  <c r="L712" i="17" a="1"/>
  <c r="L713" i="17" a="1"/>
  <c r="L714" i="17" a="1"/>
  <c r="L715" i="17" a="1"/>
  <c r="L716" i="17" a="1"/>
  <c r="L717" i="17" a="1"/>
  <c r="L718" i="17" a="1"/>
  <c r="L719" i="17" a="1"/>
  <c r="L720" i="17" a="1"/>
  <c r="L721" i="17" a="1"/>
  <c r="L722" i="17" a="1"/>
  <c r="L723" i="17" a="1"/>
  <c r="L724" i="17" a="1"/>
  <c r="L725" i="17" a="1"/>
  <c r="L726" i="17" a="1"/>
  <c r="L727" i="17" a="1"/>
  <c r="L728" i="17" a="1"/>
  <c r="L729" i="17" a="1"/>
  <c r="L730" i="17" a="1"/>
  <c r="L731" i="17" a="1"/>
  <c r="L732" i="17" a="1"/>
  <c r="L733" i="17" a="1"/>
  <c r="L734" i="17" a="1"/>
  <c r="L735" i="17" a="1"/>
  <c r="L736" i="17" a="1"/>
  <c r="L737" i="17" a="1"/>
  <c r="L738" i="17" a="1"/>
  <c r="L739" i="17" a="1"/>
  <c r="L740" i="17" a="1"/>
  <c r="L741" i="17" a="1"/>
  <c r="L742" i="17" a="1"/>
  <c r="L743" i="17" a="1"/>
  <c r="L744" i="17" a="1"/>
  <c r="L745" i="17" a="1"/>
  <c r="L746" i="17" a="1"/>
  <c r="L747" i="17" a="1"/>
  <c r="L748" i="17" a="1"/>
  <c r="L749" i="17" a="1"/>
  <c r="L750" i="17" a="1"/>
  <c r="L751" i="17" a="1"/>
  <c r="L752" i="17" a="1"/>
  <c r="L753" i="17" a="1"/>
  <c r="L754" i="17" a="1"/>
  <c r="L755" i="17" a="1"/>
  <c r="L756" i="17" a="1"/>
  <c r="L757" i="17" a="1"/>
  <c r="L758" i="17" a="1"/>
  <c r="L759" i="17" a="1"/>
  <c r="L760" i="17" a="1"/>
  <c r="L761" i="17" a="1"/>
  <c r="L762" i="17" a="1"/>
  <c r="L763" i="17" a="1"/>
  <c r="L764" i="17" a="1"/>
  <c r="L765" i="17" a="1"/>
  <c r="L766" i="17" a="1"/>
  <c r="L767" i="17" a="1"/>
  <c r="L768" i="17" a="1"/>
  <c r="L769" i="17" a="1"/>
  <c r="L770" i="17" a="1"/>
  <c r="L771" i="17" a="1"/>
  <c r="L772" i="17" a="1"/>
  <c r="L773" i="17" a="1"/>
  <c r="L774" i="17" a="1"/>
  <c r="L775" i="17" a="1"/>
  <c r="L776" i="17" a="1"/>
  <c r="L777" i="17" a="1"/>
  <c r="L778" i="17" a="1"/>
  <c r="L779" i="17" a="1"/>
  <c r="L780" i="17" a="1"/>
  <c r="L781" i="17" a="1"/>
  <c r="L782" i="17" a="1"/>
  <c r="L783" i="17" a="1"/>
  <c r="L784" i="17" a="1"/>
  <c r="L785" i="17" a="1"/>
  <c r="L786" i="17" a="1"/>
  <c r="L787" i="17" a="1"/>
  <c r="L788" i="17" a="1"/>
  <c r="L789" i="17" a="1"/>
  <c r="L790" i="17" a="1"/>
  <c r="L791" i="17" a="1"/>
  <c r="L792" i="17" a="1"/>
  <c r="L793" i="17" a="1"/>
  <c r="L794" i="17" a="1"/>
  <c r="L795" i="17" a="1"/>
  <c r="L796" i="17" a="1"/>
  <c r="L797" i="17" a="1"/>
  <c r="L798" i="17" a="1"/>
  <c r="L799" i="17" a="1"/>
  <c r="L800" i="17" a="1"/>
  <c r="L801" i="17" a="1"/>
  <c r="L802" i="17" a="1"/>
  <c r="L803" i="17" a="1"/>
  <c r="L804" i="17" a="1"/>
  <c r="L805" i="17" a="1"/>
  <c r="L806" i="17" a="1"/>
  <c r="L807" i="17" a="1"/>
  <c r="L808" i="17" a="1"/>
  <c r="L809" i="17" a="1"/>
  <c r="L810" i="17" a="1"/>
  <c r="L811" i="17" a="1"/>
  <c r="L812" i="17" a="1"/>
  <c r="L813" i="17" a="1"/>
  <c r="L814" i="17" a="1"/>
  <c r="L815" i="17" a="1"/>
  <c r="L816" i="17" a="1"/>
  <c r="L817" i="17" a="1"/>
  <c r="L818" i="17" a="1"/>
  <c r="L819" i="17" a="1"/>
  <c r="L820" i="17" a="1"/>
  <c r="L821" i="17" a="1"/>
  <c r="L822" i="17" a="1"/>
  <c r="L823" i="17" a="1"/>
  <c r="L824" i="17" a="1"/>
  <c r="L825" i="17" a="1"/>
  <c r="L826" i="17" a="1"/>
  <c r="L827" i="17" a="1"/>
  <c r="L828" i="17" a="1"/>
  <c r="L829" i="17" a="1"/>
  <c r="L830" i="17" a="1"/>
  <c r="L831" i="17" a="1"/>
  <c r="L832" i="17" a="1"/>
  <c r="L833" i="17" a="1"/>
  <c r="L834" i="17" a="1"/>
  <c r="L835" i="17" a="1"/>
  <c r="L836" i="17" a="1"/>
  <c r="L837" i="17" a="1"/>
  <c r="L838" i="17" a="1"/>
  <c r="L839" i="17" a="1"/>
  <c r="L840" i="17" a="1"/>
  <c r="L841" i="17" a="1"/>
  <c r="L842" i="17" a="1"/>
  <c r="L843" i="17" a="1"/>
  <c r="L844" i="17" a="1"/>
  <c r="L845" i="17" a="1"/>
  <c r="L846" i="17" a="1"/>
  <c r="L847" i="17" a="1"/>
  <c r="L848" i="17" a="1"/>
  <c r="L849" i="17" a="1"/>
  <c r="L850" i="17" a="1"/>
  <c r="L851" i="17" a="1"/>
  <c r="L852" i="17" a="1"/>
  <c r="L853" i="17" a="1"/>
  <c r="L854" i="17" a="1"/>
  <c r="L855" i="17" a="1"/>
  <c r="L856" i="17" a="1"/>
  <c r="L857" i="17" a="1"/>
  <c r="L858" i="17" a="1"/>
  <c r="L859" i="17" a="1"/>
  <c r="L860" i="17" a="1"/>
  <c r="L861" i="17" a="1"/>
  <c r="L862" i="17" a="1"/>
  <c r="L863" i="17" a="1"/>
  <c r="L864" i="17" a="1"/>
  <c r="L865" i="17" a="1"/>
  <c r="L866" i="17" a="1"/>
  <c r="L867" i="17" a="1"/>
  <c r="L868" i="17" a="1"/>
  <c r="L869" i="17" a="1"/>
  <c r="L870" i="17" a="1"/>
  <c r="L871" i="17" a="1"/>
  <c r="L872" i="17" a="1"/>
  <c r="L873" i="17" a="1"/>
  <c r="L874" i="17" a="1"/>
  <c r="L875" i="17" a="1"/>
  <c r="L876" i="17" a="1"/>
  <c r="L877" i="17" a="1"/>
  <c r="L878" i="17" a="1"/>
  <c r="L879" i="17" a="1"/>
  <c r="L880" i="17" a="1"/>
  <c r="L881" i="17" a="1"/>
  <c r="L882" i="17" a="1"/>
  <c r="L883" i="17" a="1"/>
  <c r="L884" i="17" a="1"/>
  <c r="L885" i="17" a="1"/>
  <c r="L886" i="17" a="1"/>
  <c r="L887" i="17" a="1"/>
  <c r="L888" i="17" a="1"/>
  <c r="L889" i="17" a="1"/>
  <c r="L890" i="17" a="1"/>
  <c r="L891" i="17" a="1"/>
  <c r="L892" i="17" a="1"/>
  <c r="L893" i="17" a="1"/>
  <c r="L894" i="17" a="1"/>
  <c r="L895" i="17" a="1"/>
  <c r="L896" i="17" a="1"/>
  <c r="L897" i="17" a="1"/>
  <c r="L898" i="17" a="1"/>
  <c r="L899" i="17" a="1"/>
  <c r="L900" i="17" a="1"/>
  <c r="L901" i="17" a="1"/>
  <c r="L902" i="17" a="1"/>
  <c r="L903" i="17" a="1"/>
  <c r="L904" i="17" a="1"/>
  <c r="L905" i="17" a="1"/>
  <c r="L906" i="17" a="1"/>
  <c r="L907" i="17" a="1"/>
  <c r="L908" i="17" a="1"/>
  <c r="L909" i="17" a="1"/>
  <c r="L910" i="17" a="1"/>
  <c r="L911" i="17" a="1"/>
  <c r="L912" i="17" a="1"/>
  <c r="L913" i="17" a="1"/>
  <c r="L914" i="17" a="1"/>
  <c r="L915" i="17" a="1"/>
  <c r="L916" i="17" a="1"/>
  <c r="L917" i="17" a="1"/>
  <c r="L918" i="17" a="1"/>
  <c r="L919" i="17" a="1"/>
  <c r="L920" i="17" a="1"/>
  <c r="L921" i="17" a="1"/>
  <c r="L922" i="17" a="1"/>
  <c r="L923" i="17" a="1"/>
  <c r="L924" i="17" a="1"/>
  <c r="L925" i="17" a="1"/>
  <c r="L926" i="17" a="1"/>
  <c r="L927" i="17" a="1"/>
  <c r="L928" i="17" a="1"/>
  <c r="L929" i="17" a="1"/>
  <c r="L930" i="17" a="1"/>
  <c r="L931" i="17" a="1"/>
  <c r="L932" i="17" a="1"/>
  <c r="L933" i="17" a="1"/>
  <c r="L934" i="17" a="1"/>
  <c r="L935" i="17" a="1"/>
  <c r="L936" i="17" a="1"/>
  <c r="L937" i="17" a="1"/>
  <c r="L938" i="17" a="1"/>
  <c r="L939" i="17" a="1"/>
  <c r="L940" i="17" a="1"/>
  <c r="L941" i="17" a="1"/>
  <c r="L942" i="17" a="1"/>
  <c r="L943" i="17" a="1"/>
  <c r="L944" i="17" a="1"/>
  <c r="L945" i="17" a="1"/>
  <c r="L946" i="17" a="1"/>
  <c r="L947" i="17" a="1"/>
  <c r="L948" i="17" a="1"/>
  <c r="L949" i="17" a="1"/>
  <c r="L950" i="17" a="1"/>
  <c r="L951" i="17" a="1"/>
  <c r="L952" i="17" a="1"/>
  <c r="L953" i="17" a="1"/>
  <c r="L954" i="17" a="1"/>
  <c r="L955" i="17" a="1"/>
  <c r="L956" i="17" a="1"/>
  <c r="L957" i="17" a="1"/>
  <c r="L958" i="17" a="1"/>
  <c r="L959" i="17" a="1"/>
  <c r="L960" i="17" a="1"/>
  <c r="L961" i="17" a="1"/>
  <c r="L962" i="17" a="1"/>
  <c r="L963" i="17" a="1"/>
  <c r="L964" i="17" a="1"/>
  <c r="L965" i="17" a="1"/>
  <c r="L966" i="17" a="1"/>
  <c r="L967" i="17" a="1"/>
  <c r="L968" i="17" a="1"/>
  <c r="L969" i="17" a="1"/>
  <c r="L970" i="17" a="1"/>
  <c r="L971" i="17" a="1"/>
  <c r="L972" i="17" a="1"/>
  <c r="L973" i="17" a="1"/>
  <c r="L974" i="17" a="1"/>
  <c r="L975" i="17" a="1"/>
  <c r="L976" i="17" a="1"/>
  <c r="L977" i="17" a="1"/>
  <c r="L978" i="17" a="1"/>
  <c r="L979" i="17" a="1"/>
  <c r="L980" i="17" a="1"/>
  <c r="L981" i="17" a="1"/>
  <c r="L982" i="17" a="1"/>
  <c r="L983" i="17" a="1"/>
  <c r="L984" i="17" a="1"/>
  <c r="L985" i="17" a="1"/>
  <c r="L986" i="17" a="1"/>
  <c r="L987" i="17" a="1"/>
  <c r="L988" i="17" a="1"/>
  <c r="L989" i="17" a="1"/>
  <c r="L990" i="17" a="1"/>
  <c r="L991" i="17" a="1"/>
  <c r="L992" i="17" a="1"/>
  <c r="L993" i="17" a="1"/>
  <c r="L994" i="17" a="1"/>
  <c r="L995" i="17" a="1"/>
  <c r="L996" i="17" a="1"/>
  <c r="L997" i="17" a="1"/>
  <c r="L998" i="17" a="1"/>
  <c r="L999" i="17" a="1"/>
  <c r="L1000" i="17" a="1"/>
  <c r="L1001" i="17" a="1"/>
  <c r="L1002" i="17" a="1"/>
  <c r="L1003" i="17" a="1"/>
  <c r="L1004" i="17" a="1"/>
  <c r="L1005" i="17" a="1"/>
  <c r="L1006" i="17" a="1"/>
  <c r="L1007" i="17" a="1"/>
  <c r="L1008" i="17" a="1"/>
  <c r="L1009" i="17" a="1"/>
  <c r="L1010" i="17" a="1"/>
  <c r="L1011" i="17" a="1"/>
  <c r="L1012" i="17" a="1"/>
  <c r="L1013" i="17" a="1"/>
  <c r="L1014" i="17" a="1"/>
  <c r="L1015" i="17" a="1"/>
  <c r="L1016" i="17" a="1"/>
  <c r="L1017" i="17" a="1"/>
  <c r="L1018" i="17" a="1"/>
  <c r="L1019" i="17" a="1"/>
  <c r="L1020" i="17" a="1"/>
  <c r="L1021" i="17" a="1"/>
  <c r="L1022" i="17" a="1"/>
  <c r="L1023" i="17" a="1"/>
  <c r="L1024" i="17" a="1"/>
  <c r="L1025" i="17" a="1"/>
  <c r="L1026" i="17" a="1"/>
  <c r="L1027" i="17" a="1"/>
  <c r="L1028" i="17" a="1"/>
  <c r="L1029" i="17" a="1"/>
  <c r="L1030" i="17" a="1"/>
  <c r="L1031" i="17" a="1"/>
  <c r="L1032" i="17" a="1"/>
  <c r="L1033" i="17" a="1"/>
  <c r="L1034" i="17" a="1"/>
  <c r="L1035" i="17" a="1"/>
  <c r="L1036" i="17" a="1"/>
  <c r="L1037" i="17" a="1"/>
  <c r="L1038" i="17" a="1"/>
  <c r="L1039" i="17" a="1"/>
  <c r="L1040" i="17" a="1"/>
  <c r="L1041" i="17" a="1"/>
  <c r="L1042" i="17" a="1"/>
  <c r="L1043" i="17" a="1"/>
  <c r="L1044" i="17" a="1"/>
  <c r="L1045" i="17" a="1"/>
  <c r="L1046" i="17" a="1"/>
  <c r="L1047" i="17" a="1"/>
  <c r="L1048" i="17" a="1"/>
  <c r="L1049" i="17" a="1"/>
  <c r="L1050" i="17" a="1"/>
  <c r="L1051" i="17" a="1"/>
  <c r="L1052" i="17" a="1"/>
  <c r="L1053" i="17" a="1"/>
  <c r="L1054" i="17" a="1"/>
  <c r="L1055" i="17" a="1"/>
  <c r="L1056" i="17" a="1"/>
  <c r="L1057" i="17" a="1"/>
  <c r="L1058" i="17" a="1"/>
  <c r="L1059" i="17" a="1"/>
  <c r="L1060" i="17" a="1"/>
  <c r="L1061" i="17" a="1"/>
  <c r="L1062" i="17" a="1"/>
  <c r="L1063" i="17" a="1"/>
  <c r="L1064" i="17" a="1"/>
  <c r="L1065" i="17" a="1"/>
  <c r="L1066" i="17" a="1"/>
  <c r="L1067" i="17" a="1"/>
  <c r="L1068" i="17" a="1"/>
  <c r="L1069" i="17" a="1"/>
  <c r="L1070" i="17" a="1"/>
  <c r="L1071" i="17" a="1"/>
  <c r="L1072" i="17" a="1"/>
  <c r="L1073" i="17" a="1"/>
  <c r="L1074" i="17" a="1"/>
  <c r="L1075" i="17" a="1"/>
  <c r="L1076" i="17" a="1"/>
  <c r="L1077" i="17" a="1"/>
  <c r="L1078" i="17" a="1"/>
  <c r="L1079" i="17" a="1"/>
  <c r="L1080" i="17" a="1"/>
  <c r="L1081" i="17" a="1"/>
  <c r="L1082" i="17" a="1"/>
  <c r="L1083" i="17" a="1"/>
  <c r="L1084" i="17" a="1"/>
  <c r="L1085" i="17" a="1"/>
  <c r="L1086" i="17" a="1"/>
  <c r="L1087" i="17" a="1"/>
  <c r="L1088" i="17" a="1"/>
  <c r="L1089" i="17" a="1"/>
  <c r="L1090" i="17" a="1"/>
  <c r="L1091" i="17" a="1"/>
  <c r="L1092" i="17" a="1"/>
  <c r="L1093" i="17" a="1"/>
  <c r="L1094" i="17" a="1"/>
  <c r="L1095" i="17" a="1"/>
  <c r="L1096" i="17" a="1"/>
  <c r="L1097" i="17" a="1"/>
  <c r="L1098" i="17" a="1"/>
  <c r="L1099" i="17" a="1"/>
  <c r="L1100" i="17" a="1"/>
  <c r="L1101" i="17" a="1"/>
  <c r="L1102" i="17" a="1"/>
  <c r="L1103" i="17" a="1"/>
  <c r="L1104" i="17" a="1"/>
  <c r="L1105" i="17" a="1"/>
  <c r="L1106" i="17" a="1"/>
  <c r="L1107" i="17" a="1"/>
  <c r="L1108" i="17" a="1"/>
  <c r="L1109" i="17" a="1"/>
  <c r="L1110" i="17" a="1"/>
  <c r="L1111" i="17" a="1"/>
  <c r="L1112" i="17" a="1"/>
  <c r="L1113" i="17" a="1"/>
  <c r="L1114" i="17" a="1"/>
  <c r="L1115" i="17" a="1"/>
  <c r="L1116" i="17" a="1"/>
  <c r="L1117" i="17" a="1"/>
  <c r="L1118" i="17" a="1"/>
  <c r="L1119" i="17" a="1"/>
  <c r="L1120" i="17" a="1"/>
  <c r="L1121" i="17" a="1"/>
  <c r="L1122" i="17" a="1"/>
  <c r="L1123" i="17" a="1"/>
  <c r="L1124" i="17" a="1"/>
  <c r="L1125" i="17" a="1"/>
  <c r="L1126" i="17" a="1"/>
  <c r="L1127" i="17" a="1"/>
  <c r="L1128" i="17" a="1"/>
  <c r="L1129" i="17" a="1"/>
  <c r="L1130" i="17" a="1"/>
  <c r="L1131" i="17" a="1"/>
  <c r="L1132" i="17" a="1"/>
  <c r="L1133" i="17" a="1"/>
  <c r="L1134" i="17" a="1"/>
  <c r="L1135" i="17" a="1"/>
  <c r="L1136" i="17" a="1"/>
  <c r="L1137" i="17" a="1"/>
  <c r="L1138" i="17" a="1"/>
  <c r="L1139" i="17" a="1"/>
  <c r="L1140" i="17" a="1"/>
  <c r="L1141" i="17" a="1"/>
  <c r="L1142" i="17" a="1"/>
  <c r="L1143" i="17" a="1"/>
  <c r="L1144" i="17" a="1"/>
  <c r="L1145" i="17" a="1"/>
  <c r="L1146" i="17" a="1"/>
  <c r="L1147" i="17" a="1"/>
  <c r="L1148" i="17" a="1"/>
  <c r="L1149" i="17" a="1"/>
  <c r="L1150" i="17" a="1"/>
  <c r="L1151" i="17" a="1"/>
  <c r="L1152" i="17" a="1"/>
  <c r="L1153" i="17" a="1"/>
  <c r="L1154" i="17" a="1"/>
  <c r="L1155" i="17" a="1"/>
  <c r="L1156" i="17" a="1"/>
  <c r="L1157" i="17" a="1"/>
  <c r="L1158" i="17" a="1"/>
  <c r="L1159" i="17" a="1"/>
  <c r="L1160" i="17" a="1"/>
  <c r="L1161" i="17" a="1"/>
  <c r="L1162" i="17" a="1"/>
  <c r="L1163" i="17" a="1"/>
  <c r="L1164" i="17" a="1"/>
  <c r="L1165" i="17" a="1"/>
  <c r="L1166" i="17" a="1"/>
  <c r="L1167" i="17" a="1"/>
  <c r="L1168" i="17" a="1"/>
  <c r="L1169" i="17" a="1"/>
  <c r="L1170" i="17" a="1"/>
  <c r="L1171" i="17" a="1"/>
  <c r="L1172" i="17" a="1"/>
  <c r="L1173" i="17" a="1"/>
  <c r="L1174" i="17" a="1"/>
  <c r="L1175" i="17" a="1"/>
  <c r="L1176" i="17" a="1"/>
  <c r="L1177" i="17" a="1"/>
  <c r="L1178" i="17" a="1"/>
  <c r="L1179" i="17" a="1"/>
  <c r="L1180" i="17" a="1"/>
  <c r="L1181" i="17" a="1"/>
  <c r="L1182" i="17" a="1"/>
  <c r="L1183" i="17" a="1"/>
  <c r="L1184" i="17" a="1"/>
  <c r="L1185" i="17" a="1"/>
  <c r="L1186" i="17" a="1"/>
  <c r="L1187" i="17" a="1"/>
  <c r="L1188" i="17" a="1"/>
  <c r="L1189" i="17" a="1"/>
  <c r="L1190" i="17" a="1"/>
  <c r="L1191" i="17" a="1"/>
  <c r="L1192" i="17" a="1"/>
  <c r="L1193" i="17" a="1"/>
  <c r="L1194" i="17" a="1"/>
  <c r="L1195" i="17" a="1"/>
  <c r="L1196" i="17" a="1"/>
  <c r="L1197" i="17" a="1"/>
  <c r="L1198" i="17" a="1"/>
  <c r="L1199" i="17" a="1"/>
  <c r="L1200" i="17" a="1"/>
  <c r="L1201" i="17" a="1"/>
  <c r="L1202" i="17" a="1"/>
  <c r="L1203" i="17" a="1"/>
  <c r="L1204" i="17" a="1"/>
  <c r="L1205" i="17" a="1"/>
  <c r="L1206" i="17" a="1"/>
  <c r="L1207" i="17" a="1"/>
  <c r="L1208" i="17" a="1"/>
  <c r="L1209" i="17" a="1"/>
  <c r="L1210" i="17" a="1"/>
  <c r="L1211" i="17" a="1"/>
  <c r="L1212" i="17" a="1"/>
  <c r="L1213" i="17" a="1"/>
  <c r="L1214" i="17" a="1"/>
  <c r="L1215" i="17" a="1"/>
  <c r="L1216" i="17" a="1"/>
  <c r="L1217" i="17" a="1"/>
  <c r="L1218" i="17" a="1"/>
  <c r="L1219" i="17" a="1"/>
  <c r="L1220" i="17" a="1"/>
  <c r="L1221" i="17" a="1"/>
  <c r="L1222" i="17" a="1"/>
  <c r="L1223" i="17" a="1"/>
  <c r="L1224" i="17" a="1"/>
  <c r="L1225" i="17" a="1"/>
  <c r="L1226" i="17" a="1"/>
  <c r="L1227" i="17" a="1"/>
  <c r="L1228" i="17" a="1"/>
  <c r="L1229" i="17" a="1"/>
  <c r="L1230" i="17" a="1"/>
  <c r="L1231" i="17" a="1"/>
  <c r="L1232" i="17" a="1"/>
  <c r="L1233" i="17" a="1"/>
  <c r="L1234" i="17" a="1"/>
  <c r="L1235" i="17" a="1"/>
  <c r="L1236" i="17" a="1"/>
  <c r="L1237" i="17" a="1"/>
  <c r="L1238" i="17" a="1"/>
  <c r="L1239" i="17" a="1"/>
  <c r="L1240" i="17" a="1"/>
  <c r="L1241" i="17" a="1"/>
  <c r="L1242" i="17" a="1"/>
  <c r="L1243" i="17" a="1"/>
  <c r="L1244" i="17" a="1"/>
  <c r="L1245" i="17" a="1"/>
  <c r="L1246" i="17" a="1"/>
  <c r="L1247" i="17" a="1"/>
  <c r="L1248" i="17" a="1"/>
  <c r="L1249" i="17" a="1"/>
  <c r="L1250" i="17" a="1"/>
  <c r="L1251" i="17" a="1"/>
  <c r="L1252" i="17" a="1"/>
  <c r="L1253" i="17" a="1"/>
  <c r="L1254" i="17" a="1"/>
  <c r="L1255" i="17" a="1"/>
  <c r="L1256" i="17" a="1"/>
  <c r="L1257" i="17" a="1"/>
  <c r="L1258" i="17" a="1"/>
  <c r="L1259" i="17" a="1"/>
  <c r="L1260" i="17" a="1"/>
  <c r="L1261" i="17" a="1"/>
  <c r="L1262" i="17" a="1"/>
  <c r="L1263" i="17" a="1"/>
  <c r="L1264" i="17" a="1"/>
  <c r="L1265" i="17" a="1"/>
  <c r="L1266" i="17" a="1"/>
  <c r="L1267" i="17" a="1"/>
  <c r="L1268" i="17" a="1"/>
  <c r="L1269" i="17" a="1"/>
  <c r="L1270" i="17" a="1"/>
  <c r="L1271" i="17" a="1"/>
  <c r="L1272" i="17" a="1"/>
  <c r="L1273" i="17" a="1"/>
  <c r="L1274" i="17" a="1"/>
  <c r="L1275" i="17" a="1"/>
  <c r="L1276" i="17" a="1"/>
  <c r="L1277" i="17" a="1"/>
  <c r="L1278" i="17" a="1"/>
  <c r="L1279" i="17" a="1"/>
  <c r="L1280" i="17" a="1"/>
  <c r="L1281" i="17" a="1"/>
  <c r="L1282" i="17" a="1"/>
  <c r="L1283" i="17" a="1"/>
  <c r="L1284" i="17" a="1"/>
  <c r="L1285" i="17" a="1"/>
  <c r="L1286" i="17" a="1"/>
  <c r="L1287" i="17" a="1"/>
  <c r="L1288" i="17" a="1"/>
  <c r="L1289" i="17" a="1"/>
  <c r="L1290" i="17" a="1"/>
  <c r="L1291" i="17" a="1"/>
  <c r="L1292" i="17" a="1"/>
  <c r="L1293" i="17" a="1"/>
  <c r="L1294" i="17" a="1"/>
  <c r="L1295" i="17" a="1"/>
  <c r="L1296" i="17" a="1"/>
  <c r="L1297" i="17" a="1"/>
  <c r="L1298" i="17" a="1"/>
  <c r="L1299" i="17" a="1"/>
  <c r="L1300" i="17" a="1"/>
  <c r="L1301" i="17" a="1"/>
  <c r="L1302" i="17" a="1"/>
  <c r="L1303" i="17" a="1"/>
  <c r="L1304" i="17" a="1"/>
  <c r="L1305" i="17" a="1"/>
  <c r="L1306" i="17" a="1"/>
  <c r="L1307" i="17" a="1"/>
  <c r="L1308" i="17" a="1"/>
  <c r="L1309" i="17" a="1"/>
  <c r="L1310" i="17" a="1"/>
  <c r="L1311" i="17" a="1"/>
  <c r="L1312" i="17" a="1"/>
  <c r="L1313" i="17" a="1"/>
  <c r="L1314" i="17" a="1"/>
  <c r="L1315" i="17" a="1"/>
  <c r="L1316" i="17" a="1"/>
  <c r="L1317" i="17" a="1"/>
  <c r="L1318" i="17" a="1"/>
  <c r="L1319" i="17" a="1"/>
  <c r="L1320" i="17" a="1"/>
  <c r="L1321" i="17" a="1"/>
  <c r="L1322" i="17" a="1"/>
  <c r="L1323" i="17" a="1"/>
  <c r="L1324" i="17" a="1"/>
  <c r="L1325" i="17" a="1"/>
  <c r="L1326" i="17" a="1"/>
  <c r="L1327" i="17" a="1"/>
  <c r="L1328" i="17" a="1"/>
  <c r="L1329" i="17" a="1"/>
  <c r="L1330" i="17" a="1"/>
  <c r="L1331" i="17" a="1"/>
  <c r="L1332" i="17" a="1"/>
  <c r="L1333" i="17" a="1"/>
  <c r="L1334" i="17" a="1"/>
  <c r="L1335" i="17" a="1"/>
  <c r="L1336" i="17" a="1"/>
  <c r="L1337" i="17" a="1"/>
  <c r="L1338" i="17" a="1"/>
  <c r="L1339" i="17" a="1"/>
  <c r="L1340" i="17" a="1"/>
  <c r="L1341" i="17" a="1"/>
  <c r="L1342" i="17" a="1"/>
  <c r="L1343" i="17" a="1"/>
  <c r="L1344" i="17" a="1"/>
  <c r="L1345" i="17" a="1"/>
  <c r="L1346" i="17" a="1"/>
  <c r="L1347" i="17" a="1"/>
  <c r="L1348" i="17" a="1"/>
  <c r="L1349" i="17" a="1"/>
  <c r="L1350" i="17" a="1"/>
  <c r="L1351" i="17" a="1"/>
  <c r="L1352" i="17" a="1"/>
  <c r="L1353" i="17" a="1"/>
  <c r="L1354" i="17" a="1"/>
  <c r="L1355" i="17" a="1"/>
  <c r="L1356" i="17" a="1"/>
  <c r="L1357" i="17" a="1"/>
  <c r="L1358" i="17" a="1"/>
  <c r="L1359" i="17" a="1"/>
  <c r="L1360" i="17" a="1"/>
  <c r="L1361" i="17" a="1"/>
  <c r="L1362" i="17" a="1"/>
  <c r="L1363" i="17" a="1"/>
  <c r="L1364" i="17" a="1"/>
  <c r="L1365" i="17" a="1"/>
  <c r="L1366" i="17" a="1"/>
  <c r="L1367" i="17" a="1"/>
  <c r="L1368" i="17" a="1"/>
  <c r="L1369" i="17" a="1"/>
  <c r="L1370" i="17" a="1"/>
  <c r="L1371" i="17" a="1"/>
  <c r="L1372" i="17" a="1"/>
  <c r="L1373" i="17" a="1"/>
  <c r="L1374" i="17" a="1"/>
  <c r="L1375" i="17" a="1"/>
  <c r="L1376" i="17" a="1"/>
  <c r="L1377" i="17" a="1"/>
  <c r="L1378" i="17" a="1"/>
  <c r="L1379" i="17" a="1"/>
  <c r="L1380" i="17" a="1"/>
  <c r="L1381" i="17" a="1"/>
  <c r="L1382" i="17" a="1"/>
  <c r="L1383" i="17" a="1"/>
  <c r="L1384" i="17" a="1"/>
  <c r="L1385" i="17" a="1"/>
  <c r="L1386" i="17" a="1"/>
  <c r="L1387" i="17" a="1"/>
  <c r="L1388" i="17" a="1"/>
  <c r="L1389" i="17" a="1"/>
  <c r="L1390" i="17" a="1"/>
  <c r="L1391" i="17" a="1"/>
  <c r="L1392" i="17" a="1"/>
  <c r="L1393" i="17" a="1"/>
  <c r="L1394" i="17" a="1"/>
  <c r="L1395" i="17" a="1"/>
  <c r="L1396" i="17" a="1"/>
  <c r="L1397" i="17" a="1"/>
  <c r="L1398" i="17" a="1"/>
  <c r="L1399" i="17" a="1"/>
  <c r="L1400" i="17" a="1"/>
  <c r="L1401" i="17" a="1"/>
  <c r="L1402" i="17" a="1"/>
  <c r="L1403" i="17" a="1"/>
  <c r="L1404" i="17" a="1"/>
  <c r="L1405" i="17" a="1"/>
  <c r="L1406" i="17" a="1"/>
  <c r="L1407" i="17" a="1"/>
  <c r="L1408" i="17" a="1"/>
  <c r="L1409" i="17" a="1"/>
  <c r="L1410" i="17" a="1"/>
  <c r="L1411" i="17" a="1"/>
  <c r="L1412" i="17" a="1"/>
  <c r="L1413" i="17" a="1"/>
  <c r="L1414" i="17" a="1"/>
  <c r="L1415" i="17" a="1"/>
  <c r="L1416" i="17" a="1"/>
  <c r="L1417" i="17" a="1"/>
  <c r="L1418" i="17" a="1"/>
  <c r="L1419" i="17" a="1"/>
  <c r="L1420" i="17" a="1"/>
  <c r="L1421" i="17" a="1"/>
  <c r="L1422" i="17" a="1"/>
  <c r="L1423" i="17" a="1"/>
  <c r="L1424" i="17" a="1"/>
  <c r="L1425" i="17" a="1"/>
  <c r="L1426" i="17" a="1"/>
  <c r="L1427" i="17" a="1"/>
  <c r="L1428" i="17" a="1"/>
  <c r="L1429" i="17" a="1"/>
  <c r="L1430" i="17" a="1"/>
  <c r="L1431" i="17" a="1"/>
  <c r="L1432" i="17" a="1"/>
  <c r="L1433" i="17" a="1"/>
  <c r="L1434" i="17" a="1"/>
  <c r="L1435" i="17" a="1"/>
  <c r="L1436" i="17" a="1"/>
  <c r="L1437" i="17" a="1"/>
  <c r="L1438" i="17" a="1"/>
  <c r="L1439" i="17" a="1"/>
  <c r="L1440" i="17" a="1"/>
  <c r="L1441" i="17" a="1"/>
  <c r="L1442" i="17" a="1"/>
  <c r="L1443" i="17" a="1"/>
  <c r="L1444" i="17" a="1"/>
  <c r="L1445" i="17" a="1"/>
  <c r="L1446" i="17" a="1"/>
  <c r="L1447" i="17" a="1"/>
  <c r="L1448" i="17" a="1"/>
  <c r="L1449" i="17" a="1"/>
  <c r="L1450" i="17" a="1"/>
  <c r="L1451" i="17" a="1"/>
  <c r="L1452" i="17" a="1"/>
  <c r="L1453" i="17" a="1"/>
  <c r="L1454" i="17" a="1"/>
  <c r="L1455" i="17" a="1"/>
  <c r="L1456" i="17" a="1"/>
  <c r="L1457" i="17" a="1"/>
  <c r="L1458" i="17" a="1"/>
  <c r="L1459" i="17" a="1"/>
  <c r="L1460" i="17" a="1"/>
  <c r="L1461" i="17" a="1"/>
  <c r="L1462" i="17" a="1"/>
  <c r="L1463" i="17" a="1"/>
  <c r="L1464" i="17" a="1"/>
  <c r="L1465" i="17" a="1"/>
  <c r="L1466" i="17" a="1"/>
  <c r="L1467" i="17" a="1"/>
  <c r="L1468" i="17" a="1"/>
  <c r="L1469" i="17" a="1"/>
  <c r="L1470" i="17" a="1"/>
  <c r="L1471" i="17" a="1"/>
  <c r="L1472" i="17" a="1"/>
  <c r="L1473" i="17" a="1"/>
  <c r="L1474" i="17" a="1"/>
  <c r="L1475" i="17" a="1"/>
  <c r="L1476" i="17" a="1"/>
  <c r="L1477" i="17" a="1"/>
  <c r="L1478" i="17" a="1"/>
  <c r="L1479" i="17" a="1"/>
  <c r="L1480" i="17" a="1"/>
  <c r="L1481" i="17" a="1"/>
  <c r="L1482" i="17" a="1"/>
  <c r="L1483" i="17" a="1"/>
  <c r="L1484" i="17" a="1"/>
  <c r="L1485" i="17" a="1"/>
  <c r="L1486" i="17" a="1"/>
  <c r="L1487" i="17" a="1"/>
  <c r="L1488" i="17" a="1"/>
  <c r="L1489" i="17" a="1"/>
  <c r="L1490" i="17" a="1"/>
  <c r="L1491" i="17" a="1"/>
  <c r="L1492" i="17" a="1"/>
  <c r="L1493" i="17" a="1"/>
  <c r="L1494" i="17" a="1"/>
  <c r="L1495" i="17" a="1"/>
  <c r="L1496" i="17" a="1"/>
  <c r="L1497" i="17" a="1"/>
  <c r="L1498" i="17" a="1"/>
  <c r="L1499" i="17" a="1"/>
  <c r="L1500" i="17" a="1"/>
  <c r="L1501" i="17" a="1"/>
  <c r="L1502" i="17" a="1"/>
  <c r="L1503" i="17" a="1"/>
  <c r="L1504" i="17" a="1"/>
  <c r="L1505" i="17" a="1"/>
  <c r="L1506" i="17" a="1"/>
  <c r="L1507" i="17" a="1"/>
  <c r="L1508" i="17" a="1"/>
  <c r="L1509" i="17" a="1"/>
  <c r="L1510" i="17" a="1"/>
  <c r="L1511" i="17" a="1"/>
  <c r="L1512" i="17" a="1"/>
  <c r="L1513" i="17" a="1"/>
  <c r="L1514" i="17" a="1"/>
  <c r="L1515" i="17" a="1"/>
  <c r="L1516" i="17" a="1"/>
  <c r="L1517" i="17" a="1"/>
  <c r="L1518" i="17" a="1"/>
  <c r="L1519" i="17" a="1"/>
  <c r="L1520" i="17" a="1"/>
  <c r="L1521" i="17" a="1"/>
  <c r="L1522" i="17" a="1"/>
  <c r="L1523" i="17" a="1"/>
  <c r="L1524" i="17" a="1"/>
  <c r="L1525" i="17" a="1"/>
  <c r="L1526" i="17" a="1"/>
  <c r="L1527" i="17" a="1"/>
  <c r="L1528" i="17" a="1"/>
  <c r="L1529" i="17" a="1"/>
  <c r="L1530" i="17" a="1"/>
  <c r="L1531" i="17" a="1"/>
  <c r="L1532" i="17" a="1"/>
  <c r="L1533" i="17" a="1"/>
  <c r="L1534" i="17" a="1"/>
  <c r="L1535" i="17" a="1"/>
  <c r="L1536" i="17" a="1"/>
  <c r="L1537" i="17" a="1"/>
  <c r="L1538" i="17" a="1"/>
  <c r="L1539" i="17" a="1"/>
  <c r="L1540" i="17" a="1"/>
  <c r="L1541" i="17" a="1"/>
  <c r="L1542" i="17" a="1"/>
  <c r="L1543" i="17" a="1"/>
  <c r="L1544" i="17" a="1"/>
  <c r="L1545" i="17" a="1"/>
  <c r="L1546" i="17" a="1"/>
  <c r="L1547" i="17" a="1"/>
  <c r="L1548" i="17" a="1"/>
  <c r="L1549" i="17" a="1"/>
  <c r="L1550" i="17" a="1"/>
  <c r="L1551" i="17" a="1"/>
  <c r="L1552" i="17" a="1"/>
  <c r="L1553" i="17" a="1"/>
  <c r="L1554" i="17" a="1"/>
  <c r="L1555" i="17" a="1"/>
  <c r="L1556" i="17" a="1"/>
  <c r="L1557" i="17" a="1"/>
  <c r="L1558" i="17" a="1"/>
  <c r="L1559" i="17" a="1"/>
  <c r="L1560" i="17" a="1"/>
  <c r="L1561" i="17" a="1"/>
  <c r="L1562" i="17" a="1"/>
  <c r="L1563" i="17" a="1"/>
  <c r="L1564" i="17" a="1"/>
  <c r="L1565" i="17" a="1"/>
  <c r="L1566" i="17" a="1"/>
  <c r="L1567" i="17" a="1"/>
  <c r="L1568" i="17" a="1"/>
  <c r="L1569" i="17" a="1"/>
  <c r="L1570" i="17" a="1"/>
  <c r="L1571" i="17" a="1"/>
  <c r="L1572" i="17" a="1"/>
  <c r="L1573" i="17" a="1"/>
  <c r="L1574" i="17" a="1"/>
  <c r="L1575" i="17" a="1"/>
  <c r="L1576" i="17" a="1"/>
  <c r="L1577" i="17" a="1"/>
  <c r="L1578" i="17" a="1"/>
  <c r="L1579" i="17" a="1"/>
  <c r="L1580" i="17" a="1"/>
  <c r="L1581" i="17" a="1"/>
  <c r="L1582" i="17" a="1"/>
  <c r="L1583" i="17" a="1"/>
  <c r="L1584" i="17" a="1"/>
  <c r="L1585" i="17" a="1"/>
  <c r="L1586" i="17" a="1"/>
  <c r="L1587" i="17" a="1"/>
  <c r="L1588" i="17" a="1"/>
  <c r="L1589" i="17" a="1"/>
  <c r="L1590" i="17" a="1"/>
  <c r="L1591" i="17" a="1"/>
  <c r="L1592" i="17" a="1"/>
  <c r="L1593" i="17" a="1"/>
  <c r="L1594" i="17" a="1"/>
  <c r="L1595" i="17" a="1"/>
  <c r="L1596" i="17" a="1"/>
  <c r="L1597" i="17" a="1"/>
  <c r="L1598" i="17" a="1"/>
  <c r="L1599" i="17" a="1"/>
  <c r="L1600" i="17" a="1"/>
  <c r="L1601" i="17" a="1"/>
  <c r="L1602" i="17" a="1"/>
  <c r="L1603" i="17" a="1"/>
  <c r="L1604" i="17" a="1"/>
  <c r="L1605" i="17" a="1"/>
  <c r="L1606" i="17" a="1"/>
  <c r="L1607" i="17" a="1"/>
  <c r="L1608" i="17" a="1"/>
  <c r="L1609" i="17" a="1"/>
  <c r="L1610" i="17" a="1"/>
  <c r="L1611" i="17" a="1"/>
  <c r="L1612" i="17" a="1"/>
  <c r="L1613" i="17" a="1"/>
  <c r="L1614" i="17" a="1"/>
  <c r="L1615" i="17" a="1"/>
  <c r="L1616" i="17" a="1"/>
  <c r="L1617" i="17" a="1"/>
  <c r="L1618" i="17" a="1"/>
  <c r="L1619" i="17" a="1"/>
  <c r="L1620" i="17" a="1"/>
  <c r="L1621" i="17" a="1"/>
  <c r="L1622" i="17" a="1"/>
  <c r="L1623" i="17" a="1"/>
  <c r="L1624" i="17" a="1"/>
  <c r="L1625" i="17" a="1"/>
  <c r="L1626" i="17" a="1"/>
  <c r="L1627" i="17" a="1"/>
  <c r="L1628" i="17" a="1"/>
  <c r="L1629" i="17" a="1"/>
  <c r="L1630" i="17" a="1"/>
  <c r="L1631" i="17" a="1"/>
  <c r="L1632" i="17" a="1"/>
  <c r="L1633" i="17" a="1"/>
  <c r="L1634" i="17" a="1"/>
  <c r="L1635" i="17" a="1"/>
  <c r="L1636" i="17" a="1"/>
  <c r="L1637" i="17" a="1"/>
  <c r="L1638" i="17" a="1"/>
  <c r="L1639" i="17" a="1"/>
  <c r="L1640" i="17" a="1"/>
  <c r="L1641" i="17" a="1"/>
  <c r="L1642" i="17" a="1"/>
  <c r="L1643" i="17" a="1"/>
  <c r="L1644" i="17" a="1"/>
  <c r="L1645" i="17" a="1"/>
  <c r="L1646" i="17" a="1"/>
  <c r="L1647" i="17" a="1"/>
  <c r="L1648" i="17" a="1"/>
  <c r="L1649" i="17" a="1"/>
  <c r="L1650" i="17" a="1"/>
  <c r="L1651" i="17" a="1"/>
  <c r="L1652" i="17" a="1"/>
  <c r="L1653" i="17" a="1"/>
  <c r="L1654" i="17" a="1"/>
  <c r="L1655" i="17" a="1"/>
  <c r="L1656" i="17" a="1"/>
  <c r="L1657" i="17" a="1"/>
  <c r="L1658" i="17" a="1"/>
  <c r="L1659" i="17" a="1"/>
  <c r="L1660" i="17" a="1"/>
  <c r="L1661" i="17" a="1"/>
  <c r="L1662" i="17" a="1"/>
  <c r="L1663" i="17" a="1"/>
  <c r="L1664" i="17" a="1"/>
  <c r="L1665" i="17" a="1"/>
  <c r="L1666" i="17" a="1"/>
  <c r="L1667" i="17" a="1"/>
  <c r="L1668" i="17" a="1"/>
  <c r="L1669" i="17" a="1"/>
  <c r="L1670" i="17" a="1"/>
  <c r="L1671" i="17" a="1"/>
  <c r="L1672" i="17" a="1"/>
  <c r="L1673" i="17" a="1"/>
  <c r="L1674" i="17" a="1"/>
  <c r="L1675" i="17" a="1"/>
  <c r="L1676" i="17" a="1"/>
  <c r="L1677" i="17" a="1"/>
  <c r="L1678" i="17" a="1"/>
  <c r="L1679" i="17" a="1"/>
  <c r="L1680" i="17" a="1"/>
  <c r="L1681" i="17" a="1"/>
  <c r="L1682" i="17" a="1"/>
  <c r="L1683" i="17" a="1"/>
  <c r="L1684" i="17" a="1"/>
  <c r="L1685" i="17" a="1"/>
  <c r="L1686" i="17" a="1"/>
  <c r="L1687" i="17" a="1"/>
  <c r="L1688" i="17" a="1"/>
  <c r="L1689" i="17" a="1"/>
  <c r="L1690" i="17" a="1"/>
  <c r="L1691" i="17" a="1"/>
  <c r="L1692" i="17" a="1"/>
  <c r="L1693" i="17" a="1"/>
  <c r="L1694" i="17" a="1"/>
  <c r="L1695" i="17" a="1"/>
  <c r="L1696" i="17" a="1"/>
  <c r="L1697" i="17" a="1"/>
  <c r="L1698" i="17" a="1"/>
  <c r="L1699" i="17" a="1"/>
  <c r="L1700" i="17" a="1"/>
  <c r="L1701" i="17" a="1"/>
  <c r="L1702" i="17" a="1"/>
  <c r="L1703" i="17" a="1"/>
  <c r="L1704" i="17" a="1"/>
  <c r="L1705" i="17" a="1"/>
  <c r="L1706" i="17" a="1"/>
  <c r="L1707" i="17" a="1"/>
  <c r="L1708" i="17" a="1"/>
  <c r="L1709" i="17" a="1"/>
  <c r="L1710" i="17" a="1"/>
  <c r="L1711" i="17" a="1"/>
  <c r="L1712" i="17" a="1"/>
  <c r="L1713" i="17" a="1"/>
  <c r="L1714" i="17" a="1"/>
  <c r="L1715" i="17" a="1"/>
  <c r="L1716" i="17" a="1"/>
  <c r="L1717" i="17" a="1"/>
  <c r="L1718" i="17" a="1"/>
  <c r="L1719" i="17" a="1"/>
  <c r="L1720" i="17" a="1"/>
  <c r="L1721" i="17" a="1"/>
  <c r="L1722" i="17" a="1"/>
  <c r="L1723" i="17" a="1"/>
  <c r="L1724" i="17" a="1"/>
  <c r="L1725" i="17" a="1"/>
  <c r="L1726" i="17" a="1"/>
  <c r="L1727" i="17" a="1"/>
  <c r="L1728" i="17" a="1"/>
  <c r="L1729" i="17" a="1"/>
  <c r="L1730" i="17" a="1"/>
  <c r="L1731" i="17" a="1"/>
  <c r="L1732" i="17" a="1"/>
  <c r="L1733" i="17" a="1"/>
  <c r="L1734" i="17" a="1"/>
  <c r="L1735" i="17" a="1"/>
  <c r="L1736" i="17" a="1"/>
  <c r="L1737" i="17" a="1"/>
  <c r="L1738" i="17" a="1"/>
  <c r="L1739" i="17" a="1"/>
  <c r="L1740" i="17" a="1"/>
  <c r="L1741" i="17" a="1"/>
  <c r="L1742" i="17" a="1"/>
  <c r="L1743" i="17" a="1"/>
  <c r="L1744" i="17" a="1"/>
  <c r="L1745" i="17" a="1"/>
  <c r="L1746" i="17" a="1"/>
  <c r="L1747" i="17" a="1"/>
  <c r="L1748" i="17" a="1"/>
  <c r="L1749" i="17" a="1"/>
  <c r="L1750" i="17" a="1"/>
  <c r="L1751" i="17" a="1"/>
  <c r="L1752" i="17" a="1"/>
  <c r="L1753" i="17" a="1"/>
  <c r="L1754" i="17" a="1"/>
  <c r="L1755" i="17" a="1"/>
  <c r="L1756" i="17" a="1"/>
  <c r="L1757" i="17" a="1"/>
  <c r="L1758" i="17" a="1"/>
  <c r="L1759" i="17" a="1"/>
  <c r="L1760" i="17" a="1"/>
  <c r="L1761" i="17" a="1"/>
  <c r="L1762" i="17" a="1"/>
  <c r="L1763" i="17" a="1"/>
  <c r="L1764" i="17" a="1"/>
  <c r="L1765" i="17" a="1"/>
  <c r="L1766" i="17" a="1"/>
  <c r="L1767" i="17" a="1"/>
  <c r="L1768" i="17" a="1"/>
  <c r="L1769" i="17" a="1"/>
  <c r="L1770" i="17" a="1"/>
  <c r="L1771" i="17" a="1"/>
  <c r="L1772" i="17" a="1"/>
  <c r="L1773" i="17" a="1"/>
  <c r="L1774" i="17" a="1"/>
  <c r="L1775" i="17" a="1"/>
  <c r="L1776" i="17" a="1"/>
  <c r="L1777" i="17" a="1"/>
  <c r="L1778" i="17" a="1"/>
  <c r="L1779" i="17" a="1"/>
  <c r="L1780" i="17" a="1"/>
  <c r="L1781" i="17" a="1"/>
  <c r="L1782" i="17" a="1"/>
  <c r="L1783" i="17" a="1"/>
  <c r="L1784" i="17" a="1"/>
  <c r="L1785" i="17" a="1"/>
  <c r="L1786" i="17" a="1"/>
  <c r="L1787" i="17" a="1"/>
  <c r="L1788" i="17" a="1"/>
  <c r="L1789" i="17" a="1"/>
  <c r="L1790" i="17" a="1"/>
  <c r="L1791" i="17" a="1"/>
  <c r="L1792" i="17" a="1"/>
  <c r="L1793" i="17" a="1"/>
  <c r="L1794" i="17" a="1"/>
  <c r="L1795" i="17" a="1"/>
  <c r="L1796" i="17" a="1"/>
  <c r="L1797" i="17" a="1"/>
  <c r="L1798" i="17" a="1"/>
  <c r="L1799" i="17" a="1"/>
  <c r="L1800" i="17" a="1"/>
  <c r="L1801" i="17" a="1"/>
  <c r="L1802" i="17" a="1"/>
  <c r="L1803" i="17" a="1"/>
  <c r="L1804" i="17" a="1"/>
  <c r="L1805" i="17" a="1"/>
  <c r="L1806" i="17" a="1"/>
  <c r="L1807" i="17" a="1"/>
  <c r="L1808" i="17" a="1"/>
  <c r="L1809" i="17" a="1"/>
  <c r="L1810" i="17" a="1"/>
  <c r="L1811" i="17" a="1"/>
  <c r="L1812" i="17" a="1"/>
  <c r="L1813" i="17" a="1"/>
  <c r="L1814" i="17" a="1"/>
  <c r="L1815" i="17" a="1"/>
  <c r="L1816" i="17" a="1"/>
  <c r="L1817" i="17" a="1"/>
  <c r="L1818" i="17" a="1"/>
  <c r="L1819" i="17" a="1"/>
  <c r="L1820" i="17" a="1"/>
  <c r="L1821" i="17" a="1"/>
  <c r="L1822" i="17" a="1"/>
  <c r="L1823" i="17" a="1"/>
  <c r="L1824" i="17" a="1"/>
  <c r="L1825" i="17" a="1"/>
  <c r="L1826" i="17" a="1"/>
  <c r="L1827" i="17" a="1"/>
  <c r="L1828" i="17" a="1"/>
  <c r="L1829" i="17" a="1"/>
  <c r="L1830" i="17" a="1"/>
  <c r="L1831" i="17" a="1"/>
  <c r="L1832" i="17" a="1"/>
  <c r="L1833" i="17" a="1"/>
  <c r="L1834" i="17" a="1"/>
  <c r="L1835" i="17" a="1"/>
  <c r="L1836" i="17" a="1"/>
  <c r="L1837" i="17" a="1"/>
  <c r="L1838" i="17" a="1"/>
  <c r="L1839" i="17" a="1"/>
  <c r="L1840" i="17" a="1"/>
  <c r="L1841" i="17" a="1"/>
  <c r="L1842" i="17" a="1"/>
  <c r="L1843" i="17" a="1"/>
  <c r="L1844" i="17" a="1"/>
  <c r="L1845" i="17" a="1"/>
  <c r="L1846" i="17" a="1"/>
  <c r="L1847" i="17" a="1"/>
  <c r="L1848" i="17" a="1"/>
  <c r="L1849" i="17" a="1"/>
  <c r="L1850" i="17" a="1"/>
  <c r="L1851" i="17" a="1"/>
  <c r="L1852" i="17" a="1"/>
  <c r="L1853" i="17" a="1"/>
  <c r="L1854" i="17" a="1"/>
  <c r="L1855" i="17" a="1"/>
  <c r="L1856" i="17" a="1"/>
  <c r="L1857" i="17" a="1"/>
  <c r="L1858" i="17" a="1"/>
  <c r="L1859" i="17" a="1"/>
  <c r="L1860" i="17" a="1"/>
  <c r="L1861" i="17" a="1"/>
  <c r="L1862" i="17" a="1"/>
  <c r="L1863" i="17" a="1"/>
  <c r="L1864" i="17" a="1"/>
  <c r="L1865" i="17" a="1"/>
  <c r="L1866" i="17" a="1"/>
  <c r="L1867" i="17" a="1"/>
  <c r="L1868" i="17" a="1"/>
  <c r="L1869" i="17" a="1"/>
  <c r="L1870" i="17" a="1"/>
  <c r="L1871" i="17" a="1"/>
  <c r="L1872" i="17" a="1"/>
  <c r="L1873" i="17" a="1"/>
  <c r="L1874" i="17" a="1"/>
  <c r="L1875" i="17" a="1"/>
  <c r="L1876" i="17" a="1"/>
  <c r="L1877" i="17" a="1"/>
  <c r="L1878" i="17" a="1"/>
  <c r="L1879" i="17" a="1"/>
  <c r="L1880" i="17" a="1"/>
  <c r="L1881" i="17" a="1"/>
  <c r="L1882" i="17" a="1"/>
  <c r="L1883" i="17" a="1"/>
  <c r="L1884" i="17" a="1"/>
  <c r="L1885" i="17" a="1"/>
  <c r="L1886" i="17" a="1"/>
  <c r="L1887" i="17" a="1"/>
  <c r="L1888" i="17" a="1"/>
  <c r="L1889" i="17" a="1"/>
  <c r="L1890" i="17" a="1"/>
  <c r="L1891" i="17" a="1"/>
  <c r="L1892" i="17" a="1"/>
  <c r="L1893" i="17" a="1"/>
  <c r="L1894" i="17" a="1"/>
  <c r="L1895" i="17" a="1"/>
  <c r="L1896" i="17" a="1"/>
  <c r="L1897" i="17" a="1"/>
  <c r="L1898" i="17" a="1"/>
  <c r="L1899" i="17" a="1"/>
  <c r="L1900" i="17" a="1"/>
  <c r="L1901" i="17" a="1"/>
  <c r="L1902" i="17" a="1"/>
  <c r="L1903" i="17" a="1"/>
  <c r="L1904" i="17" a="1"/>
  <c r="L1905" i="17" a="1"/>
  <c r="L1906" i="17" a="1"/>
  <c r="L1907" i="17" a="1"/>
  <c r="L1908" i="17" a="1"/>
  <c r="L1909" i="17" a="1"/>
  <c r="L1910" i="17" a="1"/>
  <c r="L1911" i="17" a="1"/>
  <c r="L1912" i="17" a="1"/>
  <c r="L1913" i="17" a="1"/>
  <c r="L1914" i="17" a="1"/>
  <c r="L1915" i="17" a="1"/>
  <c r="L1916" i="17" a="1"/>
  <c r="L1917" i="17" a="1"/>
  <c r="L1918" i="17" a="1"/>
  <c r="L1919" i="17" a="1"/>
  <c r="L1920" i="17" a="1"/>
  <c r="L1921" i="17" a="1"/>
  <c r="L1922" i="17" a="1"/>
  <c r="L1923" i="17" a="1"/>
  <c r="L1924" i="17" a="1"/>
  <c r="L1925" i="17" a="1"/>
  <c r="L1926" i="17" a="1"/>
  <c r="L1927" i="17" a="1"/>
  <c r="L1928" i="17" a="1"/>
  <c r="L1929" i="17" a="1"/>
  <c r="L1930" i="17" a="1"/>
  <c r="L1931" i="17" a="1"/>
  <c r="L1932" i="17" a="1"/>
  <c r="L1933" i="17" a="1"/>
  <c r="L1934" i="17" a="1"/>
  <c r="L1935" i="17" a="1"/>
  <c r="L1936" i="17" a="1"/>
  <c r="L1937" i="17" a="1"/>
  <c r="L1938" i="17" a="1"/>
  <c r="L1939" i="17" a="1"/>
  <c r="L1940" i="17" a="1"/>
  <c r="L1941" i="17" a="1"/>
  <c r="L1942" i="17" a="1"/>
  <c r="L1943" i="17" a="1"/>
  <c r="L1944" i="17" a="1"/>
  <c r="L1945" i="17" a="1"/>
  <c r="L1946" i="17" a="1"/>
  <c r="L1947" i="17" a="1"/>
  <c r="L1948" i="17" a="1"/>
  <c r="L1949" i="17" a="1"/>
  <c r="L1950" i="17" a="1"/>
  <c r="L1951" i="17" a="1"/>
  <c r="L1952" i="17" a="1"/>
  <c r="L1953" i="17" a="1"/>
  <c r="L1954" i="17" a="1"/>
  <c r="L1955" i="17" a="1"/>
  <c r="L1956" i="17" a="1"/>
  <c r="L1957" i="17" a="1"/>
  <c r="L1958" i="17" a="1"/>
  <c r="L1959" i="17" a="1"/>
  <c r="L1960" i="17" a="1"/>
  <c r="L1961" i="17" a="1"/>
  <c r="L1962" i="17" a="1"/>
  <c r="L1963" i="17" a="1"/>
  <c r="L1964" i="17" a="1"/>
  <c r="L1965" i="17" a="1"/>
  <c r="L1966" i="17" a="1"/>
  <c r="L1967" i="17" a="1"/>
  <c r="L1968" i="17" a="1"/>
  <c r="L1969" i="17" a="1"/>
  <c r="L1970" i="17" a="1"/>
  <c r="L1971" i="17" a="1"/>
  <c r="L1972" i="17" a="1"/>
  <c r="L1973" i="17" a="1"/>
  <c r="L1974" i="17" a="1"/>
  <c r="L1975" i="17" a="1"/>
  <c r="L1976" i="17" a="1"/>
  <c r="L1977" i="17" a="1"/>
  <c r="L1978" i="17" a="1"/>
  <c r="L1979" i="17" a="1"/>
  <c r="L1980" i="17" a="1"/>
  <c r="L1981" i="17" a="1"/>
  <c r="L1982" i="17" a="1"/>
  <c r="L1983" i="17" a="1"/>
  <c r="L1984" i="17" a="1"/>
  <c r="L1985" i="17" a="1"/>
  <c r="L1986" i="17" a="1"/>
  <c r="L1987" i="17" a="1"/>
  <c r="L1988" i="17" a="1"/>
  <c r="L1989" i="17" a="1"/>
  <c r="L1990" i="17" a="1"/>
  <c r="L1991" i="17" a="1"/>
  <c r="L1992" i="17" a="1"/>
  <c r="L1993" i="17" a="1"/>
  <c r="L1994" i="17" a="1"/>
  <c r="L1995" i="17" a="1"/>
  <c r="L1996" i="17" a="1"/>
  <c r="L1997" i="17" a="1"/>
  <c r="L1998" i="17" a="1"/>
  <c r="L1999" i="17" a="1"/>
  <c r="L2000" i="17" a="1"/>
  <c r="L2001" i="17" a="1"/>
  <c r="L2002" i="17" a="1"/>
  <c r="L2003" i="17" a="1"/>
  <c r="L2004" i="17" a="1"/>
  <c r="L2005" i="17" a="1"/>
  <c r="L2006" i="17" a="1"/>
  <c r="L2007" i="17" a="1"/>
  <c r="L2008" i="17" a="1"/>
  <c r="L2009" i="17" a="1"/>
  <c r="L2010" i="17" a="1"/>
  <c r="L2011" i="17" a="1"/>
  <c r="L2012" i="17" a="1"/>
  <c r="L2013" i="17" a="1"/>
  <c r="L2014" i="17" a="1"/>
  <c r="L2015" i="17" a="1"/>
  <c r="L2016" i="17" a="1"/>
  <c r="L2017" i="17" a="1"/>
  <c r="L2018" i="17" a="1"/>
  <c r="L2019" i="17" a="1"/>
  <c r="L2020" i="17" a="1"/>
  <c r="L2021" i="17" a="1"/>
  <c r="L2022" i="17" a="1"/>
  <c r="L2023" i="17" a="1"/>
  <c r="L2024" i="17" a="1"/>
  <c r="L2025" i="17" a="1"/>
  <c r="L2026" i="17" a="1"/>
  <c r="L2027" i="17" a="1"/>
  <c r="L2028" i="17" a="1"/>
  <c r="L2029" i="17" a="1"/>
  <c r="L2030" i="17" a="1"/>
  <c r="L2031" i="17" a="1"/>
  <c r="L2032" i="17" a="1"/>
  <c r="L2033" i="17" a="1"/>
  <c r="L2034" i="17" a="1"/>
  <c r="L2035" i="17" a="1"/>
  <c r="L2036" i="17" a="1"/>
  <c r="L2037" i="17" a="1"/>
  <c r="L2038" i="17" a="1"/>
  <c r="L2039" i="17" a="1"/>
  <c r="L2040" i="17" a="1"/>
  <c r="L2041" i="17" a="1"/>
  <c r="L2042" i="17" a="1"/>
  <c r="L2043" i="17" a="1"/>
  <c r="L2044" i="17" a="1"/>
  <c r="L2045" i="17" a="1"/>
  <c r="L2046" i="17" a="1"/>
  <c r="L2047" i="17" a="1"/>
  <c r="L2048" i="17" a="1"/>
  <c r="L2049" i="17" a="1"/>
  <c r="L2050" i="17" a="1"/>
  <c r="L2051" i="17" a="1"/>
  <c r="L2052" i="17" a="1"/>
  <c r="L2053" i="17" a="1"/>
  <c r="L2054" i="17" a="1"/>
  <c r="L2055" i="17" a="1"/>
  <c r="L2056" i="17" a="1"/>
  <c r="L2057" i="17" a="1"/>
  <c r="L2058" i="17" a="1"/>
  <c r="L2059" i="17" a="1"/>
  <c r="L2060" i="17" a="1"/>
  <c r="L2061" i="17" a="1"/>
  <c r="L2062" i="17" a="1"/>
  <c r="L2063" i="17" a="1"/>
  <c r="L2064" i="17" a="1"/>
  <c r="L2065" i="17" a="1"/>
  <c r="L2066" i="17" a="1"/>
  <c r="L2067" i="17" a="1"/>
  <c r="L2068" i="17" a="1"/>
  <c r="L2069" i="17" a="1"/>
  <c r="L2070" i="17" a="1"/>
  <c r="L2071" i="17" a="1"/>
  <c r="L2072" i="17" a="1"/>
  <c r="L2073" i="17" a="1"/>
  <c r="L2074" i="17" a="1"/>
  <c r="L2075" i="17" a="1"/>
  <c r="L2076" i="17" a="1"/>
  <c r="L2077" i="17" a="1"/>
  <c r="L2078" i="17" a="1"/>
  <c r="L2079" i="17" a="1"/>
  <c r="L2080" i="17" a="1"/>
  <c r="L2081" i="17" a="1"/>
  <c r="L2082" i="17" a="1"/>
  <c r="L2083" i="17" a="1"/>
  <c r="L2084" i="17" a="1"/>
  <c r="L2085" i="17" a="1"/>
  <c r="L2086" i="17" a="1"/>
  <c r="L2087" i="17" a="1"/>
  <c r="L2088" i="17" a="1"/>
  <c r="L2089" i="17" a="1"/>
  <c r="L2090" i="17" a="1"/>
  <c r="L2091" i="17" a="1"/>
  <c r="L2092" i="17" a="1"/>
  <c r="L2093" i="17" a="1"/>
  <c r="L2094" i="17" a="1"/>
  <c r="L2095" i="17" a="1"/>
  <c r="L2096" i="17" a="1"/>
  <c r="L2097" i="17" a="1"/>
  <c r="L2098" i="17" a="1"/>
  <c r="L2099" i="17" a="1"/>
  <c r="L2100" i="17" a="1"/>
  <c r="L2101" i="17" a="1"/>
  <c r="L2102" i="17" a="1"/>
  <c r="L2103" i="17" a="1"/>
  <c r="L2104" i="17" a="1"/>
  <c r="L2105" i="17" a="1"/>
  <c r="L2106" i="17" a="1"/>
  <c r="L2107" i="17" a="1"/>
  <c r="L2108" i="17" a="1"/>
  <c r="L2109" i="17" a="1"/>
  <c r="L2110" i="17" a="1"/>
  <c r="L2111" i="17" a="1"/>
  <c r="L2112" i="17" a="1"/>
  <c r="L2113" i="17" a="1"/>
  <c r="L2114" i="17" a="1"/>
  <c r="L2115" i="17" a="1"/>
  <c r="L2116" i="17" a="1"/>
  <c r="L2117" i="17" a="1"/>
  <c r="L2118" i="17" a="1"/>
  <c r="L2119" i="17" a="1"/>
  <c r="L2120" i="17" a="1"/>
  <c r="L2121" i="17" a="1"/>
  <c r="L2122" i="17" a="1"/>
  <c r="L2123" i="17" a="1"/>
  <c r="L2124" i="17" a="1"/>
  <c r="L2125" i="17" a="1"/>
  <c r="L2126" i="17" a="1"/>
  <c r="L2127" i="17" a="1"/>
  <c r="L2128" i="17" a="1"/>
  <c r="L2129" i="17" a="1"/>
  <c r="L2130" i="17" a="1"/>
  <c r="L2131" i="17" a="1"/>
  <c r="L2132" i="17" a="1"/>
  <c r="L2133" i="17" a="1"/>
  <c r="L2134" i="17" a="1"/>
  <c r="L2135" i="17" a="1"/>
  <c r="L2136" i="17" a="1"/>
  <c r="L2137" i="17" a="1"/>
  <c r="L2138" i="17" a="1"/>
  <c r="L2139" i="17" a="1"/>
  <c r="L2140" i="17" a="1"/>
  <c r="L2141" i="17" a="1"/>
  <c r="L2142" i="17" a="1"/>
  <c r="L2143" i="17" a="1"/>
  <c r="L2144" i="17" a="1"/>
  <c r="L2145" i="17" a="1"/>
  <c r="L2146" i="17" a="1"/>
  <c r="L2147" i="17" a="1"/>
  <c r="L2148" i="17" a="1"/>
  <c r="L2149" i="17" a="1"/>
  <c r="L2150" i="17" a="1"/>
  <c r="L2151" i="17" a="1"/>
  <c r="L2152" i="17" a="1"/>
  <c r="L2153" i="17" a="1"/>
  <c r="L2154" i="17" a="1"/>
  <c r="L2155" i="17" a="1"/>
  <c r="L2156" i="17" a="1"/>
  <c r="L2157" i="17" a="1"/>
  <c r="L2158" i="17" a="1"/>
  <c r="L2159" i="17" a="1"/>
  <c r="L2160" i="17" a="1"/>
  <c r="L2161" i="17" a="1"/>
  <c r="L2162" i="17" a="1"/>
  <c r="L2163" i="17" a="1"/>
  <c r="L2164" i="17" a="1"/>
  <c r="L2165" i="17" a="1"/>
  <c r="L2166" i="17" a="1"/>
  <c r="L2167" i="17" a="1"/>
  <c r="L2168" i="17" a="1"/>
  <c r="L2169" i="17" a="1"/>
  <c r="L2170" i="17" a="1"/>
  <c r="L2171" i="17" a="1"/>
  <c r="L2172" i="17" a="1"/>
  <c r="L2173" i="17" a="1"/>
  <c r="L2174" i="17" a="1"/>
  <c r="L2175" i="17" a="1"/>
  <c r="L2176" i="17" a="1"/>
  <c r="L2177" i="17" a="1"/>
  <c r="L2178" i="17" a="1"/>
  <c r="L2179" i="17" a="1"/>
  <c r="L2180" i="17" a="1"/>
  <c r="L2181" i="17" a="1"/>
  <c r="L2182" i="17" a="1"/>
  <c r="L2196" i="17" a="1"/>
  <c r="L2197" i="17" a="1"/>
  <c r="L2198" i="17" a="1"/>
  <c r="L2199" i="17" a="1"/>
  <c r="L2200" i="17" a="1"/>
  <c r="L2201" i="17" a="1"/>
  <c r="L2202" i="17" a="1"/>
  <c r="L2203" i="17" a="1"/>
  <c r="L2204" i="17" a="1"/>
  <c r="L2205" i="17" a="1"/>
  <c r="L2206" i="17" a="1"/>
  <c r="L2207" i="17" a="1"/>
  <c r="L2208" i="17" a="1"/>
  <c r="L2209" i="17" a="1"/>
  <c r="L2210" i="17" a="1"/>
  <c r="L2211" i="17" a="1"/>
  <c r="L2212" i="17" a="1"/>
  <c r="L2213" i="17" a="1"/>
  <c r="L2214" i="17" a="1"/>
  <c r="L2215" i="17" a="1"/>
  <c r="L2216" i="17" a="1"/>
  <c r="L2217" i="17" a="1"/>
  <c r="L2218" i="17" a="1"/>
  <c r="L2219" i="17" a="1"/>
  <c r="L2220" i="17" a="1"/>
  <c r="L2221" i="17" a="1"/>
  <c r="L2222" i="17" a="1"/>
  <c r="L2223" i="17" a="1"/>
  <c r="L2224" i="17" a="1"/>
  <c r="L2225" i="17" a="1"/>
  <c r="L2226" i="17" a="1"/>
  <c r="L2227" i="17" a="1"/>
  <c r="L2228" i="17" a="1"/>
  <c r="L2229" i="17" a="1"/>
  <c r="L2230" i="17" a="1"/>
  <c r="L2231" i="17" a="1"/>
  <c r="L2232" i="17" a="1"/>
  <c r="L2233" i="17" a="1"/>
  <c r="L2234" i="17" a="1"/>
  <c r="L2235" i="17" a="1"/>
  <c r="L2236" i="17" a="1"/>
  <c r="L2237" i="17" a="1"/>
  <c r="L2238" i="17" a="1"/>
  <c r="L2239" i="17" a="1"/>
  <c r="L2240" i="17" a="1"/>
  <c r="L2241" i="17" a="1"/>
  <c r="L2242" i="17" a="1"/>
  <c r="L2243" i="17" a="1"/>
  <c r="L2244" i="17" a="1"/>
  <c r="L2245" i="17" a="1"/>
  <c r="L2246" i="17" a="1"/>
  <c r="L2247" i="17" a="1"/>
  <c r="L2248" i="17" a="1"/>
  <c r="L2249" i="17" a="1"/>
  <c r="L2250" i="17" a="1"/>
  <c r="L2251" i="17" a="1"/>
  <c r="L2252" i="17" a="1"/>
  <c r="L2253" i="17" a="1"/>
  <c r="L2254" i="17" a="1"/>
  <c r="L2255" i="17" a="1"/>
  <c r="L2256" i="17" a="1"/>
  <c r="L2257" i="17" a="1"/>
  <c r="L2258" i="17" a="1"/>
  <c r="L2259" i="17" a="1"/>
  <c r="L2260" i="17" a="1"/>
  <c r="L2261" i="17" a="1"/>
  <c r="L2262" i="17" a="1"/>
  <c r="L2263" i="17" a="1"/>
  <c r="L2264" i="17" a="1"/>
  <c r="L2265" i="17" a="1"/>
  <c r="L2266" i="17" a="1"/>
  <c r="L2267" i="17" a="1"/>
  <c r="L2268" i="17" a="1"/>
  <c r="L2269" i="17" a="1"/>
  <c r="L2270" i="17" a="1"/>
  <c r="L2271" i="17" a="1"/>
  <c r="L2272" i="17" a="1"/>
  <c r="L2273" i="17" a="1"/>
  <c r="L2274" i="17" a="1"/>
  <c r="L2275" i="17" a="1"/>
  <c r="L2276" i="17" a="1"/>
  <c r="L2277" i="17" a="1"/>
  <c r="L2278" i="17" a="1"/>
  <c r="L2279" i="17" a="1"/>
  <c r="L2280" i="17" a="1"/>
  <c r="L2281" i="17" a="1"/>
  <c r="L2282" i="17" a="1"/>
  <c r="L2283" i="17" a="1"/>
  <c r="L2284" i="17" a="1"/>
  <c r="L2285" i="17" a="1"/>
  <c r="L2286" i="17" a="1"/>
  <c r="L2287" i="17" a="1"/>
  <c r="L2288" i="17" a="1"/>
  <c r="L2289" i="17" a="1"/>
  <c r="L2290" i="17" a="1"/>
  <c r="L2291" i="17" a="1"/>
  <c r="L2292" i="17" a="1"/>
  <c r="L2293" i="17" a="1"/>
  <c r="L2294" i="17" a="1"/>
  <c r="L2295" i="17" a="1"/>
  <c r="L2296" i="17" a="1"/>
  <c r="L2297" i="17" a="1"/>
  <c r="L2298" i="17" a="1"/>
  <c r="L2299" i="17" a="1"/>
  <c r="L2300" i="17" a="1"/>
  <c r="L2301" i="17" a="1"/>
  <c r="L2302" i="17" a="1"/>
  <c r="L2303" i="17" a="1"/>
  <c r="L2304" i="17" a="1"/>
  <c r="L2305" i="17" a="1"/>
  <c r="L2306" i="17" a="1"/>
  <c r="L2307" i="17" a="1"/>
  <c r="L2308" i="17" a="1"/>
  <c r="L2309" i="17" a="1"/>
  <c r="L2310" i="17" a="1"/>
  <c r="L2311" i="17" a="1"/>
  <c r="L2312" i="17" a="1"/>
  <c r="L2313" i="17" a="1"/>
  <c r="L2314" i="17" a="1"/>
  <c r="L2315" i="17" a="1"/>
  <c r="L2316" i="17" a="1"/>
  <c r="L2317" i="17" a="1"/>
  <c r="L2318" i="17" a="1"/>
  <c r="L2319" i="17" a="1"/>
  <c r="L2320" i="17" a="1"/>
  <c r="L2321" i="17" a="1"/>
  <c r="L2322" i="17" a="1"/>
  <c r="L2323" i="17" a="1"/>
  <c r="L2324" i="17" a="1"/>
  <c r="L2325" i="17" a="1"/>
  <c r="L2326" i="17" a="1"/>
  <c r="L2327" i="17" a="1"/>
  <c r="L2328" i="17" a="1"/>
  <c r="L2329" i="17" a="1"/>
  <c r="L2330" i="17" a="1"/>
  <c r="L2331" i="17" a="1"/>
  <c r="L2332" i="17" a="1"/>
  <c r="L2333" i="17" a="1"/>
  <c r="L2334" i="17" a="1"/>
  <c r="L2335" i="17" a="1"/>
  <c r="L2336" i="17" a="1"/>
  <c r="L2337" i="17" a="1"/>
  <c r="L2338" i="17" a="1"/>
  <c r="L2339" i="17" a="1"/>
  <c r="L2340" i="17" a="1"/>
  <c r="L2341" i="17" a="1"/>
  <c r="L2342" i="17" a="1"/>
  <c r="L2343" i="17" a="1"/>
  <c r="L2344" i="17" a="1"/>
  <c r="L2345" i="17" a="1"/>
  <c r="L2346" i="17" a="1"/>
  <c r="L2347" i="17" a="1"/>
  <c r="L2348" i="17" a="1"/>
  <c r="L2349" i="17" a="1"/>
  <c r="L2350" i="17" a="1"/>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1002" i="17"/>
  <c r="M1003" i="17"/>
  <c r="M1004" i="17"/>
  <c r="M1005" i="17"/>
  <c r="M1006" i="17"/>
  <c r="M1007" i="17"/>
  <c r="M1008" i="17"/>
  <c r="M1009" i="17"/>
  <c r="M1010" i="17"/>
  <c r="M1011" i="17"/>
  <c r="M1012" i="17"/>
  <c r="M1013" i="17"/>
  <c r="M1014" i="17"/>
  <c r="M1015" i="17"/>
  <c r="M1016" i="17"/>
  <c r="M1017" i="17"/>
  <c r="M1018" i="17"/>
  <c r="M1019" i="17"/>
  <c r="M1020" i="17"/>
  <c r="M1021" i="17"/>
  <c r="M1022" i="17"/>
  <c r="M1023" i="17"/>
  <c r="M1024" i="17"/>
  <c r="M1025" i="17"/>
  <c r="M1026" i="17"/>
  <c r="M1027" i="17"/>
  <c r="M1028" i="17"/>
  <c r="M1029" i="17"/>
  <c r="M1030" i="17"/>
  <c r="M1031" i="17"/>
  <c r="M1032" i="17"/>
  <c r="M1033" i="17"/>
  <c r="M1034" i="17"/>
  <c r="M1035" i="17"/>
  <c r="M1036" i="17"/>
  <c r="M1037" i="17"/>
  <c r="M1038" i="17"/>
  <c r="M1039" i="17"/>
  <c r="M1040" i="17"/>
  <c r="M1041" i="17"/>
  <c r="M1042" i="17"/>
  <c r="M1043" i="17"/>
  <c r="M1044" i="17"/>
  <c r="M1045" i="17"/>
  <c r="M1046" i="17"/>
  <c r="M1047" i="17"/>
  <c r="M1048" i="17"/>
  <c r="M1049" i="17"/>
  <c r="M1050" i="17"/>
  <c r="M1051" i="17"/>
  <c r="M1052" i="17"/>
  <c r="M1053" i="17"/>
  <c r="M1054" i="17"/>
  <c r="M1055" i="17"/>
  <c r="M1056" i="17"/>
  <c r="M1057" i="17"/>
  <c r="M1058" i="17"/>
  <c r="M1059" i="17"/>
  <c r="M1060" i="17"/>
  <c r="M1061" i="17"/>
  <c r="M1062" i="17"/>
  <c r="M1063" i="17"/>
  <c r="M1064" i="17"/>
  <c r="M1065" i="17"/>
  <c r="M1066" i="17"/>
  <c r="M1067" i="17"/>
  <c r="M1068" i="17"/>
  <c r="M1069" i="17"/>
  <c r="M1070" i="17"/>
  <c r="M1071" i="17"/>
  <c r="M1072" i="17"/>
  <c r="M1073" i="17"/>
  <c r="M1074" i="17"/>
  <c r="M1075" i="17"/>
  <c r="M1076" i="17"/>
  <c r="M1077" i="17"/>
  <c r="M1078" i="17"/>
  <c r="M1079" i="17"/>
  <c r="M1080" i="17"/>
  <c r="M1081" i="17"/>
  <c r="M1082" i="17"/>
  <c r="M1083" i="17"/>
  <c r="M1084" i="17"/>
  <c r="M1085" i="17"/>
  <c r="M1086" i="17"/>
  <c r="M1087" i="17"/>
  <c r="M1088" i="17"/>
  <c r="M1089" i="17"/>
  <c r="M1090" i="17"/>
  <c r="M1091" i="17"/>
  <c r="M1092" i="17"/>
  <c r="M1093" i="17"/>
  <c r="M1094" i="17"/>
  <c r="M1095" i="17"/>
  <c r="M1096" i="17"/>
  <c r="M1097" i="17"/>
  <c r="M1098" i="17"/>
  <c r="M1099" i="17"/>
  <c r="M1100" i="17"/>
  <c r="M1101" i="17"/>
  <c r="M1102" i="17"/>
  <c r="M1103" i="17"/>
  <c r="M1104" i="17"/>
  <c r="M1105" i="17"/>
  <c r="M1106" i="17"/>
  <c r="M1107" i="17"/>
  <c r="M1108" i="17"/>
  <c r="M1109" i="17"/>
  <c r="M1110" i="17"/>
  <c r="M1111" i="17"/>
  <c r="M1112" i="17"/>
  <c r="M1113" i="17"/>
  <c r="M1114" i="17"/>
  <c r="M1115" i="17"/>
  <c r="M1116" i="17"/>
  <c r="M1117" i="17"/>
  <c r="M1118" i="17"/>
  <c r="M1119" i="17"/>
  <c r="M1120" i="17"/>
  <c r="M1121" i="17"/>
  <c r="M1122" i="17"/>
  <c r="M1123" i="17"/>
  <c r="M1124" i="17"/>
  <c r="M1125" i="17"/>
  <c r="M1126" i="17"/>
  <c r="M1127" i="17"/>
  <c r="M1128" i="17"/>
  <c r="M1129" i="17"/>
  <c r="M1130" i="17"/>
  <c r="M1131" i="17"/>
  <c r="M1132" i="17"/>
  <c r="M1133" i="17"/>
  <c r="M1134" i="17"/>
  <c r="M1135" i="17"/>
  <c r="M1136" i="17"/>
  <c r="M1137" i="17"/>
  <c r="M1138" i="17"/>
  <c r="M1139" i="17"/>
  <c r="M1140" i="17"/>
  <c r="M1141" i="17"/>
  <c r="M1142" i="17"/>
  <c r="M1143" i="17"/>
  <c r="M1144" i="17"/>
  <c r="M1145" i="17"/>
  <c r="M1146" i="17"/>
  <c r="M1147" i="17"/>
  <c r="M1148" i="17"/>
  <c r="M1149" i="17"/>
  <c r="M1150" i="17"/>
  <c r="M1151" i="17"/>
  <c r="M1152" i="17"/>
  <c r="M1153" i="17"/>
  <c r="M1154" i="17"/>
  <c r="M1155" i="17"/>
  <c r="M1156" i="17"/>
  <c r="M1157" i="17"/>
  <c r="M1158" i="17"/>
  <c r="M1159" i="17"/>
  <c r="M1160" i="17"/>
  <c r="M1161" i="17"/>
  <c r="M1162" i="17"/>
  <c r="M1163" i="17"/>
  <c r="M1164" i="17"/>
  <c r="M1165" i="17"/>
  <c r="M1166" i="17"/>
  <c r="M1167" i="17"/>
  <c r="M1168" i="17"/>
  <c r="M1169" i="17"/>
  <c r="M1170" i="17"/>
  <c r="M1171" i="17"/>
  <c r="M1172" i="17"/>
  <c r="M1173" i="17"/>
  <c r="M1174" i="17"/>
  <c r="M1175" i="17"/>
  <c r="M1176" i="17"/>
  <c r="M1177" i="17"/>
  <c r="M1178" i="17"/>
  <c r="M1179" i="17"/>
  <c r="M1180" i="17"/>
  <c r="M1181" i="17"/>
  <c r="M1182" i="17"/>
  <c r="M1183" i="17"/>
  <c r="M1184" i="17"/>
  <c r="M1185" i="17"/>
  <c r="M1186" i="17"/>
  <c r="M1187" i="17"/>
  <c r="M1188" i="17"/>
  <c r="M1189" i="17"/>
  <c r="M1190" i="17"/>
  <c r="M1191" i="17"/>
  <c r="M1192" i="17"/>
  <c r="M1193" i="17"/>
  <c r="M1194" i="17"/>
  <c r="M1195" i="17"/>
  <c r="M1196" i="17"/>
  <c r="M1197" i="17"/>
  <c r="M1198" i="17"/>
  <c r="M1199" i="17"/>
  <c r="M1200" i="17"/>
  <c r="M1201" i="17"/>
  <c r="M1202" i="17"/>
  <c r="M1203" i="17"/>
  <c r="M1204" i="17"/>
  <c r="M1205" i="17"/>
  <c r="M1206" i="17"/>
  <c r="M1207" i="17"/>
  <c r="M1208" i="17"/>
  <c r="M1209" i="17"/>
  <c r="M1210" i="17"/>
  <c r="M1211" i="17"/>
  <c r="M1212" i="17"/>
  <c r="M1213" i="17"/>
  <c r="M1214" i="17"/>
  <c r="M1215" i="17"/>
  <c r="M1216" i="17"/>
  <c r="M1217" i="17"/>
  <c r="M1218" i="17"/>
  <c r="M1219" i="17"/>
  <c r="M1220" i="17"/>
  <c r="M1221" i="17"/>
  <c r="M1222" i="17"/>
  <c r="M1223" i="17"/>
  <c r="M1224" i="17"/>
  <c r="M1225" i="17"/>
  <c r="M1226" i="17"/>
  <c r="M1227" i="17"/>
  <c r="M1228" i="17"/>
  <c r="M1229" i="17"/>
  <c r="M1230" i="17"/>
  <c r="M1231" i="17"/>
  <c r="M1232" i="17"/>
  <c r="M1233" i="17"/>
  <c r="M1234" i="17"/>
  <c r="M1235" i="17"/>
  <c r="M1236" i="17"/>
  <c r="M1237" i="17"/>
  <c r="M1238" i="17"/>
  <c r="M1239" i="17"/>
  <c r="M1240" i="17"/>
  <c r="M1241" i="17"/>
  <c r="M1242" i="17"/>
  <c r="M1243" i="17"/>
  <c r="M1244" i="17"/>
  <c r="M1245" i="17"/>
  <c r="M1246" i="17"/>
  <c r="M1247" i="17"/>
  <c r="M1248" i="17"/>
  <c r="M1249" i="17"/>
  <c r="M1250" i="17"/>
  <c r="M1251" i="17"/>
  <c r="M1252" i="17"/>
  <c r="M1253" i="17"/>
  <c r="M1254" i="17"/>
  <c r="M1255" i="17"/>
  <c r="M1256" i="17"/>
  <c r="M1257" i="17"/>
  <c r="M1258" i="17"/>
  <c r="M1259" i="17"/>
  <c r="M1260" i="17"/>
  <c r="M1261" i="17"/>
  <c r="M1262" i="17"/>
  <c r="M1263" i="17"/>
  <c r="M1264" i="17"/>
  <c r="M1265" i="17"/>
  <c r="M1266" i="17"/>
  <c r="M1267" i="17"/>
  <c r="M1268" i="17"/>
  <c r="M1269" i="17"/>
  <c r="M1270" i="17"/>
  <c r="M1271" i="17"/>
  <c r="M1272" i="17"/>
  <c r="M1273" i="17"/>
  <c r="M1274" i="17"/>
  <c r="M1275" i="17"/>
  <c r="M1276" i="17"/>
  <c r="M1277" i="17"/>
  <c r="M1278" i="17"/>
  <c r="M1279" i="17"/>
  <c r="M1280" i="17"/>
  <c r="M1281" i="17"/>
  <c r="M1282" i="17"/>
  <c r="M1283" i="17"/>
  <c r="M1284" i="17"/>
  <c r="M1285" i="17"/>
  <c r="M1286" i="17"/>
  <c r="M1287" i="17"/>
  <c r="M1288" i="17"/>
  <c r="M1289" i="17"/>
  <c r="M1290" i="17"/>
  <c r="M1291" i="17"/>
  <c r="M1292" i="17"/>
  <c r="M1293" i="17"/>
  <c r="M1294" i="17"/>
  <c r="M1295" i="17"/>
  <c r="M1296" i="17"/>
  <c r="M1297" i="17"/>
  <c r="M1298" i="17"/>
  <c r="M1299" i="17"/>
  <c r="M1300" i="17"/>
  <c r="M1301" i="17"/>
  <c r="M1302" i="17"/>
  <c r="M1303" i="17"/>
  <c r="M1304" i="17"/>
  <c r="M1305" i="17"/>
  <c r="M1306" i="17"/>
  <c r="M1307" i="17"/>
  <c r="M1308" i="17"/>
  <c r="M1309" i="17"/>
  <c r="M1310" i="17"/>
  <c r="M1311" i="17"/>
  <c r="M1312" i="17"/>
  <c r="M1313" i="17"/>
  <c r="M1314" i="17"/>
  <c r="M1315" i="17"/>
  <c r="M1316" i="17"/>
  <c r="M1317" i="17"/>
  <c r="M1318" i="17"/>
  <c r="M1319" i="17"/>
  <c r="M1320" i="17"/>
  <c r="M1321" i="17"/>
  <c r="M1322" i="17"/>
  <c r="M1323" i="17"/>
  <c r="M1324" i="17"/>
  <c r="M1325" i="17"/>
  <c r="M1326" i="17"/>
  <c r="M1327" i="17"/>
  <c r="M1328" i="17"/>
  <c r="M1329" i="17"/>
  <c r="M1330" i="17"/>
  <c r="M1331" i="17"/>
  <c r="M1332" i="17"/>
  <c r="M1333" i="17"/>
  <c r="M1334" i="17"/>
  <c r="M1335" i="17"/>
  <c r="M1336" i="17"/>
  <c r="M1337" i="17"/>
  <c r="M1338" i="17"/>
  <c r="M1339" i="17"/>
  <c r="M1340" i="17"/>
  <c r="M1341" i="17"/>
  <c r="M1342" i="17"/>
  <c r="M1343" i="17"/>
  <c r="M1344" i="17"/>
  <c r="M1345" i="17"/>
  <c r="M1346" i="17"/>
  <c r="M1347" i="17"/>
  <c r="M1348" i="17"/>
  <c r="M1349" i="17"/>
  <c r="M1350" i="17"/>
  <c r="M1351" i="17"/>
  <c r="M1352" i="17"/>
  <c r="M1353" i="17"/>
  <c r="M1354" i="17"/>
  <c r="M1355" i="17"/>
  <c r="M1356" i="17"/>
  <c r="M1357" i="17"/>
  <c r="M1358" i="17"/>
  <c r="M1359" i="17"/>
  <c r="M1360" i="17"/>
  <c r="M1361" i="17"/>
  <c r="M1362" i="17"/>
  <c r="M1363" i="17"/>
  <c r="M1364" i="17"/>
  <c r="M1365" i="17"/>
  <c r="M1366" i="17"/>
  <c r="M1367" i="17"/>
  <c r="M1368" i="17"/>
  <c r="M1369" i="17"/>
  <c r="M1370" i="17"/>
  <c r="M1371" i="17"/>
  <c r="M1372" i="17"/>
  <c r="M1373" i="17"/>
  <c r="M1374" i="17"/>
  <c r="M1375" i="17"/>
  <c r="M1376" i="17"/>
  <c r="M1377" i="17"/>
  <c r="M1378" i="17"/>
  <c r="M1379" i="17"/>
  <c r="M1380" i="17"/>
  <c r="M1381" i="17"/>
  <c r="M1382" i="17"/>
  <c r="M1383" i="17"/>
  <c r="M1384" i="17"/>
  <c r="M1385" i="17"/>
  <c r="M1386" i="17"/>
  <c r="M1387" i="17"/>
  <c r="M1388" i="17"/>
  <c r="M1389" i="17"/>
  <c r="M1390" i="17"/>
  <c r="M1391" i="17"/>
  <c r="M1392" i="17"/>
  <c r="M1393" i="17"/>
  <c r="M1394" i="17"/>
  <c r="M1395" i="17"/>
  <c r="M1396" i="17"/>
  <c r="M1397" i="17"/>
  <c r="M1398" i="17"/>
  <c r="M1399" i="17"/>
  <c r="M1400" i="17"/>
  <c r="M1401" i="17"/>
  <c r="M1402" i="17"/>
  <c r="M1403" i="17"/>
  <c r="M1404" i="17"/>
  <c r="M1405" i="17"/>
  <c r="M1406" i="17"/>
  <c r="M1407" i="17"/>
  <c r="M1408" i="17"/>
  <c r="M1409" i="17"/>
  <c r="M1410" i="17"/>
  <c r="M1411" i="17"/>
  <c r="M1412" i="17"/>
  <c r="M1413" i="17"/>
  <c r="M1414" i="17"/>
  <c r="M1415" i="17"/>
  <c r="M1416" i="17"/>
  <c r="M1417" i="17"/>
  <c r="M1418" i="17"/>
  <c r="M1419" i="17"/>
  <c r="M1420" i="17"/>
  <c r="M1421" i="17"/>
  <c r="M1422" i="17"/>
  <c r="M1423" i="17"/>
  <c r="M1424" i="17"/>
  <c r="M1425" i="17"/>
  <c r="M1426" i="17"/>
  <c r="M1427" i="17"/>
  <c r="M1428" i="17"/>
  <c r="M1429" i="17"/>
  <c r="M1430" i="17"/>
  <c r="M1431" i="17"/>
  <c r="M1432" i="17"/>
  <c r="M1433" i="17"/>
  <c r="M1434" i="17"/>
  <c r="M1435" i="17"/>
  <c r="M1436" i="17"/>
  <c r="M1437" i="17"/>
  <c r="M1438" i="17"/>
  <c r="M1439" i="17"/>
  <c r="M1440" i="17"/>
  <c r="M1441" i="17"/>
  <c r="M1442" i="17"/>
  <c r="M1443" i="17"/>
  <c r="M1444" i="17"/>
  <c r="M1445" i="17"/>
  <c r="M1446" i="17"/>
  <c r="M1447" i="17"/>
  <c r="M1448" i="17"/>
  <c r="M1449" i="17"/>
  <c r="M1450" i="17"/>
  <c r="M1451" i="17"/>
  <c r="M1452" i="17"/>
  <c r="M1453" i="17"/>
  <c r="M1454" i="17"/>
  <c r="M1455" i="17"/>
  <c r="M1456" i="17"/>
  <c r="M1457" i="17"/>
  <c r="M1458" i="17"/>
  <c r="M1459" i="17"/>
  <c r="M1460" i="17"/>
  <c r="M1461" i="17"/>
  <c r="M1462" i="17"/>
  <c r="M1463" i="17"/>
  <c r="M1464" i="17"/>
  <c r="M1465" i="17"/>
  <c r="M1466" i="17"/>
  <c r="M1467" i="17"/>
  <c r="M1468" i="17"/>
  <c r="M1469" i="17"/>
  <c r="M1470" i="17"/>
  <c r="M1471" i="17"/>
  <c r="M1472" i="17"/>
  <c r="M1473" i="17"/>
  <c r="M1474" i="17"/>
  <c r="M1475" i="17"/>
  <c r="M1476" i="17"/>
  <c r="M1477" i="17"/>
  <c r="M1478" i="17"/>
  <c r="M1479" i="17"/>
  <c r="M1480" i="17"/>
  <c r="M1481" i="17"/>
  <c r="M1482" i="17"/>
  <c r="M1483" i="17"/>
  <c r="M1484" i="17"/>
  <c r="M1485" i="17"/>
  <c r="M1486" i="17"/>
  <c r="M1487" i="17"/>
  <c r="M1488" i="17"/>
  <c r="M1489" i="17"/>
  <c r="M1490" i="17"/>
  <c r="M1491" i="17"/>
  <c r="M1492" i="17"/>
  <c r="M1493" i="17"/>
  <c r="M1494" i="17"/>
  <c r="M1495" i="17"/>
  <c r="M1496" i="17"/>
  <c r="M1497" i="17"/>
  <c r="M1498" i="17"/>
  <c r="M1499" i="17"/>
  <c r="M1500" i="17"/>
  <c r="M1501" i="17"/>
  <c r="M1502" i="17"/>
  <c r="M1503" i="17"/>
  <c r="M1504" i="17"/>
  <c r="M1505" i="17"/>
  <c r="M1506" i="17"/>
  <c r="M1507" i="17"/>
  <c r="M1508" i="17"/>
  <c r="M1509" i="17"/>
  <c r="M1510" i="17"/>
  <c r="M1511" i="17"/>
  <c r="M1512" i="17"/>
  <c r="M1513" i="17"/>
  <c r="M1514" i="17"/>
  <c r="M1515" i="17"/>
  <c r="M1516" i="17"/>
  <c r="M1517" i="17"/>
  <c r="M1518" i="17"/>
  <c r="M1519" i="17"/>
  <c r="M1520" i="17"/>
  <c r="M1521" i="17"/>
  <c r="M1522" i="17"/>
  <c r="M1523" i="17"/>
  <c r="M1524" i="17"/>
  <c r="M1525" i="17"/>
  <c r="M1526" i="17"/>
  <c r="M1527" i="17"/>
  <c r="M1528" i="17"/>
  <c r="M1529" i="17"/>
  <c r="M1530" i="17"/>
  <c r="M1531" i="17"/>
  <c r="M1532" i="17"/>
  <c r="M1533" i="17"/>
  <c r="M1534" i="17"/>
  <c r="M1535" i="17"/>
  <c r="M1536" i="17"/>
  <c r="M1537" i="17"/>
  <c r="M1538" i="17"/>
  <c r="M1539" i="17"/>
  <c r="M1540" i="17"/>
  <c r="M1541" i="17"/>
  <c r="M1542" i="17"/>
  <c r="M1543" i="17"/>
  <c r="M1544" i="17"/>
  <c r="M1545" i="17"/>
  <c r="M1546" i="17"/>
  <c r="M1547" i="17"/>
  <c r="M1548" i="17"/>
  <c r="M1549" i="17"/>
  <c r="M1550" i="17"/>
  <c r="M1551" i="17"/>
  <c r="M1552" i="17"/>
  <c r="M1553" i="17"/>
  <c r="M1554" i="17"/>
  <c r="M1555" i="17"/>
  <c r="M1556" i="17"/>
  <c r="M1557" i="17"/>
  <c r="M1558" i="17"/>
  <c r="M1559" i="17"/>
  <c r="M1560" i="17"/>
  <c r="M1561" i="17"/>
  <c r="M1562" i="17"/>
  <c r="M1563" i="17"/>
  <c r="M1564" i="17"/>
  <c r="M1565" i="17"/>
  <c r="M1566" i="17"/>
  <c r="M1567" i="17"/>
  <c r="M1568" i="17"/>
  <c r="M1569" i="17"/>
  <c r="M1570" i="17"/>
  <c r="M1571" i="17"/>
  <c r="M1572" i="17"/>
  <c r="M1573" i="17"/>
  <c r="M1574" i="17"/>
  <c r="M1575" i="17"/>
  <c r="M1576" i="17"/>
  <c r="M1577" i="17"/>
  <c r="M1578" i="17"/>
  <c r="M1579" i="17"/>
  <c r="M1580" i="17"/>
  <c r="M1581" i="17"/>
  <c r="M1582" i="17"/>
  <c r="M1583" i="17"/>
  <c r="M1584" i="17"/>
  <c r="M1585" i="17"/>
  <c r="M1586" i="17"/>
  <c r="M1587" i="17"/>
  <c r="M1588" i="17"/>
  <c r="M1589" i="17"/>
  <c r="M1590" i="17"/>
  <c r="M1591" i="17"/>
  <c r="M1592" i="17"/>
  <c r="M1593" i="17"/>
  <c r="M1594" i="17"/>
  <c r="M1595" i="17"/>
  <c r="M1596" i="17"/>
  <c r="M1597" i="17"/>
  <c r="M1598" i="17"/>
  <c r="M1599" i="17"/>
  <c r="M1600" i="17"/>
  <c r="M1601" i="17"/>
  <c r="M1602" i="17"/>
  <c r="M1603" i="17"/>
  <c r="M1604" i="17"/>
  <c r="M1605" i="17"/>
  <c r="M1606" i="17"/>
  <c r="M1607" i="17"/>
  <c r="M1608" i="17"/>
  <c r="M1609" i="17"/>
  <c r="M1610" i="17"/>
  <c r="M1611" i="17"/>
  <c r="M1612" i="17"/>
  <c r="M1613" i="17"/>
  <c r="M1614" i="17"/>
  <c r="M1615" i="17"/>
  <c r="M1616" i="17"/>
  <c r="M1617" i="17"/>
  <c r="M1618" i="17"/>
  <c r="M1619" i="17"/>
  <c r="M1620" i="17"/>
  <c r="M1621" i="17"/>
  <c r="M1622" i="17"/>
  <c r="M1623" i="17"/>
  <c r="M1624" i="17"/>
  <c r="M1625" i="17"/>
  <c r="M1626" i="17"/>
  <c r="M1627" i="17"/>
  <c r="M1628" i="17"/>
  <c r="M1629" i="17"/>
  <c r="M1630" i="17"/>
  <c r="M1631" i="17"/>
  <c r="M1632" i="17"/>
  <c r="M1633" i="17"/>
  <c r="M1634" i="17"/>
  <c r="M1635" i="17"/>
  <c r="M1636" i="17"/>
  <c r="M1637" i="17"/>
  <c r="M1638" i="17"/>
  <c r="M1639" i="17"/>
  <c r="M1640" i="17"/>
  <c r="M1641" i="17"/>
  <c r="M1642" i="17"/>
  <c r="M1643" i="17"/>
  <c r="M1644" i="17"/>
  <c r="M1645" i="17"/>
  <c r="M1646" i="17"/>
  <c r="M1647" i="17"/>
  <c r="M1648" i="17"/>
  <c r="M1649" i="17"/>
  <c r="M1650" i="17"/>
  <c r="M1651" i="17"/>
  <c r="M1652" i="17"/>
  <c r="M1653" i="17"/>
  <c r="M1654" i="17"/>
  <c r="M1655" i="17"/>
  <c r="M1656" i="17"/>
  <c r="M1657" i="17"/>
  <c r="M1658" i="17"/>
  <c r="M1659" i="17"/>
  <c r="M1660" i="17"/>
  <c r="M1661" i="17"/>
  <c r="M1662" i="17"/>
  <c r="M1663" i="17"/>
  <c r="M1664" i="17"/>
  <c r="M1665" i="17"/>
  <c r="M1666" i="17"/>
  <c r="M1667" i="17"/>
  <c r="M1668" i="17"/>
  <c r="M1669" i="17"/>
  <c r="M1670" i="17"/>
  <c r="M1671" i="17"/>
  <c r="M1672" i="17"/>
  <c r="M1673" i="17"/>
  <c r="M1674" i="17"/>
  <c r="M1675" i="17"/>
  <c r="M1676" i="17"/>
  <c r="M1677" i="17"/>
  <c r="M1678" i="17"/>
  <c r="M1679" i="17"/>
  <c r="M1680" i="17"/>
  <c r="M1681" i="17"/>
  <c r="M1682" i="17"/>
  <c r="M1683" i="17"/>
  <c r="M1684" i="17"/>
  <c r="M1685" i="17"/>
  <c r="M1686" i="17"/>
  <c r="M1687" i="17"/>
  <c r="M1688" i="17"/>
  <c r="M1689" i="17"/>
  <c r="M1690" i="17"/>
  <c r="M1691" i="17"/>
  <c r="M1692" i="17"/>
  <c r="M1693" i="17"/>
  <c r="M1694" i="17"/>
  <c r="M1695" i="17"/>
  <c r="M1696" i="17"/>
  <c r="M1697" i="17"/>
  <c r="M1698" i="17"/>
  <c r="M1699" i="17"/>
  <c r="M1700" i="17"/>
  <c r="M1701" i="17"/>
  <c r="M1702" i="17"/>
  <c r="M1703" i="17"/>
  <c r="M1704" i="17"/>
  <c r="M1705" i="17"/>
  <c r="M1706" i="17"/>
  <c r="M1707" i="17"/>
  <c r="M1708" i="17"/>
  <c r="M1709" i="17"/>
  <c r="M1710" i="17"/>
  <c r="M1711" i="17"/>
  <c r="M1712" i="17"/>
  <c r="M1713" i="17"/>
  <c r="M1714" i="17"/>
  <c r="M1715" i="17"/>
  <c r="M1716" i="17"/>
  <c r="M1717" i="17"/>
  <c r="M1718" i="17"/>
  <c r="M1719" i="17"/>
  <c r="M1720" i="17"/>
  <c r="M1721" i="17"/>
  <c r="M1722" i="17"/>
  <c r="M1723" i="17"/>
  <c r="M1724" i="17"/>
  <c r="M1725" i="17"/>
  <c r="M1726" i="17"/>
  <c r="M1727" i="17"/>
  <c r="M1728" i="17"/>
  <c r="M1729" i="17"/>
  <c r="M1730" i="17"/>
  <c r="M1731" i="17"/>
  <c r="M1732" i="17"/>
  <c r="M1733" i="17"/>
  <c r="M1734" i="17"/>
  <c r="M1735" i="17"/>
  <c r="M1736" i="17"/>
  <c r="M1737" i="17"/>
  <c r="M1738" i="17"/>
  <c r="M1739" i="17"/>
  <c r="M1740" i="17"/>
  <c r="M1741" i="17"/>
  <c r="M1742" i="17"/>
  <c r="M1743" i="17"/>
  <c r="M1744" i="17"/>
  <c r="M1745" i="17"/>
  <c r="M1746" i="17"/>
  <c r="M1747" i="17"/>
  <c r="M1748" i="17"/>
  <c r="M1749" i="17"/>
  <c r="M1750" i="17"/>
  <c r="M1751" i="17"/>
  <c r="M1752" i="17"/>
  <c r="M1753" i="17"/>
  <c r="M1754" i="17"/>
  <c r="M1755" i="17"/>
  <c r="M1756" i="17"/>
  <c r="M1757" i="17"/>
  <c r="M1758" i="17"/>
  <c r="M1759" i="17"/>
  <c r="M1760" i="17"/>
  <c r="M1761" i="17"/>
  <c r="M1762" i="17"/>
  <c r="M1763" i="17"/>
  <c r="M1764" i="17"/>
  <c r="M1765" i="17"/>
  <c r="M1766" i="17"/>
  <c r="M1767" i="17"/>
  <c r="M1768" i="17"/>
  <c r="M1769" i="17"/>
  <c r="M1770" i="17"/>
  <c r="M1771" i="17"/>
  <c r="M1772" i="17"/>
  <c r="M1773" i="17"/>
  <c r="M1774" i="17"/>
  <c r="M1775" i="17"/>
  <c r="M1776" i="17"/>
  <c r="M1777" i="17"/>
  <c r="M1778" i="17"/>
  <c r="M1779" i="17"/>
  <c r="M1780" i="17"/>
  <c r="M1781" i="17"/>
  <c r="M1782" i="17"/>
  <c r="M1783" i="17"/>
  <c r="M1784" i="17"/>
  <c r="M1785" i="17"/>
  <c r="M1786" i="17"/>
  <c r="M1787" i="17"/>
  <c r="M1788" i="17"/>
  <c r="M1789" i="17"/>
  <c r="M1790" i="17"/>
  <c r="M1791" i="17"/>
  <c r="M1792" i="17"/>
  <c r="M1793" i="17"/>
  <c r="M1794" i="17"/>
  <c r="M1795" i="17"/>
  <c r="M1796" i="17"/>
  <c r="M1797" i="17"/>
  <c r="M1798" i="17"/>
  <c r="M1799" i="17"/>
  <c r="M1800" i="17"/>
  <c r="M1801" i="17"/>
  <c r="M1802" i="17"/>
  <c r="M1803" i="17"/>
  <c r="M1804" i="17"/>
  <c r="M1805" i="17"/>
  <c r="M1806" i="17"/>
  <c r="M1807" i="17"/>
  <c r="M1808" i="17"/>
  <c r="M1809" i="17"/>
  <c r="M1810" i="17"/>
  <c r="M1811" i="17"/>
  <c r="M1812" i="17"/>
  <c r="M1813" i="17"/>
  <c r="M1814" i="17"/>
  <c r="M1815" i="17"/>
  <c r="M1816" i="17"/>
  <c r="M1817" i="17"/>
  <c r="M1818" i="17"/>
  <c r="M1819" i="17"/>
  <c r="M1820" i="17"/>
  <c r="M1821" i="17"/>
  <c r="M1822" i="17"/>
  <c r="M1823" i="17"/>
  <c r="M1824" i="17"/>
  <c r="M1825" i="17"/>
  <c r="M1826" i="17"/>
  <c r="M1827" i="17"/>
  <c r="M1828" i="17"/>
  <c r="M1829" i="17"/>
  <c r="M1830" i="17"/>
  <c r="M1831" i="17"/>
  <c r="M1832" i="17"/>
  <c r="M1833" i="17"/>
  <c r="M1834" i="17"/>
  <c r="M1835" i="17"/>
  <c r="M1836" i="17"/>
  <c r="M1837" i="17"/>
  <c r="M1838" i="17"/>
  <c r="M1839" i="17"/>
  <c r="M1840" i="17"/>
  <c r="M1841" i="17"/>
  <c r="M1842" i="17"/>
  <c r="M1843" i="17"/>
  <c r="M1844" i="17"/>
  <c r="M1845" i="17"/>
  <c r="M1846" i="17"/>
  <c r="M1847" i="17"/>
  <c r="M1848" i="17"/>
  <c r="M1849" i="17"/>
  <c r="M1850" i="17"/>
  <c r="M1851" i="17"/>
  <c r="M1852" i="17"/>
  <c r="M1853" i="17"/>
  <c r="M1854" i="17"/>
  <c r="M1855" i="17"/>
  <c r="M1856" i="17"/>
  <c r="M1857" i="17"/>
  <c r="M1858" i="17"/>
  <c r="M1859" i="17"/>
  <c r="M1860" i="17"/>
  <c r="M1861" i="17"/>
  <c r="M1862" i="17"/>
  <c r="M1863" i="17"/>
  <c r="M1864" i="17"/>
  <c r="M1865" i="17"/>
  <c r="M1866" i="17"/>
  <c r="M1867" i="17"/>
  <c r="M1868" i="17"/>
  <c r="M1869" i="17"/>
  <c r="M1870" i="17"/>
  <c r="M1871" i="17"/>
  <c r="M1872" i="17"/>
  <c r="M1873" i="17"/>
  <c r="M1874" i="17"/>
  <c r="M1875" i="17"/>
  <c r="M1876" i="17"/>
  <c r="M1877" i="17"/>
  <c r="M1878" i="17"/>
  <c r="M1879" i="17"/>
  <c r="M1880" i="17"/>
  <c r="M1881" i="17"/>
  <c r="M1882" i="17"/>
  <c r="M1883" i="17"/>
  <c r="M1884" i="17"/>
  <c r="M1885" i="17"/>
  <c r="M1886" i="17"/>
  <c r="M1887" i="17"/>
  <c r="M1888" i="17"/>
  <c r="M1889" i="17"/>
  <c r="M1890" i="17"/>
  <c r="M1891" i="17"/>
  <c r="M1892" i="17"/>
  <c r="M1893" i="17"/>
  <c r="M1894" i="17"/>
  <c r="M1895" i="17"/>
  <c r="M1896" i="17"/>
  <c r="M1897" i="17"/>
  <c r="M1898" i="17"/>
  <c r="M1899" i="17"/>
  <c r="M1900" i="17"/>
  <c r="M1901" i="17"/>
  <c r="M1902" i="17"/>
  <c r="M1903" i="17"/>
  <c r="M1904" i="17"/>
  <c r="M1905" i="17"/>
  <c r="M1906" i="17"/>
  <c r="M1907" i="17"/>
  <c r="M1908" i="17"/>
  <c r="M1909" i="17"/>
  <c r="M1910" i="17"/>
  <c r="M1911" i="17"/>
  <c r="M1912" i="17"/>
  <c r="M1913" i="17"/>
  <c r="M1914" i="17"/>
  <c r="M1915" i="17"/>
  <c r="M1916" i="17"/>
  <c r="M1917" i="17"/>
  <c r="M1918" i="17"/>
  <c r="M1919" i="17"/>
  <c r="M1920" i="17"/>
  <c r="M1921" i="17"/>
  <c r="M1922" i="17"/>
  <c r="M1923" i="17"/>
  <c r="M1924" i="17"/>
  <c r="M1925" i="17"/>
  <c r="M1926" i="17"/>
  <c r="M1927" i="17"/>
  <c r="M1928" i="17"/>
  <c r="M1929" i="17"/>
  <c r="M1930" i="17"/>
  <c r="M1931" i="17"/>
  <c r="M1932" i="17"/>
  <c r="M1933" i="17"/>
  <c r="M1934" i="17"/>
  <c r="M1935" i="17"/>
  <c r="M1936" i="17"/>
  <c r="M1937" i="17"/>
  <c r="M1938" i="17"/>
  <c r="M1939" i="17"/>
  <c r="M1940" i="17"/>
  <c r="M1941" i="17"/>
  <c r="M1942" i="17"/>
  <c r="M1943" i="17"/>
  <c r="M1944" i="17"/>
  <c r="M1945" i="17"/>
  <c r="M1946" i="17"/>
  <c r="M1947" i="17"/>
  <c r="M1948" i="17"/>
  <c r="M1949" i="17"/>
  <c r="M1950" i="17"/>
  <c r="M1951" i="17"/>
  <c r="M1952" i="17"/>
  <c r="M1953" i="17"/>
  <c r="M1954" i="17"/>
  <c r="M1955" i="17"/>
  <c r="M1956" i="17"/>
  <c r="M1957" i="17"/>
  <c r="M1958" i="17"/>
  <c r="M1959" i="17"/>
  <c r="M1960" i="17"/>
  <c r="M1961" i="17"/>
  <c r="M1962" i="17"/>
  <c r="M1963" i="17"/>
  <c r="M1964" i="17"/>
  <c r="M1965" i="17"/>
  <c r="M1966" i="17"/>
  <c r="M1967" i="17"/>
  <c r="M1968" i="17"/>
  <c r="M1969" i="17"/>
  <c r="M1970" i="17"/>
  <c r="M1971" i="17"/>
  <c r="M1972" i="17"/>
  <c r="M1973" i="17"/>
  <c r="M1974" i="17"/>
  <c r="M1975" i="17"/>
  <c r="M1976" i="17"/>
  <c r="M1977" i="17"/>
  <c r="M1978" i="17"/>
  <c r="M1979" i="17"/>
  <c r="M1980" i="17"/>
  <c r="M1981" i="17"/>
  <c r="M1982" i="17"/>
  <c r="M1983" i="17"/>
  <c r="M1984" i="17"/>
  <c r="M1985" i="17"/>
  <c r="M1986" i="17"/>
  <c r="M1987" i="17"/>
  <c r="M1988" i="17"/>
  <c r="M1989" i="17"/>
  <c r="M1990" i="17"/>
  <c r="M1991" i="17"/>
  <c r="M1992" i="17"/>
  <c r="M1993" i="17"/>
  <c r="M1994" i="17"/>
  <c r="M1995" i="17"/>
  <c r="M1996" i="17"/>
  <c r="M1997" i="17"/>
  <c r="M1998" i="17"/>
  <c r="M1999" i="17"/>
  <c r="M2000" i="17"/>
  <c r="M2001" i="17"/>
  <c r="M2002" i="17"/>
  <c r="M2003" i="17"/>
  <c r="M2004" i="17"/>
  <c r="M2005" i="17"/>
  <c r="M2006" i="17"/>
  <c r="M2007" i="17"/>
  <c r="M2008" i="17"/>
  <c r="M2009" i="17"/>
  <c r="M2010" i="17"/>
  <c r="M2011" i="17"/>
  <c r="M2012" i="17"/>
  <c r="M2013" i="17"/>
  <c r="M2014" i="17"/>
  <c r="M2015" i="17"/>
  <c r="M2016" i="17"/>
  <c r="M2017" i="17"/>
  <c r="M2018" i="17"/>
  <c r="M2019" i="17"/>
  <c r="M2020" i="17"/>
  <c r="M2021" i="17"/>
  <c r="M2022" i="17"/>
  <c r="M2023" i="17"/>
  <c r="M2024" i="17"/>
  <c r="M2025" i="17"/>
  <c r="M2026" i="17"/>
  <c r="M2027" i="17"/>
  <c r="M2028" i="17"/>
  <c r="M2029" i="17"/>
  <c r="M2030" i="17"/>
  <c r="M2031" i="17"/>
  <c r="M2032" i="17"/>
  <c r="M2033" i="17"/>
  <c r="M2034" i="17"/>
  <c r="M2035" i="17"/>
  <c r="M2036" i="17"/>
  <c r="M2037" i="17"/>
  <c r="M2038" i="17"/>
  <c r="M2039" i="17"/>
  <c r="M2040" i="17"/>
  <c r="M2041" i="17"/>
  <c r="M2042" i="17"/>
  <c r="M2043" i="17"/>
  <c r="M2044" i="17"/>
  <c r="M2045" i="17"/>
  <c r="M2046" i="17"/>
  <c r="M2047" i="17"/>
  <c r="M2048" i="17"/>
  <c r="M2049" i="17"/>
  <c r="M2050" i="17"/>
  <c r="M2051" i="17"/>
  <c r="M2052" i="17"/>
  <c r="M2053" i="17"/>
  <c r="M2054" i="17"/>
  <c r="M2055" i="17"/>
  <c r="M2056" i="17"/>
  <c r="M2057" i="17"/>
  <c r="M2058" i="17"/>
  <c r="M2059" i="17"/>
  <c r="M2060" i="17"/>
  <c r="M2061" i="17"/>
  <c r="M2062" i="17"/>
  <c r="M2063" i="17"/>
  <c r="M2064" i="17"/>
  <c r="M2065" i="17"/>
  <c r="M2066" i="17"/>
  <c r="M2067" i="17"/>
  <c r="M2068" i="17"/>
  <c r="M2069" i="17"/>
  <c r="M2070" i="17"/>
  <c r="M2071" i="17"/>
  <c r="M2072" i="17"/>
  <c r="M2073" i="17"/>
  <c r="M2074" i="17"/>
  <c r="M2075" i="17"/>
  <c r="M2076" i="17"/>
  <c r="M2077" i="17"/>
  <c r="M2078" i="17"/>
  <c r="M2079" i="17"/>
  <c r="M2080" i="17"/>
  <c r="M2081" i="17"/>
  <c r="M2082" i="17"/>
  <c r="M2083" i="17"/>
  <c r="M2084" i="17"/>
  <c r="M2085" i="17"/>
  <c r="M2086" i="17"/>
  <c r="M2087" i="17"/>
  <c r="M2088" i="17"/>
  <c r="M2089" i="17"/>
  <c r="M2090" i="17"/>
  <c r="M2091" i="17"/>
  <c r="M2092" i="17"/>
  <c r="M2093" i="17"/>
  <c r="M2094" i="17"/>
  <c r="M2095" i="17"/>
  <c r="M2096" i="17"/>
  <c r="M2097" i="17"/>
  <c r="M2098" i="17"/>
  <c r="M2099" i="17"/>
  <c r="M2100" i="17"/>
  <c r="M2101" i="17"/>
  <c r="M2102" i="17"/>
  <c r="M2103" i="17"/>
  <c r="M2104" i="17"/>
  <c r="M2105" i="17"/>
  <c r="M2106" i="17"/>
  <c r="M2107" i="17"/>
  <c r="M2108" i="17"/>
  <c r="M2109" i="17"/>
  <c r="M2110" i="17"/>
  <c r="M2111" i="17"/>
  <c r="M2112" i="17"/>
  <c r="M2113" i="17"/>
  <c r="M2114" i="17"/>
  <c r="M2115" i="17"/>
  <c r="M2116" i="17"/>
  <c r="M2117" i="17"/>
  <c r="M2118" i="17"/>
  <c r="M2119" i="17"/>
  <c r="M2120" i="17"/>
  <c r="M2121" i="17"/>
  <c r="M2122" i="17"/>
  <c r="M2123" i="17"/>
  <c r="M2124" i="17"/>
  <c r="M2125" i="17"/>
  <c r="M2126" i="17"/>
  <c r="M2127" i="17"/>
  <c r="M2128" i="17"/>
  <c r="M2129" i="17"/>
  <c r="M2130" i="17"/>
  <c r="M2131" i="17"/>
  <c r="M2132" i="17"/>
  <c r="M2133" i="17"/>
  <c r="M2134" i="17"/>
  <c r="M2135" i="17"/>
  <c r="M2136" i="17"/>
  <c r="M2137" i="17"/>
  <c r="M2138" i="17"/>
  <c r="M2139" i="17"/>
  <c r="M2140" i="17"/>
  <c r="M2141" i="17"/>
  <c r="M2142" i="17"/>
  <c r="M2143" i="17"/>
  <c r="M2144" i="17"/>
  <c r="M2145" i="17"/>
  <c r="M2146" i="17"/>
  <c r="M2147" i="17"/>
  <c r="M2148" i="17"/>
  <c r="M2149" i="17"/>
  <c r="M2150" i="17"/>
  <c r="M2151" i="17"/>
  <c r="M2152" i="17"/>
  <c r="M2153" i="17"/>
  <c r="M2154" i="17"/>
  <c r="M2155" i="17"/>
  <c r="M2156" i="17"/>
  <c r="M2157" i="17"/>
  <c r="M2158" i="17"/>
  <c r="M2159" i="17"/>
  <c r="M2160" i="17"/>
  <c r="M2161" i="17"/>
  <c r="M2162" i="17"/>
  <c r="M2163" i="17"/>
  <c r="M2164" i="17"/>
  <c r="M2165" i="17"/>
  <c r="M2166" i="17"/>
  <c r="M2167" i="17"/>
  <c r="M2168" i="17"/>
  <c r="M2169" i="17"/>
  <c r="M2170" i="17"/>
  <c r="M2171" i="17"/>
  <c r="M2172" i="17"/>
  <c r="M2173" i="17"/>
  <c r="M2174" i="17"/>
  <c r="M2175" i="17"/>
  <c r="M2176" i="17"/>
  <c r="M2177" i="17"/>
  <c r="M2178" i="17"/>
  <c r="M2179" i="17"/>
  <c r="M2180" i="17"/>
  <c r="M2181" i="17"/>
  <c r="M2182" i="17"/>
  <c r="M2183" i="17"/>
  <c r="M2184" i="17"/>
  <c r="M2185" i="17"/>
  <c r="M2186" i="17"/>
  <c r="M2187" i="17"/>
  <c r="M2188" i="17"/>
  <c r="M2189" i="17"/>
  <c r="M2190" i="17"/>
  <c r="M2191" i="17"/>
  <c r="M2192" i="17"/>
  <c r="M2193" i="17"/>
  <c r="M2194" i="17"/>
  <c r="M2195" i="17"/>
  <c r="M2196" i="17"/>
  <c r="M2197" i="17"/>
  <c r="M2198" i="17"/>
  <c r="M2199" i="17"/>
  <c r="M2200" i="17"/>
  <c r="M2201" i="17"/>
  <c r="M2202" i="17"/>
  <c r="M2203" i="17"/>
  <c r="M2204" i="17"/>
  <c r="M2205" i="17"/>
  <c r="M2206" i="17"/>
  <c r="M2207" i="17"/>
  <c r="M2208" i="17"/>
  <c r="M2209" i="17"/>
  <c r="M2210" i="17"/>
  <c r="M2211" i="17"/>
  <c r="M2212" i="17"/>
  <c r="M2213" i="17"/>
  <c r="M2214" i="17"/>
  <c r="M2215" i="17"/>
  <c r="M2216" i="17"/>
  <c r="M2217" i="17"/>
  <c r="M2218" i="17"/>
  <c r="M2219" i="17"/>
  <c r="M2220" i="17"/>
  <c r="M2221" i="17"/>
  <c r="M2222" i="17"/>
  <c r="M2223" i="17"/>
  <c r="M2224" i="17"/>
  <c r="M2225" i="17"/>
  <c r="M2226" i="17"/>
  <c r="M2227" i="17"/>
  <c r="M2228" i="17"/>
  <c r="M2229" i="17"/>
  <c r="M2230" i="17"/>
  <c r="M2231" i="17"/>
  <c r="M2232" i="17"/>
  <c r="M2233" i="17"/>
  <c r="M2234" i="17"/>
  <c r="M2235" i="17"/>
  <c r="M2236" i="17"/>
  <c r="M2237" i="17"/>
  <c r="M2238" i="17"/>
  <c r="M2239" i="17"/>
  <c r="M2240" i="17"/>
  <c r="M2241" i="17"/>
  <c r="M2242" i="17"/>
  <c r="M2243" i="17"/>
  <c r="M2244" i="17"/>
  <c r="M2245" i="17"/>
  <c r="M2246" i="17"/>
  <c r="M2247" i="17"/>
  <c r="M2248" i="17"/>
  <c r="M2249" i="17"/>
  <c r="M2250" i="17"/>
  <c r="M2251" i="17"/>
  <c r="M2252" i="17"/>
  <c r="M2253" i="17"/>
  <c r="M2254" i="17"/>
  <c r="M2255" i="17"/>
  <c r="M2256" i="17"/>
  <c r="M2257" i="17"/>
  <c r="M2258" i="17"/>
  <c r="M2259" i="17"/>
  <c r="M2260" i="17"/>
  <c r="M2261" i="17"/>
  <c r="M2262" i="17"/>
  <c r="M2263" i="17"/>
  <c r="M2264" i="17"/>
  <c r="M2265" i="17"/>
  <c r="M2266" i="17"/>
  <c r="M2267" i="17"/>
  <c r="M2268" i="17"/>
  <c r="M2269" i="17"/>
  <c r="M2270" i="17"/>
  <c r="M2271" i="17"/>
  <c r="M2272" i="17"/>
  <c r="M2273" i="17"/>
  <c r="M2274" i="17"/>
  <c r="M2275" i="17"/>
  <c r="M2276" i="17"/>
  <c r="M2277" i="17"/>
  <c r="M2278" i="17"/>
  <c r="M2279" i="17"/>
  <c r="M2280" i="17"/>
  <c r="M2281" i="17"/>
  <c r="M2282" i="17"/>
  <c r="M2283" i="17"/>
  <c r="M2284" i="17"/>
  <c r="M2285" i="17"/>
  <c r="M2286" i="17"/>
  <c r="M2287" i="17"/>
  <c r="M2288" i="17"/>
  <c r="M2289" i="17"/>
  <c r="M2290" i="17"/>
  <c r="M2291" i="17"/>
  <c r="M2292" i="17"/>
  <c r="M2293" i="17"/>
  <c r="M2294" i="17"/>
  <c r="M2295" i="17"/>
  <c r="M2296" i="17"/>
  <c r="M2297" i="17"/>
  <c r="M2298" i="17"/>
  <c r="M2299" i="17"/>
  <c r="M2300" i="17"/>
  <c r="M2301" i="17"/>
  <c r="M2302" i="17"/>
  <c r="M2303" i="17"/>
  <c r="M2304" i="17"/>
  <c r="M2305" i="17"/>
  <c r="M2306" i="17"/>
  <c r="M2307" i="17"/>
  <c r="M2308" i="17"/>
  <c r="M2309" i="17"/>
  <c r="M2310" i="17"/>
  <c r="M2311" i="17"/>
  <c r="M2312" i="17"/>
  <c r="M2313" i="17"/>
  <c r="M2314" i="17"/>
  <c r="M2315" i="17"/>
  <c r="M2316" i="17"/>
  <c r="M2317" i="17"/>
  <c r="M2318" i="17"/>
  <c r="M2319" i="17"/>
  <c r="M2320" i="17"/>
  <c r="M2321" i="17"/>
  <c r="M2322" i="17"/>
  <c r="M2323" i="17"/>
  <c r="M2324" i="17"/>
  <c r="M2325" i="17"/>
  <c r="M2326" i="17"/>
  <c r="M2327" i="17"/>
  <c r="M2328" i="17"/>
  <c r="M2329" i="17"/>
  <c r="M2330" i="17"/>
  <c r="M2331" i="17"/>
  <c r="M2332" i="17"/>
  <c r="M2333" i="17"/>
  <c r="M2334" i="17"/>
  <c r="M2335" i="17"/>
  <c r="M2336" i="17"/>
  <c r="M2337" i="17"/>
  <c r="M2338" i="17"/>
  <c r="M2339" i="17"/>
  <c r="M2340" i="17"/>
  <c r="M2341" i="17"/>
  <c r="M2342" i="17"/>
  <c r="M2343" i="17"/>
  <c r="M2344" i="17"/>
  <c r="M2345" i="17"/>
  <c r="M2346" i="17"/>
  <c r="M2347" i="17"/>
  <c r="M2348" i="17"/>
  <c r="M2349" i="17"/>
  <c r="M2350"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N1002" i="17"/>
  <c r="N1003" i="17"/>
  <c r="N1004" i="17"/>
  <c r="N1005" i="17"/>
  <c r="N1006" i="17"/>
  <c r="N1007" i="17"/>
  <c r="N1008" i="17"/>
  <c r="N1009" i="17"/>
  <c r="N1010" i="17"/>
  <c r="N1011" i="17"/>
  <c r="N1012" i="17"/>
  <c r="N1013" i="17"/>
  <c r="N1014" i="17"/>
  <c r="N1015" i="17"/>
  <c r="N1016" i="17"/>
  <c r="N1017" i="17"/>
  <c r="N1018" i="17"/>
  <c r="N1019" i="17"/>
  <c r="N1020" i="17"/>
  <c r="N1021" i="17"/>
  <c r="N1022" i="17"/>
  <c r="N1023" i="17"/>
  <c r="N1024" i="17"/>
  <c r="N1025" i="17"/>
  <c r="N1026" i="17"/>
  <c r="N1027" i="17"/>
  <c r="N1028" i="17"/>
  <c r="N1029" i="17"/>
  <c r="N1030" i="17"/>
  <c r="N1031" i="17"/>
  <c r="N1032" i="17"/>
  <c r="N1033" i="17"/>
  <c r="N1034" i="17"/>
  <c r="N1035" i="17"/>
  <c r="N1036" i="17"/>
  <c r="N1037" i="17"/>
  <c r="N1038" i="17"/>
  <c r="N1039" i="17"/>
  <c r="N1040" i="17"/>
  <c r="N1041" i="17"/>
  <c r="N1042" i="17"/>
  <c r="N1043" i="17"/>
  <c r="N1044" i="17"/>
  <c r="N1045" i="17"/>
  <c r="N1046" i="17"/>
  <c r="N1047" i="17"/>
  <c r="N1048" i="17"/>
  <c r="N1049" i="17"/>
  <c r="N1050" i="17"/>
  <c r="N1051" i="17"/>
  <c r="N1052" i="17"/>
  <c r="N1053" i="17"/>
  <c r="N1054" i="17"/>
  <c r="N1055" i="17"/>
  <c r="N1056" i="17"/>
  <c r="N1057" i="17"/>
  <c r="N1058" i="17"/>
  <c r="N1059" i="17"/>
  <c r="N1060" i="17"/>
  <c r="N1061" i="17"/>
  <c r="N1062" i="17"/>
  <c r="N1063" i="17"/>
  <c r="N1064" i="17"/>
  <c r="N1065" i="17"/>
  <c r="N1066" i="17"/>
  <c r="N1067" i="17"/>
  <c r="N1068" i="17"/>
  <c r="N1069" i="17"/>
  <c r="N1070" i="17"/>
  <c r="N1071" i="17"/>
  <c r="N1072" i="17"/>
  <c r="N1073" i="17"/>
  <c r="N1074" i="17"/>
  <c r="N1075" i="17"/>
  <c r="N1076" i="17"/>
  <c r="N1077" i="17"/>
  <c r="N1078" i="17"/>
  <c r="N1079" i="17"/>
  <c r="N1080" i="17"/>
  <c r="N1081" i="17"/>
  <c r="N1082" i="17"/>
  <c r="N1083" i="17"/>
  <c r="N1084" i="17"/>
  <c r="N1085" i="17"/>
  <c r="N1086" i="17"/>
  <c r="N1087" i="17"/>
  <c r="N1088" i="17"/>
  <c r="N1089" i="17"/>
  <c r="N1090" i="17"/>
  <c r="N1091" i="17"/>
  <c r="N1092" i="17"/>
  <c r="N1093" i="17"/>
  <c r="N1094" i="17"/>
  <c r="N1095" i="17"/>
  <c r="N1096" i="17"/>
  <c r="N1097" i="17"/>
  <c r="N1098" i="17"/>
  <c r="N1099" i="17"/>
  <c r="N1100" i="17"/>
  <c r="N1101" i="17"/>
  <c r="N1102" i="17"/>
  <c r="N1103" i="17"/>
  <c r="N1104" i="17"/>
  <c r="N1105" i="17"/>
  <c r="N1106" i="17"/>
  <c r="N1107" i="17"/>
  <c r="N1108" i="17"/>
  <c r="N1109" i="17"/>
  <c r="N1110" i="17"/>
  <c r="N1111" i="17"/>
  <c r="N1112" i="17"/>
  <c r="N1113" i="17"/>
  <c r="N1114" i="17"/>
  <c r="N1115" i="17"/>
  <c r="N1116" i="17"/>
  <c r="N1117" i="17"/>
  <c r="N1118" i="17"/>
  <c r="N1119" i="17"/>
  <c r="N1120" i="17"/>
  <c r="N1121" i="17"/>
  <c r="N1122" i="17"/>
  <c r="N1123" i="17"/>
  <c r="N1124" i="17"/>
  <c r="N1125" i="17"/>
  <c r="N1126" i="17"/>
  <c r="N1127" i="17"/>
  <c r="N1128" i="17"/>
  <c r="N1129" i="17"/>
  <c r="N1130" i="17"/>
  <c r="N1131" i="17"/>
  <c r="N1132" i="17"/>
  <c r="N1133" i="17"/>
  <c r="N1134" i="17"/>
  <c r="N1135" i="17"/>
  <c r="N1136" i="17"/>
  <c r="N1137" i="17"/>
  <c r="N1138" i="17"/>
  <c r="N1139" i="17"/>
  <c r="N1140" i="17"/>
  <c r="N1141" i="17"/>
  <c r="N1142" i="17"/>
  <c r="N1143" i="17"/>
  <c r="N1144" i="17"/>
  <c r="N1145" i="17"/>
  <c r="N1146" i="17"/>
  <c r="N1147" i="17"/>
  <c r="N1148" i="17"/>
  <c r="N1149" i="17"/>
  <c r="N1150" i="17"/>
  <c r="N1151" i="17"/>
  <c r="N1152" i="17"/>
  <c r="N1153" i="17"/>
  <c r="N1154" i="17"/>
  <c r="N1155" i="17"/>
  <c r="N1156" i="17"/>
  <c r="N1157" i="17"/>
  <c r="N1158" i="17"/>
  <c r="N1159" i="17"/>
  <c r="N1160" i="17"/>
  <c r="N1161" i="17"/>
  <c r="N1162" i="17"/>
  <c r="N1163" i="17"/>
  <c r="N1164" i="17"/>
  <c r="N1165" i="17"/>
  <c r="N1166" i="17"/>
  <c r="N1167" i="17"/>
  <c r="N1168" i="17"/>
  <c r="N1169" i="17"/>
  <c r="N1170" i="17"/>
  <c r="N1171" i="17"/>
  <c r="N1172" i="17"/>
  <c r="N1173" i="17"/>
  <c r="N1174" i="17"/>
  <c r="N1175" i="17"/>
  <c r="N1176" i="17"/>
  <c r="N1177" i="17"/>
  <c r="N1178" i="17"/>
  <c r="N1179" i="17"/>
  <c r="N1180" i="17"/>
  <c r="N1181" i="17"/>
  <c r="N1182" i="17"/>
  <c r="N1183" i="17"/>
  <c r="N1184" i="17"/>
  <c r="N1185" i="17"/>
  <c r="N1186" i="17"/>
  <c r="N1187" i="17"/>
  <c r="N1188" i="17"/>
  <c r="N1189" i="17"/>
  <c r="N1190" i="17"/>
  <c r="N1191" i="17"/>
  <c r="N1192" i="17"/>
  <c r="N1193" i="17"/>
  <c r="N1194" i="17"/>
  <c r="N1195" i="17"/>
  <c r="N1196" i="17"/>
  <c r="N1197" i="17"/>
  <c r="N1198" i="17"/>
  <c r="N1199" i="17"/>
  <c r="N1200" i="17"/>
  <c r="N1201" i="17"/>
  <c r="N1202" i="17"/>
  <c r="N1203" i="17"/>
  <c r="N1204" i="17"/>
  <c r="N1205" i="17"/>
  <c r="N1206" i="17"/>
  <c r="N1207" i="17"/>
  <c r="N1208" i="17"/>
  <c r="N1209" i="17"/>
  <c r="N1210" i="17"/>
  <c r="N1211" i="17"/>
  <c r="N1212" i="17"/>
  <c r="N1213" i="17"/>
  <c r="N1214" i="17"/>
  <c r="N1215" i="17"/>
  <c r="N1216" i="17"/>
  <c r="N1217" i="17"/>
  <c r="N1218" i="17"/>
  <c r="N1219" i="17"/>
  <c r="N1220" i="17"/>
  <c r="N1221" i="17"/>
  <c r="N1222" i="17"/>
  <c r="N1223" i="17"/>
  <c r="N1224" i="17"/>
  <c r="N1225" i="17"/>
  <c r="N1226" i="17"/>
  <c r="N1227" i="17"/>
  <c r="N1228" i="17"/>
  <c r="N1229" i="17"/>
  <c r="N1230" i="17"/>
  <c r="N1231" i="17"/>
  <c r="N1232" i="17"/>
  <c r="N1233" i="17"/>
  <c r="N1234" i="17"/>
  <c r="N1235" i="17"/>
  <c r="N1236" i="17"/>
  <c r="N1237" i="17"/>
  <c r="N1238" i="17"/>
  <c r="N1239" i="17"/>
  <c r="N1240" i="17"/>
  <c r="N1241" i="17"/>
  <c r="N1242" i="17"/>
  <c r="N1243" i="17"/>
  <c r="N1244" i="17"/>
  <c r="N1245" i="17"/>
  <c r="N1246" i="17"/>
  <c r="N1247" i="17"/>
  <c r="N1248" i="17"/>
  <c r="N1249" i="17"/>
  <c r="N1250" i="17"/>
  <c r="N1251" i="17"/>
  <c r="N1252" i="17"/>
  <c r="N1253" i="17"/>
  <c r="N1254" i="17"/>
  <c r="N1255" i="17"/>
  <c r="N1256" i="17"/>
  <c r="N1257" i="17"/>
  <c r="N1258" i="17"/>
  <c r="N1259" i="17"/>
  <c r="N1260" i="17"/>
  <c r="N1261" i="17"/>
  <c r="N1262" i="17"/>
  <c r="N1263" i="17"/>
  <c r="N1264" i="17"/>
  <c r="N1265" i="17"/>
  <c r="N1266" i="17"/>
  <c r="N1267" i="17"/>
  <c r="N1268" i="17"/>
  <c r="N1269" i="17"/>
  <c r="N1270" i="17"/>
  <c r="N1271" i="17"/>
  <c r="N1272" i="17"/>
  <c r="N1273" i="17"/>
  <c r="N1274" i="17"/>
  <c r="N1275" i="17"/>
  <c r="N1276" i="17"/>
  <c r="N1277" i="17"/>
  <c r="N1278" i="17"/>
  <c r="N1279" i="17"/>
  <c r="N1280" i="17"/>
  <c r="N1281" i="17"/>
  <c r="N1282" i="17"/>
  <c r="N1283" i="17"/>
  <c r="N1284" i="17"/>
  <c r="N1285" i="17"/>
  <c r="N1286" i="17"/>
  <c r="N1287" i="17"/>
  <c r="N1288" i="17"/>
  <c r="N1289" i="17"/>
  <c r="N1290" i="17"/>
  <c r="N1291" i="17"/>
  <c r="N1292" i="17"/>
  <c r="N1293" i="17"/>
  <c r="N1294" i="17"/>
  <c r="N1295" i="17"/>
  <c r="N1296" i="17"/>
  <c r="N1297" i="17"/>
  <c r="N1298" i="17"/>
  <c r="N1299" i="17"/>
  <c r="N1300" i="17"/>
  <c r="N1301" i="17"/>
  <c r="N1302" i="17"/>
  <c r="N1303" i="17"/>
  <c r="N1304" i="17"/>
  <c r="N1305" i="17"/>
  <c r="N1306" i="17"/>
  <c r="N1307" i="17"/>
  <c r="N1308" i="17"/>
  <c r="N1309" i="17"/>
  <c r="N1310" i="17"/>
  <c r="N1311" i="17"/>
  <c r="N1312" i="17"/>
  <c r="N1313" i="17"/>
  <c r="N1314" i="17"/>
  <c r="N1315" i="17"/>
  <c r="N1316" i="17"/>
  <c r="N1317" i="17"/>
  <c r="N1318" i="17"/>
  <c r="N1319" i="17"/>
  <c r="N1320" i="17"/>
  <c r="N1321" i="17"/>
  <c r="N1322" i="17"/>
  <c r="N1323" i="17"/>
  <c r="N1324" i="17"/>
  <c r="N1325" i="17"/>
  <c r="N1326" i="17"/>
  <c r="N1327" i="17"/>
  <c r="N1328" i="17"/>
  <c r="N1329" i="17"/>
  <c r="N1330" i="17"/>
  <c r="N1331" i="17"/>
  <c r="N1332" i="17"/>
  <c r="N1333" i="17"/>
  <c r="N1334" i="17"/>
  <c r="N1335" i="17"/>
  <c r="N1336" i="17"/>
  <c r="N1337" i="17"/>
  <c r="N1338" i="17"/>
  <c r="N1339" i="17"/>
  <c r="N1340" i="17"/>
  <c r="N1341" i="17"/>
  <c r="N1342" i="17"/>
  <c r="N1343" i="17"/>
  <c r="N1344" i="17"/>
  <c r="N1345" i="17"/>
  <c r="N1346" i="17"/>
  <c r="N1347" i="17"/>
  <c r="N1348" i="17"/>
  <c r="N1349" i="17"/>
  <c r="N1350" i="17"/>
  <c r="N1351" i="17"/>
  <c r="N1352" i="17"/>
  <c r="N1353" i="17"/>
  <c r="N1354" i="17"/>
  <c r="N1355" i="17"/>
  <c r="N1356" i="17"/>
  <c r="N1357" i="17"/>
  <c r="N1358" i="17"/>
  <c r="N1359" i="17"/>
  <c r="N1360" i="17"/>
  <c r="N1361" i="17"/>
  <c r="N1362" i="17"/>
  <c r="N1363" i="17"/>
  <c r="N1364" i="17"/>
  <c r="N1365" i="17"/>
  <c r="N1366" i="17"/>
  <c r="N1367" i="17"/>
  <c r="N1368" i="17"/>
  <c r="N1369" i="17"/>
  <c r="N1370" i="17"/>
  <c r="N1371" i="17"/>
  <c r="N1372" i="17"/>
  <c r="N1373" i="17"/>
  <c r="N1374" i="17"/>
  <c r="N1375" i="17"/>
  <c r="N1376" i="17"/>
  <c r="N1377" i="17"/>
  <c r="N1378" i="17"/>
  <c r="N1379" i="17"/>
  <c r="N1380" i="17"/>
  <c r="N1381" i="17"/>
  <c r="N1382" i="17"/>
  <c r="N1383" i="17"/>
  <c r="N1384" i="17"/>
  <c r="N1385" i="17"/>
  <c r="N1386" i="17"/>
  <c r="N1387" i="17"/>
  <c r="N1388" i="17"/>
  <c r="N1389" i="17"/>
  <c r="N1390" i="17"/>
  <c r="N1391" i="17"/>
  <c r="N1392" i="17"/>
  <c r="N1393" i="17"/>
  <c r="N1394" i="17"/>
  <c r="N1395" i="17"/>
  <c r="N1396" i="17"/>
  <c r="N1397" i="17"/>
  <c r="N1398" i="17"/>
  <c r="N1399" i="17"/>
  <c r="N1400" i="17"/>
  <c r="N1401" i="17"/>
  <c r="N1402" i="17"/>
  <c r="N1403" i="17"/>
  <c r="N1404" i="17"/>
  <c r="N1405" i="17"/>
  <c r="N1406" i="17"/>
  <c r="N1407" i="17"/>
  <c r="N1408" i="17"/>
  <c r="N1409" i="17"/>
  <c r="N1410" i="17"/>
  <c r="N1411" i="17"/>
  <c r="N1412" i="17"/>
  <c r="N1413" i="17"/>
  <c r="N1414" i="17"/>
  <c r="N1415" i="17"/>
  <c r="N1416" i="17"/>
  <c r="N1417" i="17"/>
  <c r="N1418" i="17"/>
  <c r="N1419" i="17"/>
  <c r="N1420" i="17"/>
  <c r="N1421" i="17"/>
  <c r="N1422" i="17"/>
  <c r="N1423" i="17"/>
  <c r="N1424" i="17"/>
  <c r="N1425" i="17"/>
  <c r="N1426" i="17"/>
  <c r="N1427" i="17"/>
  <c r="N1428" i="17"/>
  <c r="N1429" i="17"/>
  <c r="N1430" i="17"/>
  <c r="N1431" i="17"/>
  <c r="N1432" i="17"/>
  <c r="N1433" i="17"/>
  <c r="N1434" i="17"/>
  <c r="N1435" i="17"/>
  <c r="N1436" i="17"/>
  <c r="N1437" i="17"/>
  <c r="N1438" i="17"/>
  <c r="N1439" i="17"/>
  <c r="N1440" i="17"/>
  <c r="N1441" i="17"/>
  <c r="N1442" i="17"/>
  <c r="N1443" i="17"/>
  <c r="N1444" i="17"/>
  <c r="N1445" i="17"/>
  <c r="N1446" i="17"/>
  <c r="N1447" i="17"/>
  <c r="N1448" i="17"/>
  <c r="N1449" i="17"/>
  <c r="N1450" i="17"/>
  <c r="N1451" i="17"/>
  <c r="N1452" i="17"/>
  <c r="N1453" i="17"/>
  <c r="N1454" i="17"/>
  <c r="N1455" i="17"/>
  <c r="N1456" i="17"/>
  <c r="N1457" i="17"/>
  <c r="N1458" i="17"/>
  <c r="N1459" i="17"/>
  <c r="N1460" i="17"/>
  <c r="N1461" i="17"/>
  <c r="N1462" i="17"/>
  <c r="N1463" i="17"/>
  <c r="N1464" i="17"/>
  <c r="N1465" i="17"/>
  <c r="N1466" i="17"/>
  <c r="N1467" i="17"/>
  <c r="N1468" i="17"/>
  <c r="N1469" i="17"/>
  <c r="N1470" i="17"/>
  <c r="N1471" i="17"/>
  <c r="N1472" i="17"/>
  <c r="N1473" i="17"/>
  <c r="N1474" i="17"/>
  <c r="N1475" i="17"/>
  <c r="N1476" i="17"/>
  <c r="N1477" i="17"/>
  <c r="N1478" i="17"/>
  <c r="N1479" i="17"/>
  <c r="N1480" i="17"/>
  <c r="N1481" i="17"/>
  <c r="N1482" i="17"/>
  <c r="N1483" i="17"/>
  <c r="N1484" i="17"/>
  <c r="N1485" i="17"/>
  <c r="N1486" i="17"/>
  <c r="N1487" i="17"/>
  <c r="N1488" i="17"/>
  <c r="N1489" i="17"/>
  <c r="N1490" i="17"/>
  <c r="N1491" i="17"/>
  <c r="N1492" i="17"/>
  <c r="N1493" i="17"/>
  <c r="N1494" i="17"/>
  <c r="N1495" i="17"/>
  <c r="N1496" i="17"/>
  <c r="N1497" i="17"/>
  <c r="N1498" i="17"/>
  <c r="N1499" i="17"/>
  <c r="N1500" i="17"/>
  <c r="N1501" i="17"/>
  <c r="N1502" i="17"/>
  <c r="N1503" i="17"/>
  <c r="N1504" i="17"/>
  <c r="N1505" i="17"/>
  <c r="N1506" i="17"/>
  <c r="N1507" i="17"/>
  <c r="N1508" i="17"/>
  <c r="N1509" i="17"/>
  <c r="N1510" i="17"/>
  <c r="N1511" i="17"/>
  <c r="N1512" i="17"/>
  <c r="N1513" i="17"/>
  <c r="N1514" i="17"/>
  <c r="N1515" i="17"/>
  <c r="N1516" i="17"/>
  <c r="N1517" i="17"/>
  <c r="N1518" i="17"/>
  <c r="N1519" i="17"/>
  <c r="N1520" i="17"/>
  <c r="N1521" i="17"/>
  <c r="N1522" i="17"/>
  <c r="N1523" i="17"/>
  <c r="N1524" i="17"/>
  <c r="N1525" i="17"/>
  <c r="N1526" i="17"/>
  <c r="N1527" i="17"/>
  <c r="N1528" i="17"/>
  <c r="N1529" i="17"/>
  <c r="N1530" i="17"/>
  <c r="N1531" i="17"/>
  <c r="N1532" i="17"/>
  <c r="N1533" i="17"/>
  <c r="N1534" i="17"/>
  <c r="N1535" i="17"/>
  <c r="N1536" i="17"/>
  <c r="N1537" i="17"/>
  <c r="N1538" i="17"/>
  <c r="N1539" i="17"/>
  <c r="N1540" i="17"/>
  <c r="N1541" i="17"/>
  <c r="N1542" i="17"/>
  <c r="N1543" i="17"/>
  <c r="N1544" i="17"/>
  <c r="N1545" i="17"/>
  <c r="N1546" i="17"/>
  <c r="N1547" i="17"/>
  <c r="N1548" i="17"/>
  <c r="N1549" i="17"/>
  <c r="N1550" i="17"/>
  <c r="N1551" i="17"/>
  <c r="N1552" i="17"/>
  <c r="N1553" i="17"/>
  <c r="N1554" i="17"/>
  <c r="N1555" i="17"/>
  <c r="N1556" i="17"/>
  <c r="N1557" i="17"/>
  <c r="N1558" i="17"/>
  <c r="N1559" i="17"/>
  <c r="N1560" i="17"/>
  <c r="N1561" i="17"/>
  <c r="N1562" i="17"/>
  <c r="N1563" i="17"/>
  <c r="N1564" i="17"/>
  <c r="N1565" i="17"/>
  <c r="N1566" i="17"/>
  <c r="N1567" i="17"/>
  <c r="N1568" i="17"/>
  <c r="N1569" i="17"/>
  <c r="N1570" i="17"/>
  <c r="N1571" i="17"/>
  <c r="N1572" i="17"/>
  <c r="N1573" i="17"/>
  <c r="N1574" i="17"/>
  <c r="N1575" i="17"/>
  <c r="N1576" i="17"/>
  <c r="N1577" i="17"/>
  <c r="N1578" i="17"/>
  <c r="N1579" i="17"/>
  <c r="N1580" i="17"/>
  <c r="N1581" i="17"/>
  <c r="N1582" i="17"/>
  <c r="N1583" i="17"/>
  <c r="N1584" i="17"/>
  <c r="N1585" i="17"/>
  <c r="N1586" i="17"/>
  <c r="N1587" i="17"/>
  <c r="N1588" i="17"/>
  <c r="N1589" i="17"/>
  <c r="N1590" i="17"/>
  <c r="N1591" i="17"/>
  <c r="N1592" i="17"/>
  <c r="N1593" i="17"/>
  <c r="N1594" i="17"/>
  <c r="N1595" i="17"/>
  <c r="N1596" i="17"/>
  <c r="N1597" i="17"/>
  <c r="N1598" i="17"/>
  <c r="N1599" i="17"/>
  <c r="N1600" i="17"/>
  <c r="N1601" i="17"/>
  <c r="N1602" i="17"/>
  <c r="N1603" i="17"/>
  <c r="N1604" i="17"/>
  <c r="N1605" i="17"/>
  <c r="N1606" i="17"/>
  <c r="N1607" i="17"/>
  <c r="N1608" i="17"/>
  <c r="N1609" i="17"/>
  <c r="N1610" i="17"/>
  <c r="N1611" i="17"/>
  <c r="N1612" i="17"/>
  <c r="N1613" i="17"/>
  <c r="N1614" i="17"/>
  <c r="N1615" i="17"/>
  <c r="N1616" i="17"/>
  <c r="N1617" i="17"/>
  <c r="N1618" i="17"/>
  <c r="N1619" i="17"/>
  <c r="N1620" i="17"/>
  <c r="N1621" i="17"/>
  <c r="N1622" i="17"/>
  <c r="N1623" i="17"/>
  <c r="N1624" i="17"/>
  <c r="N1625" i="17"/>
  <c r="N1626" i="17"/>
  <c r="N1627" i="17"/>
  <c r="N1628" i="17"/>
  <c r="N1629" i="17"/>
  <c r="N1630" i="17"/>
  <c r="N1631" i="17"/>
  <c r="N1632" i="17"/>
  <c r="N1633" i="17"/>
  <c r="N1634" i="17"/>
  <c r="N1635" i="17"/>
  <c r="N1636" i="17"/>
  <c r="N1637" i="17"/>
  <c r="N1638" i="17"/>
  <c r="N1639" i="17"/>
  <c r="N1640" i="17"/>
  <c r="N1641" i="17"/>
  <c r="N1642" i="17"/>
  <c r="N1643" i="17"/>
  <c r="N1644" i="17"/>
  <c r="N1645" i="17"/>
  <c r="N1646" i="17"/>
  <c r="N1647" i="17"/>
  <c r="N1648" i="17"/>
  <c r="N1649" i="17"/>
  <c r="N1650" i="17"/>
  <c r="N1651" i="17"/>
  <c r="N1652" i="17"/>
  <c r="N1653" i="17"/>
  <c r="N1654" i="17"/>
  <c r="N1655" i="17"/>
  <c r="N1656" i="17"/>
  <c r="N1657" i="17"/>
  <c r="N1658" i="17"/>
  <c r="N1659" i="17"/>
  <c r="N1660" i="17"/>
  <c r="N1661" i="17"/>
  <c r="N1662" i="17"/>
  <c r="N1663" i="17"/>
  <c r="N1664" i="17"/>
  <c r="N1665" i="17"/>
  <c r="N1666" i="17"/>
  <c r="N1667" i="17"/>
  <c r="N1668" i="17"/>
  <c r="N1669" i="17"/>
  <c r="N1670" i="17"/>
  <c r="N1671" i="17"/>
  <c r="N1672" i="17"/>
  <c r="N1673" i="17"/>
  <c r="N1674" i="17"/>
  <c r="N1675" i="17"/>
  <c r="N1676" i="17"/>
  <c r="N1677" i="17"/>
  <c r="N1678" i="17"/>
  <c r="N1679" i="17"/>
  <c r="N1680" i="17"/>
  <c r="N1681" i="17"/>
  <c r="N1682" i="17"/>
  <c r="N1683" i="17"/>
  <c r="N1684" i="17"/>
  <c r="N1685" i="17"/>
  <c r="N1686" i="17"/>
  <c r="N1687" i="17"/>
  <c r="N1688" i="17"/>
  <c r="N1689" i="17"/>
  <c r="N1690" i="17"/>
  <c r="N1691" i="17"/>
  <c r="N1692" i="17"/>
  <c r="N1693" i="17"/>
  <c r="N1694" i="17"/>
  <c r="N1695" i="17"/>
  <c r="N1696" i="17"/>
  <c r="N1697" i="17"/>
  <c r="N1698" i="17"/>
  <c r="N1699" i="17"/>
  <c r="N1700" i="17"/>
  <c r="N1701" i="17"/>
  <c r="N1702" i="17"/>
  <c r="N1703" i="17"/>
  <c r="N1704" i="17"/>
  <c r="N1705" i="17"/>
  <c r="N1706" i="17"/>
  <c r="N1707" i="17"/>
  <c r="N1708" i="17"/>
  <c r="N1709" i="17"/>
  <c r="N1710" i="17"/>
  <c r="N1711" i="17"/>
  <c r="N1712" i="17"/>
  <c r="N1713" i="17"/>
  <c r="N1714" i="17"/>
  <c r="N1715" i="17"/>
  <c r="N1716" i="17"/>
  <c r="N1717" i="17"/>
  <c r="N1718" i="17"/>
  <c r="N1719" i="17"/>
  <c r="N1720" i="17"/>
  <c r="N1721" i="17"/>
  <c r="N1722" i="17"/>
  <c r="N1723" i="17"/>
  <c r="N1724" i="17"/>
  <c r="N1725" i="17"/>
  <c r="N1726" i="17"/>
  <c r="N1727" i="17"/>
  <c r="N1728" i="17"/>
  <c r="N1729" i="17"/>
  <c r="N1730" i="17"/>
  <c r="N1731" i="17"/>
  <c r="N1732" i="17"/>
  <c r="N1733" i="17"/>
  <c r="N1734" i="17"/>
  <c r="N1735" i="17"/>
  <c r="N1736" i="17"/>
  <c r="N1737" i="17"/>
  <c r="N1738" i="17"/>
  <c r="N1739" i="17"/>
  <c r="N1740" i="17"/>
  <c r="N1741" i="17"/>
  <c r="N1742" i="17"/>
  <c r="N1743" i="17"/>
  <c r="N1744" i="17"/>
  <c r="N1745" i="17"/>
  <c r="N1746" i="17"/>
  <c r="N1747" i="17"/>
  <c r="N1748" i="17"/>
  <c r="N1749" i="17"/>
  <c r="N1750" i="17"/>
  <c r="N1751" i="17"/>
  <c r="N1752" i="17"/>
  <c r="N1753" i="17"/>
  <c r="N1754" i="17"/>
  <c r="N1755" i="17"/>
  <c r="N1756" i="17"/>
  <c r="N1757" i="17"/>
  <c r="N1758" i="17"/>
  <c r="N1759" i="17"/>
  <c r="N1760" i="17"/>
  <c r="N1761" i="17"/>
  <c r="N1762" i="17"/>
  <c r="N1763" i="17"/>
  <c r="N1764" i="17"/>
  <c r="N1765" i="17"/>
  <c r="N1766" i="17"/>
  <c r="N1767" i="17"/>
  <c r="N1768" i="17"/>
  <c r="N1769" i="17"/>
  <c r="N1770" i="17"/>
  <c r="N1771" i="17"/>
  <c r="N1772" i="17"/>
  <c r="N1773" i="17"/>
  <c r="N1774" i="17"/>
  <c r="N1775" i="17"/>
  <c r="N1776" i="17"/>
  <c r="N1777" i="17"/>
  <c r="N1778" i="17"/>
  <c r="N1779" i="17"/>
  <c r="N1780" i="17"/>
  <c r="N1781" i="17"/>
  <c r="N1782" i="17"/>
  <c r="N1783" i="17"/>
  <c r="N1784" i="17"/>
  <c r="N1785" i="17"/>
  <c r="N1786" i="17"/>
  <c r="N1787" i="17"/>
  <c r="N1788" i="17"/>
  <c r="N1789" i="17"/>
  <c r="N1790" i="17"/>
  <c r="N1791" i="17"/>
  <c r="N1792" i="17"/>
  <c r="N1793" i="17"/>
  <c r="N1794" i="17"/>
  <c r="N1795" i="17"/>
  <c r="N1796" i="17"/>
  <c r="N1797" i="17"/>
  <c r="N1798" i="17"/>
  <c r="N1799" i="17"/>
  <c r="N1800" i="17"/>
  <c r="N1801" i="17"/>
  <c r="N1802" i="17"/>
  <c r="N1803" i="17"/>
  <c r="N1804" i="17"/>
  <c r="N1805" i="17"/>
  <c r="N1806" i="17"/>
  <c r="N1807" i="17"/>
  <c r="N1808" i="17"/>
  <c r="N1809" i="17"/>
  <c r="N1810" i="17"/>
  <c r="N1811" i="17"/>
  <c r="N1812" i="17"/>
  <c r="N1813" i="17"/>
  <c r="N1814" i="17"/>
  <c r="N1815" i="17"/>
  <c r="N1816" i="17"/>
  <c r="N1817" i="17"/>
  <c r="N1818" i="17"/>
  <c r="N1819" i="17"/>
  <c r="N1820" i="17"/>
  <c r="N1821" i="17"/>
  <c r="N1822" i="17"/>
  <c r="N1823" i="17"/>
  <c r="N1824" i="17"/>
  <c r="N1825" i="17"/>
  <c r="N1826" i="17"/>
  <c r="N1827" i="17"/>
  <c r="N1828" i="17"/>
  <c r="N1829" i="17"/>
  <c r="N1830" i="17"/>
  <c r="N1831" i="17"/>
  <c r="N1832" i="17"/>
  <c r="N1833" i="17"/>
  <c r="N1834" i="17"/>
  <c r="N1835" i="17"/>
  <c r="N1836" i="17"/>
  <c r="N1837" i="17"/>
  <c r="N1838" i="17"/>
  <c r="N1839" i="17"/>
  <c r="N1840" i="17"/>
  <c r="N1841" i="17"/>
  <c r="N1842" i="17"/>
  <c r="N1843" i="17"/>
  <c r="N1844" i="17"/>
  <c r="N1845" i="17"/>
  <c r="N1846" i="17"/>
  <c r="N1847" i="17"/>
  <c r="N1848" i="17"/>
  <c r="N1849" i="17"/>
  <c r="N1850" i="17"/>
  <c r="N1851" i="17"/>
  <c r="N1852" i="17"/>
  <c r="N1853" i="17"/>
  <c r="N1854" i="17"/>
  <c r="N1855" i="17"/>
  <c r="N1856" i="17"/>
  <c r="N1857" i="17"/>
  <c r="N1858" i="17"/>
  <c r="N1859" i="17"/>
  <c r="N1860" i="17"/>
  <c r="N1861" i="17"/>
  <c r="N1862" i="17"/>
  <c r="N1863" i="17"/>
  <c r="N1864" i="17"/>
  <c r="N1865" i="17"/>
  <c r="N1866" i="17"/>
  <c r="N1867" i="17"/>
  <c r="N1868" i="17"/>
  <c r="N1869" i="17"/>
  <c r="N1870" i="17"/>
  <c r="N1871" i="17"/>
  <c r="N1872" i="17"/>
  <c r="N1873" i="17"/>
  <c r="N1874" i="17"/>
  <c r="N1875" i="17"/>
  <c r="N1876" i="17"/>
  <c r="N1877" i="17"/>
  <c r="N1878" i="17"/>
  <c r="N1879" i="17"/>
  <c r="N1880" i="17"/>
  <c r="N1881" i="17"/>
  <c r="N1882" i="17"/>
  <c r="N1883" i="17"/>
  <c r="N1884" i="17"/>
  <c r="N1885" i="17"/>
  <c r="N1886" i="17"/>
  <c r="N1887" i="17"/>
  <c r="N1888" i="17"/>
  <c r="N1889" i="17"/>
  <c r="N1890" i="17"/>
  <c r="N1891" i="17"/>
  <c r="N1892" i="17"/>
  <c r="N1893" i="17"/>
  <c r="N1894" i="17"/>
  <c r="N1895" i="17"/>
  <c r="N1896" i="17"/>
  <c r="N1897" i="17"/>
  <c r="N1898" i="17"/>
  <c r="N1899" i="17"/>
  <c r="N1900" i="17"/>
  <c r="N1901" i="17"/>
  <c r="N1902" i="17"/>
  <c r="N1903" i="17"/>
  <c r="N1904" i="17"/>
  <c r="N1905" i="17"/>
  <c r="N1906" i="17"/>
  <c r="N1907" i="17"/>
  <c r="N1908" i="17"/>
  <c r="N1909" i="17"/>
  <c r="N1910" i="17"/>
  <c r="N1911" i="17"/>
  <c r="N1912" i="17"/>
  <c r="N1913" i="17"/>
  <c r="N1914" i="17"/>
  <c r="N1915" i="17"/>
  <c r="N1916" i="17"/>
  <c r="N1917" i="17"/>
  <c r="N1918" i="17"/>
  <c r="N1919" i="17"/>
  <c r="N1920" i="17"/>
  <c r="N1921" i="17"/>
  <c r="N1922" i="17"/>
  <c r="N1923" i="17"/>
  <c r="N1924" i="17"/>
  <c r="N1925" i="17"/>
  <c r="N1926" i="17"/>
  <c r="N1927" i="17"/>
  <c r="N1928" i="17"/>
  <c r="N1929" i="17"/>
  <c r="N1930" i="17"/>
  <c r="N1931" i="17"/>
  <c r="N1932" i="17"/>
  <c r="N1933" i="17"/>
  <c r="N1934" i="17"/>
  <c r="N1935" i="17"/>
  <c r="N1936" i="17"/>
  <c r="N1937" i="17"/>
  <c r="N1938" i="17"/>
  <c r="N1939" i="17"/>
  <c r="N1940" i="17"/>
  <c r="N1941" i="17"/>
  <c r="N1942" i="17"/>
  <c r="N1943" i="17"/>
  <c r="N1944" i="17"/>
  <c r="N1945" i="17"/>
  <c r="N1946" i="17"/>
  <c r="N1947" i="17"/>
  <c r="N1948" i="17"/>
  <c r="N1949" i="17"/>
  <c r="N1950" i="17"/>
  <c r="N1951" i="17"/>
  <c r="N1952" i="17"/>
  <c r="N1953" i="17"/>
  <c r="N1954" i="17"/>
  <c r="N1955" i="17"/>
  <c r="N1956" i="17"/>
  <c r="N1957" i="17"/>
  <c r="N1958" i="17"/>
  <c r="N1959" i="17"/>
  <c r="N1960" i="17"/>
  <c r="N1961" i="17"/>
  <c r="N1962" i="17"/>
  <c r="N1963" i="17"/>
  <c r="N1964" i="17"/>
  <c r="N1965" i="17"/>
  <c r="N1966" i="17"/>
  <c r="N1967" i="17"/>
  <c r="N1968" i="17"/>
  <c r="N1969" i="17"/>
  <c r="N1970" i="17"/>
  <c r="N1971" i="17"/>
  <c r="N1972" i="17"/>
  <c r="N1973" i="17"/>
  <c r="N1974" i="17"/>
  <c r="N1975" i="17"/>
  <c r="N1976" i="17"/>
  <c r="N1977" i="17"/>
  <c r="N1978" i="17"/>
  <c r="N1979" i="17"/>
  <c r="N1980" i="17"/>
  <c r="N1981" i="17"/>
  <c r="N1982" i="17"/>
  <c r="N1983" i="17"/>
  <c r="N1984" i="17"/>
  <c r="N1985" i="17"/>
  <c r="N1986" i="17"/>
  <c r="N1987" i="17"/>
  <c r="N1988" i="17"/>
  <c r="N1989" i="17"/>
  <c r="N1990" i="17"/>
  <c r="N1991" i="17"/>
  <c r="N1992" i="17"/>
  <c r="N1993" i="17"/>
  <c r="N1994" i="17"/>
  <c r="N1995" i="17"/>
  <c r="N1996" i="17"/>
  <c r="N1997" i="17"/>
  <c r="N1998" i="17"/>
  <c r="N1999" i="17"/>
  <c r="N2000" i="17"/>
  <c r="N2001" i="17"/>
  <c r="N2002" i="17"/>
  <c r="N2003" i="17"/>
  <c r="N2004" i="17"/>
  <c r="N2005" i="17"/>
  <c r="N2006" i="17"/>
  <c r="N2007" i="17"/>
  <c r="N2008" i="17"/>
  <c r="N2009" i="17"/>
  <c r="N2010" i="17"/>
  <c r="N2011" i="17"/>
  <c r="N2012" i="17"/>
  <c r="N2013" i="17"/>
  <c r="N2014" i="17"/>
  <c r="N2015" i="17"/>
  <c r="N2016" i="17"/>
  <c r="N2017" i="17"/>
  <c r="N2018" i="17"/>
  <c r="N2019" i="17"/>
  <c r="N2020" i="17"/>
  <c r="N2021" i="17"/>
  <c r="N2022" i="17"/>
  <c r="N2023" i="17"/>
  <c r="N2024" i="17"/>
  <c r="N2025" i="17"/>
  <c r="N2026" i="17"/>
  <c r="N2027" i="17"/>
  <c r="N2028" i="17"/>
  <c r="N2029" i="17"/>
  <c r="N2030" i="17"/>
  <c r="N2031" i="17"/>
  <c r="N2032" i="17"/>
  <c r="N2033" i="17"/>
  <c r="N2034" i="17"/>
  <c r="N2035" i="17"/>
  <c r="N2036" i="17"/>
  <c r="N2037" i="17"/>
  <c r="N2038" i="17"/>
  <c r="N2039" i="17"/>
  <c r="N2040" i="17"/>
  <c r="N2041" i="17"/>
  <c r="N2042" i="17"/>
  <c r="N2043" i="17"/>
  <c r="N2044" i="17"/>
  <c r="N2045" i="17"/>
  <c r="N2046" i="17"/>
  <c r="N2047" i="17"/>
  <c r="N2048" i="17"/>
  <c r="N2049" i="17"/>
  <c r="N2050" i="17"/>
  <c r="N2051" i="17"/>
  <c r="N2052" i="17"/>
  <c r="N2053" i="17"/>
  <c r="N2054" i="17"/>
  <c r="N2055" i="17"/>
  <c r="N2056" i="17"/>
  <c r="N2057" i="17"/>
  <c r="N2058" i="17"/>
  <c r="N2059" i="17"/>
  <c r="N2060" i="17"/>
  <c r="N2061" i="17"/>
  <c r="N2062" i="17"/>
  <c r="N2063" i="17"/>
  <c r="N2064" i="17"/>
  <c r="N2065" i="17"/>
  <c r="N2066" i="17"/>
  <c r="N2067" i="17"/>
  <c r="N2068" i="17"/>
  <c r="N2069" i="17"/>
  <c r="N2070" i="17"/>
  <c r="N2071" i="17"/>
  <c r="N2072" i="17"/>
  <c r="N2073" i="17"/>
  <c r="N2074" i="17"/>
  <c r="N2075" i="17"/>
  <c r="N2076" i="17"/>
  <c r="N2077" i="17"/>
  <c r="N2078" i="17"/>
  <c r="N2079" i="17"/>
  <c r="N2080" i="17"/>
  <c r="N2081" i="17"/>
  <c r="N2082" i="17"/>
  <c r="N2083" i="17"/>
  <c r="N2084" i="17"/>
  <c r="N2085" i="17"/>
  <c r="N2086" i="17"/>
  <c r="N2087" i="17"/>
  <c r="N2088" i="17"/>
  <c r="N2089" i="17"/>
  <c r="N2090" i="17"/>
  <c r="N2091" i="17"/>
  <c r="N2092" i="17"/>
  <c r="N2093" i="17"/>
  <c r="N2094" i="17"/>
  <c r="N2095" i="17"/>
  <c r="N2096" i="17"/>
  <c r="N2097" i="17"/>
  <c r="N2098" i="17"/>
  <c r="N2099" i="17"/>
  <c r="N2100" i="17"/>
  <c r="N2101" i="17"/>
  <c r="N2102" i="17"/>
  <c r="N2103" i="17"/>
  <c r="N2104" i="17"/>
  <c r="N2105" i="17"/>
  <c r="N2106" i="17"/>
  <c r="N2107" i="17"/>
  <c r="N2108" i="17"/>
  <c r="N2109" i="17"/>
  <c r="N2110" i="17"/>
  <c r="N2111" i="17"/>
  <c r="N2112" i="17"/>
  <c r="N2113" i="17"/>
  <c r="N2114" i="17"/>
  <c r="N2115" i="17"/>
  <c r="N2116" i="17"/>
  <c r="N2117" i="17"/>
  <c r="N2118" i="17"/>
  <c r="N2119" i="17"/>
  <c r="N2120" i="17"/>
  <c r="N2121" i="17"/>
  <c r="N2122" i="17"/>
  <c r="N2123" i="17"/>
  <c r="N2124" i="17"/>
  <c r="N2125" i="17"/>
  <c r="N2126" i="17"/>
  <c r="N2127" i="17"/>
  <c r="N2128" i="17"/>
  <c r="N2129" i="17"/>
  <c r="N2130" i="17"/>
  <c r="N2131" i="17"/>
  <c r="N2132" i="17"/>
  <c r="N2133" i="17"/>
  <c r="N2134" i="17"/>
  <c r="N2135" i="17"/>
  <c r="N2136" i="17"/>
  <c r="N2137" i="17"/>
  <c r="N2138" i="17"/>
  <c r="N2139" i="17"/>
  <c r="N2140" i="17"/>
  <c r="N2141" i="17"/>
  <c r="N2142" i="17"/>
  <c r="N2143" i="17"/>
  <c r="N2144" i="17"/>
  <c r="N2145" i="17"/>
  <c r="N2146" i="17"/>
  <c r="N2147" i="17"/>
  <c r="N2148" i="17"/>
  <c r="N2149" i="17"/>
  <c r="N2150" i="17"/>
  <c r="N2151" i="17"/>
  <c r="N2152" i="17"/>
  <c r="N2153" i="17"/>
  <c r="N2154" i="17"/>
  <c r="N2155" i="17"/>
  <c r="N2156" i="17"/>
  <c r="N2157" i="17"/>
  <c r="N2158" i="17"/>
  <c r="N2159" i="17"/>
  <c r="N2160" i="17"/>
  <c r="N2161" i="17"/>
  <c r="N2162" i="17"/>
  <c r="N2163" i="17"/>
  <c r="N2164" i="17"/>
  <c r="N2165" i="17"/>
  <c r="N2166" i="17"/>
  <c r="N2167" i="17"/>
  <c r="N2168" i="17"/>
  <c r="N2169" i="17"/>
  <c r="N2170" i="17"/>
  <c r="N2171" i="17"/>
  <c r="N2172" i="17"/>
  <c r="N2173" i="17"/>
  <c r="N2174" i="17"/>
  <c r="N2175" i="17"/>
  <c r="N2176" i="17"/>
  <c r="N2177" i="17"/>
  <c r="N2178" i="17"/>
  <c r="N2179" i="17"/>
  <c r="N2180" i="17"/>
  <c r="N2181" i="17"/>
  <c r="N2182" i="17"/>
  <c r="N2183" i="17"/>
  <c r="N2184" i="17"/>
  <c r="N2185" i="17"/>
  <c r="N2186" i="17"/>
  <c r="N2187" i="17"/>
  <c r="N2188" i="17"/>
  <c r="N2189" i="17"/>
  <c r="N2190" i="17"/>
  <c r="N2191" i="17"/>
  <c r="N2192" i="17"/>
  <c r="N2193" i="17"/>
  <c r="N2194" i="17"/>
  <c r="N2195" i="17"/>
  <c r="N2196" i="17"/>
  <c r="N2197" i="17"/>
  <c r="N2198" i="17"/>
  <c r="N2199" i="17"/>
  <c r="N2200" i="17"/>
  <c r="N2201" i="17"/>
  <c r="N2202" i="17"/>
  <c r="N2203" i="17"/>
  <c r="N2204" i="17"/>
  <c r="N2205" i="17"/>
  <c r="N2206" i="17"/>
  <c r="N2207" i="17"/>
  <c r="N2208" i="17"/>
  <c r="N2209" i="17"/>
  <c r="N2210" i="17"/>
  <c r="N2211" i="17"/>
  <c r="N2212" i="17"/>
  <c r="N2213" i="17"/>
  <c r="N2214" i="17"/>
  <c r="N2215" i="17"/>
  <c r="N2216" i="17"/>
  <c r="N2217" i="17"/>
  <c r="N2218" i="17"/>
  <c r="N2219" i="17"/>
  <c r="N2220" i="17"/>
  <c r="N2221" i="17"/>
  <c r="N2222" i="17"/>
  <c r="N2223" i="17"/>
  <c r="N2224" i="17"/>
  <c r="N2225" i="17"/>
  <c r="N2226" i="17"/>
  <c r="N2227" i="17"/>
  <c r="N2228" i="17"/>
  <c r="N2229" i="17"/>
  <c r="N2230" i="17"/>
  <c r="N2231" i="17"/>
  <c r="N2232" i="17"/>
  <c r="N2233" i="17"/>
  <c r="N2234" i="17"/>
  <c r="N2235" i="17"/>
  <c r="N2236" i="17"/>
  <c r="N2237" i="17"/>
  <c r="N2238" i="17"/>
  <c r="N2239" i="17"/>
  <c r="N2240" i="17"/>
  <c r="N2241" i="17"/>
  <c r="N2242" i="17"/>
  <c r="N2243" i="17"/>
  <c r="N2244" i="17"/>
  <c r="N2245" i="17"/>
  <c r="N2246" i="17"/>
  <c r="N2247" i="17"/>
  <c r="N2248" i="17"/>
  <c r="N2249" i="17"/>
  <c r="N2250" i="17"/>
  <c r="N2251" i="17"/>
  <c r="N2252" i="17"/>
  <c r="N2253" i="17"/>
  <c r="N2254" i="17"/>
  <c r="N2255" i="17"/>
  <c r="N2256" i="17"/>
  <c r="N2257" i="17"/>
  <c r="N2258" i="17"/>
  <c r="N2259" i="17"/>
  <c r="N2260" i="17"/>
  <c r="N2261" i="17"/>
  <c r="N2262" i="17"/>
  <c r="N2263" i="17"/>
  <c r="N2264" i="17"/>
  <c r="N2265" i="17"/>
  <c r="N2266" i="17"/>
  <c r="N2267" i="17"/>
  <c r="N2268" i="17"/>
  <c r="N2269" i="17"/>
  <c r="N2270" i="17"/>
  <c r="N2271" i="17"/>
  <c r="N2272" i="17"/>
  <c r="N2273" i="17"/>
  <c r="N2274" i="17"/>
  <c r="N2275" i="17"/>
  <c r="N2276" i="17"/>
  <c r="N2277" i="17"/>
  <c r="N2278" i="17"/>
  <c r="N2279" i="17"/>
  <c r="N2280" i="17"/>
  <c r="N2281" i="17"/>
  <c r="N2282" i="17"/>
  <c r="N2283" i="17"/>
  <c r="N2284" i="17"/>
  <c r="N2285" i="17"/>
  <c r="N2286" i="17"/>
  <c r="N2287" i="17"/>
  <c r="N2288" i="17"/>
  <c r="N2289" i="17"/>
  <c r="N2290" i="17"/>
  <c r="N2291" i="17"/>
  <c r="N2292" i="17"/>
  <c r="N2293" i="17"/>
  <c r="N2294" i="17"/>
  <c r="N2295" i="17"/>
  <c r="N2296" i="17"/>
  <c r="N2297" i="17"/>
  <c r="N2298" i="17"/>
  <c r="N2299" i="17"/>
  <c r="N2300" i="17"/>
  <c r="N2301" i="17"/>
  <c r="N2302" i="17"/>
  <c r="N2303" i="17"/>
  <c r="N2304" i="17"/>
  <c r="N2305" i="17"/>
  <c r="N2306" i="17"/>
  <c r="N2307" i="17"/>
  <c r="N2308" i="17"/>
  <c r="N2309" i="17"/>
  <c r="N2310" i="17"/>
  <c r="N2311" i="17"/>
  <c r="N2312" i="17"/>
  <c r="N2313" i="17"/>
  <c r="N2314" i="17"/>
  <c r="N2315" i="17"/>
  <c r="N2316" i="17"/>
  <c r="N2317" i="17"/>
  <c r="N2318" i="17"/>
  <c r="N2319" i="17"/>
  <c r="N2320" i="17"/>
  <c r="N2321" i="17"/>
  <c r="N2322" i="17"/>
  <c r="N2323" i="17"/>
  <c r="N2324" i="17"/>
  <c r="N2325" i="17"/>
  <c r="N2326" i="17"/>
  <c r="N2327" i="17"/>
  <c r="N2328" i="17"/>
  <c r="N2329" i="17"/>
  <c r="N2330" i="17"/>
  <c r="N2331" i="17"/>
  <c r="N2332" i="17"/>
  <c r="N2333" i="17"/>
  <c r="N2334" i="17"/>
  <c r="N2335" i="17"/>
  <c r="N2336" i="17"/>
  <c r="N2337" i="17"/>
  <c r="N2338" i="17"/>
  <c r="N2339" i="17"/>
  <c r="N2340" i="17"/>
  <c r="N2341" i="17"/>
  <c r="N2342" i="17"/>
  <c r="N2343" i="17"/>
  <c r="N2344" i="17"/>
  <c r="N2345" i="17"/>
  <c r="N2346" i="17"/>
  <c r="N2347" i="17"/>
  <c r="N2348" i="17"/>
  <c r="N2349" i="17"/>
  <c r="N2350" i="17"/>
  <c r="B147" i="16"/>
  <c r="B146" i="16"/>
  <c r="B145" i="16"/>
  <c r="B144" i="16"/>
  <c r="B143" i="16"/>
  <c r="B142" i="16"/>
  <c r="B141" i="16"/>
  <c r="B140" i="16"/>
  <c r="B139" i="16"/>
  <c r="B138" i="16"/>
  <c r="B137" i="16"/>
  <c r="B136" i="16"/>
  <c r="B135" i="16"/>
  <c r="B134" i="16"/>
  <c r="B133" i="16"/>
  <c r="B132" i="16"/>
  <c r="B131" i="16"/>
  <c r="B130" i="16"/>
  <c r="B129" i="16"/>
  <c r="B128" i="16"/>
  <c r="B127" i="16"/>
  <c r="B126" i="16"/>
  <c r="B125" i="16"/>
  <c r="B124" i="16"/>
  <c r="B123" i="16"/>
  <c r="B122" i="16"/>
  <c r="B121" i="16"/>
  <c r="B120" i="16"/>
  <c r="F120" i="16" s="1" a="1"/>
  <c r="B119" i="16"/>
  <c r="B118" i="16"/>
  <c r="B117" i="16"/>
  <c r="B116" i="16"/>
  <c r="B115" i="16"/>
  <c r="B114" i="16"/>
  <c r="B113" i="16"/>
  <c r="B112" i="16"/>
  <c r="B111" i="16"/>
  <c r="B110" i="16"/>
  <c r="B109" i="16"/>
  <c r="B108" i="16"/>
  <c r="B107" i="16"/>
  <c r="B106" i="16"/>
  <c r="B105" i="16"/>
  <c r="B104" i="16"/>
  <c r="B103" i="16"/>
  <c r="B102" i="16"/>
  <c r="B6" i="16"/>
  <c r="F6" i="16" s="1" a="1"/>
  <c r="B7" i="16"/>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G7" i="7"/>
  <c r="G9" i="7"/>
  <c r="G11" i="7"/>
  <c r="G13" i="7"/>
  <c r="G14" i="7"/>
  <c r="G15" i="7"/>
  <c r="G17" i="7"/>
  <c r="G19" i="7"/>
  <c r="G20" i="7"/>
  <c r="G22" i="7"/>
  <c r="G23" i="7"/>
  <c r="G25" i="7"/>
  <c r="G26" i="7"/>
  <c r="G27" i="7"/>
  <c r="G28" i="7"/>
  <c r="G30" i="7"/>
  <c r="G31" i="7"/>
  <c r="G32" i="7"/>
  <c r="G34" i="7"/>
  <c r="G36" i="7"/>
  <c r="G37" i="7"/>
  <c r="G39" i="7"/>
  <c r="G40" i="7"/>
  <c r="G41" i="7"/>
  <c r="G42" i="7"/>
  <c r="G43" i="7"/>
  <c r="G44" i="7"/>
  <c r="G45" i="7"/>
  <c r="G47" i="7"/>
  <c r="G49" i="7"/>
  <c r="G50" i="7"/>
  <c r="G52" i="7"/>
  <c r="G53" i="7"/>
  <c r="G55" i="7"/>
  <c r="G56" i="7"/>
  <c r="G57" i="7"/>
  <c r="G58" i="7"/>
  <c r="G59" i="7"/>
  <c r="G60" i="7"/>
  <c r="G62" i="7"/>
  <c r="G64" i="7"/>
  <c r="G65" i="7"/>
  <c r="G66" i="7"/>
  <c r="G67" i="7"/>
  <c r="G69" i="7"/>
  <c r="G70" i="7"/>
  <c r="G71" i="7"/>
  <c r="G72" i="7"/>
  <c r="G73" i="7"/>
  <c r="G74" i="7"/>
  <c r="G75" i="7"/>
  <c r="G78" i="7"/>
  <c r="G79" i="7"/>
  <c r="G80" i="7"/>
  <c r="G81" i="7"/>
  <c r="G83" i="7"/>
  <c r="G84" i="7"/>
  <c r="G85" i="7"/>
  <c r="G86" i="7"/>
  <c r="G87" i="7"/>
  <c r="G88" i="7"/>
  <c r="G89" i="7"/>
  <c r="G91" i="7"/>
  <c r="G93" i="7"/>
  <c r="G94" i="7"/>
  <c r="G96" i="7"/>
  <c r="G97" i="7"/>
  <c r="G98" i="7"/>
  <c r="G99" i="7"/>
  <c r="G100" i="7"/>
  <c r="G101" i="7"/>
  <c r="G102" i="7"/>
  <c r="G103" i="7"/>
  <c r="G104" i="7"/>
  <c r="G106" i="7"/>
  <c r="G107" i="7"/>
  <c r="G108" i="7"/>
  <c r="G110" i="7"/>
  <c r="G111" i="7"/>
  <c r="G113" i="7"/>
  <c r="G114" i="7"/>
  <c r="G115" i="7"/>
  <c r="G116" i="7"/>
  <c r="G117" i="7"/>
  <c r="G118" i="7"/>
  <c r="G119" i="7"/>
  <c r="G120" i="7"/>
  <c r="G121" i="7"/>
  <c r="G124" i="7"/>
  <c r="G125" i="7"/>
  <c r="G126" i="7"/>
  <c r="G127" i="7"/>
  <c r="G129" i="7"/>
  <c r="G130" i="7"/>
  <c r="G131" i="7"/>
  <c r="G132" i="7"/>
  <c r="G133" i="7"/>
  <c r="G134" i="7"/>
  <c r="G135" i="7"/>
  <c r="G136" i="7"/>
  <c r="G137" i="7"/>
  <c r="G138" i="7"/>
  <c r="G139" i="7"/>
  <c r="G141" i="7"/>
  <c r="G143" i="7"/>
  <c r="G144" i="7"/>
  <c r="G145" i="7"/>
  <c r="G146" i="7"/>
  <c r="G147" i="7"/>
  <c r="G149" i="7"/>
  <c r="G150" i="7"/>
  <c r="G151" i="7"/>
  <c r="G152" i="7"/>
  <c r="G153" i="7"/>
  <c r="G154" i="7"/>
  <c r="G155" i="7"/>
  <c r="G156" i="7"/>
  <c r="G157" i="7"/>
  <c r="G158" i="7"/>
  <c r="G160" i="7"/>
  <c r="G161" i="7"/>
  <c r="G162" i="7"/>
  <c r="G163" i="7"/>
  <c r="G164" i="7"/>
  <c r="G166" i="7"/>
  <c r="G167" i="7"/>
  <c r="G169" i="7"/>
  <c r="G170" i="7"/>
  <c r="G171" i="7"/>
  <c r="G172" i="7"/>
  <c r="G173" i="7"/>
  <c r="G174" i="7"/>
  <c r="G175" i="7"/>
  <c r="G176" i="7"/>
  <c r="G177" i="7"/>
  <c r="G179" i="7"/>
  <c r="G180" i="7"/>
  <c r="G181" i="7"/>
  <c r="G182" i="7"/>
  <c r="G183" i="7"/>
  <c r="G184" i="7"/>
  <c r="G186" i="7"/>
  <c r="G187" i="7"/>
  <c r="G188" i="7"/>
  <c r="G189" i="7"/>
  <c r="G190" i="7"/>
  <c r="G191" i="7"/>
  <c r="G192" i="7"/>
  <c r="G193" i="7"/>
  <c r="G194" i="7"/>
  <c r="G195" i="7"/>
  <c r="G197" i="7"/>
  <c r="G199" i="7"/>
  <c r="G201" i="7"/>
  <c r="G202" i="7"/>
  <c r="G203" i="7"/>
  <c r="G204" i="7"/>
  <c r="G206" i="7"/>
  <c r="G207" i="7"/>
  <c r="G208" i="7"/>
  <c r="G209" i="7"/>
  <c r="G210" i="7"/>
  <c r="G211" i="7"/>
  <c r="G212" i="7"/>
  <c r="G213" i="7"/>
  <c r="G214" i="7"/>
  <c r="G215" i="7"/>
  <c r="G216" i="7"/>
  <c r="G218" i="7"/>
  <c r="G219" i="7"/>
  <c r="G221" i="7"/>
  <c r="G222" i="7"/>
  <c r="G223" i="7"/>
  <c r="G224" i="7"/>
  <c r="G225" i="7"/>
  <c r="G227" i="7"/>
  <c r="G228" i="7"/>
  <c r="G229" i="7"/>
  <c r="G230" i="7"/>
  <c r="G231" i="7"/>
  <c r="G232" i="7"/>
  <c r="G233" i="7"/>
  <c r="G234" i="7"/>
  <c r="G235" i="7"/>
  <c r="G236" i="7"/>
  <c r="G237" i="7"/>
  <c r="G240" i="7"/>
  <c r="G241" i="7"/>
  <c r="G243" i="7"/>
  <c r="G244" i="7"/>
  <c r="G245" i="7"/>
  <c r="G246" i="7"/>
  <c r="G247" i="7"/>
  <c r="G249" i="7"/>
  <c r="G250" i="7"/>
  <c r="G251" i="7"/>
  <c r="G252" i="7"/>
  <c r="G253" i="7"/>
  <c r="G254" i="7"/>
  <c r="G255" i="7"/>
  <c r="G256" i="7"/>
  <c r="G257" i="7"/>
  <c r="G258" i="7"/>
  <c r="G260" i="7"/>
  <c r="G261" i="7"/>
  <c r="G263" i="7"/>
  <c r="G264" i="7"/>
  <c r="G265" i="7"/>
  <c r="G266" i="7"/>
  <c r="G267" i="7"/>
  <c r="G269" i="7"/>
  <c r="G270" i="7"/>
  <c r="G271" i="7"/>
  <c r="G272" i="7"/>
  <c r="G273" i="7"/>
  <c r="G274" i="7"/>
  <c r="G275" i="7"/>
  <c r="G276" i="7"/>
  <c r="G277" i="7"/>
  <c r="G278" i="7"/>
  <c r="G280" i="7"/>
  <c r="G281" i="7"/>
  <c r="G282" i="7"/>
  <c r="G283" i="7"/>
  <c r="G285" i="7"/>
  <c r="G286" i="7"/>
  <c r="G287" i="7"/>
  <c r="G288" i="7"/>
  <c r="G289" i="7"/>
  <c r="G290" i="7"/>
  <c r="G291" i="7"/>
  <c r="G292" i="7"/>
  <c r="G294" i="7"/>
  <c r="G295" i="7"/>
  <c r="G296" i="7"/>
  <c r="G297" i="7"/>
  <c r="G298" i="7"/>
  <c r="G299" i="7"/>
  <c r="G300" i="7"/>
  <c r="G301" i="7"/>
  <c r="G302" i="7"/>
  <c r="G304" i="7"/>
  <c r="G305" i="7"/>
  <c r="G306" i="7"/>
  <c r="G307" i="7"/>
  <c r="G308" i="7"/>
  <c r="G309" i="7"/>
  <c r="G310" i="7"/>
  <c r="G312" i="7"/>
  <c r="G313" i="7"/>
  <c r="G314" i="7"/>
  <c r="G315" i="7"/>
  <c r="G317" i="7"/>
  <c r="G318" i="7"/>
  <c r="G319" i="7"/>
  <c r="G320" i="7"/>
  <c r="G321" i="7"/>
  <c r="G322" i="7"/>
  <c r="G323" i="7"/>
  <c r="G324" i="7"/>
  <c r="G325" i="7"/>
  <c r="G327" i="7"/>
  <c r="G328" i="7"/>
  <c r="G329" i="7"/>
  <c r="G330" i="7"/>
  <c r="G331" i="7"/>
  <c r="G332" i="7"/>
  <c r="G333" i="7"/>
  <c r="G335" i="7"/>
  <c r="G336" i="7"/>
  <c r="G337" i="7"/>
  <c r="G338" i="7"/>
  <c r="G339" i="7"/>
  <c r="G340" i="7"/>
  <c r="G341" i="7"/>
  <c r="G342" i="7"/>
  <c r="G343" i="7"/>
  <c r="G344" i="7"/>
  <c r="G346" i="7"/>
  <c r="G347" i="7"/>
  <c r="G349" i="7"/>
  <c r="G350" i="7"/>
  <c r="G351" i="7"/>
  <c r="G353" i="7"/>
  <c r="G354" i="7"/>
  <c r="G355" i="7"/>
  <c r="G356" i="7"/>
  <c r="G357" i="7"/>
  <c r="G359" i="7"/>
  <c r="G360" i="7"/>
  <c r="G361" i="7"/>
  <c r="G362" i="7"/>
  <c r="G363" i="7"/>
  <c r="G364" i="7"/>
  <c r="G365" i="7"/>
  <c r="G366" i="7"/>
  <c r="G367" i="7"/>
  <c r="G368" i="7"/>
  <c r="G369" i="7"/>
  <c r="G370" i="7"/>
  <c r="G371" i="7"/>
  <c r="G373" i="7"/>
  <c r="G374" i="7"/>
  <c r="G375" i="7"/>
  <c r="G376" i="7"/>
  <c r="G377" i="7"/>
  <c r="G378" i="7"/>
  <c r="G379" i="7"/>
  <c r="G381" i="7"/>
  <c r="G383" i="7"/>
  <c r="G384" i="7"/>
  <c r="G385" i="7"/>
  <c r="G386" i="7"/>
  <c r="G387" i="7"/>
  <c r="G388" i="7"/>
  <c r="G389" i="7"/>
  <c r="G390" i="7"/>
  <c r="G391" i="7"/>
  <c r="G392" i="7"/>
  <c r="G394" i="7"/>
  <c r="G395" i="7"/>
  <c r="G396" i="7"/>
  <c r="G397" i="7"/>
  <c r="G399" i="7"/>
  <c r="G400" i="7"/>
  <c r="G401" i="7"/>
  <c r="G402" i="7"/>
  <c r="G403" i="7"/>
  <c r="G405" i="7"/>
  <c r="G406" i="7"/>
  <c r="G407" i="7"/>
  <c r="G408" i="7"/>
  <c r="G409" i="7"/>
  <c r="G410" i="7"/>
  <c r="G411" i="7"/>
  <c r="G412" i="7"/>
  <c r="G413" i="7"/>
  <c r="G414" i="7"/>
  <c r="G416" i="7"/>
  <c r="G417" i="7"/>
  <c r="G418" i="7"/>
  <c r="G419" i="7"/>
  <c r="G421" i="7"/>
  <c r="G422" i="7"/>
  <c r="G423" i="7"/>
  <c r="G424" i="7"/>
  <c r="G425" i="7"/>
  <c r="G426" i="7"/>
  <c r="G428" i="7"/>
  <c r="G429" i="7"/>
  <c r="G431" i="7"/>
  <c r="G432" i="7"/>
  <c r="G433" i="7"/>
  <c r="G434" i="7"/>
  <c r="G435" i="7"/>
  <c r="G436" i="7"/>
  <c r="G437" i="7"/>
  <c r="G438" i="7"/>
  <c r="G439" i="7"/>
  <c r="G440" i="7"/>
  <c r="G441" i="7"/>
  <c r="G443" i="7"/>
  <c r="G444" i="7"/>
  <c r="G446" i="7"/>
  <c r="G447" i="7"/>
  <c r="G448" i="7"/>
  <c r="G449" i="7"/>
  <c r="G451" i="7"/>
  <c r="G452" i="7"/>
  <c r="G453" i="7"/>
  <c r="G454" i="7"/>
  <c r="G455" i="7"/>
  <c r="G456" i="7"/>
  <c r="G457" i="7"/>
  <c r="G458" i="7"/>
  <c r="G459" i="7"/>
  <c r="G460" i="7"/>
  <c r="G462" i="7"/>
  <c r="G463" i="7"/>
  <c r="G464" i="7"/>
  <c r="G465" i="7"/>
  <c r="G466" i="7"/>
  <c r="G467" i="7"/>
  <c r="G468" i="7"/>
  <c r="G469" i="7"/>
  <c r="G470" i="7"/>
  <c r="G472" i="7"/>
  <c r="G473" i="7"/>
  <c r="G474" i="7"/>
  <c r="G475" i="7"/>
  <c r="G476" i="7"/>
  <c r="G477" i="7"/>
  <c r="G478" i="7"/>
  <c r="G480" i="7"/>
  <c r="G481" i="7"/>
  <c r="G482" i="7"/>
  <c r="G483" i="7"/>
  <c r="G484" i="7"/>
  <c r="G485" i="7"/>
  <c r="G486" i="7"/>
  <c r="G487" i="7"/>
  <c r="G488" i="7"/>
  <c r="G489" i="7"/>
  <c r="G490" i="7"/>
  <c r="G491" i="7"/>
  <c r="G493" i="7"/>
  <c r="G494" i="7"/>
  <c r="G495" i="7"/>
  <c r="G497" i="7"/>
  <c r="G498" i="7"/>
  <c r="G499" i="7"/>
  <c r="G501" i="7"/>
  <c r="G502" i="7"/>
  <c r="G503" i="7"/>
  <c r="G504" i="7"/>
  <c r="G505" i="7"/>
  <c r="G506" i="7"/>
  <c r="G507" i="7"/>
  <c r="G508" i="7"/>
  <c r="G509" i="7"/>
  <c r="G510" i="7"/>
  <c r="G511" i="7"/>
  <c r="G512" i="7"/>
  <c r="G513" i="7"/>
  <c r="G514" i="7"/>
  <c r="G515" i="7"/>
  <c r="G516" i="7"/>
  <c r="G517" i="7"/>
  <c r="G519" i="7"/>
  <c r="G520" i="7"/>
  <c r="G522" i="7"/>
  <c r="G523" i="7"/>
  <c r="G524" i="7"/>
  <c r="G525" i="7"/>
  <c r="G526" i="7"/>
  <c r="G527" i="7"/>
  <c r="G528" i="7"/>
  <c r="G530" i="7"/>
  <c r="G531" i="7"/>
  <c r="G532" i="7"/>
  <c r="G533" i="7"/>
  <c r="G534" i="7"/>
  <c r="G535" i="7"/>
  <c r="G536" i="7"/>
  <c r="G537" i="7"/>
  <c r="G538" i="7"/>
  <c r="G539" i="7"/>
  <c r="G540" i="7"/>
  <c r="G541" i="7"/>
  <c r="G543" i="7"/>
  <c r="G544" i="7"/>
  <c r="G545" i="7"/>
  <c r="G547" i="7"/>
  <c r="G548" i="7"/>
  <c r="G550" i="7"/>
  <c r="G551" i="7"/>
  <c r="G552" i="7"/>
  <c r="G553" i="7"/>
  <c r="G554" i="7"/>
  <c r="G555" i="7"/>
  <c r="G556" i="7"/>
  <c r="G557" i="7"/>
  <c r="G558" i="7"/>
  <c r="G559" i="7"/>
  <c r="G560" i="7"/>
  <c r="G561" i="7"/>
  <c r="G562" i="7"/>
  <c r="G563" i="7"/>
  <c r="G565" i="7"/>
  <c r="G566" i="7"/>
  <c r="G567" i="7"/>
  <c r="G568" i="7"/>
  <c r="G569" i="7"/>
  <c r="G570" i="7"/>
  <c r="G572" i="7"/>
  <c r="G573" i="7"/>
  <c r="G574" i="7"/>
  <c r="G575" i="7"/>
  <c r="G576" i="7"/>
  <c r="G577" i="7"/>
  <c r="G578" i="7"/>
  <c r="G580" i="7"/>
  <c r="G581" i="7"/>
  <c r="G582" i="7"/>
  <c r="G583" i="7"/>
  <c r="G584" i="7"/>
  <c r="G585" i="7"/>
  <c r="G586" i="7"/>
  <c r="G587" i="7"/>
  <c r="G588" i="7"/>
  <c r="G589" i="7"/>
  <c r="G590" i="7"/>
  <c r="G591" i="7"/>
  <c r="G593" i="7"/>
  <c r="G594" i="7"/>
  <c r="G596" i="7"/>
  <c r="G597" i="7"/>
  <c r="G598" i="7"/>
  <c r="G599" i="7"/>
  <c r="G600" i="7"/>
  <c r="G601" i="7"/>
  <c r="G602" i="7"/>
  <c r="G603" i="7"/>
  <c r="G605" i="7"/>
  <c r="G606" i="7"/>
  <c r="G607" i="7"/>
  <c r="G608" i="7"/>
  <c r="G609" i="7"/>
  <c r="G610" i="7"/>
  <c r="G611" i="7"/>
  <c r="G612" i="7"/>
  <c r="G613" i="7"/>
  <c r="G614" i="7"/>
  <c r="G615" i="7"/>
  <c r="G616" i="7"/>
  <c r="G618" i="7"/>
  <c r="G620" i="7"/>
  <c r="G621" i="7"/>
  <c r="G623" i="7"/>
  <c r="G624" i="7"/>
  <c r="G626" i="7"/>
  <c r="G627" i="7"/>
  <c r="G628" i="7"/>
  <c r="G629" i="7"/>
  <c r="G630" i="7"/>
  <c r="G631" i="7"/>
  <c r="G632" i="7"/>
  <c r="G634" i="7"/>
  <c r="G635" i="7"/>
  <c r="G636" i="7"/>
  <c r="G637" i="7"/>
  <c r="G638" i="7"/>
  <c r="G639" i="7"/>
  <c r="G640" i="7"/>
  <c r="G641" i="7"/>
  <c r="G642" i="7"/>
  <c r="G643" i="7"/>
  <c r="G645" i="7"/>
  <c r="G646" i="7"/>
  <c r="G647" i="7"/>
  <c r="G648" i="7"/>
  <c r="G649" i="7"/>
  <c r="G651" i="7"/>
  <c r="G652" i="7"/>
  <c r="G653" i="7"/>
  <c r="G654" i="7"/>
  <c r="G655" i="7"/>
  <c r="G656" i="7"/>
  <c r="G657" i="7"/>
  <c r="G659" i="7"/>
  <c r="G660" i="7"/>
  <c r="G661" i="7"/>
  <c r="G662" i="7"/>
  <c r="G663" i="7"/>
  <c r="G664" i="7"/>
  <c r="G665" i="7"/>
  <c r="G666" i="7"/>
  <c r="G667" i="7"/>
  <c r="G668" i="7"/>
  <c r="G669" i="7"/>
  <c r="G670" i="7"/>
  <c r="G672" i="7"/>
  <c r="G673" i="7"/>
  <c r="G674" i="7"/>
  <c r="G676" i="7"/>
  <c r="G677" i="7"/>
  <c r="G678" i="7"/>
  <c r="G679" i="7"/>
  <c r="G680" i="7"/>
  <c r="G681" i="7"/>
  <c r="G683" i="7"/>
  <c r="G684" i="7"/>
  <c r="G685" i="7"/>
  <c r="G686" i="7"/>
  <c r="G687" i="7"/>
  <c r="G688" i="7"/>
  <c r="G689" i="7"/>
  <c r="G690" i="7"/>
  <c r="G691" i="7"/>
  <c r="G692" i="7"/>
  <c r="G693" i="7"/>
  <c r="G694" i="7"/>
  <c r="G695" i="7"/>
  <c r="G696" i="7"/>
  <c r="G698" i="7"/>
  <c r="G699" i="7"/>
  <c r="G700" i="7"/>
  <c r="G701" i="7"/>
  <c r="G702" i="7"/>
  <c r="G703" i="7"/>
  <c r="G704" i="7"/>
  <c r="G706" i="7"/>
  <c r="G707" i="7"/>
  <c r="G708" i="7"/>
  <c r="G709" i="7"/>
  <c r="G710" i="7"/>
  <c r="G711" i="7"/>
  <c r="G712" i="7"/>
  <c r="G713" i="7"/>
  <c r="G714" i="7"/>
  <c r="G715" i="7"/>
  <c r="G716" i="7"/>
  <c r="G717" i="7"/>
  <c r="G718" i="7"/>
  <c r="G720" i="7"/>
  <c r="G721" i="7"/>
  <c r="G722" i="7"/>
  <c r="G723" i="7"/>
  <c r="G725" i="7"/>
  <c r="G726" i="7"/>
  <c r="G727" i="7"/>
  <c r="G728" i="7"/>
  <c r="G729" i="7"/>
  <c r="G730" i="7"/>
  <c r="G731" i="7"/>
  <c r="G732" i="7"/>
  <c r="G734" i="7"/>
  <c r="G735" i="7"/>
  <c r="G736" i="7"/>
  <c r="G737" i="7"/>
  <c r="G738" i="7"/>
  <c r="G739" i="7"/>
  <c r="G740" i="7"/>
  <c r="G741" i="7"/>
  <c r="G742" i="7"/>
  <c r="G743" i="7"/>
  <c r="G744" i="7"/>
  <c r="G746" i="7"/>
  <c r="G747" i="7"/>
  <c r="G748" i="7"/>
  <c r="G750" i="7"/>
  <c r="G751" i="7"/>
  <c r="G752" i="7"/>
  <c r="G753" i="7"/>
  <c r="G754" i="7"/>
  <c r="G756" i="7"/>
  <c r="G757" i="7"/>
  <c r="G758" i="7"/>
  <c r="G760" i="7"/>
  <c r="G761" i="7"/>
  <c r="G762" i="7"/>
  <c r="G763" i="7"/>
  <c r="G764" i="7"/>
  <c r="G765" i="7"/>
  <c r="G766" i="7"/>
  <c r="G767" i="7"/>
  <c r="G768" i="7"/>
  <c r="G769" i="7"/>
  <c r="G770" i="7"/>
  <c r="G772" i="7"/>
  <c r="G773" i="7"/>
  <c r="G774" i="7"/>
  <c r="G776" i="7"/>
  <c r="G777" i="7"/>
  <c r="G778" i="7"/>
  <c r="G779" i="7"/>
  <c r="G781" i="7"/>
  <c r="G782" i="7"/>
  <c r="G784" i="7"/>
  <c r="G785" i="7"/>
  <c r="G786" i="7"/>
  <c r="G787" i="7"/>
  <c r="G788" i="7"/>
  <c r="G789" i="7"/>
  <c r="G790" i="7"/>
  <c r="G791" i="7"/>
  <c r="G792" i="7"/>
  <c r="G793" i="7"/>
  <c r="G794" i="7"/>
  <c r="G796" i="7"/>
  <c r="G797" i="7"/>
  <c r="G798" i="7"/>
  <c r="G800" i="7"/>
  <c r="G801" i="7"/>
  <c r="G802" i="7"/>
  <c r="G803" i="7"/>
  <c r="G804" i="7"/>
  <c r="G805" i="7"/>
  <c r="G806" i="7"/>
  <c r="G807" i="7"/>
  <c r="G809" i="7"/>
  <c r="G810" i="7"/>
  <c r="G811" i="7"/>
  <c r="G812" i="7"/>
  <c r="G813" i="7"/>
  <c r="G814" i="7"/>
  <c r="G815" i="7"/>
  <c r="G816" i="7"/>
  <c r="G817" i="7"/>
  <c r="G818" i="7"/>
  <c r="G819" i="7"/>
  <c r="G820" i="7"/>
  <c r="G822" i="7"/>
  <c r="G823" i="7"/>
  <c r="G825" i="7"/>
  <c r="G826" i="7"/>
  <c r="G828" i="7"/>
  <c r="G829" i="7"/>
  <c r="G830" i="7"/>
  <c r="G831" i="7"/>
  <c r="G832" i="7"/>
  <c r="G833" i="7"/>
  <c r="G835" i="7"/>
  <c r="G836" i="7"/>
  <c r="G837" i="7"/>
  <c r="G838" i="7"/>
  <c r="G839" i="7"/>
  <c r="G840" i="7"/>
  <c r="G841" i="7"/>
  <c r="G842" i="7"/>
  <c r="G843" i="7"/>
  <c r="G844" i="7"/>
  <c r="G845" i="7"/>
  <c r="G846" i="7"/>
  <c r="G847" i="7"/>
  <c r="G848" i="7"/>
  <c r="G850" i="7"/>
  <c r="G851" i="7"/>
  <c r="G852" i="7"/>
  <c r="G854" i="7"/>
  <c r="G855" i="7"/>
  <c r="G856" i="7"/>
  <c r="G857" i="7"/>
  <c r="G858" i="7"/>
  <c r="G859" i="7"/>
  <c r="G860" i="7"/>
  <c r="G861" i="7"/>
  <c r="G862" i="7"/>
  <c r="G863" i="7"/>
  <c r="G864" i="7"/>
  <c r="G865" i="7"/>
  <c r="G866" i="7"/>
  <c r="G867" i="7"/>
  <c r="G868" i="7"/>
  <c r="G869" i="7"/>
  <c r="G871" i="7"/>
  <c r="G872" i="7"/>
  <c r="G874" i="7"/>
  <c r="G875" i="7"/>
  <c r="G876" i="7"/>
  <c r="G878" i="7"/>
  <c r="G879" i="7"/>
  <c r="G880" i="7"/>
  <c r="G881" i="7"/>
  <c r="G883" i="7"/>
  <c r="G884" i="7"/>
  <c r="G885" i="7"/>
  <c r="G886" i="7"/>
  <c r="G887" i="7"/>
  <c r="G888" i="7"/>
  <c r="G889" i="7"/>
  <c r="G890" i="7"/>
  <c r="G891" i="7"/>
  <c r="G892" i="7"/>
  <c r="G893" i="7"/>
  <c r="G894" i="7"/>
  <c r="G895" i="7"/>
  <c r="G896" i="7"/>
  <c r="G897" i="7"/>
  <c r="G899" i="7"/>
  <c r="G900" i="7"/>
  <c r="G901" i="7"/>
  <c r="G903" i="7"/>
  <c r="G904" i="7"/>
  <c r="G905" i="7"/>
  <c r="G906" i="7"/>
  <c r="G907" i="7"/>
  <c r="G908" i="7"/>
  <c r="G910" i="7"/>
  <c r="G911" i="7"/>
  <c r="G912" i="7"/>
  <c r="G913" i="7"/>
  <c r="G914" i="7"/>
  <c r="G915" i="7"/>
  <c r="G916" i="7"/>
  <c r="G917" i="7"/>
  <c r="G918" i="7"/>
  <c r="G919" i="7"/>
  <c r="G920" i="7"/>
  <c r="G921" i="7"/>
  <c r="G923" i="7"/>
  <c r="G925" i="7"/>
  <c r="G926" i="7"/>
  <c r="G927" i="7"/>
  <c r="G928" i="7"/>
  <c r="G929" i="7"/>
  <c r="G930" i="7"/>
  <c r="G931" i="7"/>
  <c r="G932" i="7"/>
  <c r="G934" i="7"/>
  <c r="G935" i="7"/>
  <c r="G936" i="7"/>
  <c r="G937" i="7"/>
  <c r="G938" i="7"/>
  <c r="G939" i="7"/>
  <c r="G941" i="7"/>
  <c r="G942" i="7"/>
  <c r="G943" i="7"/>
  <c r="G944" i="7"/>
  <c r="G945" i="7"/>
  <c r="G946" i="7"/>
  <c r="G947" i="7"/>
  <c r="G948" i="7"/>
  <c r="G949"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K7" i="7"/>
  <c r="K9" i="7"/>
  <c r="K11" i="7"/>
  <c r="K13" i="7"/>
  <c r="K14" i="7"/>
  <c r="K15" i="7"/>
  <c r="K17" i="7"/>
  <c r="K19" i="7"/>
  <c r="K20" i="7"/>
  <c r="K22" i="7"/>
  <c r="K23" i="7"/>
  <c r="K25" i="7"/>
  <c r="K26" i="7"/>
  <c r="K27" i="7"/>
  <c r="K28" i="7"/>
  <c r="K30" i="7"/>
  <c r="K31" i="7"/>
  <c r="K32" i="7"/>
  <c r="K34" i="7"/>
  <c r="K36" i="7"/>
  <c r="K37" i="7"/>
  <c r="K39" i="7"/>
  <c r="K40" i="7"/>
  <c r="K41" i="7"/>
  <c r="K42" i="7"/>
  <c r="K43" i="7"/>
  <c r="K44" i="7"/>
  <c r="K45" i="7"/>
  <c r="K47" i="7"/>
  <c r="K49" i="7"/>
  <c r="K50" i="7"/>
  <c r="K52" i="7"/>
  <c r="K53" i="7"/>
  <c r="K55" i="7"/>
  <c r="K56" i="7"/>
  <c r="K57" i="7"/>
  <c r="K58" i="7"/>
  <c r="K59" i="7"/>
  <c r="K60" i="7"/>
  <c r="K62" i="7"/>
  <c r="K64" i="7"/>
  <c r="K65" i="7"/>
  <c r="K66" i="7"/>
  <c r="K67" i="7"/>
  <c r="K69" i="7"/>
  <c r="K70" i="7"/>
  <c r="K71" i="7"/>
  <c r="K72" i="7"/>
  <c r="K73" i="7"/>
  <c r="K74" i="7"/>
  <c r="K75" i="7"/>
  <c r="K78" i="7"/>
  <c r="K79" i="7"/>
  <c r="K80" i="7"/>
  <c r="K81" i="7"/>
  <c r="K83" i="7"/>
  <c r="K84" i="7"/>
  <c r="K85" i="7"/>
  <c r="K86" i="7"/>
  <c r="K87" i="7"/>
  <c r="K88" i="7"/>
  <c r="K89" i="7"/>
  <c r="K91" i="7"/>
  <c r="K93" i="7"/>
  <c r="K94" i="7"/>
  <c r="K96" i="7"/>
  <c r="K97" i="7"/>
  <c r="K98" i="7"/>
  <c r="K99" i="7"/>
  <c r="K100" i="7"/>
  <c r="K101" i="7"/>
  <c r="K102" i="7"/>
  <c r="K103" i="7"/>
  <c r="K104" i="7"/>
  <c r="K106" i="7"/>
  <c r="K107" i="7"/>
  <c r="K108" i="7"/>
  <c r="K110" i="7"/>
  <c r="K111" i="7"/>
  <c r="K113" i="7"/>
  <c r="K114" i="7"/>
  <c r="K115" i="7"/>
  <c r="K116" i="7"/>
  <c r="K117" i="7"/>
  <c r="K118" i="7"/>
  <c r="K119" i="7"/>
  <c r="K120" i="7"/>
  <c r="K121" i="7"/>
  <c r="K124" i="7"/>
  <c r="K125" i="7"/>
  <c r="K126" i="7"/>
  <c r="K127" i="7"/>
  <c r="K129" i="7"/>
  <c r="K130" i="7"/>
  <c r="K131" i="7"/>
  <c r="K132" i="7"/>
  <c r="K133" i="7"/>
  <c r="K134" i="7"/>
  <c r="K135" i="7"/>
  <c r="K136" i="7"/>
  <c r="K137" i="7"/>
  <c r="K138" i="7"/>
  <c r="K139" i="7"/>
  <c r="K141" i="7"/>
  <c r="K143" i="7"/>
  <c r="K144" i="7"/>
  <c r="K145" i="7"/>
  <c r="K146" i="7"/>
  <c r="K147" i="7"/>
  <c r="K149" i="7"/>
  <c r="K150" i="7"/>
  <c r="K151" i="7"/>
  <c r="K152" i="7"/>
  <c r="K153" i="7"/>
  <c r="K154" i="7"/>
  <c r="K155" i="7"/>
  <c r="K156" i="7"/>
  <c r="K157" i="7"/>
  <c r="K158" i="7"/>
  <c r="K160" i="7"/>
  <c r="K161" i="7"/>
  <c r="K162" i="7"/>
  <c r="K163" i="7"/>
  <c r="K164" i="7"/>
  <c r="K166" i="7"/>
  <c r="K167" i="7"/>
  <c r="K169" i="7"/>
  <c r="K170" i="7"/>
  <c r="K171" i="7"/>
  <c r="K172" i="7"/>
  <c r="K173" i="7"/>
  <c r="K174" i="7"/>
  <c r="K175" i="7"/>
  <c r="K176" i="7"/>
  <c r="K177" i="7"/>
  <c r="K179" i="7"/>
  <c r="K180" i="7"/>
  <c r="K181" i="7"/>
  <c r="K182" i="7"/>
  <c r="K183" i="7"/>
  <c r="K184" i="7"/>
  <c r="K186" i="7"/>
  <c r="K187" i="7"/>
  <c r="K188" i="7"/>
  <c r="K189" i="7"/>
  <c r="K190" i="7"/>
  <c r="K191" i="7"/>
  <c r="K192" i="7"/>
  <c r="K193" i="7"/>
  <c r="K194" i="7"/>
  <c r="K195" i="7"/>
  <c r="K197" i="7"/>
  <c r="K199" i="7"/>
  <c r="K201" i="7"/>
  <c r="K202" i="7"/>
  <c r="K203" i="7"/>
  <c r="K204" i="7"/>
  <c r="K206" i="7"/>
  <c r="K207" i="7"/>
  <c r="K208" i="7"/>
  <c r="K209" i="7"/>
  <c r="K210" i="7"/>
  <c r="K211" i="7"/>
  <c r="K212" i="7"/>
  <c r="K213" i="7"/>
  <c r="K214" i="7"/>
  <c r="K215" i="7"/>
  <c r="K216" i="7"/>
  <c r="K218" i="7"/>
  <c r="K219" i="7"/>
  <c r="K221" i="7"/>
  <c r="K222" i="7"/>
  <c r="K223" i="7"/>
  <c r="K224" i="7"/>
  <c r="K225" i="7"/>
  <c r="K227" i="7"/>
  <c r="K228" i="7"/>
  <c r="K229" i="7"/>
  <c r="K230" i="7"/>
  <c r="K231" i="7"/>
  <c r="K232" i="7"/>
  <c r="K233" i="7"/>
  <c r="K234" i="7"/>
  <c r="K235" i="7"/>
  <c r="K236" i="7"/>
  <c r="K237" i="7"/>
  <c r="K240" i="7"/>
  <c r="K241" i="7"/>
  <c r="K243" i="7"/>
  <c r="K244" i="7"/>
  <c r="K245" i="7"/>
  <c r="K246" i="7"/>
  <c r="K247" i="7"/>
  <c r="K249" i="7"/>
  <c r="K250" i="7"/>
  <c r="K251" i="7"/>
  <c r="K252" i="7"/>
  <c r="K253" i="7"/>
  <c r="K254" i="7"/>
  <c r="K255" i="7"/>
  <c r="K256" i="7"/>
  <c r="K257" i="7"/>
  <c r="K258" i="7"/>
  <c r="K260" i="7"/>
  <c r="K261" i="7"/>
  <c r="K263" i="7"/>
  <c r="K264" i="7"/>
  <c r="K265" i="7"/>
  <c r="K266" i="7"/>
  <c r="K267" i="7"/>
  <c r="K269" i="7"/>
  <c r="K270" i="7"/>
  <c r="K271" i="7"/>
  <c r="K272" i="7"/>
  <c r="K273" i="7"/>
  <c r="K274" i="7"/>
  <c r="K275" i="7"/>
  <c r="K276" i="7"/>
  <c r="K277" i="7"/>
  <c r="K278" i="7"/>
  <c r="K280" i="7"/>
  <c r="K281" i="7"/>
  <c r="K282" i="7"/>
  <c r="K283" i="7"/>
  <c r="K285" i="7"/>
  <c r="K286" i="7"/>
  <c r="K287" i="7"/>
  <c r="K288" i="7"/>
  <c r="K289" i="7"/>
  <c r="K290" i="7"/>
  <c r="K291" i="7"/>
  <c r="K292" i="7"/>
  <c r="K294" i="7"/>
  <c r="K295" i="7"/>
  <c r="K296" i="7"/>
  <c r="K297" i="7"/>
  <c r="K298" i="7"/>
  <c r="K299" i="7"/>
  <c r="K300" i="7"/>
  <c r="K301" i="7"/>
  <c r="K302" i="7"/>
  <c r="K304" i="7"/>
  <c r="K305" i="7"/>
  <c r="K306" i="7"/>
  <c r="K307" i="7"/>
  <c r="K308" i="7"/>
  <c r="K309" i="7"/>
  <c r="K310" i="7"/>
  <c r="K312" i="7"/>
  <c r="K313" i="7"/>
  <c r="K314" i="7"/>
  <c r="K315" i="7"/>
  <c r="K317" i="7"/>
  <c r="K318" i="7"/>
  <c r="K319" i="7"/>
  <c r="K320" i="7"/>
  <c r="K321" i="7"/>
  <c r="K322" i="7"/>
  <c r="K323" i="7"/>
  <c r="K324" i="7"/>
  <c r="K325" i="7"/>
  <c r="K327" i="7"/>
  <c r="K328" i="7"/>
  <c r="K329" i="7"/>
  <c r="K330" i="7"/>
  <c r="K331" i="7"/>
  <c r="K332" i="7"/>
  <c r="K333" i="7"/>
  <c r="K335" i="7"/>
  <c r="K336" i="7"/>
  <c r="K337" i="7"/>
  <c r="K338" i="7"/>
  <c r="K339" i="7"/>
  <c r="K340" i="7"/>
  <c r="K341" i="7"/>
  <c r="K342" i="7"/>
  <c r="K343" i="7"/>
  <c r="K344" i="7"/>
  <c r="K346" i="7"/>
  <c r="K347" i="7"/>
  <c r="K349" i="7"/>
  <c r="K350" i="7"/>
  <c r="K351" i="7"/>
  <c r="K353" i="7"/>
  <c r="K354" i="7"/>
  <c r="K355" i="7"/>
  <c r="K356" i="7"/>
  <c r="K357" i="7"/>
  <c r="K359" i="7"/>
  <c r="K360" i="7"/>
  <c r="K361" i="7"/>
  <c r="K362" i="7"/>
  <c r="K363" i="7"/>
  <c r="K364" i="7"/>
  <c r="K365" i="7"/>
  <c r="K366" i="7"/>
  <c r="K367" i="7"/>
  <c r="K368" i="7"/>
  <c r="K369" i="7"/>
  <c r="K370" i="7"/>
  <c r="K371" i="7"/>
  <c r="K373" i="7"/>
  <c r="K374" i="7"/>
  <c r="K375" i="7"/>
  <c r="K376" i="7"/>
  <c r="K377" i="7"/>
  <c r="K378" i="7"/>
  <c r="K379" i="7"/>
  <c r="K381" i="7"/>
  <c r="K383" i="7"/>
  <c r="K384" i="7"/>
  <c r="K385" i="7"/>
  <c r="K386" i="7"/>
  <c r="K387" i="7"/>
  <c r="K388" i="7"/>
  <c r="K389" i="7"/>
  <c r="K390" i="7"/>
  <c r="K391" i="7"/>
  <c r="K392" i="7"/>
  <c r="K394" i="7"/>
  <c r="K395" i="7"/>
  <c r="K396" i="7"/>
  <c r="K397" i="7"/>
  <c r="K399" i="7"/>
  <c r="K400" i="7"/>
  <c r="K401" i="7"/>
  <c r="K402" i="7"/>
  <c r="K403" i="7"/>
  <c r="K405" i="7"/>
  <c r="K406" i="7"/>
  <c r="K407" i="7"/>
  <c r="K408" i="7"/>
  <c r="K409" i="7"/>
  <c r="K410" i="7"/>
  <c r="K411" i="7"/>
  <c r="K412" i="7"/>
  <c r="K413" i="7"/>
  <c r="K414" i="7"/>
  <c r="K416" i="7"/>
  <c r="K417" i="7"/>
  <c r="K418" i="7"/>
  <c r="K419" i="7"/>
  <c r="K421" i="7"/>
  <c r="K422" i="7"/>
  <c r="K423" i="7"/>
  <c r="K424" i="7"/>
  <c r="K425" i="7"/>
  <c r="K426" i="7"/>
  <c r="K428" i="7"/>
  <c r="K429" i="7"/>
  <c r="K431" i="7"/>
  <c r="K432" i="7"/>
  <c r="K433" i="7"/>
  <c r="K434" i="7"/>
  <c r="K435" i="7"/>
  <c r="K436" i="7"/>
  <c r="K437" i="7"/>
  <c r="K438" i="7"/>
  <c r="K439" i="7"/>
  <c r="K440" i="7"/>
  <c r="K441" i="7"/>
  <c r="K443" i="7"/>
  <c r="K444" i="7"/>
  <c r="K446" i="7"/>
  <c r="K447" i="7"/>
  <c r="K448" i="7"/>
  <c r="K449" i="7"/>
  <c r="K451" i="7"/>
  <c r="K452" i="7"/>
  <c r="K453" i="7"/>
  <c r="K454" i="7"/>
  <c r="K455" i="7"/>
  <c r="K456" i="7"/>
  <c r="K457" i="7"/>
  <c r="K458" i="7"/>
  <c r="K459" i="7"/>
  <c r="K460" i="7"/>
  <c r="K462" i="7"/>
  <c r="K463" i="7"/>
  <c r="K464" i="7"/>
  <c r="K465" i="7"/>
  <c r="K466" i="7"/>
  <c r="K467" i="7"/>
  <c r="K468" i="7"/>
  <c r="K469" i="7"/>
  <c r="K470" i="7"/>
  <c r="K472" i="7"/>
  <c r="K473" i="7"/>
  <c r="K474" i="7"/>
  <c r="K475" i="7"/>
  <c r="K476" i="7"/>
  <c r="K477" i="7"/>
  <c r="K478" i="7"/>
  <c r="K480" i="7"/>
  <c r="K481" i="7"/>
  <c r="K482" i="7"/>
  <c r="K483" i="7"/>
  <c r="K484" i="7"/>
  <c r="K485" i="7"/>
  <c r="K486" i="7"/>
  <c r="K487" i="7"/>
  <c r="K488" i="7"/>
  <c r="K489" i="7"/>
  <c r="K490" i="7"/>
  <c r="K491" i="7"/>
  <c r="K493" i="7"/>
  <c r="K494" i="7"/>
  <c r="K495" i="7"/>
  <c r="K497" i="7"/>
  <c r="K498" i="7"/>
  <c r="K499" i="7"/>
  <c r="K501" i="7"/>
  <c r="K502" i="7"/>
  <c r="K503" i="7"/>
  <c r="K504" i="7"/>
  <c r="K505" i="7"/>
  <c r="K506" i="7"/>
  <c r="K507" i="7"/>
  <c r="K508" i="7"/>
  <c r="K509" i="7"/>
  <c r="K510" i="7"/>
  <c r="K511" i="7"/>
  <c r="K512" i="7"/>
  <c r="K513" i="7"/>
  <c r="K514" i="7"/>
  <c r="K515" i="7"/>
  <c r="K516" i="7"/>
  <c r="K517" i="7"/>
  <c r="K519" i="7"/>
  <c r="K520" i="7"/>
  <c r="K522" i="7"/>
  <c r="K523" i="7"/>
  <c r="K524" i="7"/>
  <c r="K525" i="7"/>
  <c r="K526" i="7"/>
  <c r="K527" i="7"/>
  <c r="K528" i="7"/>
  <c r="K530" i="7"/>
  <c r="K531" i="7"/>
  <c r="K532" i="7"/>
  <c r="K533" i="7"/>
  <c r="K534" i="7"/>
  <c r="K535" i="7"/>
  <c r="K536" i="7"/>
  <c r="K537" i="7"/>
  <c r="K538" i="7"/>
  <c r="K539" i="7"/>
  <c r="K540" i="7"/>
  <c r="K541" i="7"/>
  <c r="K543" i="7"/>
  <c r="K544" i="7"/>
  <c r="K545" i="7"/>
  <c r="K547" i="7"/>
  <c r="K548" i="7"/>
  <c r="K550" i="7"/>
  <c r="K551" i="7"/>
  <c r="K552" i="7"/>
  <c r="K553" i="7"/>
  <c r="K554" i="7"/>
  <c r="K555" i="7"/>
  <c r="K556" i="7"/>
  <c r="K557" i="7"/>
  <c r="K558" i="7"/>
  <c r="K559" i="7"/>
  <c r="K560" i="7"/>
  <c r="K561" i="7"/>
  <c r="K562" i="7"/>
  <c r="K563" i="7"/>
  <c r="K565" i="7"/>
  <c r="K566" i="7"/>
  <c r="K567" i="7"/>
  <c r="K568" i="7"/>
  <c r="K569" i="7"/>
  <c r="K570" i="7"/>
  <c r="K572" i="7"/>
  <c r="K573" i="7"/>
  <c r="K574" i="7"/>
  <c r="K575" i="7"/>
  <c r="K576" i="7"/>
  <c r="K577" i="7"/>
  <c r="K578" i="7"/>
  <c r="K580" i="7"/>
  <c r="K581" i="7"/>
  <c r="K582" i="7"/>
  <c r="K583" i="7"/>
  <c r="K584" i="7"/>
  <c r="K585" i="7"/>
  <c r="K586" i="7"/>
  <c r="K587" i="7"/>
  <c r="K588" i="7"/>
  <c r="K589" i="7"/>
  <c r="K590" i="7"/>
  <c r="K591" i="7"/>
  <c r="K593" i="7"/>
  <c r="K594" i="7"/>
  <c r="K596" i="7"/>
  <c r="K597" i="7"/>
  <c r="K598" i="7"/>
  <c r="K599" i="7"/>
  <c r="K600" i="7"/>
  <c r="K601" i="7"/>
  <c r="K602" i="7"/>
  <c r="K603" i="7"/>
  <c r="K605" i="7"/>
  <c r="K606" i="7"/>
  <c r="K607" i="7"/>
  <c r="K608" i="7"/>
  <c r="K609" i="7"/>
  <c r="K610" i="7"/>
  <c r="K611" i="7"/>
  <c r="K612" i="7"/>
  <c r="K613" i="7"/>
  <c r="K614" i="7"/>
  <c r="K615" i="7"/>
  <c r="K616" i="7"/>
  <c r="K618" i="7"/>
  <c r="K620" i="7"/>
  <c r="K621" i="7"/>
  <c r="K623" i="7"/>
  <c r="K624" i="7"/>
  <c r="K626" i="7"/>
  <c r="K627" i="7"/>
  <c r="K628" i="7"/>
  <c r="K629" i="7"/>
  <c r="K630" i="7"/>
  <c r="K631" i="7"/>
  <c r="K632" i="7"/>
  <c r="K634" i="7"/>
  <c r="K635" i="7"/>
  <c r="K636" i="7"/>
  <c r="K637" i="7"/>
  <c r="K638" i="7"/>
  <c r="K639" i="7"/>
  <c r="K640" i="7"/>
  <c r="K641" i="7"/>
  <c r="K642" i="7"/>
  <c r="K643" i="7"/>
  <c r="K645" i="7"/>
  <c r="K646" i="7"/>
  <c r="K647" i="7"/>
  <c r="K648" i="7"/>
  <c r="K649" i="7"/>
  <c r="K651" i="7"/>
  <c r="K652" i="7"/>
  <c r="K653" i="7"/>
  <c r="K654" i="7"/>
  <c r="K655" i="7"/>
  <c r="K656" i="7"/>
  <c r="K657" i="7"/>
  <c r="K659" i="7"/>
  <c r="K660" i="7"/>
  <c r="K661" i="7"/>
  <c r="K662" i="7"/>
  <c r="K663" i="7"/>
  <c r="K664" i="7"/>
  <c r="K665" i="7"/>
  <c r="K666" i="7"/>
  <c r="K667" i="7"/>
  <c r="K668" i="7"/>
  <c r="K669" i="7"/>
  <c r="K670" i="7"/>
  <c r="K672" i="7"/>
  <c r="K673" i="7"/>
  <c r="K674" i="7"/>
  <c r="K676" i="7"/>
  <c r="K677" i="7"/>
  <c r="K678" i="7"/>
  <c r="K679" i="7"/>
  <c r="K680" i="7"/>
  <c r="K681" i="7"/>
  <c r="K683" i="7"/>
  <c r="K684" i="7"/>
  <c r="K685" i="7"/>
  <c r="K686" i="7"/>
  <c r="K687" i="7"/>
  <c r="K688" i="7"/>
  <c r="K689" i="7"/>
  <c r="K690" i="7"/>
  <c r="K691" i="7"/>
  <c r="K692" i="7"/>
  <c r="K693" i="7"/>
  <c r="K694" i="7"/>
  <c r="K695" i="7"/>
  <c r="K696" i="7"/>
  <c r="K698" i="7"/>
  <c r="K699" i="7"/>
  <c r="K700" i="7"/>
  <c r="K701" i="7"/>
  <c r="K702" i="7"/>
  <c r="K703" i="7"/>
  <c r="K704" i="7"/>
  <c r="K706" i="7"/>
  <c r="K707" i="7"/>
  <c r="K708" i="7"/>
  <c r="K709" i="7"/>
  <c r="K710" i="7"/>
  <c r="K711" i="7"/>
  <c r="K712" i="7"/>
  <c r="K713" i="7"/>
  <c r="K714" i="7"/>
  <c r="K715" i="7"/>
  <c r="K716" i="7"/>
  <c r="K717" i="7"/>
  <c r="K718" i="7"/>
  <c r="K720" i="7"/>
  <c r="K721" i="7"/>
  <c r="K722" i="7"/>
  <c r="K723" i="7"/>
  <c r="K725" i="7"/>
  <c r="K726" i="7"/>
  <c r="K727" i="7"/>
  <c r="K728" i="7"/>
  <c r="K729" i="7"/>
  <c r="K730" i="7"/>
  <c r="K731" i="7"/>
  <c r="K732" i="7"/>
  <c r="K734" i="7"/>
  <c r="K735" i="7"/>
  <c r="K736" i="7"/>
  <c r="K737" i="7"/>
  <c r="K738" i="7"/>
  <c r="K739" i="7"/>
  <c r="K740" i="7"/>
  <c r="K741" i="7"/>
  <c r="K742" i="7"/>
  <c r="K743" i="7"/>
  <c r="K744" i="7"/>
  <c r="K746" i="7"/>
  <c r="K747" i="7"/>
  <c r="K748" i="7"/>
  <c r="K750" i="7"/>
  <c r="K751" i="7"/>
  <c r="K752" i="7"/>
  <c r="K753" i="7"/>
  <c r="K754" i="7"/>
  <c r="K756" i="7"/>
  <c r="K757" i="7"/>
  <c r="K758" i="7"/>
  <c r="K760" i="7"/>
  <c r="K761" i="7"/>
  <c r="K762" i="7"/>
  <c r="K763" i="7"/>
  <c r="K764" i="7"/>
  <c r="K765" i="7"/>
  <c r="K766" i="7"/>
  <c r="K767" i="7"/>
  <c r="K768" i="7"/>
  <c r="K769" i="7"/>
  <c r="K770" i="7"/>
  <c r="K772" i="7"/>
  <c r="K773" i="7"/>
  <c r="K774" i="7"/>
  <c r="K776" i="7"/>
  <c r="K777" i="7"/>
  <c r="K778" i="7"/>
  <c r="K779" i="7"/>
  <c r="K781" i="7"/>
  <c r="K782" i="7"/>
  <c r="K784" i="7"/>
  <c r="K785" i="7"/>
  <c r="K786" i="7"/>
  <c r="K787" i="7"/>
  <c r="K788" i="7"/>
  <c r="K789" i="7"/>
  <c r="K790" i="7"/>
  <c r="K791" i="7"/>
  <c r="K792" i="7"/>
  <c r="K793" i="7"/>
  <c r="K794" i="7"/>
  <c r="K796" i="7"/>
  <c r="K797" i="7"/>
  <c r="K798" i="7"/>
  <c r="K800" i="7"/>
  <c r="K801" i="7"/>
  <c r="K802" i="7"/>
  <c r="K803" i="7"/>
  <c r="K804" i="7"/>
  <c r="K805" i="7"/>
  <c r="K806" i="7"/>
  <c r="K807" i="7"/>
  <c r="K809" i="7"/>
  <c r="K810" i="7"/>
  <c r="K811" i="7"/>
  <c r="K812" i="7"/>
  <c r="K813" i="7"/>
  <c r="K814" i="7"/>
  <c r="K815" i="7"/>
  <c r="K816" i="7"/>
  <c r="K817" i="7"/>
  <c r="K818" i="7"/>
  <c r="K819" i="7"/>
  <c r="K820" i="7"/>
  <c r="K822" i="7"/>
  <c r="K823" i="7"/>
  <c r="K825" i="7"/>
  <c r="K826" i="7"/>
  <c r="K828" i="7"/>
  <c r="K829" i="7"/>
  <c r="K830" i="7"/>
  <c r="K831" i="7"/>
  <c r="K832" i="7"/>
  <c r="K833" i="7"/>
  <c r="K835" i="7"/>
  <c r="K836" i="7"/>
  <c r="K837" i="7"/>
  <c r="K838" i="7"/>
  <c r="K839" i="7"/>
  <c r="K840" i="7"/>
  <c r="K841" i="7"/>
  <c r="K842" i="7"/>
  <c r="K843" i="7"/>
  <c r="K844" i="7"/>
  <c r="K845" i="7"/>
  <c r="K846" i="7"/>
  <c r="K847" i="7"/>
  <c r="K848" i="7"/>
  <c r="K850" i="7"/>
  <c r="K851" i="7"/>
  <c r="K852" i="7"/>
  <c r="K854" i="7"/>
  <c r="K855" i="7"/>
  <c r="K856" i="7"/>
  <c r="K857" i="7"/>
  <c r="K858" i="7"/>
  <c r="K859" i="7"/>
  <c r="K860" i="7"/>
  <c r="K861" i="7"/>
  <c r="K862" i="7"/>
  <c r="K863" i="7"/>
  <c r="K864" i="7"/>
  <c r="K865" i="7"/>
  <c r="K866" i="7"/>
  <c r="K867" i="7"/>
  <c r="K868" i="7"/>
  <c r="K869" i="7"/>
  <c r="K871" i="7"/>
  <c r="K872" i="7"/>
  <c r="K874" i="7"/>
  <c r="K875" i="7"/>
  <c r="K876" i="7"/>
  <c r="K878" i="7"/>
  <c r="K879" i="7"/>
  <c r="K880" i="7"/>
  <c r="K881" i="7"/>
  <c r="K883" i="7"/>
  <c r="K884" i="7"/>
  <c r="K885" i="7"/>
  <c r="K886" i="7"/>
  <c r="K887" i="7"/>
  <c r="K888" i="7"/>
  <c r="K889" i="7"/>
  <c r="K890" i="7"/>
  <c r="K891" i="7"/>
  <c r="K892" i="7"/>
  <c r="K893" i="7"/>
  <c r="K894" i="7"/>
  <c r="K895" i="7"/>
  <c r="K896" i="7"/>
  <c r="K897" i="7"/>
  <c r="K899" i="7"/>
  <c r="K900" i="7"/>
  <c r="K901" i="7"/>
  <c r="K903" i="7"/>
  <c r="K904" i="7"/>
  <c r="K905" i="7"/>
  <c r="K906" i="7"/>
  <c r="K907" i="7"/>
  <c r="K908" i="7"/>
  <c r="K910" i="7"/>
  <c r="K911" i="7"/>
  <c r="K912" i="7"/>
  <c r="K913" i="7"/>
  <c r="K914" i="7"/>
  <c r="K915" i="7"/>
  <c r="K916" i="7"/>
  <c r="K917" i="7"/>
  <c r="K918" i="7"/>
  <c r="K919" i="7"/>
  <c r="K920" i="7"/>
  <c r="K921" i="7"/>
  <c r="K923" i="7"/>
  <c r="K925" i="7"/>
  <c r="K926" i="7"/>
  <c r="K927" i="7"/>
  <c r="K928" i="7"/>
  <c r="K929" i="7"/>
  <c r="K930" i="7"/>
  <c r="K931" i="7"/>
  <c r="K932" i="7"/>
  <c r="K934" i="7"/>
  <c r="K935" i="7"/>
  <c r="K936" i="7"/>
  <c r="K937" i="7"/>
  <c r="K938" i="7"/>
  <c r="K939" i="7"/>
  <c r="K941" i="7"/>
  <c r="K942" i="7"/>
  <c r="K943" i="7"/>
  <c r="K944" i="7"/>
  <c r="K945" i="7"/>
  <c r="K946" i="7"/>
  <c r="K947" i="7"/>
  <c r="K948" i="7"/>
  <c r="K949"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L7" i="7"/>
  <c r="L9" i="7"/>
  <c r="L11" i="7"/>
  <c r="L13" i="7"/>
  <c r="L14" i="7"/>
  <c r="L15" i="7"/>
  <c r="L17" i="7"/>
  <c r="L19" i="7"/>
  <c r="L20" i="7"/>
  <c r="L22" i="7"/>
  <c r="L23" i="7"/>
  <c r="L25" i="7"/>
  <c r="L26" i="7"/>
  <c r="L27" i="7"/>
  <c r="L28" i="7"/>
  <c r="L30" i="7"/>
  <c r="L31" i="7"/>
  <c r="L32" i="7"/>
  <c r="L34" i="7"/>
  <c r="L36" i="7"/>
  <c r="L37" i="7"/>
  <c r="L39" i="7"/>
  <c r="L40" i="7"/>
  <c r="L41" i="7"/>
  <c r="L42" i="7"/>
  <c r="L43" i="7"/>
  <c r="L44" i="7"/>
  <c r="L45" i="7"/>
  <c r="L47" i="7"/>
  <c r="L49" i="7"/>
  <c r="L50" i="7"/>
  <c r="L52" i="7"/>
  <c r="L53" i="7"/>
  <c r="L55" i="7"/>
  <c r="L56" i="7"/>
  <c r="L57" i="7"/>
  <c r="L58" i="7"/>
  <c r="L59" i="7"/>
  <c r="L60" i="7"/>
  <c r="L62" i="7"/>
  <c r="L64" i="7"/>
  <c r="L65" i="7"/>
  <c r="L66" i="7"/>
  <c r="L67" i="7"/>
  <c r="L69" i="7"/>
  <c r="L70" i="7"/>
  <c r="L71" i="7"/>
  <c r="L72" i="7"/>
  <c r="L73" i="7"/>
  <c r="L74" i="7"/>
  <c r="L75" i="7"/>
  <c r="L78" i="7"/>
  <c r="L79" i="7"/>
  <c r="L80" i="7"/>
  <c r="L81" i="7"/>
  <c r="L83" i="7"/>
  <c r="L84" i="7"/>
  <c r="L85" i="7"/>
  <c r="L86" i="7"/>
  <c r="L87" i="7"/>
  <c r="L88" i="7"/>
  <c r="L89" i="7"/>
  <c r="L91" i="7"/>
  <c r="L93" i="7"/>
  <c r="L94" i="7"/>
  <c r="L96" i="7"/>
  <c r="L97" i="7"/>
  <c r="L98" i="7"/>
  <c r="L99" i="7"/>
  <c r="L100" i="7"/>
  <c r="L101" i="7"/>
  <c r="L102" i="7"/>
  <c r="L103" i="7"/>
  <c r="L104" i="7"/>
  <c r="L106" i="7"/>
  <c r="L107" i="7"/>
  <c r="L108" i="7"/>
  <c r="L110" i="7"/>
  <c r="L111" i="7"/>
  <c r="L113" i="7"/>
  <c r="L114" i="7"/>
  <c r="L115" i="7"/>
  <c r="L116" i="7"/>
  <c r="L117" i="7"/>
  <c r="L118" i="7"/>
  <c r="L119" i="7"/>
  <c r="L120" i="7"/>
  <c r="L121" i="7"/>
  <c r="L124" i="7"/>
  <c r="L125" i="7"/>
  <c r="L126" i="7"/>
  <c r="L127" i="7"/>
  <c r="L129" i="7"/>
  <c r="L130" i="7"/>
  <c r="L131" i="7"/>
  <c r="L132" i="7"/>
  <c r="L133" i="7"/>
  <c r="L134" i="7"/>
  <c r="L135" i="7"/>
  <c r="L136" i="7"/>
  <c r="L137" i="7"/>
  <c r="L138" i="7"/>
  <c r="L139" i="7"/>
  <c r="L141" i="7"/>
  <c r="L143" i="7"/>
  <c r="L144" i="7"/>
  <c r="L145" i="7"/>
  <c r="L146" i="7"/>
  <c r="L147" i="7"/>
  <c r="L149" i="7"/>
  <c r="L150" i="7"/>
  <c r="L151" i="7"/>
  <c r="L152" i="7"/>
  <c r="L153" i="7"/>
  <c r="L154" i="7"/>
  <c r="L155" i="7"/>
  <c r="L156" i="7"/>
  <c r="L157" i="7"/>
  <c r="L158" i="7"/>
  <c r="L160" i="7"/>
  <c r="L161" i="7"/>
  <c r="L162" i="7"/>
  <c r="L163" i="7"/>
  <c r="L164" i="7"/>
  <c r="L166" i="7"/>
  <c r="L167" i="7"/>
  <c r="L169" i="7"/>
  <c r="L170" i="7"/>
  <c r="L171" i="7"/>
  <c r="L172" i="7"/>
  <c r="L173" i="7"/>
  <c r="L174" i="7"/>
  <c r="L175" i="7"/>
  <c r="L176" i="7"/>
  <c r="L177" i="7"/>
  <c r="L179" i="7"/>
  <c r="L180" i="7"/>
  <c r="L181" i="7"/>
  <c r="L182" i="7"/>
  <c r="L183" i="7"/>
  <c r="L184" i="7"/>
  <c r="L186" i="7"/>
  <c r="L187" i="7"/>
  <c r="L188" i="7"/>
  <c r="L189" i="7"/>
  <c r="L190" i="7"/>
  <c r="L191" i="7"/>
  <c r="L192" i="7"/>
  <c r="L193" i="7"/>
  <c r="L194" i="7"/>
  <c r="L195" i="7"/>
  <c r="L197" i="7"/>
  <c r="L199" i="7"/>
  <c r="L201" i="7"/>
  <c r="L202" i="7"/>
  <c r="L203" i="7"/>
  <c r="L204" i="7"/>
  <c r="L206" i="7"/>
  <c r="L207" i="7"/>
  <c r="L208" i="7"/>
  <c r="L209" i="7"/>
  <c r="L210" i="7"/>
  <c r="L211" i="7"/>
  <c r="L212" i="7"/>
  <c r="L213" i="7"/>
  <c r="L214" i="7"/>
  <c r="L215" i="7"/>
  <c r="L216" i="7"/>
  <c r="L218" i="7"/>
  <c r="L219" i="7"/>
  <c r="L221" i="7"/>
  <c r="L222" i="7"/>
  <c r="L223" i="7"/>
  <c r="L224" i="7"/>
  <c r="L225" i="7"/>
  <c r="L227" i="7"/>
  <c r="L228" i="7"/>
  <c r="L229" i="7"/>
  <c r="L230" i="7"/>
  <c r="L231" i="7"/>
  <c r="L232" i="7"/>
  <c r="L233" i="7"/>
  <c r="L234" i="7"/>
  <c r="L235" i="7"/>
  <c r="L236" i="7"/>
  <c r="L237" i="7"/>
  <c r="L240" i="7"/>
  <c r="L241" i="7"/>
  <c r="L243" i="7"/>
  <c r="L244" i="7"/>
  <c r="L245" i="7"/>
  <c r="L246" i="7"/>
  <c r="L247" i="7"/>
  <c r="L249" i="7"/>
  <c r="L250" i="7"/>
  <c r="L251" i="7"/>
  <c r="L252" i="7"/>
  <c r="L253" i="7"/>
  <c r="L254" i="7"/>
  <c r="L255" i="7"/>
  <c r="L256" i="7"/>
  <c r="L257" i="7"/>
  <c r="L258" i="7"/>
  <c r="L260" i="7"/>
  <c r="L261" i="7"/>
  <c r="L263" i="7"/>
  <c r="L264" i="7"/>
  <c r="L265" i="7"/>
  <c r="L266" i="7"/>
  <c r="L267" i="7"/>
  <c r="L269" i="7"/>
  <c r="L270" i="7"/>
  <c r="L271" i="7"/>
  <c r="L272" i="7"/>
  <c r="L273" i="7"/>
  <c r="L274" i="7"/>
  <c r="L275" i="7"/>
  <c r="L276" i="7"/>
  <c r="L277" i="7"/>
  <c r="L278" i="7"/>
  <c r="L280" i="7"/>
  <c r="L281" i="7"/>
  <c r="L282" i="7"/>
  <c r="L283" i="7"/>
  <c r="L285" i="7"/>
  <c r="L286" i="7"/>
  <c r="L287" i="7"/>
  <c r="L288" i="7"/>
  <c r="L289" i="7"/>
  <c r="L290" i="7"/>
  <c r="L291" i="7"/>
  <c r="L292" i="7"/>
  <c r="L294" i="7"/>
  <c r="L295" i="7"/>
  <c r="L296" i="7"/>
  <c r="L297" i="7"/>
  <c r="L298" i="7"/>
  <c r="L299" i="7"/>
  <c r="L300" i="7"/>
  <c r="L301" i="7"/>
  <c r="L302" i="7"/>
  <c r="L304" i="7"/>
  <c r="L305" i="7"/>
  <c r="L306" i="7"/>
  <c r="L307" i="7"/>
  <c r="L308" i="7"/>
  <c r="L309" i="7"/>
  <c r="L310" i="7"/>
  <c r="L312" i="7"/>
  <c r="L313" i="7"/>
  <c r="L314" i="7"/>
  <c r="L315" i="7"/>
  <c r="L317" i="7"/>
  <c r="L318" i="7"/>
  <c r="L319" i="7"/>
  <c r="L320" i="7"/>
  <c r="L321" i="7"/>
  <c r="L322" i="7"/>
  <c r="L323" i="7"/>
  <c r="L324" i="7"/>
  <c r="L325" i="7"/>
  <c r="L327" i="7"/>
  <c r="L328" i="7"/>
  <c r="L329" i="7"/>
  <c r="L330" i="7"/>
  <c r="L331" i="7"/>
  <c r="L332" i="7"/>
  <c r="L333" i="7"/>
  <c r="L335" i="7"/>
  <c r="L336" i="7"/>
  <c r="L337" i="7"/>
  <c r="L338" i="7"/>
  <c r="L339" i="7"/>
  <c r="L340" i="7"/>
  <c r="L341" i="7"/>
  <c r="L342" i="7"/>
  <c r="L343" i="7"/>
  <c r="L344" i="7"/>
  <c r="L346" i="7"/>
  <c r="L347" i="7"/>
  <c r="L349" i="7"/>
  <c r="L350" i="7"/>
  <c r="L351" i="7"/>
  <c r="L353" i="7"/>
  <c r="L354" i="7"/>
  <c r="L355" i="7"/>
  <c r="L356" i="7"/>
  <c r="L357" i="7"/>
  <c r="L359" i="7"/>
  <c r="L360" i="7"/>
  <c r="L361" i="7"/>
  <c r="L362" i="7"/>
  <c r="L363" i="7"/>
  <c r="L364" i="7"/>
  <c r="L365" i="7"/>
  <c r="L366" i="7"/>
  <c r="L367" i="7"/>
  <c r="L368" i="7"/>
  <c r="L369" i="7"/>
  <c r="L370" i="7"/>
  <c r="L371" i="7"/>
  <c r="L373" i="7"/>
  <c r="L374" i="7"/>
  <c r="L375" i="7"/>
  <c r="L376" i="7"/>
  <c r="L377" i="7"/>
  <c r="L378" i="7"/>
  <c r="L379" i="7"/>
  <c r="L381" i="7"/>
  <c r="L383" i="7"/>
  <c r="L384" i="7"/>
  <c r="L385" i="7"/>
  <c r="L386" i="7"/>
  <c r="L387" i="7"/>
  <c r="L388" i="7"/>
  <c r="L389" i="7"/>
  <c r="L390" i="7"/>
  <c r="L391" i="7"/>
  <c r="L392" i="7"/>
  <c r="L394" i="7"/>
  <c r="L395" i="7"/>
  <c r="L396" i="7"/>
  <c r="L397" i="7"/>
  <c r="L399" i="7"/>
  <c r="L400" i="7"/>
  <c r="L401" i="7"/>
  <c r="L402" i="7"/>
  <c r="L403" i="7"/>
  <c r="L405" i="7"/>
  <c r="L406" i="7"/>
  <c r="L407" i="7"/>
  <c r="L408" i="7"/>
  <c r="L409" i="7"/>
  <c r="L410" i="7"/>
  <c r="L411" i="7"/>
  <c r="L412" i="7"/>
  <c r="L413" i="7"/>
  <c r="L414" i="7"/>
  <c r="L416" i="7"/>
  <c r="L417" i="7"/>
  <c r="L418" i="7"/>
  <c r="L419" i="7"/>
  <c r="L421" i="7"/>
  <c r="L422" i="7"/>
  <c r="L423" i="7"/>
  <c r="L424" i="7"/>
  <c r="L425" i="7"/>
  <c r="L426" i="7"/>
  <c r="L428" i="7"/>
  <c r="L429" i="7"/>
  <c r="L431" i="7"/>
  <c r="L432" i="7"/>
  <c r="L433" i="7"/>
  <c r="L434" i="7"/>
  <c r="L435" i="7"/>
  <c r="L436" i="7"/>
  <c r="L437" i="7"/>
  <c r="L438" i="7"/>
  <c r="L439" i="7"/>
  <c r="L440" i="7"/>
  <c r="L441" i="7"/>
  <c r="L443" i="7"/>
  <c r="L444" i="7"/>
  <c r="L446" i="7"/>
  <c r="L447" i="7"/>
  <c r="L448" i="7"/>
  <c r="L449" i="7"/>
  <c r="L451" i="7"/>
  <c r="L452" i="7"/>
  <c r="L453" i="7"/>
  <c r="L454" i="7"/>
  <c r="L455" i="7"/>
  <c r="L456" i="7"/>
  <c r="L457" i="7"/>
  <c r="L458" i="7"/>
  <c r="L459" i="7"/>
  <c r="L460" i="7"/>
  <c r="L462" i="7"/>
  <c r="L463" i="7"/>
  <c r="L464" i="7"/>
  <c r="L465" i="7"/>
  <c r="L466" i="7"/>
  <c r="L467" i="7"/>
  <c r="L468" i="7"/>
  <c r="L469" i="7"/>
  <c r="L470" i="7"/>
  <c r="L472" i="7"/>
  <c r="L473" i="7"/>
  <c r="L474" i="7"/>
  <c r="L475" i="7"/>
  <c r="L476" i="7"/>
  <c r="L477" i="7"/>
  <c r="L478" i="7"/>
  <c r="L480" i="7"/>
  <c r="L481" i="7"/>
  <c r="L482" i="7"/>
  <c r="L483" i="7"/>
  <c r="L484" i="7"/>
  <c r="L485" i="7"/>
  <c r="L486" i="7"/>
  <c r="L487" i="7"/>
  <c r="L488" i="7"/>
  <c r="L489" i="7"/>
  <c r="L490" i="7"/>
  <c r="L491" i="7"/>
  <c r="L493" i="7"/>
  <c r="L494" i="7"/>
  <c r="L495" i="7"/>
  <c r="L497" i="7"/>
  <c r="L498" i="7"/>
  <c r="L499" i="7"/>
  <c r="L501" i="7"/>
  <c r="L502" i="7"/>
  <c r="L503" i="7"/>
  <c r="L504" i="7"/>
  <c r="L505" i="7"/>
  <c r="L506" i="7"/>
  <c r="L507" i="7"/>
  <c r="L508" i="7"/>
  <c r="L509" i="7"/>
  <c r="L510" i="7"/>
  <c r="L511" i="7"/>
  <c r="L512" i="7"/>
  <c r="L513" i="7"/>
  <c r="L514" i="7"/>
  <c r="L515" i="7"/>
  <c r="L516" i="7"/>
  <c r="L517" i="7"/>
  <c r="L519" i="7"/>
  <c r="L520" i="7"/>
  <c r="L522" i="7"/>
  <c r="L523" i="7"/>
  <c r="L524" i="7"/>
  <c r="L525" i="7"/>
  <c r="L526" i="7"/>
  <c r="L527" i="7"/>
  <c r="L528" i="7"/>
  <c r="L530" i="7"/>
  <c r="L531" i="7"/>
  <c r="L532" i="7"/>
  <c r="L533" i="7"/>
  <c r="L534" i="7"/>
  <c r="L535" i="7"/>
  <c r="L536" i="7"/>
  <c r="L537" i="7"/>
  <c r="L538" i="7"/>
  <c r="L539" i="7"/>
  <c r="L540" i="7"/>
  <c r="L541" i="7"/>
  <c r="L543" i="7"/>
  <c r="L544" i="7"/>
  <c r="L545" i="7"/>
  <c r="L547" i="7"/>
  <c r="L548" i="7"/>
  <c r="L550" i="7"/>
  <c r="L551" i="7"/>
  <c r="L552" i="7"/>
  <c r="L553" i="7"/>
  <c r="L554" i="7"/>
  <c r="L555" i="7"/>
  <c r="L556" i="7"/>
  <c r="L557" i="7"/>
  <c r="L558" i="7"/>
  <c r="L559" i="7"/>
  <c r="L560" i="7"/>
  <c r="L561" i="7"/>
  <c r="L562" i="7"/>
  <c r="L563" i="7"/>
  <c r="L565" i="7"/>
  <c r="L566" i="7"/>
  <c r="L567" i="7"/>
  <c r="L568" i="7"/>
  <c r="L569" i="7"/>
  <c r="L570" i="7"/>
  <c r="L572" i="7"/>
  <c r="L573" i="7"/>
  <c r="L574" i="7"/>
  <c r="L575" i="7"/>
  <c r="L576" i="7"/>
  <c r="L577" i="7"/>
  <c r="L578" i="7"/>
  <c r="L580" i="7"/>
  <c r="L581" i="7"/>
  <c r="L582" i="7"/>
  <c r="L583" i="7"/>
  <c r="L584" i="7"/>
  <c r="L585" i="7"/>
  <c r="L586" i="7"/>
  <c r="L587" i="7"/>
  <c r="L588" i="7"/>
  <c r="L589" i="7"/>
  <c r="L590" i="7"/>
  <c r="L591" i="7"/>
  <c r="L593" i="7"/>
  <c r="L594" i="7"/>
  <c r="L596" i="7"/>
  <c r="L597" i="7"/>
  <c r="L598" i="7"/>
  <c r="L599" i="7"/>
  <c r="L600" i="7"/>
  <c r="L601" i="7"/>
  <c r="L602" i="7"/>
  <c r="L603" i="7"/>
  <c r="L605" i="7"/>
  <c r="L606" i="7"/>
  <c r="L607" i="7"/>
  <c r="L608" i="7"/>
  <c r="L609" i="7"/>
  <c r="L610" i="7"/>
  <c r="L611" i="7"/>
  <c r="L612" i="7"/>
  <c r="L613" i="7"/>
  <c r="L614" i="7"/>
  <c r="L615" i="7"/>
  <c r="L616" i="7"/>
  <c r="L618" i="7"/>
  <c r="L620" i="7"/>
  <c r="L621" i="7"/>
  <c r="L623" i="7"/>
  <c r="L624" i="7"/>
  <c r="L626" i="7"/>
  <c r="L627" i="7"/>
  <c r="L628" i="7"/>
  <c r="L629" i="7"/>
  <c r="L630" i="7"/>
  <c r="L631" i="7"/>
  <c r="L632" i="7"/>
  <c r="L634" i="7"/>
  <c r="L635" i="7"/>
  <c r="L636" i="7"/>
  <c r="L637" i="7"/>
  <c r="L638" i="7"/>
  <c r="L639" i="7"/>
  <c r="L640" i="7"/>
  <c r="L641" i="7"/>
  <c r="L642" i="7"/>
  <c r="L643" i="7"/>
  <c r="L645" i="7"/>
  <c r="L646" i="7"/>
  <c r="L647" i="7"/>
  <c r="L648" i="7"/>
  <c r="L649" i="7"/>
  <c r="L651" i="7"/>
  <c r="L652" i="7"/>
  <c r="L653" i="7"/>
  <c r="L654" i="7"/>
  <c r="L655" i="7"/>
  <c r="L656" i="7"/>
  <c r="L657" i="7"/>
  <c r="L659" i="7"/>
  <c r="L660" i="7"/>
  <c r="L661" i="7"/>
  <c r="L662" i="7"/>
  <c r="L663" i="7"/>
  <c r="L664" i="7"/>
  <c r="L665" i="7"/>
  <c r="L666" i="7"/>
  <c r="L667" i="7"/>
  <c r="L668" i="7"/>
  <c r="L669" i="7"/>
  <c r="L670" i="7"/>
  <c r="L672" i="7"/>
  <c r="L673" i="7"/>
  <c r="L674" i="7"/>
  <c r="L676" i="7"/>
  <c r="L677" i="7"/>
  <c r="L678" i="7"/>
  <c r="L679" i="7"/>
  <c r="L680" i="7"/>
  <c r="L681" i="7"/>
  <c r="L683" i="7"/>
  <c r="L684" i="7"/>
  <c r="L685" i="7"/>
  <c r="L686" i="7"/>
  <c r="L687" i="7"/>
  <c r="L688" i="7"/>
  <c r="L689" i="7"/>
  <c r="L690" i="7"/>
  <c r="L691" i="7"/>
  <c r="L692" i="7"/>
  <c r="L693" i="7"/>
  <c r="L694" i="7"/>
  <c r="L695" i="7"/>
  <c r="L696" i="7"/>
  <c r="L698" i="7"/>
  <c r="L699" i="7"/>
  <c r="L700" i="7"/>
  <c r="L701" i="7"/>
  <c r="L702" i="7"/>
  <c r="L703" i="7"/>
  <c r="L704" i="7"/>
  <c r="L706" i="7"/>
  <c r="L707" i="7"/>
  <c r="L708" i="7"/>
  <c r="L709" i="7"/>
  <c r="L710" i="7"/>
  <c r="L711" i="7"/>
  <c r="L712" i="7"/>
  <c r="L713" i="7"/>
  <c r="L714" i="7"/>
  <c r="L715" i="7"/>
  <c r="L716" i="7"/>
  <c r="L717" i="7"/>
  <c r="L718" i="7"/>
  <c r="L720" i="7"/>
  <c r="L721" i="7"/>
  <c r="L722" i="7"/>
  <c r="L723" i="7"/>
  <c r="L725" i="7"/>
  <c r="L726" i="7"/>
  <c r="L727" i="7"/>
  <c r="L728" i="7"/>
  <c r="L729" i="7"/>
  <c r="L730" i="7"/>
  <c r="L731" i="7"/>
  <c r="L732" i="7"/>
  <c r="L734" i="7"/>
  <c r="L735" i="7"/>
  <c r="L736" i="7"/>
  <c r="L737" i="7"/>
  <c r="L738" i="7"/>
  <c r="L739" i="7"/>
  <c r="L740" i="7"/>
  <c r="L741" i="7"/>
  <c r="L742" i="7"/>
  <c r="L743" i="7"/>
  <c r="L744" i="7"/>
  <c r="L746" i="7"/>
  <c r="L747" i="7"/>
  <c r="L748" i="7"/>
  <c r="L750" i="7"/>
  <c r="L751" i="7"/>
  <c r="L752" i="7"/>
  <c r="L753" i="7"/>
  <c r="L754" i="7"/>
  <c r="L756" i="7"/>
  <c r="L757" i="7"/>
  <c r="L758" i="7"/>
  <c r="L760" i="7"/>
  <c r="L761" i="7"/>
  <c r="L762" i="7"/>
  <c r="L763" i="7"/>
  <c r="L764" i="7"/>
  <c r="L765" i="7"/>
  <c r="L766" i="7"/>
  <c r="L767" i="7"/>
  <c r="L768" i="7"/>
  <c r="L769" i="7"/>
  <c r="L770" i="7"/>
  <c r="L772" i="7"/>
  <c r="L773" i="7"/>
  <c r="L774" i="7"/>
  <c r="L776" i="7"/>
  <c r="L777" i="7"/>
  <c r="L778" i="7"/>
  <c r="L779" i="7"/>
  <c r="L781" i="7"/>
  <c r="L782" i="7"/>
  <c r="L784" i="7"/>
  <c r="L785" i="7"/>
  <c r="L786" i="7"/>
  <c r="L787" i="7"/>
  <c r="L788" i="7"/>
  <c r="L789" i="7"/>
  <c r="L790" i="7"/>
  <c r="L791" i="7"/>
  <c r="L792" i="7"/>
  <c r="L793" i="7"/>
  <c r="L794" i="7"/>
  <c r="L796" i="7"/>
  <c r="L797" i="7"/>
  <c r="L798" i="7"/>
  <c r="L800" i="7"/>
  <c r="L801" i="7"/>
  <c r="L802" i="7"/>
  <c r="L803" i="7"/>
  <c r="L804" i="7"/>
  <c r="L805" i="7"/>
  <c r="L806" i="7"/>
  <c r="L807" i="7"/>
  <c r="L809" i="7"/>
  <c r="L810" i="7"/>
  <c r="L811" i="7"/>
  <c r="L812" i="7"/>
  <c r="L813" i="7"/>
  <c r="L814" i="7"/>
  <c r="L815" i="7"/>
  <c r="L816" i="7"/>
  <c r="L817" i="7"/>
  <c r="L818" i="7"/>
  <c r="L819" i="7"/>
  <c r="L820" i="7"/>
  <c r="L822" i="7"/>
  <c r="L823" i="7"/>
  <c r="L825" i="7"/>
  <c r="L826" i="7"/>
  <c r="L828" i="7"/>
  <c r="L829" i="7"/>
  <c r="L830" i="7"/>
  <c r="L831" i="7"/>
  <c r="L832" i="7"/>
  <c r="L833" i="7"/>
  <c r="L835" i="7"/>
  <c r="L836" i="7"/>
  <c r="L837" i="7"/>
  <c r="L838" i="7"/>
  <c r="L839" i="7"/>
  <c r="L840" i="7"/>
  <c r="L841" i="7"/>
  <c r="L842" i="7"/>
  <c r="L843" i="7"/>
  <c r="L844" i="7"/>
  <c r="L845" i="7"/>
  <c r="L846" i="7"/>
  <c r="L847" i="7"/>
  <c r="L848" i="7"/>
  <c r="L850" i="7"/>
  <c r="L851" i="7"/>
  <c r="L852" i="7"/>
  <c r="L854" i="7"/>
  <c r="L855" i="7"/>
  <c r="L856" i="7"/>
  <c r="L857" i="7"/>
  <c r="L858" i="7"/>
  <c r="L859" i="7"/>
  <c r="L860" i="7"/>
  <c r="L861" i="7"/>
  <c r="L862" i="7"/>
  <c r="L863" i="7"/>
  <c r="L864" i="7"/>
  <c r="L865" i="7"/>
  <c r="L866" i="7"/>
  <c r="L867" i="7"/>
  <c r="L868" i="7"/>
  <c r="L869" i="7"/>
  <c r="L871" i="7"/>
  <c r="L872" i="7"/>
  <c r="L874" i="7"/>
  <c r="L875" i="7"/>
  <c r="L876" i="7"/>
  <c r="L878" i="7"/>
  <c r="L879" i="7"/>
  <c r="L880" i="7"/>
  <c r="L881" i="7"/>
  <c r="L883" i="7"/>
  <c r="L884" i="7"/>
  <c r="L885" i="7"/>
  <c r="L886" i="7"/>
  <c r="L887" i="7"/>
  <c r="L888" i="7"/>
  <c r="L889" i="7"/>
  <c r="L890" i="7"/>
  <c r="L891" i="7"/>
  <c r="L892" i="7"/>
  <c r="L893" i="7"/>
  <c r="L894" i="7"/>
  <c r="L895" i="7"/>
  <c r="L896" i="7"/>
  <c r="L897" i="7"/>
  <c r="L899" i="7"/>
  <c r="L900" i="7"/>
  <c r="L901" i="7"/>
  <c r="L903" i="7"/>
  <c r="L904" i="7"/>
  <c r="L905" i="7"/>
  <c r="L906" i="7"/>
  <c r="L907" i="7"/>
  <c r="L908" i="7"/>
  <c r="L910" i="7"/>
  <c r="L911" i="7"/>
  <c r="L912" i="7"/>
  <c r="L913" i="7"/>
  <c r="L914" i="7"/>
  <c r="L915" i="7"/>
  <c r="L916" i="7"/>
  <c r="L917" i="7"/>
  <c r="L918" i="7"/>
  <c r="L919" i="7"/>
  <c r="L920" i="7"/>
  <c r="L921" i="7"/>
  <c r="L923" i="7"/>
  <c r="L925" i="7"/>
  <c r="L926" i="7"/>
  <c r="L927" i="7"/>
  <c r="L928" i="7"/>
  <c r="L929" i="7"/>
  <c r="L930" i="7"/>
  <c r="L931" i="7"/>
  <c r="L932" i="7"/>
  <c r="L934" i="7"/>
  <c r="L935" i="7"/>
  <c r="L936" i="7"/>
  <c r="L937" i="7"/>
  <c r="L938" i="7"/>
  <c r="L939" i="7"/>
  <c r="L941" i="7"/>
  <c r="L942" i="7"/>
  <c r="L943" i="7"/>
  <c r="L944" i="7"/>
  <c r="L945" i="7"/>
  <c r="L946" i="7"/>
  <c r="L947" i="7"/>
  <c r="L948" i="7"/>
  <c r="L949"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M7" i="7"/>
  <c r="M9" i="7"/>
  <c r="M11" i="7"/>
  <c r="M13" i="7"/>
  <c r="M14" i="7"/>
  <c r="M15" i="7"/>
  <c r="M17" i="7"/>
  <c r="M19" i="7"/>
  <c r="M20" i="7"/>
  <c r="M22" i="7"/>
  <c r="M23" i="7"/>
  <c r="M25" i="7"/>
  <c r="M26" i="7"/>
  <c r="M27" i="7"/>
  <c r="M28" i="7"/>
  <c r="M30" i="7"/>
  <c r="M31" i="7"/>
  <c r="M32" i="7"/>
  <c r="M34" i="7"/>
  <c r="M36" i="7"/>
  <c r="M37" i="7"/>
  <c r="M39" i="7"/>
  <c r="M40" i="7"/>
  <c r="M41" i="7"/>
  <c r="M42" i="7"/>
  <c r="M43" i="7"/>
  <c r="M44" i="7"/>
  <c r="M45" i="7"/>
  <c r="M47" i="7"/>
  <c r="M49" i="7"/>
  <c r="M50" i="7"/>
  <c r="M52" i="7"/>
  <c r="M53" i="7"/>
  <c r="M55" i="7"/>
  <c r="M56" i="7"/>
  <c r="M57" i="7"/>
  <c r="M58" i="7"/>
  <c r="M59" i="7"/>
  <c r="M60" i="7"/>
  <c r="M62" i="7"/>
  <c r="M64" i="7"/>
  <c r="M65" i="7"/>
  <c r="M66" i="7"/>
  <c r="M67" i="7"/>
  <c r="M69" i="7"/>
  <c r="M70" i="7"/>
  <c r="M71" i="7"/>
  <c r="M72" i="7"/>
  <c r="M73" i="7"/>
  <c r="M74" i="7"/>
  <c r="M75" i="7"/>
  <c r="M78" i="7"/>
  <c r="M79" i="7"/>
  <c r="M80" i="7"/>
  <c r="M81" i="7"/>
  <c r="M83" i="7"/>
  <c r="M84" i="7"/>
  <c r="M85" i="7"/>
  <c r="M86" i="7"/>
  <c r="M87" i="7"/>
  <c r="M88" i="7"/>
  <c r="M89" i="7"/>
  <c r="M91" i="7"/>
  <c r="M93" i="7"/>
  <c r="M94" i="7"/>
  <c r="M96" i="7"/>
  <c r="M97" i="7"/>
  <c r="M98" i="7"/>
  <c r="M99" i="7"/>
  <c r="M100" i="7"/>
  <c r="M101" i="7"/>
  <c r="M102" i="7"/>
  <c r="M103" i="7"/>
  <c r="M104" i="7"/>
  <c r="M106" i="7"/>
  <c r="M107" i="7"/>
  <c r="M108" i="7"/>
  <c r="M110" i="7"/>
  <c r="M111" i="7"/>
  <c r="M113" i="7"/>
  <c r="M114" i="7"/>
  <c r="M115" i="7"/>
  <c r="M116" i="7"/>
  <c r="M117" i="7"/>
  <c r="M118" i="7"/>
  <c r="M119" i="7"/>
  <c r="M120" i="7"/>
  <c r="M121" i="7"/>
  <c r="M124" i="7"/>
  <c r="M125" i="7"/>
  <c r="M126" i="7"/>
  <c r="M127" i="7"/>
  <c r="M129" i="7"/>
  <c r="M130" i="7"/>
  <c r="M131" i="7"/>
  <c r="M132" i="7"/>
  <c r="M133" i="7"/>
  <c r="M134" i="7"/>
  <c r="M135" i="7"/>
  <c r="M136" i="7"/>
  <c r="M137" i="7"/>
  <c r="M138" i="7"/>
  <c r="M139" i="7"/>
  <c r="M141" i="7"/>
  <c r="M143" i="7"/>
  <c r="M144" i="7"/>
  <c r="M145" i="7"/>
  <c r="M146" i="7"/>
  <c r="M147" i="7"/>
  <c r="M149" i="7"/>
  <c r="M150" i="7"/>
  <c r="M151" i="7"/>
  <c r="M152" i="7"/>
  <c r="M153" i="7"/>
  <c r="M154" i="7"/>
  <c r="M155" i="7"/>
  <c r="M156" i="7"/>
  <c r="M157" i="7"/>
  <c r="M158" i="7"/>
  <c r="M160" i="7"/>
  <c r="M161" i="7"/>
  <c r="M162" i="7"/>
  <c r="M163" i="7"/>
  <c r="M164" i="7"/>
  <c r="M166" i="7"/>
  <c r="M167" i="7"/>
  <c r="M169" i="7"/>
  <c r="M170" i="7"/>
  <c r="M171" i="7"/>
  <c r="M172" i="7"/>
  <c r="M173" i="7"/>
  <c r="M174" i="7"/>
  <c r="M175" i="7"/>
  <c r="M176" i="7"/>
  <c r="M177" i="7"/>
  <c r="M179" i="7"/>
  <c r="M180" i="7"/>
  <c r="M181" i="7"/>
  <c r="M182" i="7"/>
  <c r="M183" i="7"/>
  <c r="M184" i="7"/>
  <c r="M186" i="7"/>
  <c r="M187" i="7"/>
  <c r="M188" i="7"/>
  <c r="M189" i="7"/>
  <c r="M190" i="7"/>
  <c r="M191" i="7"/>
  <c r="M192" i="7"/>
  <c r="M193" i="7"/>
  <c r="M194" i="7"/>
  <c r="M195" i="7"/>
  <c r="M197" i="7"/>
  <c r="M199" i="7"/>
  <c r="M201" i="7"/>
  <c r="M202" i="7"/>
  <c r="M203" i="7"/>
  <c r="M204" i="7"/>
  <c r="M206" i="7"/>
  <c r="M207" i="7"/>
  <c r="M208" i="7"/>
  <c r="M209" i="7"/>
  <c r="M210" i="7"/>
  <c r="M211" i="7"/>
  <c r="M212" i="7"/>
  <c r="M213" i="7"/>
  <c r="M214" i="7"/>
  <c r="M215" i="7"/>
  <c r="M216" i="7"/>
  <c r="M218" i="7"/>
  <c r="M219" i="7"/>
  <c r="M221" i="7"/>
  <c r="M222" i="7"/>
  <c r="M223" i="7"/>
  <c r="M224" i="7"/>
  <c r="M225" i="7"/>
  <c r="M227" i="7"/>
  <c r="M228" i="7"/>
  <c r="M229" i="7"/>
  <c r="M230" i="7"/>
  <c r="M231" i="7"/>
  <c r="M232" i="7"/>
  <c r="M233" i="7"/>
  <c r="M234" i="7"/>
  <c r="M235" i="7"/>
  <c r="M236" i="7"/>
  <c r="M237" i="7"/>
  <c r="M240" i="7"/>
  <c r="M241" i="7"/>
  <c r="M243" i="7"/>
  <c r="M244" i="7"/>
  <c r="M245" i="7"/>
  <c r="M246" i="7"/>
  <c r="M247" i="7"/>
  <c r="M249" i="7"/>
  <c r="M250" i="7"/>
  <c r="M251" i="7"/>
  <c r="M252" i="7"/>
  <c r="M253" i="7"/>
  <c r="M254" i="7"/>
  <c r="M255" i="7"/>
  <c r="M256" i="7"/>
  <c r="M257" i="7"/>
  <c r="M258" i="7"/>
  <c r="M260" i="7"/>
  <c r="M261" i="7"/>
  <c r="M263" i="7"/>
  <c r="M264" i="7"/>
  <c r="M265" i="7"/>
  <c r="M266" i="7"/>
  <c r="M267" i="7"/>
  <c r="M269" i="7"/>
  <c r="M270" i="7"/>
  <c r="M271" i="7"/>
  <c r="M272" i="7"/>
  <c r="M273" i="7"/>
  <c r="M274" i="7"/>
  <c r="M275" i="7"/>
  <c r="M276" i="7"/>
  <c r="M277" i="7"/>
  <c r="M278" i="7"/>
  <c r="M280" i="7"/>
  <c r="M281" i="7"/>
  <c r="M282" i="7"/>
  <c r="M283" i="7"/>
  <c r="M285" i="7"/>
  <c r="M286" i="7"/>
  <c r="M287" i="7"/>
  <c r="M288" i="7"/>
  <c r="M289" i="7"/>
  <c r="M290" i="7"/>
  <c r="M291" i="7"/>
  <c r="M292" i="7"/>
  <c r="M294" i="7"/>
  <c r="M295" i="7"/>
  <c r="M296" i="7"/>
  <c r="M297" i="7"/>
  <c r="M298" i="7"/>
  <c r="M299" i="7"/>
  <c r="M300" i="7"/>
  <c r="M301" i="7"/>
  <c r="M302" i="7"/>
  <c r="M304" i="7"/>
  <c r="M305" i="7"/>
  <c r="M306" i="7"/>
  <c r="M307" i="7"/>
  <c r="M308" i="7"/>
  <c r="M309" i="7"/>
  <c r="M310" i="7"/>
  <c r="M312" i="7"/>
  <c r="M313" i="7"/>
  <c r="M314" i="7"/>
  <c r="M315" i="7"/>
  <c r="M317" i="7"/>
  <c r="M318" i="7"/>
  <c r="M319" i="7"/>
  <c r="M320" i="7"/>
  <c r="M321" i="7"/>
  <c r="M322" i="7"/>
  <c r="M323" i="7"/>
  <c r="M324" i="7"/>
  <c r="M325" i="7"/>
  <c r="M327" i="7"/>
  <c r="M328" i="7"/>
  <c r="M329" i="7"/>
  <c r="M330" i="7"/>
  <c r="M331" i="7"/>
  <c r="M332" i="7"/>
  <c r="M333" i="7"/>
  <c r="M335" i="7"/>
  <c r="M336" i="7"/>
  <c r="M337" i="7"/>
  <c r="M338" i="7"/>
  <c r="M339" i="7"/>
  <c r="M340" i="7"/>
  <c r="M341" i="7"/>
  <c r="M342" i="7"/>
  <c r="M343" i="7"/>
  <c r="M344" i="7"/>
  <c r="M346" i="7"/>
  <c r="M347" i="7"/>
  <c r="M349" i="7"/>
  <c r="M350" i="7"/>
  <c r="M351" i="7"/>
  <c r="M353" i="7"/>
  <c r="M354" i="7"/>
  <c r="M355" i="7"/>
  <c r="M356" i="7"/>
  <c r="M357" i="7"/>
  <c r="M359" i="7"/>
  <c r="M360" i="7"/>
  <c r="M361" i="7"/>
  <c r="M362" i="7"/>
  <c r="M363" i="7"/>
  <c r="M364" i="7"/>
  <c r="M365" i="7"/>
  <c r="M366" i="7"/>
  <c r="M367" i="7"/>
  <c r="M368" i="7"/>
  <c r="M369" i="7"/>
  <c r="M370" i="7"/>
  <c r="M371" i="7"/>
  <c r="M373" i="7"/>
  <c r="M374" i="7"/>
  <c r="M375" i="7"/>
  <c r="M376" i="7"/>
  <c r="M377" i="7"/>
  <c r="M378" i="7"/>
  <c r="M379" i="7"/>
  <c r="M381" i="7"/>
  <c r="M383" i="7"/>
  <c r="M384" i="7"/>
  <c r="M385" i="7"/>
  <c r="M386" i="7"/>
  <c r="M387" i="7"/>
  <c r="M388" i="7"/>
  <c r="M389" i="7"/>
  <c r="M390" i="7"/>
  <c r="M391" i="7"/>
  <c r="M392" i="7"/>
  <c r="M394" i="7"/>
  <c r="M395" i="7"/>
  <c r="M396" i="7"/>
  <c r="M397" i="7"/>
  <c r="M399" i="7"/>
  <c r="M400" i="7"/>
  <c r="M401" i="7"/>
  <c r="M402" i="7"/>
  <c r="M403" i="7"/>
  <c r="M405" i="7"/>
  <c r="M406" i="7"/>
  <c r="M407" i="7"/>
  <c r="M408" i="7"/>
  <c r="M409" i="7"/>
  <c r="M410" i="7"/>
  <c r="M411" i="7"/>
  <c r="M412" i="7"/>
  <c r="M413" i="7"/>
  <c r="M414" i="7"/>
  <c r="M416" i="7"/>
  <c r="M417" i="7"/>
  <c r="M418" i="7"/>
  <c r="M419" i="7"/>
  <c r="M421" i="7"/>
  <c r="M422" i="7"/>
  <c r="M423" i="7"/>
  <c r="M424" i="7"/>
  <c r="M425" i="7"/>
  <c r="M426" i="7"/>
  <c r="M428" i="7"/>
  <c r="M429" i="7"/>
  <c r="M431" i="7"/>
  <c r="M432" i="7"/>
  <c r="M433" i="7"/>
  <c r="M434" i="7"/>
  <c r="M435" i="7"/>
  <c r="M436" i="7"/>
  <c r="M437" i="7"/>
  <c r="M438" i="7"/>
  <c r="M439" i="7"/>
  <c r="M440" i="7"/>
  <c r="M441" i="7"/>
  <c r="M443" i="7"/>
  <c r="M444" i="7"/>
  <c r="M446" i="7"/>
  <c r="M447" i="7"/>
  <c r="M448" i="7"/>
  <c r="M449" i="7"/>
  <c r="M451" i="7"/>
  <c r="M452" i="7"/>
  <c r="M453" i="7"/>
  <c r="M454" i="7"/>
  <c r="M455" i="7"/>
  <c r="M456" i="7"/>
  <c r="M457" i="7"/>
  <c r="M458" i="7"/>
  <c r="M459" i="7"/>
  <c r="M460" i="7"/>
  <c r="M462" i="7"/>
  <c r="M463" i="7"/>
  <c r="M464" i="7"/>
  <c r="M465" i="7"/>
  <c r="M466" i="7"/>
  <c r="M467" i="7"/>
  <c r="M468" i="7"/>
  <c r="M469" i="7"/>
  <c r="M470" i="7"/>
  <c r="M472" i="7"/>
  <c r="M473" i="7"/>
  <c r="M474" i="7"/>
  <c r="M475" i="7"/>
  <c r="M476" i="7"/>
  <c r="M477" i="7"/>
  <c r="M478" i="7"/>
  <c r="M480" i="7"/>
  <c r="M481" i="7"/>
  <c r="M482" i="7"/>
  <c r="M483" i="7"/>
  <c r="M484" i="7"/>
  <c r="M485" i="7"/>
  <c r="M486" i="7"/>
  <c r="M487" i="7"/>
  <c r="M488" i="7"/>
  <c r="M489" i="7"/>
  <c r="M490" i="7"/>
  <c r="M491" i="7"/>
  <c r="M493" i="7"/>
  <c r="M494" i="7"/>
  <c r="M495" i="7"/>
  <c r="M497" i="7"/>
  <c r="M498" i="7"/>
  <c r="M499" i="7"/>
  <c r="M501" i="7"/>
  <c r="M502" i="7"/>
  <c r="M503" i="7"/>
  <c r="M504" i="7"/>
  <c r="M505" i="7"/>
  <c r="M506" i="7"/>
  <c r="M507" i="7"/>
  <c r="M508" i="7"/>
  <c r="M509" i="7"/>
  <c r="M510" i="7"/>
  <c r="M511" i="7"/>
  <c r="M512" i="7"/>
  <c r="M513" i="7"/>
  <c r="M514" i="7"/>
  <c r="M515" i="7"/>
  <c r="M516" i="7"/>
  <c r="M517" i="7"/>
  <c r="M519" i="7"/>
  <c r="M520" i="7"/>
  <c r="M522" i="7"/>
  <c r="M523" i="7"/>
  <c r="M524" i="7"/>
  <c r="M525" i="7"/>
  <c r="M526" i="7"/>
  <c r="M527" i="7"/>
  <c r="M528" i="7"/>
  <c r="M530" i="7"/>
  <c r="M531" i="7"/>
  <c r="M532" i="7"/>
  <c r="M533" i="7"/>
  <c r="M534" i="7"/>
  <c r="M535" i="7"/>
  <c r="M536" i="7"/>
  <c r="M537" i="7"/>
  <c r="M538" i="7"/>
  <c r="M539" i="7"/>
  <c r="M540" i="7"/>
  <c r="M541" i="7"/>
  <c r="M543" i="7"/>
  <c r="M544" i="7"/>
  <c r="M545" i="7"/>
  <c r="M547" i="7"/>
  <c r="M548" i="7"/>
  <c r="M550" i="7"/>
  <c r="M551" i="7"/>
  <c r="M552" i="7"/>
  <c r="M553" i="7"/>
  <c r="M554" i="7"/>
  <c r="M555" i="7"/>
  <c r="M556" i="7"/>
  <c r="M557" i="7"/>
  <c r="M558" i="7"/>
  <c r="M559" i="7"/>
  <c r="M560" i="7"/>
  <c r="M561" i="7"/>
  <c r="M562" i="7"/>
  <c r="M563" i="7"/>
  <c r="M565" i="7"/>
  <c r="M566" i="7"/>
  <c r="M567" i="7"/>
  <c r="M568" i="7"/>
  <c r="M569" i="7"/>
  <c r="M570" i="7"/>
  <c r="M572" i="7"/>
  <c r="M573" i="7"/>
  <c r="M574" i="7"/>
  <c r="M575" i="7"/>
  <c r="M576" i="7"/>
  <c r="M577" i="7"/>
  <c r="M578" i="7"/>
  <c r="M580" i="7"/>
  <c r="M581" i="7"/>
  <c r="M582" i="7"/>
  <c r="M583" i="7"/>
  <c r="M584" i="7"/>
  <c r="M585" i="7"/>
  <c r="M586" i="7"/>
  <c r="M587" i="7"/>
  <c r="M588" i="7"/>
  <c r="M589" i="7"/>
  <c r="M590" i="7"/>
  <c r="M591" i="7"/>
  <c r="M593" i="7"/>
  <c r="M594" i="7"/>
  <c r="M596" i="7"/>
  <c r="M597" i="7"/>
  <c r="M598" i="7"/>
  <c r="M599" i="7"/>
  <c r="M600" i="7"/>
  <c r="M601" i="7"/>
  <c r="M602" i="7"/>
  <c r="M603" i="7"/>
  <c r="M605" i="7"/>
  <c r="M606" i="7"/>
  <c r="M607" i="7"/>
  <c r="M608" i="7"/>
  <c r="M609" i="7"/>
  <c r="M610" i="7"/>
  <c r="M611" i="7"/>
  <c r="M612" i="7"/>
  <c r="M613" i="7"/>
  <c r="M614" i="7"/>
  <c r="M615" i="7"/>
  <c r="M616" i="7"/>
  <c r="M618" i="7"/>
  <c r="M620" i="7"/>
  <c r="M621" i="7"/>
  <c r="M623" i="7"/>
  <c r="M624" i="7"/>
  <c r="M626" i="7"/>
  <c r="M627" i="7"/>
  <c r="M628" i="7"/>
  <c r="M629" i="7"/>
  <c r="M630" i="7"/>
  <c r="M631" i="7"/>
  <c r="M632" i="7"/>
  <c r="M634" i="7"/>
  <c r="M635" i="7"/>
  <c r="M636" i="7"/>
  <c r="M637" i="7"/>
  <c r="M638" i="7"/>
  <c r="M639" i="7"/>
  <c r="M640" i="7"/>
  <c r="M641" i="7"/>
  <c r="M642" i="7"/>
  <c r="M643" i="7"/>
  <c r="M645" i="7"/>
  <c r="M646" i="7"/>
  <c r="M647" i="7"/>
  <c r="M648" i="7"/>
  <c r="M649" i="7"/>
  <c r="M651" i="7"/>
  <c r="M652" i="7"/>
  <c r="M653" i="7"/>
  <c r="M654" i="7"/>
  <c r="M655" i="7"/>
  <c r="M656" i="7"/>
  <c r="M657" i="7"/>
  <c r="M659" i="7"/>
  <c r="M660" i="7"/>
  <c r="M661" i="7"/>
  <c r="M662" i="7"/>
  <c r="M663" i="7"/>
  <c r="M664" i="7"/>
  <c r="M665" i="7"/>
  <c r="M666" i="7"/>
  <c r="M667" i="7"/>
  <c r="M668" i="7"/>
  <c r="M669" i="7"/>
  <c r="M670" i="7"/>
  <c r="M672" i="7"/>
  <c r="M673" i="7"/>
  <c r="M674" i="7"/>
  <c r="M676" i="7"/>
  <c r="M677" i="7"/>
  <c r="M678" i="7"/>
  <c r="M679" i="7"/>
  <c r="M680" i="7"/>
  <c r="M681" i="7"/>
  <c r="M683" i="7"/>
  <c r="M684" i="7"/>
  <c r="M685" i="7"/>
  <c r="M686" i="7"/>
  <c r="M687" i="7"/>
  <c r="M688" i="7"/>
  <c r="M689" i="7"/>
  <c r="M690" i="7"/>
  <c r="M691" i="7"/>
  <c r="M692" i="7"/>
  <c r="M693" i="7"/>
  <c r="M694" i="7"/>
  <c r="M695" i="7"/>
  <c r="M696" i="7"/>
  <c r="M698" i="7"/>
  <c r="M699" i="7"/>
  <c r="M700" i="7"/>
  <c r="M701" i="7"/>
  <c r="M702" i="7"/>
  <c r="M703" i="7"/>
  <c r="M704" i="7"/>
  <c r="M706" i="7"/>
  <c r="M707" i="7"/>
  <c r="M708" i="7"/>
  <c r="M709" i="7"/>
  <c r="M710" i="7"/>
  <c r="M711" i="7"/>
  <c r="M712" i="7"/>
  <c r="M713" i="7"/>
  <c r="M714" i="7"/>
  <c r="M715" i="7"/>
  <c r="M716" i="7"/>
  <c r="M717" i="7"/>
  <c r="M718" i="7"/>
  <c r="M720" i="7"/>
  <c r="M721" i="7"/>
  <c r="M722" i="7"/>
  <c r="M723" i="7"/>
  <c r="M725" i="7"/>
  <c r="M726" i="7"/>
  <c r="M727" i="7"/>
  <c r="M728" i="7"/>
  <c r="M729" i="7"/>
  <c r="M730" i="7"/>
  <c r="M731" i="7"/>
  <c r="M732" i="7"/>
  <c r="M734" i="7"/>
  <c r="M735" i="7"/>
  <c r="M736" i="7"/>
  <c r="M737" i="7"/>
  <c r="M738" i="7"/>
  <c r="M739" i="7"/>
  <c r="M740" i="7"/>
  <c r="M741" i="7"/>
  <c r="M742" i="7"/>
  <c r="M743" i="7"/>
  <c r="M744" i="7"/>
  <c r="M746" i="7"/>
  <c r="M747" i="7"/>
  <c r="M748" i="7"/>
  <c r="M750" i="7"/>
  <c r="M751" i="7"/>
  <c r="M752" i="7"/>
  <c r="M753" i="7"/>
  <c r="M754" i="7"/>
  <c r="M756" i="7"/>
  <c r="M757" i="7"/>
  <c r="M758" i="7"/>
  <c r="M760" i="7"/>
  <c r="M761" i="7"/>
  <c r="M762" i="7"/>
  <c r="M763" i="7"/>
  <c r="M764" i="7"/>
  <c r="M765" i="7"/>
  <c r="M766" i="7"/>
  <c r="M767" i="7"/>
  <c r="M768" i="7"/>
  <c r="M769" i="7"/>
  <c r="M770" i="7"/>
  <c r="M772" i="7"/>
  <c r="M773" i="7"/>
  <c r="M774" i="7"/>
  <c r="M776" i="7"/>
  <c r="M777" i="7"/>
  <c r="M778" i="7"/>
  <c r="M779" i="7"/>
  <c r="M781" i="7"/>
  <c r="M782" i="7"/>
  <c r="M784" i="7"/>
  <c r="M785" i="7"/>
  <c r="M786" i="7"/>
  <c r="M787" i="7"/>
  <c r="M788" i="7"/>
  <c r="M789" i="7"/>
  <c r="M790" i="7"/>
  <c r="M791" i="7"/>
  <c r="M792" i="7"/>
  <c r="M793" i="7"/>
  <c r="M794" i="7"/>
  <c r="M796" i="7"/>
  <c r="M797" i="7"/>
  <c r="M798" i="7"/>
  <c r="M800" i="7"/>
  <c r="M801" i="7"/>
  <c r="M802" i="7"/>
  <c r="M803" i="7"/>
  <c r="M804" i="7"/>
  <c r="M805" i="7"/>
  <c r="M806" i="7"/>
  <c r="M807" i="7"/>
  <c r="M809" i="7"/>
  <c r="M810" i="7"/>
  <c r="M811" i="7"/>
  <c r="M812" i="7"/>
  <c r="M813" i="7"/>
  <c r="M814" i="7"/>
  <c r="M815" i="7"/>
  <c r="M816" i="7"/>
  <c r="M817" i="7"/>
  <c r="M818" i="7"/>
  <c r="M819" i="7"/>
  <c r="M820" i="7"/>
  <c r="M822" i="7"/>
  <c r="M823" i="7"/>
  <c r="M825" i="7"/>
  <c r="M826" i="7"/>
  <c r="M828" i="7"/>
  <c r="M829" i="7"/>
  <c r="M830" i="7"/>
  <c r="M831" i="7"/>
  <c r="M832" i="7"/>
  <c r="M833" i="7"/>
  <c r="M835" i="7"/>
  <c r="M836" i="7"/>
  <c r="M837" i="7"/>
  <c r="M838" i="7"/>
  <c r="M839" i="7"/>
  <c r="M840" i="7"/>
  <c r="M841" i="7"/>
  <c r="M842" i="7"/>
  <c r="M843" i="7"/>
  <c r="M844" i="7"/>
  <c r="M845" i="7"/>
  <c r="M846" i="7"/>
  <c r="M847" i="7"/>
  <c r="M848" i="7"/>
  <c r="M850" i="7"/>
  <c r="M851" i="7"/>
  <c r="M852" i="7"/>
  <c r="M854" i="7"/>
  <c r="M855" i="7"/>
  <c r="M856" i="7"/>
  <c r="M857" i="7"/>
  <c r="M858" i="7"/>
  <c r="M859" i="7"/>
  <c r="M860" i="7"/>
  <c r="M861" i="7"/>
  <c r="M862" i="7"/>
  <c r="M863" i="7"/>
  <c r="M864" i="7"/>
  <c r="M865" i="7"/>
  <c r="M866" i="7"/>
  <c r="M867" i="7"/>
  <c r="M868" i="7"/>
  <c r="M869" i="7"/>
  <c r="M871" i="7"/>
  <c r="M872" i="7"/>
  <c r="M874" i="7"/>
  <c r="M875" i="7"/>
  <c r="M876" i="7"/>
  <c r="M878" i="7"/>
  <c r="M879" i="7"/>
  <c r="M880" i="7"/>
  <c r="M881" i="7"/>
  <c r="M883" i="7"/>
  <c r="M884" i="7"/>
  <c r="M885" i="7"/>
  <c r="M886" i="7"/>
  <c r="M887" i="7"/>
  <c r="M888" i="7"/>
  <c r="M889" i="7"/>
  <c r="M890" i="7"/>
  <c r="M891" i="7"/>
  <c r="M892" i="7"/>
  <c r="M893" i="7"/>
  <c r="M894" i="7"/>
  <c r="M895" i="7"/>
  <c r="M896" i="7"/>
  <c r="M897" i="7"/>
  <c r="M899" i="7"/>
  <c r="M900" i="7"/>
  <c r="M901" i="7"/>
  <c r="M903" i="7"/>
  <c r="M904" i="7"/>
  <c r="M905" i="7"/>
  <c r="M906" i="7"/>
  <c r="M907" i="7"/>
  <c r="M908" i="7"/>
  <c r="M910" i="7"/>
  <c r="M911" i="7"/>
  <c r="M912" i="7"/>
  <c r="M913" i="7"/>
  <c r="M914" i="7"/>
  <c r="M915" i="7"/>
  <c r="M916" i="7"/>
  <c r="M917" i="7"/>
  <c r="M918" i="7"/>
  <c r="M919" i="7"/>
  <c r="M920" i="7"/>
  <c r="M921" i="7"/>
  <c r="M923" i="7"/>
  <c r="M925" i="7"/>
  <c r="M926" i="7"/>
  <c r="M927" i="7"/>
  <c r="M928" i="7"/>
  <c r="M929" i="7"/>
  <c r="M930" i="7"/>
  <c r="M931" i="7"/>
  <c r="M932" i="7"/>
  <c r="M934" i="7"/>
  <c r="M935" i="7"/>
  <c r="M936" i="7"/>
  <c r="M937" i="7"/>
  <c r="M938" i="7"/>
  <c r="M939" i="7"/>
  <c r="M941" i="7"/>
  <c r="M942" i="7"/>
  <c r="M943" i="7"/>
  <c r="M944" i="7"/>
  <c r="M945" i="7"/>
  <c r="M946" i="7"/>
  <c r="M947" i="7"/>
  <c r="M948" i="7"/>
  <c r="M949"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N7" i="7"/>
  <c r="N9" i="7"/>
  <c r="N11" i="7"/>
  <c r="N13" i="7"/>
  <c r="N14" i="7"/>
  <c r="N15" i="7"/>
  <c r="N17" i="7"/>
  <c r="N19" i="7"/>
  <c r="N20" i="7"/>
  <c r="N22" i="7"/>
  <c r="N23" i="7"/>
  <c r="N25" i="7"/>
  <c r="N26" i="7"/>
  <c r="N27" i="7"/>
  <c r="N28" i="7"/>
  <c r="N30" i="7"/>
  <c r="N31" i="7"/>
  <c r="N32" i="7"/>
  <c r="N34" i="7"/>
  <c r="N36" i="7"/>
  <c r="N37" i="7"/>
  <c r="N39" i="7"/>
  <c r="N40" i="7"/>
  <c r="N41" i="7"/>
  <c r="N42" i="7"/>
  <c r="N43" i="7"/>
  <c r="N44" i="7"/>
  <c r="N45" i="7"/>
  <c r="N47" i="7"/>
  <c r="N49" i="7"/>
  <c r="N50" i="7"/>
  <c r="N52" i="7"/>
  <c r="N53" i="7"/>
  <c r="N55" i="7"/>
  <c r="N56" i="7"/>
  <c r="N57" i="7"/>
  <c r="N58" i="7"/>
  <c r="N59" i="7"/>
  <c r="N60" i="7"/>
  <c r="N62" i="7"/>
  <c r="N64" i="7"/>
  <c r="N65" i="7"/>
  <c r="N66" i="7"/>
  <c r="N67" i="7"/>
  <c r="N69" i="7"/>
  <c r="N70" i="7"/>
  <c r="N71" i="7"/>
  <c r="N72" i="7"/>
  <c r="N73" i="7"/>
  <c r="N74" i="7"/>
  <c r="N75" i="7"/>
  <c r="N78" i="7"/>
  <c r="N79" i="7"/>
  <c r="N80" i="7"/>
  <c r="N81" i="7"/>
  <c r="N83" i="7"/>
  <c r="N84" i="7"/>
  <c r="N85" i="7"/>
  <c r="N86" i="7"/>
  <c r="N87" i="7"/>
  <c r="N88" i="7"/>
  <c r="N89" i="7"/>
  <c r="N91" i="7"/>
  <c r="N93" i="7"/>
  <c r="N94" i="7"/>
  <c r="N96" i="7"/>
  <c r="N97" i="7"/>
  <c r="N98" i="7"/>
  <c r="N99" i="7"/>
  <c r="N100" i="7"/>
  <c r="N101" i="7"/>
  <c r="N102" i="7"/>
  <c r="N103" i="7"/>
  <c r="N104" i="7"/>
  <c r="N106" i="7"/>
  <c r="N107" i="7"/>
  <c r="N108" i="7"/>
  <c r="N110" i="7"/>
  <c r="N111" i="7"/>
  <c r="N113" i="7"/>
  <c r="N114" i="7"/>
  <c r="N115" i="7"/>
  <c r="N116" i="7"/>
  <c r="N117" i="7"/>
  <c r="N118" i="7"/>
  <c r="N119" i="7"/>
  <c r="N120" i="7"/>
  <c r="N121" i="7"/>
  <c r="N124" i="7"/>
  <c r="N125" i="7"/>
  <c r="N126" i="7"/>
  <c r="N127" i="7"/>
  <c r="N129" i="7"/>
  <c r="N130" i="7"/>
  <c r="N131" i="7"/>
  <c r="N132" i="7"/>
  <c r="N133" i="7"/>
  <c r="N134" i="7"/>
  <c r="N135" i="7"/>
  <c r="N136" i="7"/>
  <c r="N137" i="7"/>
  <c r="N138" i="7"/>
  <c r="N139" i="7"/>
  <c r="N141" i="7"/>
  <c r="N143" i="7"/>
  <c r="N144" i="7"/>
  <c r="N145" i="7"/>
  <c r="N146" i="7"/>
  <c r="N147" i="7"/>
  <c r="N149" i="7"/>
  <c r="N150" i="7"/>
  <c r="N151" i="7"/>
  <c r="N152" i="7"/>
  <c r="N153" i="7"/>
  <c r="N154" i="7"/>
  <c r="N155" i="7"/>
  <c r="N156" i="7"/>
  <c r="N157" i="7"/>
  <c r="N158" i="7"/>
  <c r="N160" i="7"/>
  <c r="N161" i="7"/>
  <c r="N162" i="7"/>
  <c r="N163" i="7"/>
  <c r="N164" i="7"/>
  <c r="N166" i="7"/>
  <c r="N167" i="7"/>
  <c r="N169" i="7"/>
  <c r="N170" i="7"/>
  <c r="N171" i="7"/>
  <c r="N172" i="7"/>
  <c r="N173" i="7"/>
  <c r="N174" i="7"/>
  <c r="N175" i="7"/>
  <c r="N176" i="7"/>
  <c r="N177" i="7"/>
  <c r="N179" i="7"/>
  <c r="N180" i="7"/>
  <c r="N181" i="7"/>
  <c r="N182" i="7"/>
  <c r="N183" i="7"/>
  <c r="N184" i="7"/>
  <c r="N186" i="7"/>
  <c r="N187" i="7"/>
  <c r="N188" i="7"/>
  <c r="N189" i="7"/>
  <c r="N190" i="7"/>
  <c r="N191" i="7"/>
  <c r="N192" i="7"/>
  <c r="N193" i="7"/>
  <c r="N194" i="7"/>
  <c r="N195" i="7"/>
  <c r="N197" i="7"/>
  <c r="N199" i="7"/>
  <c r="N201" i="7"/>
  <c r="N202" i="7"/>
  <c r="N203" i="7"/>
  <c r="N204" i="7"/>
  <c r="N206" i="7"/>
  <c r="N207" i="7"/>
  <c r="N208" i="7"/>
  <c r="N209" i="7"/>
  <c r="N210" i="7"/>
  <c r="N211" i="7"/>
  <c r="N212" i="7"/>
  <c r="N213" i="7"/>
  <c r="N214" i="7"/>
  <c r="N215" i="7"/>
  <c r="N216" i="7"/>
  <c r="N218" i="7"/>
  <c r="N219" i="7"/>
  <c r="N221" i="7"/>
  <c r="N222" i="7"/>
  <c r="N223" i="7"/>
  <c r="N224" i="7"/>
  <c r="N225" i="7"/>
  <c r="N227" i="7"/>
  <c r="N228" i="7"/>
  <c r="N229" i="7"/>
  <c r="N230" i="7"/>
  <c r="N231" i="7"/>
  <c r="N232" i="7"/>
  <c r="N233" i="7"/>
  <c r="N234" i="7"/>
  <c r="N235" i="7"/>
  <c r="N236" i="7"/>
  <c r="N237" i="7"/>
  <c r="N240" i="7"/>
  <c r="N241" i="7"/>
  <c r="N243" i="7"/>
  <c r="N244" i="7"/>
  <c r="N245" i="7"/>
  <c r="N246" i="7"/>
  <c r="N247" i="7"/>
  <c r="N249" i="7"/>
  <c r="N250" i="7"/>
  <c r="N251" i="7"/>
  <c r="N252" i="7"/>
  <c r="N253" i="7"/>
  <c r="N254" i="7"/>
  <c r="N255" i="7"/>
  <c r="N256" i="7"/>
  <c r="N257" i="7"/>
  <c r="N258" i="7"/>
  <c r="N260" i="7"/>
  <c r="N261" i="7"/>
  <c r="N263" i="7"/>
  <c r="N264" i="7"/>
  <c r="N265" i="7"/>
  <c r="N266" i="7"/>
  <c r="N267" i="7"/>
  <c r="N269" i="7"/>
  <c r="N270" i="7"/>
  <c r="N271" i="7"/>
  <c r="N272" i="7"/>
  <c r="N273" i="7"/>
  <c r="N274" i="7"/>
  <c r="N275" i="7"/>
  <c r="N276" i="7"/>
  <c r="N277" i="7"/>
  <c r="N278" i="7"/>
  <c r="N280" i="7"/>
  <c r="N281" i="7"/>
  <c r="N282" i="7"/>
  <c r="N283" i="7"/>
  <c r="N285" i="7"/>
  <c r="N286" i="7"/>
  <c r="N287" i="7"/>
  <c r="N288" i="7"/>
  <c r="N289" i="7"/>
  <c r="N290" i="7"/>
  <c r="N291" i="7"/>
  <c r="N292" i="7"/>
  <c r="N294" i="7"/>
  <c r="N295" i="7"/>
  <c r="N296" i="7"/>
  <c r="N297" i="7"/>
  <c r="N298" i="7"/>
  <c r="N299" i="7"/>
  <c r="N300" i="7"/>
  <c r="N301" i="7"/>
  <c r="N302" i="7"/>
  <c r="N304" i="7"/>
  <c r="N305" i="7"/>
  <c r="N306" i="7"/>
  <c r="N307" i="7"/>
  <c r="N308" i="7"/>
  <c r="N309" i="7"/>
  <c r="N310" i="7"/>
  <c r="N312" i="7"/>
  <c r="N313" i="7"/>
  <c r="N314" i="7"/>
  <c r="N315" i="7"/>
  <c r="N317" i="7"/>
  <c r="N318" i="7"/>
  <c r="N319" i="7"/>
  <c r="N320" i="7"/>
  <c r="N321" i="7"/>
  <c r="N322" i="7"/>
  <c r="N323" i="7"/>
  <c r="N324" i="7"/>
  <c r="N325" i="7"/>
  <c r="N327" i="7"/>
  <c r="N328" i="7"/>
  <c r="N329" i="7"/>
  <c r="N330" i="7"/>
  <c r="N331" i="7"/>
  <c r="N332" i="7"/>
  <c r="N333" i="7"/>
  <c r="N335" i="7"/>
  <c r="N336" i="7"/>
  <c r="N337" i="7"/>
  <c r="N338" i="7"/>
  <c r="N339" i="7"/>
  <c r="N340" i="7"/>
  <c r="N341" i="7"/>
  <c r="N342" i="7"/>
  <c r="N343" i="7"/>
  <c r="N344" i="7"/>
  <c r="N346" i="7"/>
  <c r="N347" i="7"/>
  <c r="N349" i="7"/>
  <c r="N350" i="7"/>
  <c r="N351" i="7"/>
  <c r="N353" i="7"/>
  <c r="N354" i="7"/>
  <c r="N355" i="7"/>
  <c r="N356" i="7"/>
  <c r="N357" i="7"/>
  <c r="N359" i="7"/>
  <c r="N360" i="7"/>
  <c r="N361" i="7"/>
  <c r="N362" i="7"/>
  <c r="N363" i="7"/>
  <c r="N364" i="7"/>
  <c r="N365" i="7"/>
  <c r="N366" i="7"/>
  <c r="N367" i="7"/>
  <c r="N368" i="7"/>
  <c r="N369" i="7"/>
  <c r="N370" i="7"/>
  <c r="N371" i="7"/>
  <c r="N373" i="7"/>
  <c r="N374" i="7"/>
  <c r="N375" i="7"/>
  <c r="N376" i="7"/>
  <c r="N377" i="7"/>
  <c r="N378" i="7"/>
  <c r="N379" i="7"/>
  <c r="N381" i="7"/>
  <c r="N383" i="7"/>
  <c r="N384" i="7"/>
  <c r="N385" i="7"/>
  <c r="N386" i="7"/>
  <c r="N387" i="7"/>
  <c r="N388" i="7"/>
  <c r="N389" i="7"/>
  <c r="N390" i="7"/>
  <c r="N391" i="7"/>
  <c r="N392" i="7"/>
  <c r="N394" i="7"/>
  <c r="N395" i="7"/>
  <c r="N396" i="7"/>
  <c r="N397" i="7"/>
  <c r="N399" i="7"/>
  <c r="N400" i="7"/>
  <c r="N401" i="7"/>
  <c r="N402" i="7"/>
  <c r="N403" i="7"/>
  <c r="N405" i="7"/>
  <c r="N406" i="7"/>
  <c r="N407" i="7"/>
  <c r="N408" i="7"/>
  <c r="N409" i="7"/>
  <c r="N410" i="7"/>
  <c r="N411" i="7"/>
  <c r="N412" i="7"/>
  <c r="N413" i="7"/>
  <c r="N414" i="7"/>
  <c r="N416" i="7"/>
  <c r="N417" i="7"/>
  <c r="N418" i="7"/>
  <c r="N419" i="7"/>
  <c r="N421" i="7"/>
  <c r="N422" i="7"/>
  <c r="N423" i="7"/>
  <c r="N424" i="7"/>
  <c r="N425" i="7"/>
  <c r="N426" i="7"/>
  <c r="N428" i="7"/>
  <c r="N429" i="7"/>
  <c r="N431" i="7"/>
  <c r="N432" i="7"/>
  <c r="N433" i="7"/>
  <c r="N434" i="7"/>
  <c r="N435" i="7"/>
  <c r="N436" i="7"/>
  <c r="N437" i="7"/>
  <c r="N438" i="7"/>
  <c r="N439" i="7"/>
  <c r="N440" i="7"/>
  <c r="N441" i="7"/>
  <c r="N443" i="7"/>
  <c r="N444" i="7"/>
  <c r="N446" i="7"/>
  <c r="N447" i="7"/>
  <c r="N448" i="7"/>
  <c r="N449" i="7"/>
  <c r="N451" i="7"/>
  <c r="N452" i="7"/>
  <c r="N453" i="7"/>
  <c r="N454" i="7"/>
  <c r="N455" i="7"/>
  <c r="N456" i="7"/>
  <c r="N457" i="7"/>
  <c r="N458" i="7"/>
  <c r="N459" i="7"/>
  <c r="N460" i="7"/>
  <c r="N462" i="7"/>
  <c r="N463" i="7"/>
  <c r="N464" i="7"/>
  <c r="N465" i="7"/>
  <c r="N466" i="7"/>
  <c r="N467" i="7"/>
  <c r="N468" i="7"/>
  <c r="N469" i="7"/>
  <c r="N470" i="7"/>
  <c r="N472" i="7"/>
  <c r="N473" i="7"/>
  <c r="N474" i="7"/>
  <c r="N475" i="7"/>
  <c r="N476" i="7"/>
  <c r="N477" i="7"/>
  <c r="N478" i="7"/>
  <c r="N480" i="7"/>
  <c r="N481" i="7"/>
  <c r="N482" i="7"/>
  <c r="N483" i="7"/>
  <c r="N484" i="7"/>
  <c r="N485" i="7"/>
  <c r="N486" i="7"/>
  <c r="N487" i="7"/>
  <c r="N488" i="7"/>
  <c r="N489" i="7"/>
  <c r="N490" i="7"/>
  <c r="N491" i="7"/>
  <c r="N493" i="7"/>
  <c r="N494" i="7"/>
  <c r="N495" i="7"/>
  <c r="N497" i="7"/>
  <c r="N498" i="7"/>
  <c r="N499" i="7"/>
  <c r="N501" i="7"/>
  <c r="N502" i="7"/>
  <c r="N503" i="7"/>
  <c r="N504" i="7"/>
  <c r="N505" i="7"/>
  <c r="N506" i="7"/>
  <c r="N507" i="7"/>
  <c r="N508" i="7"/>
  <c r="N509" i="7"/>
  <c r="N510" i="7"/>
  <c r="N511" i="7"/>
  <c r="N512" i="7"/>
  <c r="N513" i="7"/>
  <c r="N514" i="7"/>
  <c r="N515" i="7"/>
  <c r="N516" i="7"/>
  <c r="N517" i="7"/>
  <c r="N519" i="7"/>
  <c r="N520" i="7"/>
  <c r="N522" i="7"/>
  <c r="N523" i="7"/>
  <c r="N524" i="7"/>
  <c r="N525" i="7"/>
  <c r="N526" i="7"/>
  <c r="N527" i="7"/>
  <c r="N528" i="7"/>
  <c r="N530" i="7"/>
  <c r="N531" i="7"/>
  <c r="N532" i="7"/>
  <c r="N533" i="7"/>
  <c r="N534" i="7"/>
  <c r="N535" i="7"/>
  <c r="N536" i="7"/>
  <c r="N537" i="7"/>
  <c r="N538" i="7"/>
  <c r="N539" i="7"/>
  <c r="N540" i="7"/>
  <c r="N541" i="7"/>
  <c r="N543" i="7"/>
  <c r="N544" i="7"/>
  <c r="N545" i="7"/>
  <c r="N547" i="7"/>
  <c r="N548" i="7"/>
  <c r="N550" i="7"/>
  <c r="N551" i="7"/>
  <c r="N552" i="7"/>
  <c r="N553" i="7"/>
  <c r="N554" i="7"/>
  <c r="N555" i="7"/>
  <c r="N556" i="7"/>
  <c r="N557" i="7"/>
  <c r="N558" i="7"/>
  <c r="N559" i="7"/>
  <c r="N560" i="7"/>
  <c r="N561" i="7"/>
  <c r="N562" i="7"/>
  <c r="N563" i="7"/>
  <c r="N565" i="7"/>
  <c r="N566" i="7"/>
  <c r="N567" i="7"/>
  <c r="N568" i="7"/>
  <c r="N569" i="7"/>
  <c r="N570" i="7"/>
  <c r="N572" i="7"/>
  <c r="N573" i="7"/>
  <c r="N574" i="7"/>
  <c r="N575" i="7"/>
  <c r="N576" i="7"/>
  <c r="N577" i="7"/>
  <c r="N578" i="7"/>
  <c r="N580" i="7"/>
  <c r="N581" i="7"/>
  <c r="N582" i="7"/>
  <c r="N583" i="7"/>
  <c r="N584" i="7"/>
  <c r="N585" i="7"/>
  <c r="N586" i="7"/>
  <c r="N587" i="7"/>
  <c r="N588" i="7"/>
  <c r="N589" i="7"/>
  <c r="N590" i="7"/>
  <c r="N591" i="7"/>
  <c r="N593" i="7"/>
  <c r="N594" i="7"/>
  <c r="N596" i="7"/>
  <c r="N597" i="7"/>
  <c r="N598" i="7"/>
  <c r="N599" i="7"/>
  <c r="N600" i="7"/>
  <c r="N601" i="7"/>
  <c r="N602" i="7"/>
  <c r="N603" i="7"/>
  <c r="N605" i="7"/>
  <c r="N606" i="7"/>
  <c r="N607" i="7"/>
  <c r="N608" i="7"/>
  <c r="N609" i="7"/>
  <c r="N610" i="7"/>
  <c r="N611" i="7"/>
  <c r="N612" i="7"/>
  <c r="N613" i="7"/>
  <c r="N614" i="7"/>
  <c r="N615" i="7"/>
  <c r="N616" i="7"/>
  <c r="N618" i="7"/>
  <c r="N620" i="7"/>
  <c r="N621" i="7"/>
  <c r="N623" i="7"/>
  <c r="N624" i="7"/>
  <c r="N626" i="7"/>
  <c r="N627" i="7"/>
  <c r="N628" i="7"/>
  <c r="N629" i="7"/>
  <c r="N630" i="7"/>
  <c r="N631" i="7"/>
  <c r="N632" i="7"/>
  <c r="N634" i="7"/>
  <c r="N635" i="7"/>
  <c r="N636" i="7"/>
  <c r="N637" i="7"/>
  <c r="N638" i="7"/>
  <c r="N639" i="7"/>
  <c r="N640" i="7"/>
  <c r="N641" i="7"/>
  <c r="N642" i="7"/>
  <c r="N643" i="7"/>
  <c r="N645" i="7"/>
  <c r="N646" i="7"/>
  <c r="N647" i="7"/>
  <c r="N648" i="7"/>
  <c r="N649" i="7"/>
  <c r="N651" i="7"/>
  <c r="N652" i="7"/>
  <c r="N653" i="7"/>
  <c r="N654" i="7"/>
  <c r="N655" i="7"/>
  <c r="N656" i="7"/>
  <c r="N657" i="7"/>
  <c r="N659" i="7"/>
  <c r="N660" i="7"/>
  <c r="N661" i="7"/>
  <c r="N662" i="7"/>
  <c r="N663" i="7"/>
  <c r="N664" i="7"/>
  <c r="N665" i="7"/>
  <c r="N666" i="7"/>
  <c r="N667" i="7"/>
  <c r="N668" i="7"/>
  <c r="N669" i="7"/>
  <c r="N670" i="7"/>
  <c r="N672" i="7"/>
  <c r="N673" i="7"/>
  <c r="N674" i="7"/>
  <c r="N676" i="7"/>
  <c r="N677" i="7"/>
  <c r="N678" i="7"/>
  <c r="N679" i="7"/>
  <c r="N680" i="7"/>
  <c r="N681" i="7"/>
  <c r="N683" i="7"/>
  <c r="N684" i="7"/>
  <c r="N685" i="7"/>
  <c r="N686" i="7"/>
  <c r="N687" i="7"/>
  <c r="N688" i="7"/>
  <c r="N689" i="7"/>
  <c r="N690" i="7"/>
  <c r="N691" i="7"/>
  <c r="N692" i="7"/>
  <c r="N693" i="7"/>
  <c r="N694" i="7"/>
  <c r="N695" i="7"/>
  <c r="N696" i="7"/>
  <c r="N698" i="7"/>
  <c r="N699" i="7"/>
  <c r="N700" i="7"/>
  <c r="N701" i="7"/>
  <c r="N702" i="7"/>
  <c r="N703" i="7"/>
  <c r="N704" i="7"/>
  <c r="N706" i="7"/>
  <c r="N707" i="7"/>
  <c r="N708" i="7"/>
  <c r="N709" i="7"/>
  <c r="N710" i="7"/>
  <c r="N711" i="7"/>
  <c r="N712" i="7"/>
  <c r="N713" i="7"/>
  <c r="N714" i="7"/>
  <c r="N715" i="7"/>
  <c r="N716" i="7"/>
  <c r="N717" i="7"/>
  <c r="N718" i="7"/>
  <c r="N720" i="7"/>
  <c r="N721" i="7"/>
  <c r="N722" i="7"/>
  <c r="N723" i="7"/>
  <c r="N725" i="7"/>
  <c r="N726" i="7"/>
  <c r="N727" i="7"/>
  <c r="N728" i="7"/>
  <c r="N729" i="7"/>
  <c r="N730" i="7"/>
  <c r="N731" i="7"/>
  <c r="N732" i="7"/>
  <c r="N734" i="7"/>
  <c r="N735" i="7"/>
  <c r="N736" i="7"/>
  <c r="N737" i="7"/>
  <c r="N738" i="7"/>
  <c r="N739" i="7"/>
  <c r="N740" i="7"/>
  <c r="N741" i="7"/>
  <c r="N742" i="7"/>
  <c r="N743" i="7"/>
  <c r="N744" i="7"/>
  <c r="N746" i="7"/>
  <c r="N747" i="7"/>
  <c r="N748" i="7"/>
  <c r="N750" i="7"/>
  <c r="N751" i="7"/>
  <c r="N752" i="7"/>
  <c r="N753" i="7"/>
  <c r="N754" i="7"/>
  <c r="N756" i="7"/>
  <c r="N757" i="7"/>
  <c r="N758" i="7"/>
  <c r="N760" i="7"/>
  <c r="N761" i="7"/>
  <c r="N762" i="7"/>
  <c r="N763" i="7"/>
  <c r="N764" i="7"/>
  <c r="N765" i="7"/>
  <c r="N766" i="7"/>
  <c r="N767" i="7"/>
  <c r="N768" i="7"/>
  <c r="N769" i="7"/>
  <c r="N770" i="7"/>
  <c r="N772" i="7"/>
  <c r="N773" i="7"/>
  <c r="N774" i="7"/>
  <c r="N776" i="7"/>
  <c r="N777" i="7"/>
  <c r="N778" i="7"/>
  <c r="N779" i="7"/>
  <c r="N781" i="7"/>
  <c r="N782" i="7"/>
  <c r="N784" i="7"/>
  <c r="N785" i="7"/>
  <c r="N786" i="7"/>
  <c r="N787" i="7"/>
  <c r="N788" i="7"/>
  <c r="N789" i="7"/>
  <c r="N790" i="7"/>
  <c r="N791" i="7"/>
  <c r="N792" i="7"/>
  <c r="N793" i="7"/>
  <c r="N794" i="7"/>
  <c r="N796" i="7"/>
  <c r="N797" i="7"/>
  <c r="N798" i="7"/>
  <c r="N800" i="7"/>
  <c r="N801" i="7"/>
  <c r="N802" i="7"/>
  <c r="N803" i="7"/>
  <c r="N804" i="7"/>
  <c r="N805" i="7"/>
  <c r="N806" i="7"/>
  <c r="N807" i="7"/>
  <c r="N809" i="7"/>
  <c r="N810" i="7"/>
  <c r="N811" i="7"/>
  <c r="N812" i="7"/>
  <c r="N813" i="7"/>
  <c r="N814" i="7"/>
  <c r="N815" i="7"/>
  <c r="N816" i="7"/>
  <c r="N817" i="7"/>
  <c r="N818" i="7"/>
  <c r="N819" i="7"/>
  <c r="N820" i="7"/>
  <c r="N822" i="7"/>
  <c r="N823" i="7"/>
  <c r="N825" i="7"/>
  <c r="N826" i="7"/>
  <c r="N828" i="7"/>
  <c r="N829" i="7"/>
  <c r="N830" i="7"/>
  <c r="N831" i="7"/>
  <c r="N832" i="7"/>
  <c r="N833" i="7"/>
  <c r="N835" i="7"/>
  <c r="N836" i="7"/>
  <c r="N837" i="7"/>
  <c r="N838" i="7"/>
  <c r="N839" i="7"/>
  <c r="N840" i="7"/>
  <c r="N841" i="7"/>
  <c r="N842" i="7"/>
  <c r="N843" i="7"/>
  <c r="N844" i="7"/>
  <c r="N845" i="7"/>
  <c r="N846" i="7"/>
  <c r="N847" i="7"/>
  <c r="N848" i="7"/>
  <c r="N850" i="7"/>
  <c r="N851" i="7"/>
  <c r="N852" i="7"/>
  <c r="N854" i="7"/>
  <c r="N855" i="7"/>
  <c r="N856" i="7"/>
  <c r="N857" i="7"/>
  <c r="N858" i="7"/>
  <c r="N859" i="7"/>
  <c r="N860" i="7"/>
  <c r="N861" i="7"/>
  <c r="N862" i="7"/>
  <c r="N863" i="7"/>
  <c r="N864" i="7"/>
  <c r="N865" i="7"/>
  <c r="N866" i="7"/>
  <c r="N867" i="7"/>
  <c r="N868" i="7"/>
  <c r="N869" i="7"/>
  <c r="N871" i="7"/>
  <c r="N872" i="7"/>
  <c r="N874" i="7"/>
  <c r="N875" i="7"/>
  <c r="N876" i="7"/>
  <c r="N878" i="7"/>
  <c r="N879" i="7"/>
  <c r="N880" i="7"/>
  <c r="N881" i="7"/>
  <c r="N883" i="7"/>
  <c r="N884" i="7"/>
  <c r="N885" i="7"/>
  <c r="N886" i="7"/>
  <c r="N887" i="7"/>
  <c r="N888" i="7"/>
  <c r="N889" i="7"/>
  <c r="N890" i="7"/>
  <c r="N891" i="7"/>
  <c r="N892" i="7"/>
  <c r="N893" i="7"/>
  <c r="N894" i="7"/>
  <c r="N895" i="7"/>
  <c r="N896" i="7"/>
  <c r="N897" i="7"/>
  <c r="N899" i="7"/>
  <c r="N900" i="7"/>
  <c r="N901" i="7"/>
  <c r="N903" i="7"/>
  <c r="N904" i="7"/>
  <c r="N905" i="7"/>
  <c r="N906" i="7"/>
  <c r="N907" i="7"/>
  <c r="N908" i="7"/>
  <c r="N910" i="7"/>
  <c r="N911" i="7"/>
  <c r="N912" i="7"/>
  <c r="N913" i="7"/>
  <c r="N914" i="7"/>
  <c r="N915" i="7"/>
  <c r="N916" i="7"/>
  <c r="N917" i="7"/>
  <c r="N918" i="7"/>
  <c r="N919" i="7"/>
  <c r="N920" i="7"/>
  <c r="N921" i="7"/>
  <c r="N923" i="7"/>
  <c r="N925" i="7"/>
  <c r="N926" i="7"/>
  <c r="N927" i="7"/>
  <c r="N928" i="7"/>
  <c r="N929" i="7"/>
  <c r="N930" i="7"/>
  <c r="N931" i="7"/>
  <c r="N932" i="7"/>
  <c r="N934" i="7"/>
  <c r="N935" i="7"/>
  <c r="N936" i="7"/>
  <c r="N937" i="7"/>
  <c r="N938" i="7"/>
  <c r="N939" i="7"/>
  <c r="N941" i="7"/>
  <c r="N942" i="7"/>
  <c r="N943" i="7"/>
  <c r="N944" i="7"/>
  <c r="N945" i="7"/>
  <c r="N946" i="7"/>
  <c r="N947" i="7"/>
  <c r="N948" i="7"/>
  <c r="N949"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G5" i="7"/>
  <c r="G6" i="7"/>
  <c r="G8" i="7"/>
  <c r="G10" i="7"/>
  <c r="G12" i="7"/>
  <c r="G16" i="7"/>
  <c r="G18" i="7"/>
  <c r="G21" i="7"/>
  <c r="G24" i="7"/>
  <c r="G29" i="7"/>
  <c r="G33" i="7"/>
  <c r="G35" i="7"/>
  <c r="G38" i="7"/>
  <c r="G46" i="7"/>
  <c r="G48" i="7"/>
  <c r="G51" i="7"/>
  <c r="G54" i="7"/>
  <c r="G61" i="7"/>
  <c r="G63" i="7"/>
  <c r="G68" i="7"/>
  <c r="G76" i="7"/>
  <c r="G77" i="7"/>
  <c r="G82" i="7"/>
  <c r="G90" i="7"/>
  <c r="G92" i="7"/>
  <c r="G95" i="7"/>
  <c r="G105" i="7"/>
  <c r="G109" i="7"/>
  <c r="G112" i="7"/>
  <c r="G122" i="7"/>
  <c r="G123" i="7"/>
  <c r="G128" i="7"/>
  <c r="G140" i="7"/>
  <c r="G142" i="7"/>
  <c r="G148" i="7"/>
  <c r="G159" i="7"/>
  <c r="G165" i="7"/>
  <c r="G168" i="7"/>
  <c r="G178" i="7"/>
  <c r="G185" i="7"/>
  <c r="G196" i="7"/>
  <c r="G198" i="7"/>
  <c r="G200" i="7"/>
  <c r="G205" i="7"/>
  <c r="G217" i="7"/>
  <c r="G220" i="7"/>
  <c r="G226" i="7"/>
  <c r="G238" i="7"/>
  <c r="G239" i="7"/>
  <c r="G242" i="7"/>
  <c r="G248" i="7"/>
  <c r="G259" i="7"/>
  <c r="G262" i="7"/>
  <c r="G268" i="7"/>
  <c r="G279" i="7"/>
  <c r="G284" i="7"/>
  <c r="G293" i="7"/>
  <c r="G303" i="7"/>
  <c r="G311" i="7"/>
  <c r="G316" i="7"/>
  <c r="G326" i="7"/>
  <c r="G334" i="7"/>
  <c r="G345" i="7"/>
  <c r="G348" i="7"/>
  <c r="G352" i="7"/>
  <c r="G358" i="7"/>
  <c r="G372" i="7"/>
  <c r="G380" i="7"/>
  <c r="G382" i="7"/>
  <c r="G393" i="7"/>
  <c r="G398" i="7"/>
  <c r="G404" i="7"/>
  <c r="G415" i="7"/>
  <c r="G420" i="7"/>
  <c r="G427" i="7"/>
  <c r="G430" i="7"/>
  <c r="G442" i="7"/>
  <c r="G445" i="7"/>
  <c r="G450" i="7"/>
  <c r="G461" i="7"/>
  <c r="G471" i="7"/>
  <c r="G479" i="7"/>
  <c r="G492" i="7"/>
  <c r="G496" i="7"/>
  <c r="G500" i="7"/>
  <c r="G518" i="7"/>
  <c r="G521" i="7"/>
  <c r="G529" i="7"/>
  <c r="G542" i="7"/>
  <c r="G546" i="7"/>
  <c r="G549" i="7"/>
  <c r="G564" i="7"/>
  <c r="G571" i="7"/>
  <c r="G579" i="7"/>
  <c r="G592" i="7"/>
  <c r="G595" i="7"/>
  <c r="G604" i="7"/>
  <c r="G617" i="7"/>
  <c r="G619" i="7"/>
  <c r="G622" i="7"/>
  <c r="G625" i="7"/>
  <c r="G633" i="7"/>
  <c r="G644" i="7"/>
  <c r="G650" i="7"/>
  <c r="G658" i="7"/>
  <c r="G671" i="7"/>
  <c r="G675" i="7"/>
  <c r="G682" i="7"/>
  <c r="G697" i="7"/>
  <c r="G705" i="7"/>
  <c r="G719" i="7"/>
  <c r="G724" i="7"/>
  <c r="G733" i="7"/>
  <c r="G745" i="7"/>
  <c r="G749" i="7"/>
  <c r="G755" i="7"/>
  <c r="G759" i="7"/>
  <c r="G771" i="7"/>
  <c r="G775" i="7"/>
  <c r="G780" i="7"/>
  <c r="G783" i="7"/>
  <c r="G795" i="7"/>
  <c r="G799" i="7"/>
  <c r="G808" i="7"/>
  <c r="G821" i="7"/>
  <c r="G824" i="7"/>
  <c r="G827" i="7"/>
  <c r="G834" i="7"/>
  <c r="G849" i="7"/>
  <c r="G853" i="7"/>
  <c r="G870" i="7"/>
  <c r="G873" i="7"/>
  <c r="G877" i="7"/>
  <c r="G882" i="7"/>
  <c r="G898" i="7"/>
  <c r="G902" i="7"/>
  <c r="G909" i="7"/>
  <c r="G922" i="7"/>
  <c r="G924" i="7"/>
  <c r="G933" i="7"/>
  <c r="G940" i="7"/>
  <c r="G950" i="7"/>
  <c r="K10" i="8"/>
  <c r="K873" i="7"/>
  <c r="K877" i="7"/>
  <c r="K882" i="7"/>
  <c r="K898" i="7"/>
  <c r="K902" i="7"/>
  <c r="K909" i="7"/>
  <c r="K922" i="7"/>
  <c r="K924" i="7"/>
  <c r="K933" i="7"/>
  <c r="K940" i="7"/>
  <c r="K950" i="7"/>
  <c r="L6" i="7"/>
  <c r="L8" i="7"/>
  <c r="L10" i="7"/>
  <c r="L12" i="7"/>
  <c r="L16" i="7"/>
  <c r="L18" i="7"/>
  <c r="L21" i="7"/>
  <c r="L24" i="7"/>
  <c r="L29" i="7"/>
  <c r="L33" i="7"/>
  <c r="L35" i="7"/>
  <c r="L38" i="7"/>
  <c r="L46" i="7"/>
  <c r="L48" i="7"/>
  <c r="L51" i="7"/>
  <c r="L54" i="7"/>
  <c r="L61" i="7"/>
  <c r="L63" i="7"/>
  <c r="L68" i="7"/>
  <c r="L76" i="7"/>
  <c r="L77" i="7"/>
  <c r="L82" i="7"/>
  <c r="L90" i="7"/>
  <c r="L92" i="7"/>
  <c r="L95" i="7"/>
  <c r="L105" i="7"/>
  <c r="L109" i="7"/>
  <c r="L112" i="7"/>
  <c r="L122" i="7"/>
  <c r="L123" i="7"/>
  <c r="L128" i="7"/>
  <c r="L140" i="7"/>
  <c r="L142" i="7"/>
  <c r="L148" i="7"/>
  <c r="L159" i="7"/>
  <c r="L165" i="7"/>
  <c r="L168" i="7"/>
  <c r="L178" i="7"/>
  <c r="L185" i="7"/>
  <c r="L196" i="7"/>
  <c r="L198" i="7"/>
  <c r="L200" i="7"/>
  <c r="L205" i="7"/>
  <c r="L217" i="7"/>
  <c r="L220" i="7"/>
  <c r="L226" i="7"/>
  <c r="L238" i="7"/>
  <c r="L239" i="7"/>
  <c r="L242" i="7"/>
  <c r="L248" i="7"/>
  <c r="L259" i="7"/>
  <c r="L262" i="7"/>
  <c r="L268" i="7"/>
  <c r="L279" i="7"/>
  <c r="L284" i="7"/>
  <c r="L293" i="7"/>
  <c r="L303" i="7"/>
  <c r="L311" i="7"/>
  <c r="L316" i="7"/>
  <c r="L326" i="7"/>
  <c r="L334" i="7"/>
  <c r="L345" i="7"/>
  <c r="L348" i="7"/>
  <c r="L352" i="7"/>
  <c r="L358" i="7"/>
  <c r="L372" i="7"/>
  <c r="L380" i="7"/>
  <c r="L382" i="7"/>
  <c r="L393" i="7"/>
  <c r="L398" i="7"/>
  <c r="L404" i="7"/>
  <c r="L415" i="7"/>
  <c r="L420" i="7"/>
  <c r="L427" i="7"/>
  <c r="L430" i="7"/>
  <c r="L442" i="7"/>
  <c r="L445" i="7"/>
  <c r="L450" i="7"/>
  <c r="L461" i="7"/>
  <c r="L471" i="7"/>
  <c r="L479" i="7"/>
  <c r="L492" i="7"/>
  <c r="L496" i="7"/>
  <c r="L500" i="7"/>
  <c r="L518" i="7"/>
  <c r="L521" i="7"/>
  <c r="L529" i="7"/>
  <c r="L542" i="7"/>
  <c r="L546" i="7"/>
  <c r="L549" i="7"/>
  <c r="L564" i="7"/>
  <c r="L571" i="7"/>
  <c r="L579" i="7"/>
  <c r="L592" i="7"/>
  <c r="L595" i="7"/>
  <c r="L604" i="7"/>
  <c r="L617" i="7"/>
  <c r="L619" i="7"/>
  <c r="L622" i="7"/>
  <c r="L625" i="7"/>
  <c r="L633" i="7"/>
  <c r="L644" i="7"/>
  <c r="L650" i="7"/>
  <c r="L658" i="7"/>
  <c r="L671" i="7"/>
  <c r="L675" i="7"/>
  <c r="L682" i="7"/>
  <c r="L697" i="7"/>
  <c r="L705" i="7"/>
  <c r="L719" i="7"/>
  <c r="L724" i="7"/>
  <c r="L733" i="7"/>
  <c r="L745" i="7"/>
  <c r="L749" i="7"/>
  <c r="L755" i="7"/>
  <c r="L759" i="7"/>
  <c r="L771" i="7"/>
  <c r="L775" i="7"/>
  <c r="L780" i="7"/>
  <c r="L783" i="7"/>
  <c r="L795" i="7"/>
  <c r="L799" i="7"/>
  <c r="L808" i="7"/>
  <c r="L821" i="7"/>
  <c r="L824" i="7"/>
  <c r="L827" i="7"/>
  <c r="L834" i="7"/>
  <c r="L849" i="7"/>
  <c r="L853" i="7"/>
  <c r="L870" i="7"/>
  <c r="M6" i="7"/>
  <c r="M8" i="7"/>
  <c r="M10" i="7"/>
  <c r="M12" i="7"/>
  <c r="M16" i="7"/>
  <c r="M18" i="7"/>
  <c r="M21" i="7"/>
  <c r="M24" i="7"/>
  <c r="M29" i="7"/>
  <c r="M33" i="7"/>
  <c r="M35" i="7"/>
  <c r="M38" i="7"/>
  <c r="M46" i="7"/>
  <c r="M48" i="7"/>
  <c r="M51" i="7"/>
  <c r="M54" i="7"/>
  <c r="M61" i="7"/>
  <c r="M63" i="7"/>
  <c r="M68" i="7"/>
  <c r="M76" i="7"/>
  <c r="M77" i="7"/>
  <c r="M82" i="7"/>
  <c r="M90" i="7"/>
  <c r="M92" i="7"/>
  <c r="M95" i="7"/>
  <c r="M105" i="7"/>
  <c r="M109" i="7"/>
  <c r="M112" i="7"/>
  <c r="M122" i="7"/>
  <c r="M123" i="7"/>
  <c r="M128" i="7"/>
  <c r="M140" i="7"/>
  <c r="M142" i="7"/>
  <c r="M148" i="7"/>
  <c r="M159" i="7"/>
  <c r="M165" i="7"/>
  <c r="M168" i="7"/>
  <c r="M178" i="7"/>
  <c r="M185" i="7"/>
  <c r="M196" i="7"/>
  <c r="M198" i="7"/>
  <c r="M200" i="7"/>
  <c r="M205" i="7"/>
  <c r="M217" i="7"/>
  <c r="M220" i="7"/>
  <c r="M226" i="7"/>
  <c r="M238" i="7"/>
  <c r="M239" i="7"/>
  <c r="M242" i="7"/>
  <c r="M248" i="7"/>
  <c r="M259" i="7"/>
  <c r="M262" i="7"/>
  <c r="M268" i="7"/>
  <c r="M279" i="7"/>
  <c r="M284" i="7"/>
  <c r="M293" i="7"/>
  <c r="M303" i="7"/>
  <c r="M311" i="7"/>
  <c r="M316" i="7"/>
  <c r="M326" i="7"/>
  <c r="M334" i="7"/>
  <c r="M345" i="7"/>
  <c r="M348" i="7"/>
  <c r="M352" i="7"/>
  <c r="M358" i="7"/>
  <c r="M372" i="7"/>
  <c r="M380" i="7"/>
  <c r="M382" i="7"/>
  <c r="M393" i="7"/>
  <c r="M398" i="7"/>
  <c r="M404" i="7"/>
  <c r="M415" i="7"/>
  <c r="M420" i="7"/>
  <c r="M427" i="7"/>
  <c r="M430" i="7"/>
  <c r="M442" i="7"/>
  <c r="M445" i="7"/>
  <c r="M450" i="7"/>
  <c r="M461" i="7"/>
  <c r="M471" i="7"/>
  <c r="M479" i="7"/>
  <c r="M492" i="7"/>
  <c r="M496" i="7"/>
  <c r="M500" i="7"/>
  <c r="M518" i="7"/>
  <c r="M521" i="7"/>
  <c r="M529" i="7"/>
  <c r="M542" i="7"/>
  <c r="M546" i="7"/>
  <c r="M549" i="7"/>
  <c r="M564" i="7"/>
  <c r="M571" i="7"/>
  <c r="M579" i="7"/>
  <c r="M592" i="7"/>
  <c r="M595" i="7"/>
  <c r="M604" i="7"/>
  <c r="M617" i="7"/>
  <c r="M619" i="7"/>
  <c r="M622" i="7"/>
  <c r="M625" i="7"/>
  <c r="M633" i="7"/>
  <c r="M644" i="7"/>
  <c r="M650" i="7"/>
  <c r="M658" i="7"/>
  <c r="M671" i="7"/>
  <c r="M675" i="7"/>
  <c r="M682" i="7"/>
  <c r="M697" i="7"/>
  <c r="M705" i="7"/>
  <c r="M719" i="7"/>
  <c r="M724" i="7"/>
  <c r="M733" i="7"/>
  <c r="M745" i="7"/>
  <c r="M749" i="7"/>
  <c r="M755" i="7"/>
  <c r="M759" i="7"/>
  <c r="M771" i="7"/>
  <c r="M775" i="7"/>
  <c r="M780" i="7"/>
  <c r="M783" i="7"/>
  <c r="M795" i="7"/>
  <c r="M799" i="7"/>
  <c r="M808" i="7"/>
  <c r="M821" i="7"/>
  <c r="M824" i="7"/>
  <c r="M827" i="7"/>
  <c r="M834" i="7"/>
  <c r="M849" i="7"/>
  <c r="M853" i="7"/>
  <c r="M870" i="7"/>
  <c r="M873" i="7"/>
  <c r="M877" i="7"/>
  <c r="M882" i="7"/>
  <c r="M898" i="7"/>
  <c r="M902" i="7"/>
  <c r="M909" i="7"/>
  <c r="M922" i="7"/>
  <c r="M924" i="7"/>
  <c r="M933" i="7"/>
  <c r="M940" i="7"/>
  <c r="M950" i="7"/>
  <c r="N6" i="7"/>
  <c r="N8" i="7"/>
  <c r="N10" i="7"/>
  <c r="N12" i="7"/>
  <c r="N16" i="7"/>
  <c r="N18" i="7"/>
  <c r="N21" i="7"/>
  <c r="N24" i="7"/>
  <c r="N29" i="7"/>
  <c r="N33" i="7"/>
  <c r="N35" i="7"/>
  <c r="N38" i="7"/>
  <c r="N46" i="7"/>
  <c r="N48" i="7"/>
  <c r="N51" i="7"/>
  <c r="N54" i="7"/>
  <c r="N61" i="7"/>
  <c r="N63" i="7"/>
  <c r="N68" i="7"/>
  <c r="N76" i="7"/>
  <c r="N77" i="7"/>
  <c r="N82" i="7"/>
  <c r="N90" i="7"/>
  <c r="N92" i="7"/>
  <c r="N95" i="7"/>
  <c r="N105" i="7"/>
  <c r="N109" i="7"/>
  <c r="N112" i="7"/>
  <c r="N122" i="7"/>
  <c r="N123" i="7"/>
  <c r="N128" i="7"/>
  <c r="N140" i="7"/>
  <c r="N142" i="7"/>
  <c r="N148" i="7"/>
  <c r="N159" i="7"/>
  <c r="N165" i="7"/>
  <c r="N168" i="7"/>
  <c r="N178" i="7"/>
  <c r="N185" i="7"/>
  <c r="N196" i="7"/>
  <c r="N198" i="7"/>
  <c r="N200" i="7"/>
  <c r="N205" i="7"/>
  <c r="N217" i="7"/>
  <c r="N220" i="7"/>
  <c r="N226" i="7"/>
  <c r="N238" i="7"/>
  <c r="N239" i="7"/>
  <c r="N242" i="7"/>
  <c r="N248" i="7"/>
  <c r="N259" i="7"/>
  <c r="N262" i="7"/>
  <c r="N268" i="7"/>
  <c r="N279" i="7"/>
  <c r="N284" i="7"/>
  <c r="N293" i="7"/>
  <c r="N303" i="7"/>
  <c r="N311" i="7"/>
  <c r="N316" i="7"/>
  <c r="N326" i="7"/>
  <c r="N334" i="7"/>
  <c r="N345" i="7"/>
  <c r="N348" i="7"/>
  <c r="N352" i="7"/>
  <c r="N358" i="7"/>
  <c r="N372" i="7"/>
  <c r="N380" i="7"/>
  <c r="N382" i="7"/>
  <c r="N393" i="7"/>
  <c r="N398" i="7"/>
  <c r="N404" i="7"/>
  <c r="N415" i="7"/>
  <c r="N420" i="7"/>
  <c r="N427" i="7"/>
  <c r="N430" i="7"/>
  <c r="N442" i="7"/>
  <c r="N445" i="7"/>
  <c r="N450" i="7"/>
  <c r="N461" i="7"/>
  <c r="N471" i="7"/>
  <c r="N479" i="7"/>
  <c r="N492" i="7"/>
  <c r="N496" i="7"/>
  <c r="N500" i="7"/>
  <c r="N518" i="7"/>
  <c r="N521" i="7"/>
  <c r="N529" i="7"/>
  <c r="N542" i="7"/>
  <c r="N546" i="7"/>
  <c r="N549" i="7"/>
  <c r="N564" i="7"/>
  <c r="N571" i="7"/>
  <c r="N579" i="7"/>
  <c r="N592" i="7"/>
  <c r="N595" i="7"/>
  <c r="N604" i="7"/>
  <c r="N617" i="7"/>
  <c r="N619" i="7"/>
  <c r="N622" i="7"/>
  <c r="N625" i="7"/>
  <c r="N633" i="7"/>
  <c r="N644" i="7"/>
  <c r="N650" i="7"/>
  <c r="N658" i="7"/>
  <c r="N671" i="7"/>
  <c r="N675" i="7"/>
  <c r="N682" i="7"/>
  <c r="N697" i="7"/>
  <c r="N705" i="7"/>
  <c r="N719" i="7"/>
  <c r="N724" i="7"/>
  <c r="N733" i="7"/>
  <c r="N745" i="7"/>
  <c r="N749" i="7"/>
  <c r="N755" i="7"/>
  <c r="N759" i="7"/>
  <c r="N771" i="7"/>
  <c r="N775" i="7"/>
  <c r="N780" i="7"/>
  <c r="N783" i="7"/>
  <c r="N795" i="7"/>
  <c r="N799" i="7"/>
  <c r="N808" i="7"/>
  <c r="N821" i="7"/>
  <c r="N824" i="7"/>
  <c r="N827" i="7"/>
  <c r="N834" i="7"/>
  <c r="N849" i="7"/>
  <c r="N853" i="7"/>
  <c r="N870" i="7"/>
  <c r="N873" i="7"/>
  <c r="N877" i="7"/>
  <c r="N882" i="7"/>
  <c r="N898" i="7"/>
  <c r="N902" i="7"/>
  <c r="N909" i="7"/>
  <c r="N922" i="7"/>
  <c r="N924" i="7"/>
  <c r="N933" i="7"/>
  <c r="N940" i="7"/>
  <c r="N950" i="7"/>
  <c r="C6" i="16"/>
  <c r="K5" i="8"/>
  <c r="K6" i="8"/>
  <c r="K7" i="8"/>
  <c r="K8" i="8"/>
  <c r="K9" i="8"/>
  <c r="K11" i="8"/>
  <c r="K12" i="8"/>
  <c r="K13" i="8"/>
  <c r="K14" i="8"/>
  <c r="K15" i="8"/>
  <c r="K16" i="8"/>
  <c r="K17" i="8"/>
  <c r="K18" i="8"/>
  <c r="K19" i="8"/>
  <c r="K20" i="8"/>
  <c r="K21" i="8"/>
  <c r="K22" i="8"/>
  <c r="K23" i="8"/>
  <c r="K24" i="8"/>
  <c r="M5" i="8" a="1"/>
  <c r="M6" i="8" a="1"/>
  <c r="M7" i="8" a="1"/>
  <c r="M8" i="8" a="1"/>
  <c r="M9" i="8" a="1"/>
  <c r="M10" i="8" a="1"/>
  <c r="M11" i="8" a="1"/>
  <c r="M12" i="8" a="1"/>
  <c r="M13" i="8" a="1"/>
  <c r="M14" i="8" a="1"/>
  <c r="M15" i="8" a="1"/>
  <c r="M16" i="8" a="1"/>
  <c r="M17" i="8" a="1"/>
  <c r="M18" i="8" a="1"/>
  <c r="M19" i="8" a="1"/>
  <c r="M20" i="8" a="1"/>
  <c r="M21" i="8" a="1"/>
  <c r="M22" i="8" a="1"/>
  <c r="M23" i="8" a="1"/>
  <c r="M24" i="8" a="1"/>
  <c r="N5" i="8" a="1"/>
  <c r="N6" i="8" a="1"/>
  <c r="N7" i="8" a="1"/>
  <c r="N8" i="8" a="1"/>
  <c r="N9" i="8" a="1"/>
  <c r="N10" i="8" a="1"/>
  <c r="N11" i="8" a="1"/>
  <c r="N12" i="8" a="1"/>
  <c r="N13" i="8" a="1"/>
  <c r="N14" i="8" a="1"/>
  <c r="N15" i="8" a="1"/>
  <c r="N16" i="8" a="1"/>
  <c r="N17" i="8" a="1"/>
  <c r="N18" i="8" a="1"/>
  <c r="N19" i="8" a="1"/>
  <c r="N20" i="8" a="1"/>
  <c r="N21" i="8" a="1"/>
  <c r="N22" i="8" a="1"/>
  <c r="N23" i="8" a="1"/>
  <c r="N24" i="8" a="1"/>
  <c r="T5" i="8" a="1"/>
  <c r="T6" i="8" a="1"/>
  <c r="T7" i="8" a="1"/>
  <c r="T8" i="8" a="1"/>
  <c r="T9" i="8" a="1"/>
  <c r="T10" i="8" a="1"/>
  <c r="T11" i="8" a="1"/>
  <c r="T12" i="8" a="1"/>
  <c r="T13" i="8" a="1"/>
  <c r="T14" i="8" a="1"/>
  <c r="T15" i="8" a="1"/>
  <c r="T16" i="8" a="1"/>
  <c r="T17" i="8" a="1"/>
  <c r="T18" i="8" a="1"/>
  <c r="T19" i="8" a="1"/>
  <c r="T20" i="8" a="1"/>
  <c r="T21" i="8" a="1"/>
  <c r="T22" i="8" a="1"/>
  <c r="T23" i="8" a="1"/>
  <c r="T24" i="8" a="1"/>
  <c r="Y5" i="8" a="1"/>
  <c r="Y6" i="8" a="1"/>
  <c r="Y7" i="8" a="1"/>
  <c r="Y8" i="8" a="1"/>
  <c r="Y9" i="8" a="1"/>
  <c r="Y10" i="8" a="1"/>
  <c r="Y11" i="8" a="1"/>
  <c r="Y12" i="8" a="1"/>
  <c r="Y13" i="8" a="1"/>
  <c r="Y14" i="8" a="1"/>
  <c r="Y15" i="8" a="1"/>
  <c r="Y16" i="8" a="1"/>
  <c r="Y17" i="8" a="1"/>
  <c r="Y18" i="8" a="1"/>
  <c r="Y19" i="8" a="1"/>
  <c r="Y20" i="8" a="1"/>
  <c r="Y21" i="8" a="1"/>
  <c r="Y22" i="8" a="1"/>
  <c r="Y23" i="8" a="1"/>
  <c r="Y24" i="8" a="1"/>
  <c r="Z5" i="8" a="1"/>
  <c r="Z6" i="8" a="1"/>
  <c r="Z7" i="8" a="1"/>
  <c r="Z8" i="8" a="1"/>
  <c r="Z9" i="8" a="1"/>
  <c r="Z10" i="8" a="1"/>
  <c r="Z11" i="8" a="1"/>
  <c r="Z12" i="8" a="1"/>
  <c r="Z13" i="8" a="1"/>
  <c r="Z14" i="8" a="1"/>
  <c r="Z15" i="8" a="1"/>
  <c r="Z16" i="8" a="1"/>
  <c r="Z17" i="8" a="1"/>
  <c r="Z18" i="8" a="1"/>
  <c r="Z19" i="8" a="1"/>
  <c r="Z20" i="8" a="1"/>
  <c r="Z21" i="8" a="1"/>
  <c r="Z22" i="8" a="1"/>
  <c r="Z23" i="8" a="1"/>
  <c r="Z24" i="8" a="1"/>
  <c r="F147" i="16" l="1" a="1"/>
  <c r="E147" i="16" a="1"/>
  <c r="D147" i="16" a="1"/>
  <c r="F146" i="16" a="1"/>
  <c r="E146" i="16" a="1"/>
  <c r="D146" i="16" a="1"/>
  <c r="F145" i="16" a="1"/>
  <c r="E145" i="16" a="1"/>
  <c r="D145" i="16" a="1"/>
  <c r="E144" i="16" a="1"/>
  <c r="D144" i="16" a="1"/>
  <c r="F144" i="16" a="1"/>
  <c r="F143" i="16" a="1"/>
  <c r="E143" i="16" a="1"/>
  <c r="D143" i="16" a="1"/>
  <c r="D142" i="16" a="1"/>
  <c r="E142" i="16" a="1"/>
  <c r="F142" i="16" a="1"/>
  <c r="F141" i="16" a="1"/>
  <c r="E141" i="16" a="1"/>
  <c r="D141" i="16" a="1"/>
  <c r="F140" i="16" a="1"/>
  <c r="E140" i="16" a="1"/>
  <c r="D140" i="16" a="1"/>
  <c r="F139" i="16" a="1"/>
  <c r="E139" i="16" a="1"/>
  <c r="D139" i="16" a="1"/>
  <c r="F138" i="16" a="1"/>
  <c r="E138" i="16" a="1"/>
  <c r="D138" i="16" a="1"/>
  <c r="F137" i="16" a="1"/>
  <c r="E137" i="16" a="1"/>
  <c r="D137" i="16" a="1"/>
  <c r="F136" i="16" a="1"/>
  <c r="E136" i="16" a="1"/>
  <c r="D136" i="16" a="1"/>
  <c r="D135" i="16" a="1"/>
  <c r="F135" i="16" a="1"/>
  <c r="E135" i="16" a="1"/>
  <c r="F134" i="16" a="1"/>
  <c r="D134" i="16" a="1"/>
  <c r="E134" i="16" a="1"/>
  <c r="F133" i="16" a="1"/>
  <c r="E133" i="16" a="1"/>
  <c r="D133" i="16" a="1"/>
  <c r="F132" i="16" a="1"/>
  <c r="E132" i="16" a="1"/>
  <c r="D132" i="16" a="1"/>
  <c r="F131" i="16" a="1"/>
  <c r="E131" i="16" a="1"/>
  <c r="D131" i="16" a="1"/>
  <c r="F130" i="16" a="1"/>
  <c r="E130" i="16" a="1"/>
  <c r="D130" i="16" a="1"/>
  <c r="F129" i="16" a="1"/>
  <c r="E129" i="16" a="1"/>
  <c r="D129" i="16" a="1"/>
  <c r="D128" i="16" a="1"/>
  <c r="F128" i="16" a="1"/>
  <c r="E128" i="16" a="1"/>
  <c r="E127" i="16" a="1"/>
  <c r="F127" i="16" a="1"/>
  <c r="D127" i="16" a="1"/>
  <c r="F126" i="16" a="1"/>
  <c r="E126" i="16" a="1"/>
  <c r="D126" i="16" a="1"/>
  <c r="F125" i="16" a="1"/>
  <c r="E125" i="16" a="1"/>
  <c r="D125" i="16" a="1"/>
  <c r="F124" i="16" a="1"/>
  <c r="E124" i="16" a="1"/>
  <c r="D124" i="16" a="1"/>
  <c r="F123" i="16" a="1"/>
  <c r="E123" i="16" a="1"/>
  <c r="D123" i="16" a="1"/>
  <c r="F122" i="16" a="1"/>
  <c r="E122" i="16" a="1"/>
  <c r="D122" i="16" a="1"/>
  <c r="F121" i="16" a="1"/>
  <c r="E121" i="16" a="1"/>
  <c r="D121" i="16" a="1"/>
  <c r="E120" i="16" a="1"/>
  <c r="D120" i="16" a="1"/>
  <c r="E119" i="16" a="1"/>
  <c r="F119" i="16" a="1"/>
  <c r="D119" i="16" a="1"/>
  <c r="F118" i="16" a="1"/>
  <c r="E118" i="16" a="1"/>
  <c r="D118" i="16" a="1"/>
  <c r="F117" i="16" a="1"/>
  <c r="E117" i="16" a="1"/>
  <c r="D117" i="16" a="1"/>
  <c r="E116" i="16" a="1"/>
  <c r="D116" i="16" a="1"/>
  <c r="F116" i="16" a="1"/>
  <c r="F115" i="16" a="1"/>
  <c r="E115" i="16" a="1"/>
  <c r="D115" i="16" a="1"/>
  <c r="E114" i="16" a="1"/>
  <c r="F114" i="16" a="1"/>
  <c r="D114" i="16" a="1"/>
  <c r="F113" i="16" a="1"/>
  <c r="E113" i="16" a="1"/>
  <c r="D113" i="16" a="1"/>
  <c r="E112" i="16" a="1"/>
  <c r="F112" i="16" a="1"/>
  <c r="D112" i="16" a="1"/>
  <c r="E111" i="16" a="1"/>
  <c r="D111" i="16" a="1"/>
  <c r="F111" i="16" a="1"/>
  <c r="D110" i="16" a="1"/>
  <c r="F110" i="16" a="1"/>
  <c r="E110" i="16" a="1"/>
  <c r="F109" i="16" a="1"/>
  <c r="E109" i="16" a="1"/>
  <c r="D109" i="16" a="1"/>
  <c r="D108" i="16" a="1"/>
  <c r="E108" i="16" a="1"/>
  <c r="F108" i="16" a="1"/>
  <c r="F107" i="16" a="1"/>
  <c r="D107" i="16" a="1"/>
  <c r="E107" i="16" a="1"/>
  <c r="F106" i="16" a="1"/>
  <c r="D106" i="16" a="1"/>
  <c r="E106" i="16" a="1"/>
  <c r="F105" i="16" a="1"/>
  <c r="E105" i="16" a="1"/>
  <c r="D105" i="16" a="1"/>
  <c r="F104" i="16" a="1"/>
  <c r="E104" i="16" a="1"/>
  <c r="D104" i="16" a="1"/>
  <c r="F103" i="16" a="1"/>
  <c r="E103" i="16" a="1"/>
  <c r="D103" i="16" a="1"/>
  <c r="F102" i="16" a="1"/>
  <c r="E102" i="16" a="1"/>
  <c r="D102" i="16" a="1"/>
  <c r="E7" i="16" a="1"/>
  <c r="F7" i="16" a="1"/>
  <c r="D7" i="16" a="1"/>
  <c r="D8" i="16" a="1"/>
  <c r="E8" i="16" a="1"/>
  <c r="F8" i="16" a="1"/>
  <c r="D9" i="16" a="1"/>
  <c r="E9" i="16" a="1"/>
  <c r="F9" i="16" a="1"/>
  <c r="E10" i="16" a="1"/>
  <c r="D10" i="16" a="1"/>
  <c r="F10" i="16" a="1"/>
  <c r="F11" i="16" a="1"/>
  <c r="E11" i="16" a="1"/>
  <c r="D11" i="16" a="1"/>
  <c r="F12" i="16" a="1"/>
  <c r="E12" i="16" a="1"/>
  <c r="D12" i="16" a="1"/>
  <c r="F13" i="16" a="1"/>
  <c r="E13" i="16" a="1"/>
  <c r="D13" i="16" a="1"/>
  <c r="F14" i="16" a="1"/>
  <c r="D14" i="16" a="1"/>
  <c r="E14" i="16" a="1"/>
  <c r="E15" i="16" a="1"/>
  <c r="D15" i="16" a="1"/>
  <c r="F15" i="16" a="1"/>
  <c r="F16" i="16" a="1"/>
  <c r="D16" i="16" a="1"/>
  <c r="E16" i="16" a="1"/>
  <c r="D17" i="16" a="1"/>
  <c r="E17" i="16" a="1"/>
  <c r="F17" i="16" a="1"/>
  <c r="F18" i="16" a="1"/>
  <c r="E18" i="16" a="1"/>
  <c r="D18" i="16" a="1"/>
  <c r="E19" i="16" a="1"/>
  <c r="F19" i="16" a="1"/>
  <c r="D19" i="16" a="1"/>
  <c r="F20" i="16" a="1"/>
  <c r="E20" i="16" a="1"/>
  <c r="D20" i="16" a="1"/>
  <c r="E21" i="16" a="1"/>
  <c r="F21" i="16" a="1"/>
  <c r="D21" i="16" a="1"/>
  <c r="D22" i="16" a="1"/>
  <c r="E22" i="16" a="1"/>
  <c r="F22" i="16" a="1"/>
  <c r="D23" i="16" a="1"/>
  <c r="E23" i="16" a="1"/>
  <c r="F23" i="16" a="1"/>
  <c r="D24" i="16" a="1"/>
  <c r="E24" i="16" a="1"/>
  <c r="F24" i="16" a="1"/>
  <c r="D25" i="16" a="1"/>
  <c r="E25" i="16" a="1"/>
  <c r="F25" i="16" a="1"/>
  <c r="D26" i="16" a="1"/>
  <c r="E26" i="16" a="1"/>
  <c r="F26" i="16" a="1"/>
  <c r="D27" i="16" a="1"/>
  <c r="E27" i="16" a="1"/>
  <c r="F27" i="16" a="1"/>
  <c r="D28" i="16" a="1"/>
  <c r="E28" i="16" a="1"/>
  <c r="F28" i="16" a="1"/>
  <c r="D29" i="16" a="1"/>
  <c r="E29" i="16" a="1"/>
  <c r="F29" i="16" a="1"/>
  <c r="D30" i="16" a="1"/>
  <c r="E30" i="16" a="1"/>
  <c r="F30" i="16" a="1"/>
  <c r="D31" i="16" a="1"/>
  <c r="E31" i="16" a="1"/>
  <c r="F31" i="16" a="1"/>
  <c r="D32" i="16" a="1"/>
  <c r="E32" i="16" a="1"/>
  <c r="F32" i="16" a="1"/>
  <c r="D33" i="16" a="1"/>
  <c r="E33" i="16" a="1"/>
  <c r="F33" i="16" a="1"/>
  <c r="D34" i="16" a="1"/>
  <c r="E34" i="16" a="1"/>
  <c r="F34" i="16" a="1"/>
  <c r="D35" i="16" a="1"/>
  <c r="E35" i="16" a="1"/>
  <c r="F35" i="16" a="1"/>
  <c r="D36" i="16" a="1"/>
  <c r="E36" i="16" a="1"/>
  <c r="F36" i="16" a="1"/>
  <c r="D37" i="16" a="1"/>
  <c r="E37" i="16" a="1"/>
  <c r="F37" i="16" a="1"/>
  <c r="D38" i="16" a="1"/>
  <c r="E38" i="16" a="1"/>
  <c r="F38" i="16" a="1"/>
  <c r="D39" i="16" a="1"/>
  <c r="E39" i="16" a="1"/>
  <c r="F39" i="16" a="1"/>
  <c r="D40" i="16" a="1"/>
  <c r="E40" i="16" a="1"/>
  <c r="F40" i="16" a="1"/>
  <c r="D41" i="16" a="1"/>
  <c r="E41" i="16" a="1"/>
  <c r="F41" i="16" a="1"/>
  <c r="D42" i="16" a="1"/>
  <c r="E42" i="16" a="1"/>
  <c r="F42" i="16" a="1"/>
  <c r="D43" i="16" a="1"/>
  <c r="E43" i="16" a="1"/>
  <c r="F43" i="16" a="1"/>
  <c r="D44" i="16" a="1"/>
  <c r="E44" i="16" a="1"/>
  <c r="F44" i="16" a="1"/>
  <c r="D45" i="16" a="1"/>
  <c r="F45" i="16" a="1"/>
  <c r="E45" i="16" a="1"/>
  <c r="F46" i="16" a="1"/>
  <c r="E46" i="16" a="1"/>
  <c r="D46" i="16" a="1"/>
  <c r="E47" i="16" a="1"/>
  <c r="F47" i="16" a="1"/>
  <c r="D47" i="16" a="1"/>
  <c r="D48" i="16" a="1"/>
  <c r="E48" i="16" a="1"/>
  <c r="F48" i="16" a="1"/>
  <c r="D49" i="16" a="1"/>
  <c r="F49" i="16" a="1"/>
  <c r="E49" i="16" a="1"/>
  <c r="D50" i="16" a="1"/>
  <c r="E50" i="16" a="1"/>
  <c r="F50" i="16" a="1"/>
  <c r="D51" i="16" a="1"/>
  <c r="F51" i="16" a="1"/>
  <c r="E51" i="16" a="1"/>
  <c r="E52" i="16" a="1"/>
  <c r="F52" i="16" a="1"/>
  <c r="D52" i="16" a="1"/>
  <c r="D53" i="16" a="1"/>
  <c r="E53" i="16" a="1"/>
  <c r="F53" i="16" a="1"/>
  <c r="D54" i="16" a="1"/>
  <c r="E54" i="16" a="1"/>
  <c r="F54" i="16" a="1"/>
  <c r="E55" i="16" a="1"/>
  <c r="F55" i="16" a="1"/>
  <c r="D55" i="16" a="1"/>
  <c r="F56" i="16" a="1"/>
  <c r="D56" i="16" a="1"/>
  <c r="E56" i="16" a="1"/>
  <c r="D57" i="16" a="1"/>
  <c r="F57" i="16" a="1"/>
  <c r="E57" i="16" a="1"/>
  <c r="E58" i="16" a="1"/>
  <c r="F58" i="16" a="1"/>
  <c r="D58" i="16" a="1"/>
  <c r="E59" i="16" a="1"/>
  <c r="F59" i="16" a="1"/>
  <c r="D59" i="16" a="1"/>
  <c r="F60" i="16" a="1"/>
  <c r="E60" i="16" a="1"/>
  <c r="D60" i="16" a="1"/>
  <c r="F61" i="16" a="1"/>
  <c r="E61" i="16" a="1"/>
  <c r="D61" i="16" a="1"/>
  <c r="D62" i="16" a="1"/>
  <c r="F62" i="16" a="1"/>
  <c r="E62" i="16" a="1"/>
  <c r="F63" i="16" a="1"/>
  <c r="E63" i="16" a="1"/>
  <c r="D63" i="16" a="1"/>
  <c r="D64" i="16" a="1"/>
  <c r="E64" i="16" a="1"/>
  <c r="F64" i="16" a="1"/>
  <c r="D65" i="16" a="1"/>
  <c r="F65" i="16" a="1"/>
  <c r="E65" i="16" a="1"/>
  <c r="E66" i="16" a="1"/>
  <c r="D66" i="16" a="1"/>
  <c r="F66" i="16" a="1"/>
  <c r="D67" i="16" a="1"/>
  <c r="E67" i="16" a="1"/>
  <c r="F67" i="16" a="1"/>
  <c r="D68" i="16" a="1"/>
  <c r="E68" i="16" a="1"/>
  <c r="F68" i="16" a="1"/>
  <c r="D69" i="16" a="1"/>
  <c r="F69" i="16" a="1"/>
  <c r="E69" i="16" a="1"/>
  <c r="D70" i="16" a="1"/>
  <c r="E70" i="16" a="1"/>
  <c r="F70" i="16" a="1"/>
  <c r="D71" i="16" a="1"/>
  <c r="E71" i="16" a="1"/>
  <c r="F71" i="16" a="1"/>
  <c r="F72" i="16" a="1"/>
  <c r="E72" i="16" a="1"/>
  <c r="D72" i="16" a="1"/>
  <c r="F73" i="16" a="1"/>
  <c r="E73" i="16" a="1"/>
  <c r="D73" i="16" a="1"/>
  <c r="E74" i="16" a="1"/>
  <c r="F74" i="16" a="1"/>
  <c r="D74" i="16" a="1"/>
  <c r="E75" i="16" a="1"/>
  <c r="F75" i="16" a="1"/>
  <c r="D75" i="16" a="1"/>
  <c r="F76" i="16" a="1"/>
  <c r="D76" i="16" a="1"/>
  <c r="E76" i="16" a="1"/>
  <c r="F77" i="16" a="1"/>
  <c r="E77" i="16" a="1"/>
  <c r="D77" i="16" a="1"/>
  <c r="F78" i="16" a="1"/>
  <c r="E78" i="16" a="1"/>
  <c r="D78" i="16" a="1"/>
  <c r="E79" i="16" a="1"/>
  <c r="D79" i="16" a="1"/>
  <c r="F79" i="16" a="1"/>
  <c r="F80" i="16" a="1"/>
  <c r="D80" i="16" a="1"/>
  <c r="E80" i="16" a="1"/>
  <c r="F81" i="16" a="1"/>
  <c r="E81" i="16" a="1"/>
  <c r="D81" i="16" a="1"/>
  <c r="D82" i="16" a="1"/>
  <c r="E82" i="16" a="1"/>
  <c r="F82" i="16" a="1"/>
  <c r="D83" i="16" a="1"/>
  <c r="E83" i="16" a="1"/>
  <c r="F83" i="16" a="1"/>
  <c r="D84" i="16" a="1"/>
  <c r="E84" i="16" a="1"/>
  <c r="F84" i="16" a="1"/>
  <c r="D85" i="16" a="1"/>
  <c r="E85" i="16" a="1"/>
  <c r="F85" i="16" a="1"/>
  <c r="D86" i="16" a="1"/>
  <c r="E86" i="16" a="1"/>
  <c r="F86" i="16" a="1"/>
  <c r="E87" i="16" a="1"/>
  <c r="F87" i="16" a="1"/>
  <c r="D87" i="16" a="1"/>
  <c r="D88" i="16" a="1"/>
  <c r="E88" i="16" a="1"/>
  <c r="F88" i="16" a="1"/>
  <c r="E89" i="16" a="1"/>
  <c r="F89" i="16" a="1"/>
  <c r="D89" i="16" a="1"/>
  <c r="D90" i="16" a="1"/>
  <c r="E90" i="16" a="1"/>
  <c r="F90" i="16" a="1"/>
  <c r="D91" i="16" a="1"/>
  <c r="E91" i="16" a="1"/>
  <c r="F91" i="16" a="1"/>
  <c r="E92" i="16" a="1"/>
  <c r="D92" i="16" a="1"/>
  <c r="F92" i="16" a="1"/>
  <c r="F93" i="16" a="1"/>
  <c r="D93" i="16" a="1"/>
  <c r="E93" i="16" a="1"/>
  <c r="D94" i="16" a="1"/>
  <c r="F94" i="16" a="1"/>
  <c r="E94" i="16" a="1"/>
  <c r="D95" i="16" a="1"/>
  <c r="E95" i="16" a="1"/>
  <c r="F95" i="16" a="1"/>
  <c r="D96" i="16" a="1"/>
  <c r="E96" i="16" a="1"/>
  <c r="F96" i="16" a="1"/>
  <c r="D97" i="16" a="1"/>
  <c r="E97" i="16" a="1"/>
  <c r="F97" i="16" a="1"/>
  <c r="D98" i="16" a="1"/>
  <c r="E98" i="16" a="1"/>
  <c r="F98" i="16" a="1"/>
  <c r="F99" i="16" a="1"/>
  <c r="D99" i="16" a="1"/>
  <c r="E99" i="16" a="1"/>
  <c r="D100" i="16" a="1"/>
  <c r="F100" i="16" a="1"/>
  <c r="E100" i="16" a="1"/>
  <c r="D101" i="16" a="1"/>
  <c r="F101" i="16" a="1"/>
  <c r="E101" i="16" a="1"/>
  <c r="I350" i="17"/>
  <c r="I2042" i="17"/>
  <c r="I2043" i="17"/>
  <c r="I2044" i="17"/>
  <c r="I2045" i="17"/>
  <c r="I2046" i="17"/>
  <c r="I2047" i="17"/>
  <c r="I2048" i="17"/>
  <c r="I2049" i="17"/>
  <c r="I2050" i="17"/>
  <c r="I2051" i="17"/>
  <c r="I2052" i="17"/>
  <c r="I2053" i="17"/>
  <c r="I2054" i="17"/>
  <c r="I2055" i="17"/>
  <c r="I2056" i="17"/>
  <c r="I2057" i="17"/>
  <c r="I2058" i="17"/>
  <c r="I2059" i="17"/>
  <c r="I2060" i="17"/>
  <c r="I2061" i="17"/>
  <c r="I2062" i="17"/>
  <c r="I2063" i="17"/>
  <c r="I2064" i="17"/>
  <c r="I2065" i="17"/>
  <c r="I2066" i="17"/>
  <c r="I2067" i="17"/>
  <c r="I2068" i="17"/>
  <c r="I2069" i="17"/>
  <c r="I2070" i="17"/>
  <c r="I2071" i="17"/>
  <c r="I2072" i="17"/>
  <c r="I2073" i="17"/>
  <c r="I2074" i="17"/>
  <c r="I2075" i="17"/>
  <c r="I2076" i="17"/>
  <c r="I2077" i="17"/>
  <c r="I2078" i="17"/>
  <c r="I2079" i="17"/>
  <c r="I2080" i="17"/>
  <c r="I2081" i="17"/>
  <c r="I2082" i="17"/>
  <c r="I2083" i="17"/>
  <c r="I2084" i="17"/>
  <c r="I2085" i="17"/>
  <c r="I2086" i="17"/>
  <c r="I2087" i="17"/>
  <c r="I2088" i="17"/>
  <c r="I2089" i="17"/>
  <c r="I2090" i="17"/>
  <c r="I2091" i="17"/>
  <c r="I2092" i="17"/>
  <c r="I2093" i="17"/>
  <c r="I2094" i="17"/>
  <c r="I2095" i="17"/>
  <c r="I2096" i="17"/>
  <c r="I2097" i="17"/>
  <c r="I2098" i="17"/>
  <c r="I2099" i="17"/>
  <c r="I2100" i="17"/>
  <c r="I2101" i="17"/>
  <c r="I2102" i="17"/>
  <c r="I2103" i="17"/>
  <c r="I2104" i="17"/>
  <c r="I2105" i="17"/>
  <c r="I2106" i="17"/>
  <c r="I2107" i="17"/>
  <c r="I2108" i="17"/>
  <c r="I2109" i="17"/>
  <c r="I2110" i="17"/>
  <c r="I2111" i="17"/>
  <c r="I2112" i="17"/>
  <c r="I2113" i="17"/>
  <c r="I2114" i="17"/>
  <c r="I2115" i="17"/>
  <c r="I2116" i="17"/>
  <c r="I2117" i="17"/>
  <c r="I2118" i="17"/>
  <c r="I2119" i="17"/>
  <c r="I2120" i="17"/>
  <c r="I2121" i="17"/>
  <c r="I2122" i="17"/>
  <c r="I2123" i="17"/>
  <c r="I2124" i="17"/>
  <c r="I2125" i="17"/>
  <c r="I2126" i="17"/>
  <c r="I2127" i="17"/>
  <c r="I2128" i="17"/>
  <c r="I2129" i="17"/>
  <c r="I2130" i="17"/>
  <c r="I2131" i="17"/>
  <c r="I2132" i="17"/>
  <c r="I2133" i="17"/>
  <c r="I2134" i="17"/>
  <c r="I2135" i="17"/>
  <c r="I2136" i="17"/>
  <c r="I2137" i="17"/>
  <c r="I2138" i="17"/>
  <c r="I2139" i="17"/>
  <c r="I2140" i="17"/>
  <c r="I2141" i="17"/>
  <c r="I2142" i="17"/>
  <c r="I2143" i="17"/>
  <c r="I2144" i="17"/>
  <c r="I2145" i="17"/>
  <c r="I2146" i="17"/>
  <c r="I2147" i="17"/>
  <c r="I2148" i="17"/>
  <c r="I2149" i="17"/>
  <c r="I2150" i="17"/>
  <c r="I2151" i="17"/>
  <c r="I2152" i="17"/>
  <c r="I2153" i="17"/>
  <c r="I2154" i="17"/>
  <c r="I2155" i="17"/>
  <c r="I2156" i="17"/>
  <c r="I2157" i="17"/>
  <c r="I2158" i="17"/>
  <c r="I2159" i="17"/>
  <c r="I2160" i="17"/>
  <c r="I2161" i="17"/>
  <c r="I2162" i="17"/>
  <c r="I2163" i="17"/>
  <c r="I2164" i="17"/>
  <c r="I2165" i="17"/>
  <c r="I2166" i="17"/>
  <c r="I2167" i="17"/>
  <c r="I2168" i="17"/>
  <c r="I2169" i="17"/>
  <c r="I2170" i="17"/>
  <c r="I2171" i="17"/>
  <c r="I2172" i="17"/>
  <c r="I2173" i="17"/>
  <c r="I2174" i="17"/>
  <c r="I2175" i="17"/>
  <c r="I2176" i="17"/>
  <c r="I2177" i="17"/>
  <c r="I2178" i="17"/>
  <c r="I2179" i="17"/>
  <c r="I2180" i="17"/>
  <c r="I2181" i="17"/>
  <c r="I2182" i="17"/>
  <c r="I2183" i="17"/>
  <c r="I2184" i="17"/>
  <c r="I2185" i="17"/>
  <c r="I2186" i="17"/>
  <c r="I2187" i="17"/>
  <c r="I2188" i="17"/>
  <c r="I2189" i="17"/>
  <c r="I2190" i="17"/>
  <c r="I2191" i="17"/>
  <c r="I2192" i="17"/>
  <c r="I2193" i="17"/>
  <c r="I2194" i="17"/>
  <c r="I2195" i="17"/>
  <c r="I2196" i="17"/>
  <c r="I2197" i="17"/>
  <c r="I2198" i="17"/>
  <c r="I2199" i="17"/>
  <c r="I2200" i="17"/>
  <c r="I2201" i="17"/>
  <c r="I2202" i="17"/>
  <c r="I2203" i="17"/>
  <c r="I2204" i="17"/>
  <c r="I2205" i="17"/>
  <c r="I2206" i="17"/>
  <c r="I2207" i="17"/>
  <c r="I2208" i="17"/>
  <c r="I2209" i="17"/>
  <c r="I2210" i="17"/>
  <c r="I2211" i="17"/>
  <c r="I2212" i="17"/>
  <c r="I2213" i="17"/>
  <c r="I2214" i="17"/>
  <c r="I2215" i="17"/>
  <c r="I2216" i="17"/>
  <c r="I2217" i="17"/>
  <c r="I2218" i="17"/>
  <c r="I2219" i="17"/>
  <c r="I2220" i="17"/>
  <c r="I2221" i="17"/>
  <c r="I2222" i="17"/>
  <c r="I2223" i="17"/>
  <c r="I2224" i="17"/>
  <c r="I2225" i="17"/>
  <c r="I2226" i="17"/>
  <c r="I2227" i="17"/>
  <c r="I2228" i="17"/>
  <c r="I2229" i="17"/>
  <c r="I2230" i="17"/>
  <c r="I2231" i="17"/>
  <c r="I2232" i="17"/>
  <c r="I2233" i="17"/>
  <c r="I2234" i="17"/>
  <c r="I2235" i="17"/>
  <c r="I2236" i="17"/>
  <c r="I2237" i="17"/>
  <c r="I2238" i="17"/>
  <c r="I2239" i="17"/>
  <c r="I2240" i="17"/>
  <c r="I2241" i="17"/>
  <c r="I2242" i="17"/>
  <c r="I2243" i="17"/>
  <c r="I2244" i="17"/>
  <c r="I2245" i="17"/>
  <c r="I2246" i="17"/>
  <c r="I2247" i="17"/>
  <c r="I2248" i="17"/>
  <c r="I2249" i="17"/>
  <c r="I2250" i="17"/>
  <c r="I2251" i="17"/>
  <c r="I2252" i="17"/>
  <c r="I2253" i="17"/>
  <c r="I2254" i="17"/>
  <c r="I2255" i="17"/>
  <c r="I2256" i="17"/>
  <c r="I2257" i="17"/>
  <c r="I2258" i="17"/>
  <c r="I2259" i="17"/>
  <c r="I2260" i="17"/>
  <c r="I2261" i="17"/>
  <c r="I2262" i="17"/>
  <c r="I2263" i="17"/>
  <c r="I2264" i="17"/>
  <c r="I2265" i="17"/>
  <c r="I2266" i="17"/>
  <c r="I2267" i="17"/>
  <c r="I2268" i="17"/>
  <c r="I2269" i="17"/>
  <c r="I2270" i="17"/>
  <c r="I2271" i="17"/>
  <c r="I2272" i="17"/>
  <c r="I2273" i="17"/>
  <c r="I2274" i="17"/>
  <c r="I2275" i="17"/>
  <c r="I2276" i="17"/>
  <c r="I2277" i="17"/>
  <c r="I2278" i="17"/>
  <c r="I2279" i="17"/>
  <c r="I2280" i="17"/>
  <c r="I2281" i="17"/>
  <c r="I2282" i="17"/>
  <c r="I2283" i="17"/>
  <c r="I2284" i="17"/>
  <c r="I2285" i="17"/>
  <c r="I2286" i="17"/>
  <c r="I2287" i="17"/>
  <c r="I2288" i="17"/>
  <c r="I2289" i="17"/>
  <c r="I2290" i="17"/>
  <c r="I2291" i="17"/>
  <c r="I2292" i="17"/>
  <c r="I2293" i="17"/>
  <c r="I2294" i="17"/>
  <c r="I2295" i="17"/>
  <c r="I2296" i="17"/>
  <c r="I2297" i="17"/>
  <c r="I2298" i="17"/>
  <c r="I2299" i="17"/>
  <c r="I2300" i="17"/>
  <c r="I2301" i="17"/>
  <c r="I2302" i="17"/>
  <c r="I2303" i="17"/>
  <c r="I2304" i="17"/>
  <c r="I2305" i="17"/>
  <c r="I2306" i="17"/>
  <c r="I2307" i="17"/>
  <c r="I2308" i="17"/>
  <c r="I2309" i="17"/>
  <c r="I2310" i="17"/>
  <c r="I2311" i="17"/>
  <c r="I2312" i="17"/>
  <c r="I2313" i="17"/>
  <c r="I2314" i="17"/>
  <c r="I2315" i="17"/>
  <c r="I2316" i="17"/>
  <c r="I2317" i="17"/>
  <c r="I2318" i="17"/>
  <c r="I2319" i="17"/>
  <c r="I2320" i="17"/>
  <c r="I2321" i="17"/>
  <c r="I2322" i="17"/>
  <c r="I2323" i="17"/>
  <c r="I2324" i="17"/>
  <c r="I2325" i="17"/>
  <c r="I2326" i="17"/>
  <c r="I2327" i="17"/>
  <c r="I2328" i="17"/>
  <c r="I2329" i="17"/>
  <c r="I2330" i="17"/>
  <c r="I2331" i="17"/>
  <c r="I2332" i="17"/>
  <c r="I2333" i="17"/>
  <c r="I2334" i="17"/>
  <c r="I2335" i="17"/>
  <c r="I2336" i="17"/>
  <c r="I2337" i="17"/>
  <c r="I2338" i="17"/>
  <c r="I2339" i="17"/>
  <c r="I2340" i="17"/>
  <c r="I2341" i="17"/>
  <c r="I2342" i="17"/>
  <c r="I2343" i="17"/>
  <c r="I2344" i="17"/>
  <c r="I2345" i="17"/>
  <c r="I2346" i="17"/>
  <c r="I2347" i="17"/>
  <c r="I2348" i="17"/>
  <c r="I2349" i="17"/>
  <c r="I2350"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1002" i="17"/>
  <c r="I1003" i="17"/>
  <c r="I1004" i="17"/>
  <c r="I1005" i="17"/>
  <c r="I1006" i="17"/>
  <c r="I1007" i="17"/>
  <c r="I1008" i="17"/>
  <c r="I1009" i="17"/>
  <c r="I1010" i="17"/>
  <c r="I1011" i="17"/>
  <c r="I1012" i="17"/>
  <c r="I1013" i="17"/>
  <c r="I1014" i="17"/>
  <c r="I1015" i="17"/>
  <c r="I1016" i="17"/>
  <c r="I1017" i="17"/>
  <c r="I1018" i="17"/>
  <c r="I1019" i="17"/>
  <c r="I1020" i="17"/>
  <c r="I1021" i="17"/>
  <c r="I1022" i="17"/>
  <c r="I1023" i="17"/>
  <c r="I1024" i="17"/>
  <c r="I1025" i="17"/>
  <c r="I1026" i="17"/>
  <c r="I1027" i="17"/>
  <c r="I1028" i="17"/>
  <c r="I1029" i="17"/>
  <c r="I1030" i="17"/>
  <c r="I1031" i="17"/>
  <c r="I1032" i="17"/>
  <c r="I1033" i="17"/>
  <c r="I1034" i="17"/>
  <c r="I1035" i="17"/>
  <c r="I1036" i="17"/>
  <c r="I1037" i="17"/>
  <c r="I1038" i="17"/>
  <c r="I1039" i="17"/>
  <c r="I1040" i="17"/>
  <c r="I1041" i="17"/>
  <c r="I1042" i="17"/>
  <c r="I1043" i="17"/>
  <c r="I1044" i="17"/>
  <c r="I1045" i="17"/>
  <c r="I1046" i="17"/>
  <c r="I1047" i="17"/>
  <c r="I1048" i="17"/>
  <c r="I1049" i="17"/>
  <c r="I1050" i="17"/>
  <c r="I1051" i="17"/>
  <c r="I1052" i="17"/>
  <c r="I1053" i="17"/>
  <c r="I1054" i="17"/>
  <c r="I1055" i="17"/>
  <c r="I1056" i="17"/>
  <c r="I1057" i="17"/>
  <c r="I1058" i="17"/>
  <c r="I1059" i="17"/>
  <c r="I1060" i="17"/>
  <c r="I1061" i="17"/>
  <c r="I1062" i="17"/>
  <c r="I1063" i="17"/>
  <c r="I1064" i="17"/>
  <c r="I1065" i="17"/>
  <c r="I1066" i="17"/>
  <c r="I1067" i="17"/>
  <c r="I1068" i="17"/>
  <c r="I1069" i="17"/>
  <c r="I1070" i="17"/>
  <c r="I1071" i="17"/>
  <c r="I1072" i="17"/>
  <c r="I1073" i="17"/>
  <c r="I1074" i="17"/>
  <c r="I1075" i="17"/>
  <c r="I1076" i="17"/>
  <c r="I1077" i="17"/>
  <c r="I1078" i="17"/>
  <c r="I1079" i="17"/>
  <c r="I1080" i="17"/>
  <c r="I1081" i="17"/>
  <c r="I1082" i="17"/>
  <c r="I1083" i="17"/>
  <c r="I1084" i="17"/>
  <c r="I1085" i="17"/>
  <c r="I1086" i="17"/>
  <c r="I1087" i="17"/>
  <c r="I1088" i="17"/>
  <c r="I1089" i="17"/>
  <c r="I1090" i="17"/>
  <c r="I1091" i="17"/>
  <c r="I1092" i="17"/>
  <c r="I1093" i="17"/>
  <c r="I1094" i="17"/>
  <c r="I1095" i="17"/>
  <c r="I1096" i="17"/>
  <c r="I1097" i="17"/>
  <c r="I1098" i="17"/>
  <c r="I1099" i="17"/>
  <c r="I1100" i="17"/>
  <c r="I1101" i="17"/>
  <c r="I1102" i="17"/>
  <c r="I1103" i="17"/>
  <c r="I1104" i="17"/>
  <c r="I1105" i="17"/>
  <c r="I1106" i="17"/>
  <c r="I1107" i="17"/>
  <c r="I1108" i="17"/>
  <c r="I1109" i="17"/>
  <c r="I1110" i="17"/>
  <c r="I1111" i="17"/>
  <c r="I1112" i="17"/>
  <c r="I1113" i="17"/>
  <c r="I1114" i="17"/>
  <c r="I1115" i="17"/>
  <c r="I1116" i="17"/>
  <c r="I1117" i="17"/>
  <c r="I1118" i="17"/>
  <c r="I1119" i="17"/>
  <c r="I1120" i="17"/>
  <c r="I1121" i="17"/>
  <c r="I1122" i="17"/>
  <c r="I1123" i="17"/>
  <c r="I1124" i="17"/>
  <c r="I1125" i="17"/>
  <c r="I1126" i="17"/>
  <c r="I1127" i="17"/>
  <c r="I1128" i="17"/>
  <c r="I1129" i="17"/>
  <c r="I1130" i="17"/>
  <c r="I1131" i="17"/>
  <c r="I1132" i="17"/>
  <c r="I1133" i="17"/>
  <c r="I1134" i="17"/>
  <c r="I1135" i="17"/>
  <c r="I1136" i="17"/>
  <c r="I1137" i="17"/>
  <c r="I1138" i="17"/>
  <c r="I1139" i="17"/>
  <c r="I1140" i="17"/>
  <c r="I1141" i="17"/>
  <c r="I1142" i="17"/>
  <c r="I1143" i="17"/>
  <c r="I1144" i="17"/>
  <c r="I1145" i="17"/>
  <c r="I1146" i="17"/>
  <c r="I1147" i="17"/>
  <c r="I1148" i="17"/>
  <c r="I1149" i="17"/>
  <c r="I1150" i="17"/>
  <c r="I1151" i="17"/>
  <c r="I1152" i="17"/>
  <c r="I1153" i="17"/>
  <c r="I1154" i="17"/>
  <c r="I1155" i="17"/>
  <c r="I1156" i="17"/>
  <c r="I1157" i="17"/>
  <c r="I1158" i="17"/>
  <c r="I1159" i="17"/>
  <c r="I1160" i="17"/>
  <c r="I1161" i="17"/>
  <c r="I1162" i="17"/>
  <c r="I1163" i="17"/>
  <c r="I1164" i="17"/>
  <c r="I1165" i="17"/>
  <c r="I1166" i="17"/>
  <c r="I1167" i="17"/>
  <c r="I1168" i="17"/>
  <c r="I1169" i="17"/>
  <c r="I1170" i="17"/>
  <c r="I1171" i="17"/>
  <c r="I1172" i="17"/>
  <c r="I1173" i="17"/>
  <c r="I1174" i="17"/>
  <c r="I1175" i="17"/>
  <c r="I1176" i="17"/>
  <c r="I1177" i="17"/>
  <c r="I1178" i="17"/>
  <c r="I1179" i="17"/>
  <c r="I1180" i="17"/>
  <c r="I1181" i="17"/>
  <c r="I1182" i="17"/>
  <c r="I1183" i="17"/>
  <c r="I1184" i="17"/>
  <c r="I1185" i="17"/>
  <c r="I1186" i="17"/>
  <c r="I1187" i="17"/>
  <c r="I1188" i="17"/>
  <c r="I1189" i="17"/>
  <c r="I1190" i="17"/>
  <c r="I1191" i="17"/>
  <c r="I1192" i="17"/>
  <c r="I1193" i="17"/>
  <c r="I1194" i="17"/>
  <c r="I1195" i="17"/>
  <c r="I1196" i="17"/>
  <c r="I1197" i="17"/>
  <c r="I1198" i="17"/>
  <c r="I1199" i="17"/>
  <c r="I1200" i="17"/>
  <c r="I1201" i="17"/>
  <c r="I1202" i="17"/>
  <c r="I1203" i="17"/>
  <c r="I1204" i="17"/>
  <c r="I1205" i="17"/>
  <c r="I1206" i="17"/>
  <c r="I1207" i="17"/>
  <c r="I1208" i="17"/>
  <c r="I1209" i="17"/>
  <c r="I1210" i="17"/>
  <c r="I1211" i="17"/>
  <c r="I1212" i="17"/>
  <c r="I1213" i="17"/>
  <c r="I1214" i="17"/>
  <c r="I1215" i="17"/>
  <c r="I1216" i="17"/>
  <c r="I1217" i="17"/>
  <c r="I1218" i="17"/>
  <c r="I1219" i="17"/>
  <c r="I1220" i="17"/>
  <c r="I1221" i="17"/>
  <c r="I1222" i="17"/>
  <c r="I1223" i="17"/>
  <c r="I1224" i="17"/>
  <c r="I1225" i="17"/>
  <c r="I1226" i="17"/>
  <c r="I1227" i="17"/>
  <c r="I1228" i="17"/>
  <c r="I1229" i="17"/>
  <c r="I1230" i="17"/>
  <c r="I1231" i="17"/>
  <c r="I1232" i="17"/>
  <c r="I1233" i="17"/>
  <c r="I1234" i="17"/>
  <c r="I1235" i="17"/>
  <c r="I1236" i="17"/>
  <c r="I1237" i="17"/>
  <c r="I1238" i="17"/>
  <c r="I1239" i="17"/>
  <c r="I1240" i="17"/>
  <c r="I1241" i="17"/>
  <c r="I1242" i="17"/>
  <c r="I1243" i="17"/>
  <c r="I1244" i="17"/>
  <c r="I1245" i="17"/>
  <c r="I1246" i="17"/>
  <c r="I1247" i="17"/>
  <c r="I1248" i="17"/>
  <c r="I1249" i="17"/>
  <c r="I1250" i="17"/>
  <c r="I1251" i="17"/>
  <c r="I1252" i="17"/>
  <c r="I1253" i="17"/>
  <c r="I1254" i="17"/>
  <c r="I1255" i="17"/>
  <c r="I1256" i="17"/>
  <c r="I1257" i="17"/>
  <c r="I1258" i="17"/>
  <c r="I1259" i="17"/>
  <c r="I1260" i="17"/>
  <c r="I1261" i="17"/>
  <c r="I1262" i="17"/>
  <c r="I1263" i="17"/>
  <c r="I1264" i="17"/>
  <c r="I1265" i="17"/>
  <c r="I1266" i="17"/>
  <c r="I1267" i="17"/>
  <c r="I1268" i="17"/>
  <c r="I1269" i="17"/>
  <c r="I1270" i="17"/>
  <c r="I1271" i="17"/>
  <c r="I1272" i="17"/>
  <c r="I1273" i="17"/>
  <c r="I1274" i="17"/>
  <c r="I1275" i="17"/>
  <c r="I1276" i="17"/>
  <c r="I1277" i="17"/>
  <c r="I1278" i="17"/>
  <c r="I1279" i="17"/>
  <c r="I1280" i="17"/>
  <c r="I1281" i="17"/>
  <c r="I1282" i="17"/>
  <c r="I1283" i="17"/>
  <c r="I1284" i="17"/>
  <c r="I1285" i="17"/>
  <c r="I1286" i="17"/>
  <c r="I1287" i="17"/>
  <c r="I1288" i="17"/>
  <c r="I1289" i="17"/>
  <c r="I1290" i="17"/>
  <c r="I1291" i="17"/>
  <c r="I1292" i="17"/>
  <c r="I1293" i="17"/>
  <c r="I1294" i="17"/>
  <c r="I1295" i="17"/>
  <c r="I1296" i="17"/>
  <c r="I1297" i="17"/>
  <c r="I1298" i="17"/>
  <c r="I1299" i="17"/>
  <c r="I1300" i="17"/>
  <c r="I1301" i="17"/>
  <c r="I1302" i="17"/>
  <c r="I1303" i="17"/>
  <c r="I1304" i="17"/>
  <c r="I1305" i="17"/>
  <c r="I1306" i="17"/>
  <c r="I1307" i="17"/>
  <c r="I1308" i="17"/>
  <c r="I1309" i="17"/>
  <c r="I1310" i="17"/>
  <c r="I1311" i="17"/>
  <c r="I1312" i="17"/>
  <c r="I1313" i="17"/>
  <c r="I1314" i="17"/>
  <c r="I1315" i="17"/>
  <c r="I1316" i="17"/>
  <c r="I1317" i="17"/>
  <c r="I1318" i="17"/>
  <c r="I1319" i="17"/>
  <c r="I1320" i="17"/>
  <c r="I1321" i="17"/>
  <c r="I1322" i="17"/>
  <c r="I1323" i="17"/>
  <c r="I1324" i="17"/>
  <c r="I1325" i="17"/>
  <c r="I1326" i="17"/>
  <c r="I1327" i="17"/>
  <c r="I1328" i="17"/>
  <c r="I1329" i="17"/>
  <c r="I1330" i="17"/>
  <c r="I1331" i="17"/>
  <c r="I1332" i="17"/>
  <c r="I1333" i="17"/>
  <c r="I1334" i="17"/>
  <c r="I1335" i="17"/>
  <c r="I1336" i="17"/>
  <c r="I1337" i="17"/>
  <c r="I1338" i="17"/>
  <c r="I1339" i="17"/>
  <c r="I1340" i="17"/>
  <c r="I1341" i="17"/>
  <c r="I1342" i="17"/>
  <c r="I1343" i="17"/>
  <c r="I1344" i="17"/>
  <c r="I1345" i="17"/>
  <c r="I1346" i="17"/>
  <c r="I1347" i="17"/>
  <c r="I1348" i="17"/>
  <c r="I1349" i="17"/>
  <c r="I1350" i="17"/>
  <c r="I1351" i="17"/>
  <c r="I1352" i="17"/>
  <c r="I1353" i="17"/>
  <c r="I1354" i="17"/>
  <c r="I1355" i="17"/>
  <c r="I1356" i="17"/>
  <c r="I1357" i="17"/>
  <c r="I1358" i="17"/>
  <c r="I1359" i="17"/>
  <c r="I1360" i="17"/>
  <c r="I1361" i="17"/>
  <c r="I1362" i="17"/>
  <c r="I1363" i="17"/>
  <c r="I1364" i="17"/>
  <c r="I1365" i="17"/>
  <c r="I1366" i="17"/>
  <c r="I1367" i="17"/>
  <c r="I1368" i="17"/>
  <c r="I1369" i="17"/>
  <c r="I1370" i="17"/>
  <c r="I1371" i="17"/>
  <c r="I1372" i="17"/>
  <c r="I1373" i="17"/>
  <c r="I1374" i="17"/>
  <c r="I1375" i="17"/>
  <c r="I1376" i="17"/>
  <c r="I1377" i="17"/>
  <c r="I1378" i="17"/>
  <c r="I1379" i="17"/>
  <c r="I1380" i="17"/>
  <c r="I1381" i="17"/>
  <c r="I1382" i="17"/>
  <c r="I1383" i="17"/>
  <c r="I1384" i="17"/>
  <c r="I1385" i="17"/>
  <c r="I1386" i="17"/>
  <c r="I1387" i="17"/>
  <c r="I1388" i="17"/>
  <c r="I1389" i="17"/>
  <c r="I1390" i="17"/>
  <c r="I1391" i="17"/>
  <c r="I1392" i="17"/>
  <c r="I1393" i="17"/>
  <c r="I1394" i="17"/>
  <c r="I1395" i="17"/>
  <c r="I1396" i="17"/>
  <c r="I1397" i="17"/>
  <c r="I1398" i="17"/>
  <c r="I1399" i="17"/>
  <c r="I1400" i="17"/>
  <c r="I1401" i="17"/>
  <c r="I1402" i="17"/>
  <c r="I1403" i="17"/>
  <c r="I1404" i="17"/>
  <c r="I1405" i="17"/>
  <c r="I1406" i="17"/>
  <c r="I1407" i="17"/>
  <c r="I1408" i="17"/>
  <c r="I1409" i="17"/>
  <c r="I1410" i="17"/>
  <c r="I1411" i="17"/>
  <c r="I1412" i="17"/>
  <c r="I1413" i="17"/>
  <c r="I1414" i="17"/>
  <c r="I1415" i="17"/>
  <c r="I1416" i="17"/>
  <c r="I1417" i="17"/>
  <c r="I1418" i="17"/>
  <c r="I1419" i="17"/>
  <c r="I1420" i="17"/>
  <c r="I1421" i="17"/>
  <c r="I1422" i="17"/>
  <c r="I1423" i="17"/>
  <c r="I1424" i="17"/>
  <c r="I1425" i="17"/>
  <c r="I1426" i="17"/>
  <c r="I1427" i="17"/>
  <c r="I1428" i="17"/>
  <c r="I1429" i="17"/>
  <c r="I1430" i="17"/>
  <c r="I1431" i="17"/>
  <c r="I1432" i="17"/>
  <c r="I1433" i="17"/>
  <c r="I1434" i="17"/>
  <c r="I1435" i="17"/>
  <c r="I1436" i="17"/>
  <c r="I1437" i="17"/>
  <c r="I1438" i="17"/>
  <c r="I1439" i="17"/>
  <c r="I1440" i="17"/>
  <c r="I1441" i="17"/>
  <c r="I1442" i="17"/>
  <c r="I1443" i="17"/>
  <c r="I1444" i="17"/>
  <c r="I1445" i="17"/>
  <c r="I1446" i="17"/>
  <c r="I1447" i="17"/>
  <c r="I1448" i="17"/>
  <c r="I1449" i="17"/>
  <c r="I1450" i="17"/>
  <c r="I1451" i="17"/>
  <c r="I1452" i="17"/>
  <c r="I1453" i="17"/>
  <c r="I1454" i="17"/>
  <c r="I1455" i="17"/>
  <c r="I1456" i="17"/>
  <c r="I1457" i="17"/>
  <c r="I1458" i="17"/>
  <c r="I1459" i="17"/>
  <c r="I1460" i="17"/>
  <c r="I1461" i="17"/>
  <c r="I1462" i="17"/>
  <c r="I1463" i="17"/>
  <c r="I1464" i="17"/>
  <c r="I1465" i="17"/>
  <c r="I1466" i="17"/>
  <c r="I1467" i="17"/>
  <c r="I1468" i="17"/>
  <c r="I1469" i="17"/>
  <c r="I1470" i="17"/>
  <c r="I1471" i="17"/>
  <c r="I1472" i="17"/>
  <c r="I1473" i="17"/>
  <c r="I1474" i="17"/>
  <c r="I1475" i="17"/>
  <c r="I1476" i="17"/>
  <c r="I1477" i="17"/>
  <c r="I1478" i="17"/>
  <c r="I1479" i="17"/>
  <c r="I1480" i="17"/>
  <c r="I1481" i="17"/>
  <c r="I1482" i="17"/>
  <c r="I1483" i="17"/>
  <c r="I1484" i="17"/>
  <c r="I1485" i="17"/>
  <c r="I1486" i="17"/>
  <c r="I1487" i="17"/>
  <c r="I1488" i="17"/>
  <c r="I1489" i="17"/>
  <c r="I1490" i="17"/>
  <c r="I1491" i="17"/>
  <c r="I1492" i="17"/>
  <c r="I1493" i="17"/>
  <c r="I1494" i="17"/>
  <c r="I1495" i="17"/>
  <c r="I1496" i="17"/>
  <c r="I1497" i="17"/>
  <c r="I1498" i="17"/>
  <c r="I1499" i="17"/>
  <c r="I1500" i="17"/>
  <c r="I1501" i="17"/>
  <c r="I1502" i="17"/>
  <c r="I1503" i="17"/>
  <c r="I1504" i="17"/>
  <c r="I1505" i="17"/>
  <c r="I1506" i="17"/>
  <c r="I1507" i="17"/>
  <c r="I1508" i="17"/>
  <c r="I1509" i="17"/>
  <c r="I1510" i="17"/>
  <c r="I1511" i="17"/>
  <c r="I1512" i="17"/>
  <c r="I1513" i="17"/>
  <c r="I1514" i="17"/>
  <c r="I1515" i="17"/>
  <c r="I1516" i="17"/>
  <c r="I1517" i="17"/>
  <c r="I1518" i="17"/>
  <c r="I1519" i="17"/>
  <c r="I1520" i="17"/>
  <c r="I1521" i="17"/>
  <c r="I1522" i="17"/>
  <c r="I1523" i="17"/>
  <c r="I1524" i="17"/>
  <c r="I1525" i="17"/>
  <c r="I1526" i="17"/>
  <c r="I1527" i="17"/>
  <c r="I1528" i="17"/>
  <c r="I1529" i="17"/>
  <c r="I1530" i="17"/>
  <c r="I1531" i="17"/>
  <c r="I1532" i="17"/>
  <c r="I1533" i="17"/>
  <c r="I1534" i="17"/>
  <c r="I1535" i="17"/>
  <c r="I1536" i="17"/>
  <c r="I1537" i="17"/>
  <c r="I1538" i="17"/>
  <c r="I1539" i="17"/>
  <c r="I1540" i="17"/>
  <c r="I1541" i="17"/>
  <c r="I1542" i="17"/>
  <c r="I1543" i="17"/>
  <c r="I1544" i="17"/>
  <c r="I1545" i="17"/>
  <c r="I1546" i="17"/>
  <c r="I1547" i="17"/>
  <c r="I1548" i="17"/>
  <c r="I1549" i="17"/>
  <c r="I1550" i="17"/>
  <c r="I1551" i="17"/>
  <c r="I1552" i="17"/>
  <c r="I1553" i="17"/>
  <c r="I1554" i="17"/>
  <c r="I1555" i="17"/>
  <c r="I1556" i="17"/>
  <c r="I1557" i="17"/>
  <c r="I1558" i="17"/>
  <c r="I1559" i="17"/>
  <c r="I1560" i="17"/>
  <c r="I1561" i="17"/>
  <c r="I1562" i="17"/>
  <c r="I1563" i="17"/>
  <c r="I1564" i="17"/>
  <c r="I1565" i="17"/>
  <c r="I1566" i="17"/>
  <c r="I1567" i="17"/>
  <c r="I1568" i="17"/>
  <c r="I1569" i="17"/>
  <c r="I1570" i="17"/>
  <c r="I1571" i="17"/>
  <c r="I1572" i="17"/>
  <c r="I1573" i="17"/>
  <c r="I1574" i="17"/>
  <c r="I1575" i="17"/>
  <c r="I1576" i="17"/>
  <c r="I1577" i="17"/>
  <c r="I1578" i="17"/>
  <c r="I1579" i="17"/>
  <c r="I1580" i="17"/>
  <c r="I1581" i="17"/>
  <c r="I1582" i="17"/>
  <c r="I1583" i="17"/>
  <c r="I1584" i="17"/>
  <c r="I1585" i="17"/>
  <c r="I1586" i="17"/>
  <c r="I1587" i="17"/>
  <c r="I1588" i="17"/>
  <c r="I1589" i="17"/>
  <c r="I1590" i="17"/>
  <c r="I1591" i="17"/>
  <c r="I1592" i="17"/>
  <c r="I1593" i="17"/>
  <c r="I1594" i="17"/>
  <c r="I1595" i="17"/>
  <c r="I1596" i="17"/>
  <c r="I1597" i="17"/>
  <c r="I1598" i="17"/>
  <c r="I1599" i="17"/>
  <c r="I1600" i="17"/>
  <c r="I1601" i="17"/>
  <c r="I1602" i="17"/>
  <c r="I1603" i="17"/>
  <c r="I1604" i="17"/>
  <c r="I1605" i="17"/>
  <c r="I1606" i="17"/>
  <c r="I1607" i="17"/>
  <c r="I1608" i="17"/>
  <c r="I1609" i="17"/>
  <c r="I1610" i="17"/>
  <c r="I1611" i="17"/>
  <c r="I1612" i="17"/>
  <c r="I1613" i="17"/>
  <c r="I1614" i="17"/>
  <c r="I1615" i="17"/>
  <c r="I1616" i="17"/>
  <c r="I1617" i="17"/>
  <c r="I1618" i="17"/>
  <c r="I1619" i="17"/>
  <c r="I1620" i="17"/>
  <c r="I1621" i="17"/>
  <c r="I1622" i="17"/>
  <c r="I1623" i="17"/>
  <c r="I1624" i="17"/>
  <c r="I1625" i="17"/>
  <c r="I1626" i="17"/>
  <c r="I1627" i="17"/>
  <c r="I1628" i="17"/>
  <c r="I1629" i="17"/>
  <c r="I1630" i="17"/>
  <c r="I1631" i="17"/>
  <c r="I1632" i="17"/>
  <c r="I1633" i="17"/>
  <c r="I1634" i="17"/>
  <c r="I1635" i="17"/>
  <c r="I1636" i="17"/>
  <c r="I1637" i="17"/>
  <c r="I1638" i="17"/>
  <c r="I1639" i="17"/>
  <c r="I1640" i="17"/>
  <c r="I1641" i="17"/>
  <c r="I1642" i="17"/>
  <c r="I1643" i="17"/>
  <c r="I1644" i="17"/>
  <c r="I1645" i="17"/>
  <c r="I1646" i="17"/>
  <c r="I1647" i="17"/>
  <c r="I1648" i="17"/>
  <c r="I1649" i="17"/>
  <c r="I1650" i="17"/>
  <c r="I1651" i="17"/>
  <c r="I1652" i="17"/>
  <c r="I1653" i="17"/>
  <c r="I1654" i="17"/>
  <c r="I1655" i="17"/>
  <c r="I1656" i="17"/>
  <c r="I1657" i="17"/>
  <c r="I1658" i="17"/>
  <c r="I1659" i="17"/>
  <c r="I1660" i="17"/>
  <c r="I1661" i="17"/>
  <c r="I1662" i="17"/>
  <c r="I1663" i="17"/>
  <c r="I1664" i="17"/>
  <c r="I1665" i="17"/>
  <c r="I1666" i="17"/>
  <c r="I1667" i="17"/>
  <c r="I1668" i="17"/>
  <c r="I1669" i="17"/>
  <c r="I1670" i="17"/>
  <c r="I1671" i="17"/>
  <c r="I1672" i="17"/>
  <c r="I1673" i="17"/>
  <c r="I1674" i="17"/>
  <c r="I1675" i="17"/>
  <c r="I1676" i="17"/>
  <c r="I1677" i="17"/>
  <c r="I1678" i="17"/>
  <c r="I1679" i="17"/>
  <c r="I1680" i="17"/>
  <c r="I1681" i="17"/>
  <c r="I1682" i="17"/>
  <c r="I1683" i="17"/>
  <c r="I1684" i="17"/>
  <c r="I1685" i="17"/>
  <c r="I1686" i="17"/>
  <c r="I1687" i="17"/>
  <c r="I1688" i="17"/>
  <c r="I1689" i="17"/>
  <c r="I1690" i="17"/>
  <c r="I1691" i="17"/>
  <c r="I1692" i="17"/>
  <c r="I1693" i="17"/>
  <c r="I1694" i="17"/>
  <c r="I1695" i="17"/>
  <c r="I1696" i="17"/>
  <c r="I1697" i="17"/>
  <c r="I1698" i="17"/>
  <c r="I1699" i="17"/>
  <c r="I1700" i="17"/>
  <c r="I1701" i="17"/>
  <c r="I1702" i="17"/>
  <c r="I1703" i="17"/>
  <c r="I1704" i="17"/>
  <c r="I1705" i="17"/>
  <c r="I1706" i="17"/>
  <c r="I1707" i="17"/>
  <c r="I1708" i="17"/>
  <c r="I1709" i="17"/>
  <c r="I1710" i="17"/>
  <c r="I1711" i="17"/>
  <c r="I1712" i="17"/>
  <c r="I1713" i="17"/>
  <c r="I1714" i="17"/>
  <c r="I1715" i="17"/>
  <c r="I1716" i="17"/>
  <c r="I1717" i="17"/>
  <c r="I1718" i="17"/>
  <c r="I1719" i="17"/>
  <c r="I1720" i="17"/>
  <c r="I1721" i="17"/>
  <c r="I1722" i="17"/>
  <c r="I1723" i="17"/>
  <c r="I1724" i="17"/>
  <c r="I1725" i="17"/>
  <c r="I1726" i="17"/>
  <c r="I1727" i="17"/>
  <c r="I1728" i="17"/>
  <c r="I1729" i="17"/>
  <c r="I1730" i="17"/>
  <c r="I1731" i="17"/>
  <c r="I1732" i="17"/>
  <c r="I1733" i="17"/>
  <c r="I1734" i="17"/>
  <c r="I1735" i="17"/>
  <c r="I1736" i="17"/>
  <c r="I1737" i="17"/>
  <c r="I1738" i="17"/>
  <c r="I1739" i="17"/>
  <c r="I1740" i="17"/>
  <c r="I1741" i="17"/>
  <c r="I1742" i="17"/>
  <c r="I1743" i="17"/>
  <c r="I1744" i="17"/>
  <c r="I1745" i="17"/>
  <c r="I1746" i="17"/>
  <c r="I1747" i="17"/>
  <c r="I1748" i="17"/>
  <c r="I1749" i="17"/>
  <c r="I1750" i="17"/>
  <c r="I1751" i="17"/>
  <c r="I1752" i="17"/>
  <c r="I1753" i="17"/>
  <c r="I1754" i="17"/>
  <c r="I1755" i="17"/>
  <c r="I1756" i="17"/>
  <c r="I1757" i="17"/>
  <c r="I1758" i="17"/>
  <c r="I1759" i="17"/>
  <c r="I1760" i="17"/>
  <c r="I1761" i="17"/>
  <c r="I1762" i="17"/>
  <c r="I1763" i="17"/>
  <c r="I1764" i="17"/>
  <c r="I1765" i="17"/>
  <c r="I1766" i="17"/>
  <c r="I1767" i="17"/>
  <c r="I1768" i="17"/>
  <c r="I1769" i="17"/>
  <c r="I1770" i="17"/>
  <c r="I1771" i="17"/>
  <c r="I1772" i="17"/>
  <c r="I1773" i="17"/>
  <c r="I1774" i="17"/>
  <c r="I1775" i="17"/>
  <c r="I1776" i="17"/>
  <c r="I1777" i="17"/>
  <c r="I1778" i="17"/>
  <c r="I1779" i="17"/>
  <c r="I1780" i="17"/>
  <c r="I1781" i="17"/>
  <c r="I1782" i="17"/>
  <c r="I1783" i="17"/>
  <c r="I1784" i="17"/>
  <c r="I1785" i="17"/>
  <c r="I1786" i="17"/>
  <c r="I1787" i="17"/>
  <c r="I1788" i="17"/>
  <c r="I1789" i="17"/>
  <c r="I1790" i="17"/>
  <c r="I1791" i="17"/>
  <c r="I1792" i="17"/>
  <c r="I1793" i="17"/>
  <c r="I1794" i="17"/>
  <c r="I1795" i="17"/>
  <c r="I1796" i="17"/>
  <c r="I1797" i="17"/>
  <c r="I1798" i="17"/>
  <c r="I1799" i="17"/>
  <c r="I1800" i="17"/>
  <c r="I1801" i="17"/>
  <c r="I1802" i="17"/>
  <c r="I1803" i="17"/>
  <c r="I1804" i="17"/>
  <c r="I1805" i="17"/>
  <c r="I1806" i="17"/>
  <c r="I1807" i="17"/>
  <c r="I1808" i="17"/>
  <c r="I1809" i="17"/>
  <c r="I1810" i="17"/>
  <c r="I1811" i="17"/>
  <c r="I1812" i="17"/>
  <c r="I1813" i="17"/>
  <c r="I1814" i="17"/>
  <c r="I1815" i="17"/>
  <c r="I1816" i="17"/>
  <c r="I1817" i="17"/>
  <c r="I1818" i="17"/>
  <c r="I1819" i="17"/>
  <c r="I1820" i="17"/>
  <c r="I1821" i="17"/>
  <c r="I1822" i="17"/>
  <c r="I1823" i="17"/>
  <c r="I1824" i="17"/>
  <c r="I1825" i="17"/>
  <c r="I1826" i="17"/>
  <c r="I1827" i="17"/>
  <c r="I1828" i="17"/>
  <c r="I1829" i="17"/>
  <c r="I1830" i="17"/>
  <c r="I1831" i="17"/>
  <c r="I1832" i="17"/>
  <c r="I1833" i="17"/>
  <c r="I1834" i="17"/>
  <c r="I1835" i="17"/>
  <c r="I1836" i="17"/>
  <c r="I1837" i="17"/>
  <c r="I1838" i="17"/>
  <c r="I1839" i="17"/>
  <c r="I1840" i="17"/>
  <c r="I1841" i="17"/>
  <c r="I1842" i="17"/>
  <c r="I1843" i="17"/>
  <c r="I1844" i="17"/>
  <c r="I1845" i="17"/>
  <c r="I1846" i="17"/>
  <c r="I1847" i="17"/>
  <c r="I1848" i="17"/>
  <c r="I1849" i="17"/>
  <c r="I1850" i="17"/>
  <c r="I1851" i="17"/>
  <c r="I1852" i="17"/>
  <c r="I1853" i="17"/>
  <c r="I1854" i="17"/>
  <c r="I1855" i="17"/>
  <c r="I1856" i="17"/>
  <c r="I1857" i="17"/>
  <c r="I1858" i="17"/>
  <c r="I1859" i="17"/>
  <c r="I1860" i="17"/>
  <c r="I1861" i="17"/>
  <c r="I1862" i="17"/>
  <c r="I1863" i="17"/>
  <c r="I1864" i="17"/>
  <c r="I1865" i="17"/>
  <c r="I1866" i="17"/>
  <c r="I1867" i="17"/>
  <c r="I1868" i="17"/>
  <c r="I1869" i="17"/>
  <c r="I1870" i="17"/>
  <c r="I1871" i="17"/>
  <c r="I1872" i="17"/>
  <c r="I1873" i="17"/>
  <c r="I1874" i="17"/>
  <c r="I1875" i="17"/>
  <c r="I1876" i="17"/>
  <c r="I1877" i="17"/>
  <c r="I1878" i="17"/>
  <c r="I1879" i="17"/>
  <c r="I1880" i="17"/>
  <c r="I1881" i="17"/>
  <c r="I1882" i="17"/>
  <c r="I1883" i="17"/>
  <c r="I1884" i="17"/>
  <c r="I1885" i="17"/>
  <c r="I1886" i="17"/>
  <c r="I1887" i="17"/>
  <c r="I1888" i="17"/>
  <c r="I1889" i="17"/>
  <c r="I1890" i="17"/>
  <c r="I1891" i="17"/>
  <c r="I1892" i="17"/>
  <c r="I1893" i="17"/>
  <c r="I1894" i="17"/>
  <c r="I1895" i="17"/>
  <c r="I1896" i="17"/>
  <c r="I1897" i="17"/>
  <c r="I1898" i="17"/>
  <c r="I1899" i="17"/>
  <c r="I1900" i="17"/>
  <c r="I1901" i="17"/>
  <c r="I1902" i="17"/>
  <c r="I1903" i="17"/>
  <c r="I1904" i="17"/>
  <c r="I1905" i="17"/>
  <c r="I1906" i="17"/>
  <c r="I1907" i="17"/>
  <c r="I1908" i="17"/>
  <c r="I1909" i="17"/>
  <c r="I1910" i="17"/>
  <c r="I1911" i="17"/>
  <c r="I1912" i="17"/>
  <c r="I1913" i="17"/>
  <c r="I1914" i="17"/>
  <c r="I1915" i="17"/>
  <c r="I1916" i="17"/>
  <c r="I1917" i="17"/>
  <c r="I1918" i="17"/>
  <c r="I1919" i="17"/>
  <c r="I1920" i="17"/>
  <c r="I1921" i="17"/>
  <c r="I1922" i="17"/>
  <c r="I1923" i="17"/>
  <c r="I1924" i="17"/>
  <c r="I1925" i="17"/>
  <c r="I1926" i="17"/>
  <c r="I1927" i="17"/>
  <c r="I1928" i="17"/>
  <c r="I1929" i="17"/>
  <c r="I1930" i="17"/>
  <c r="I1931" i="17"/>
  <c r="I1932" i="17"/>
  <c r="I1933" i="17"/>
  <c r="I1934" i="17"/>
  <c r="I1935" i="17"/>
  <c r="I1936" i="17"/>
  <c r="I1937" i="17"/>
  <c r="I1938" i="17"/>
  <c r="I1939" i="17"/>
  <c r="I1940" i="17"/>
  <c r="I1941" i="17"/>
  <c r="I1942" i="17"/>
  <c r="I1943" i="17"/>
  <c r="I1944" i="17"/>
  <c r="I1945" i="17"/>
  <c r="I1946" i="17"/>
  <c r="I1947" i="17"/>
  <c r="I1948" i="17"/>
  <c r="I1949" i="17"/>
  <c r="I1950" i="17"/>
  <c r="I1951" i="17"/>
  <c r="I1952" i="17"/>
  <c r="I1953" i="17"/>
  <c r="I1954" i="17"/>
  <c r="I1955" i="17"/>
  <c r="I1956" i="17"/>
  <c r="I1957" i="17"/>
  <c r="I1958" i="17"/>
  <c r="I1959" i="17"/>
  <c r="I1960" i="17"/>
  <c r="I1961" i="17"/>
  <c r="I1962" i="17"/>
  <c r="I1963" i="17"/>
  <c r="I1964" i="17"/>
  <c r="I1965" i="17"/>
  <c r="I1966" i="17"/>
  <c r="I1967" i="17"/>
  <c r="I1968" i="17"/>
  <c r="I1969" i="17"/>
  <c r="I1970" i="17"/>
  <c r="I1971" i="17"/>
  <c r="I1972" i="17"/>
  <c r="I1973" i="17"/>
  <c r="I1974" i="17"/>
  <c r="I1975" i="17"/>
  <c r="I1976" i="17"/>
  <c r="I1977" i="17"/>
  <c r="I1978" i="17"/>
  <c r="I1979" i="17"/>
  <c r="I1980" i="17"/>
  <c r="I1981" i="17"/>
  <c r="I1982" i="17"/>
  <c r="I1983" i="17"/>
  <c r="I1984" i="17"/>
  <c r="I1985" i="17"/>
  <c r="I1986" i="17"/>
  <c r="I1987" i="17"/>
  <c r="I1988" i="17"/>
  <c r="I1989" i="17"/>
  <c r="I1990" i="17"/>
  <c r="I1991" i="17"/>
  <c r="I1992" i="17"/>
  <c r="I1993" i="17"/>
  <c r="I1994" i="17"/>
  <c r="I1995" i="17"/>
  <c r="I1996" i="17"/>
  <c r="I1997" i="17"/>
  <c r="I1998" i="17"/>
  <c r="I1999" i="17"/>
  <c r="I2000" i="17"/>
  <c r="I2001" i="17"/>
  <c r="I2002" i="17"/>
  <c r="I2003" i="17"/>
  <c r="I2004" i="17"/>
  <c r="I2005" i="17"/>
  <c r="I2006" i="17"/>
  <c r="I2007" i="17"/>
  <c r="I2008" i="17"/>
  <c r="I2009" i="17"/>
  <c r="I2010" i="17"/>
  <c r="I2011" i="17"/>
  <c r="I2012" i="17"/>
  <c r="I2013" i="17"/>
  <c r="I2014" i="17"/>
  <c r="I2015" i="17"/>
  <c r="I2016" i="17"/>
  <c r="I2017" i="17"/>
  <c r="I2018" i="17"/>
  <c r="I2019" i="17"/>
  <c r="I2020" i="17"/>
  <c r="I2021" i="17"/>
  <c r="I2022" i="17"/>
  <c r="I2023" i="17"/>
  <c r="I2024" i="17"/>
  <c r="I2025" i="17"/>
  <c r="I2026" i="17"/>
  <c r="I2027" i="17"/>
  <c r="I2028" i="17"/>
  <c r="I2029" i="17"/>
  <c r="I2030" i="17"/>
  <c r="I2031" i="17"/>
  <c r="I2032" i="17"/>
  <c r="I2033" i="17"/>
  <c r="I2034" i="17"/>
  <c r="I2035" i="17"/>
  <c r="I2036" i="17"/>
  <c r="I2037" i="17"/>
  <c r="I2038" i="17"/>
  <c r="I2039" i="17"/>
  <c r="I2040" i="17"/>
  <c r="I2041" i="17"/>
  <c r="J7" i="7"/>
  <c r="I7" i="7"/>
  <c r="J9" i="7"/>
  <c r="I9" i="7"/>
  <c r="J11" i="7"/>
  <c r="I11" i="7"/>
  <c r="J13" i="7"/>
  <c r="I13" i="7"/>
  <c r="J14" i="7"/>
  <c r="I14" i="7"/>
  <c r="J15" i="7"/>
  <c r="I15" i="7"/>
  <c r="J17" i="7"/>
  <c r="I17" i="7"/>
  <c r="J19" i="7"/>
  <c r="I19" i="7"/>
  <c r="J20" i="7"/>
  <c r="I20" i="7"/>
  <c r="J22" i="7"/>
  <c r="I22" i="7"/>
  <c r="J23" i="7"/>
  <c r="I23" i="7"/>
  <c r="J25" i="7"/>
  <c r="I25" i="7"/>
  <c r="J26" i="7"/>
  <c r="I26" i="7"/>
  <c r="J27" i="7"/>
  <c r="I27" i="7"/>
  <c r="J28" i="7"/>
  <c r="I28" i="7"/>
  <c r="J30" i="7"/>
  <c r="I30" i="7"/>
  <c r="J31" i="7"/>
  <c r="I31" i="7"/>
  <c r="J32" i="7"/>
  <c r="I32" i="7"/>
  <c r="J34" i="7"/>
  <c r="I34" i="7"/>
  <c r="J36" i="7"/>
  <c r="I36" i="7"/>
  <c r="J37" i="7"/>
  <c r="I37" i="7"/>
  <c r="J39" i="7"/>
  <c r="I39" i="7"/>
  <c r="J40" i="7"/>
  <c r="I40" i="7"/>
  <c r="J41" i="7"/>
  <c r="I41" i="7"/>
  <c r="J42" i="7"/>
  <c r="I42" i="7"/>
  <c r="J43" i="7"/>
  <c r="I43" i="7"/>
  <c r="J44" i="7"/>
  <c r="I44" i="7"/>
  <c r="J45" i="7"/>
  <c r="I45" i="7"/>
  <c r="J47" i="7"/>
  <c r="I47" i="7"/>
  <c r="J49" i="7"/>
  <c r="I49" i="7"/>
  <c r="J50" i="7"/>
  <c r="I50" i="7"/>
  <c r="J52" i="7"/>
  <c r="I52" i="7"/>
  <c r="J53" i="7"/>
  <c r="I53" i="7"/>
  <c r="J55" i="7"/>
  <c r="I55" i="7"/>
  <c r="J56" i="7"/>
  <c r="I56" i="7"/>
  <c r="J57" i="7"/>
  <c r="I57" i="7"/>
  <c r="J58" i="7"/>
  <c r="I58" i="7"/>
  <c r="J59" i="7"/>
  <c r="I59" i="7"/>
  <c r="J60" i="7"/>
  <c r="I60" i="7"/>
  <c r="J62" i="7"/>
  <c r="I62" i="7"/>
  <c r="J64" i="7"/>
  <c r="I64" i="7"/>
  <c r="J65" i="7"/>
  <c r="I65" i="7"/>
  <c r="J66" i="7"/>
  <c r="I66" i="7"/>
  <c r="J67" i="7"/>
  <c r="I67" i="7"/>
  <c r="J69" i="7"/>
  <c r="I69" i="7"/>
  <c r="J70" i="7"/>
  <c r="I70" i="7"/>
  <c r="J71" i="7"/>
  <c r="I71" i="7"/>
  <c r="J72" i="7"/>
  <c r="I72" i="7"/>
  <c r="J73" i="7"/>
  <c r="I73" i="7"/>
  <c r="J74" i="7"/>
  <c r="I74" i="7"/>
  <c r="J75" i="7"/>
  <c r="I75" i="7"/>
  <c r="J78" i="7"/>
  <c r="I78" i="7"/>
  <c r="J79" i="7"/>
  <c r="I79" i="7"/>
  <c r="J80" i="7"/>
  <c r="I80" i="7"/>
  <c r="J81" i="7"/>
  <c r="I81" i="7"/>
  <c r="J83" i="7"/>
  <c r="I83" i="7"/>
  <c r="J84" i="7"/>
  <c r="I84" i="7"/>
  <c r="J85" i="7"/>
  <c r="I85" i="7"/>
  <c r="J86" i="7"/>
  <c r="I86" i="7"/>
  <c r="J87" i="7"/>
  <c r="I87" i="7"/>
  <c r="J88" i="7"/>
  <c r="I88" i="7"/>
  <c r="J89" i="7"/>
  <c r="I89" i="7"/>
  <c r="J91" i="7"/>
  <c r="I91" i="7"/>
  <c r="J93" i="7"/>
  <c r="I93" i="7"/>
  <c r="J94" i="7"/>
  <c r="I94" i="7"/>
  <c r="J96" i="7"/>
  <c r="I96" i="7"/>
  <c r="J97" i="7"/>
  <c r="I97" i="7"/>
  <c r="J98" i="7"/>
  <c r="I98" i="7"/>
  <c r="J99" i="7"/>
  <c r="I99" i="7"/>
  <c r="J100" i="7"/>
  <c r="I100" i="7"/>
  <c r="J101" i="7"/>
  <c r="I101" i="7"/>
  <c r="J102" i="7"/>
  <c r="I102" i="7"/>
  <c r="J103" i="7"/>
  <c r="I103" i="7"/>
  <c r="J104" i="7"/>
  <c r="I104" i="7"/>
  <c r="J106" i="7"/>
  <c r="I106" i="7"/>
  <c r="J107" i="7"/>
  <c r="I107" i="7"/>
  <c r="J108" i="7"/>
  <c r="I108" i="7"/>
  <c r="J110" i="7"/>
  <c r="I110" i="7"/>
  <c r="J111" i="7"/>
  <c r="I111" i="7"/>
  <c r="J113" i="7"/>
  <c r="I113" i="7"/>
  <c r="J114" i="7"/>
  <c r="I114" i="7"/>
  <c r="J115" i="7"/>
  <c r="I115" i="7"/>
  <c r="J116" i="7"/>
  <c r="I116" i="7"/>
  <c r="J117" i="7"/>
  <c r="I117" i="7"/>
  <c r="J118" i="7"/>
  <c r="I118" i="7"/>
  <c r="J119" i="7"/>
  <c r="I119" i="7"/>
  <c r="J120" i="7"/>
  <c r="I120" i="7"/>
  <c r="J121" i="7"/>
  <c r="I121" i="7"/>
  <c r="J124" i="7"/>
  <c r="I124" i="7"/>
  <c r="J125" i="7"/>
  <c r="I125" i="7"/>
  <c r="J126" i="7"/>
  <c r="I126" i="7"/>
  <c r="J127" i="7"/>
  <c r="I127" i="7"/>
  <c r="J129" i="7"/>
  <c r="I129" i="7"/>
  <c r="J130" i="7"/>
  <c r="I130" i="7"/>
  <c r="J131" i="7"/>
  <c r="I131" i="7"/>
  <c r="J132" i="7"/>
  <c r="I132" i="7"/>
  <c r="J133" i="7"/>
  <c r="I133" i="7"/>
  <c r="J134" i="7"/>
  <c r="I134" i="7"/>
  <c r="J135" i="7"/>
  <c r="I135" i="7"/>
  <c r="J136" i="7"/>
  <c r="I136" i="7"/>
  <c r="J137" i="7"/>
  <c r="I137" i="7"/>
  <c r="J138" i="7"/>
  <c r="I138" i="7"/>
  <c r="J139" i="7"/>
  <c r="I139" i="7"/>
  <c r="J141" i="7"/>
  <c r="I141" i="7"/>
  <c r="J143" i="7"/>
  <c r="I143" i="7"/>
  <c r="J144" i="7"/>
  <c r="I144" i="7"/>
  <c r="J145" i="7"/>
  <c r="I145" i="7"/>
  <c r="J146" i="7"/>
  <c r="I146" i="7"/>
  <c r="J147" i="7"/>
  <c r="I147" i="7"/>
  <c r="J149" i="7"/>
  <c r="I149" i="7"/>
  <c r="J150" i="7"/>
  <c r="I150" i="7"/>
  <c r="J151" i="7"/>
  <c r="I151" i="7"/>
  <c r="J152" i="7"/>
  <c r="I152" i="7"/>
  <c r="J153" i="7"/>
  <c r="I153" i="7"/>
  <c r="J154" i="7"/>
  <c r="I154" i="7"/>
  <c r="J155" i="7"/>
  <c r="I155" i="7"/>
  <c r="J156" i="7"/>
  <c r="I156" i="7"/>
  <c r="J157" i="7"/>
  <c r="I157" i="7"/>
  <c r="J158" i="7"/>
  <c r="I158" i="7"/>
  <c r="J160" i="7"/>
  <c r="I160" i="7"/>
  <c r="J161" i="7"/>
  <c r="I161" i="7"/>
  <c r="J162" i="7"/>
  <c r="I162" i="7"/>
  <c r="J163" i="7"/>
  <c r="I163" i="7"/>
  <c r="J164" i="7"/>
  <c r="I164" i="7"/>
  <c r="J166" i="7"/>
  <c r="I166" i="7"/>
  <c r="J167" i="7"/>
  <c r="I167" i="7"/>
  <c r="J169" i="7"/>
  <c r="I169" i="7"/>
  <c r="J170" i="7"/>
  <c r="I170" i="7"/>
  <c r="J171" i="7"/>
  <c r="I171" i="7"/>
  <c r="J172" i="7"/>
  <c r="I172" i="7"/>
  <c r="J173" i="7"/>
  <c r="I173" i="7"/>
  <c r="J174" i="7"/>
  <c r="I174" i="7"/>
  <c r="J175" i="7"/>
  <c r="I175" i="7"/>
  <c r="J176" i="7"/>
  <c r="I176" i="7"/>
  <c r="J177" i="7"/>
  <c r="I177" i="7"/>
  <c r="J179" i="7"/>
  <c r="I179" i="7"/>
  <c r="J180" i="7"/>
  <c r="I180" i="7"/>
  <c r="J181" i="7"/>
  <c r="I181" i="7"/>
  <c r="J182" i="7"/>
  <c r="I182" i="7"/>
  <c r="J183" i="7"/>
  <c r="I183" i="7"/>
  <c r="J184" i="7"/>
  <c r="I184" i="7"/>
  <c r="J186" i="7"/>
  <c r="I186" i="7"/>
  <c r="J187" i="7"/>
  <c r="I187" i="7"/>
  <c r="J188" i="7"/>
  <c r="I188" i="7"/>
  <c r="J189" i="7"/>
  <c r="I189" i="7"/>
  <c r="J190" i="7"/>
  <c r="I190" i="7"/>
  <c r="J191" i="7"/>
  <c r="I191" i="7"/>
  <c r="J192" i="7"/>
  <c r="I192" i="7"/>
  <c r="J193" i="7"/>
  <c r="I193" i="7"/>
  <c r="J194" i="7"/>
  <c r="I194" i="7"/>
  <c r="J195" i="7"/>
  <c r="I195" i="7"/>
  <c r="J197" i="7"/>
  <c r="I197" i="7"/>
  <c r="J199" i="7"/>
  <c r="I199" i="7"/>
  <c r="J201" i="7"/>
  <c r="I201" i="7"/>
  <c r="J202" i="7"/>
  <c r="I202" i="7"/>
  <c r="J203" i="7"/>
  <c r="I203" i="7"/>
  <c r="J204" i="7"/>
  <c r="I204" i="7"/>
  <c r="J206" i="7"/>
  <c r="I206" i="7"/>
  <c r="J207" i="7"/>
  <c r="I207" i="7"/>
  <c r="J208" i="7"/>
  <c r="I208" i="7"/>
  <c r="J209" i="7"/>
  <c r="I209" i="7"/>
  <c r="J210" i="7"/>
  <c r="I210" i="7"/>
  <c r="J211" i="7"/>
  <c r="I211" i="7"/>
  <c r="J212" i="7"/>
  <c r="I212" i="7"/>
  <c r="J213" i="7"/>
  <c r="I213" i="7"/>
  <c r="J214" i="7"/>
  <c r="I214" i="7"/>
  <c r="J215" i="7"/>
  <c r="I215" i="7"/>
  <c r="J216" i="7"/>
  <c r="I216" i="7"/>
  <c r="J218" i="7"/>
  <c r="I218" i="7"/>
  <c r="J219" i="7"/>
  <c r="I219" i="7"/>
  <c r="J221" i="7"/>
  <c r="I221" i="7"/>
  <c r="J222" i="7"/>
  <c r="I222" i="7"/>
  <c r="J223" i="7"/>
  <c r="I223" i="7"/>
  <c r="J224" i="7"/>
  <c r="I224" i="7"/>
  <c r="J225" i="7"/>
  <c r="I225" i="7"/>
  <c r="J227" i="7"/>
  <c r="I227" i="7"/>
  <c r="J228" i="7"/>
  <c r="I228" i="7"/>
  <c r="J229" i="7"/>
  <c r="I229" i="7"/>
  <c r="J230" i="7"/>
  <c r="I230" i="7"/>
  <c r="J231" i="7"/>
  <c r="I231" i="7"/>
  <c r="J232" i="7"/>
  <c r="I232" i="7"/>
  <c r="J233" i="7"/>
  <c r="I233" i="7"/>
  <c r="J234" i="7"/>
  <c r="I234" i="7"/>
  <c r="J235" i="7"/>
  <c r="I235" i="7"/>
  <c r="J236" i="7"/>
  <c r="I236" i="7"/>
  <c r="J237" i="7"/>
  <c r="I237" i="7"/>
  <c r="J240" i="7"/>
  <c r="I240" i="7"/>
  <c r="J241" i="7"/>
  <c r="I241" i="7"/>
  <c r="J243" i="7"/>
  <c r="I243" i="7"/>
  <c r="J244" i="7"/>
  <c r="I244" i="7"/>
  <c r="J245" i="7"/>
  <c r="I245" i="7"/>
  <c r="J246" i="7"/>
  <c r="I246" i="7"/>
  <c r="J247" i="7"/>
  <c r="I247" i="7"/>
  <c r="J249" i="7"/>
  <c r="I249" i="7"/>
  <c r="J250" i="7"/>
  <c r="I250" i="7"/>
  <c r="J251" i="7"/>
  <c r="I251" i="7"/>
  <c r="J252" i="7"/>
  <c r="I252" i="7"/>
  <c r="J253" i="7"/>
  <c r="I253" i="7"/>
  <c r="J254" i="7"/>
  <c r="I254" i="7"/>
  <c r="J255" i="7"/>
  <c r="I255" i="7"/>
  <c r="J256" i="7"/>
  <c r="I256" i="7"/>
  <c r="J257" i="7"/>
  <c r="I257" i="7"/>
  <c r="J258" i="7"/>
  <c r="I258" i="7"/>
  <c r="J260" i="7"/>
  <c r="I260" i="7"/>
  <c r="J261" i="7"/>
  <c r="I261" i="7"/>
  <c r="J263" i="7"/>
  <c r="I263" i="7"/>
  <c r="J264" i="7"/>
  <c r="I264" i="7"/>
  <c r="J265" i="7"/>
  <c r="I265" i="7"/>
  <c r="J266" i="7"/>
  <c r="I266" i="7"/>
  <c r="J267" i="7"/>
  <c r="I267" i="7"/>
  <c r="J269" i="7"/>
  <c r="I269" i="7"/>
  <c r="J270" i="7"/>
  <c r="I270" i="7"/>
  <c r="J271" i="7"/>
  <c r="I271" i="7"/>
  <c r="J272" i="7"/>
  <c r="I272" i="7"/>
  <c r="J273" i="7"/>
  <c r="I273" i="7"/>
  <c r="J274" i="7"/>
  <c r="I274" i="7"/>
  <c r="J275" i="7"/>
  <c r="I275" i="7"/>
  <c r="J276" i="7"/>
  <c r="I276" i="7"/>
  <c r="J277" i="7"/>
  <c r="I277" i="7"/>
  <c r="J278" i="7"/>
  <c r="I278" i="7"/>
  <c r="J280" i="7"/>
  <c r="I280" i="7"/>
  <c r="J281" i="7"/>
  <c r="I281" i="7"/>
  <c r="J282" i="7"/>
  <c r="I282" i="7"/>
  <c r="J283" i="7"/>
  <c r="I283" i="7"/>
  <c r="J285" i="7"/>
  <c r="I285" i="7"/>
  <c r="J286" i="7"/>
  <c r="I286" i="7"/>
  <c r="J287" i="7"/>
  <c r="I287" i="7"/>
  <c r="J288" i="7"/>
  <c r="I288" i="7"/>
  <c r="J289" i="7"/>
  <c r="I289" i="7"/>
  <c r="J290" i="7"/>
  <c r="I290" i="7"/>
  <c r="J291" i="7"/>
  <c r="I291" i="7"/>
  <c r="J292" i="7"/>
  <c r="I292" i="7"/>
  <c r="J294" i="7"/>
  <c r="I294" i="7"/>
  <c r="J295" i="7"/>
  <c r="I295" i="7"/>
  <c r="J296" i="7"/>
  <c r="I296" i="7"/>
  <c r="J297" i="7"/>
  <c r="I297" i="7"/>
  <c r="J298" i="7"/>
  <c r="I298" i="7"/>
  <c r="J299" i="7"/>
  <c r="I299" i="7"/>
  <c r="J300" i="7"/>
  <c r="I300" i="7"/>
  <c r="J301" i="7"/>
  <c r="I301" i="7"/>
  <c r="J302" i="7"/>
  <c r="I302" i="7"/>
  <c r="J304" i="7"/>
  <c r="I304" i="7"/>
  <c r="J305" i="7"/>
  <c r="I305" i="7"/>
  <c r="J306" i="7"/>
  <c r="I306" i="7"/>
  <c r="J307" i="7"/>
  <c r="I307" i="7"/>
  <c r="J308" i="7"/>
  <c r="I308" i="7"/>
  <c r="J309" i="7"/>
  <c r="I309" i="7"/>
  <c r="J310" i="7"/>
  <c r="I310" i="7"/>
  <c r="J312" i="7"/>
  <c r="I312" i="7"/>
  <c r="J313" i="7"/>
  <c r="I313" i="7"/>
  <c r="J314" i="7"/>
  <c r="I314" i="7"/>
  <c r="J315" i="7"/>
  <c r="I315" i="7"/>
  <c r="J317" i="7"/>
  <c r="I317" i="7"/>
  <c r="J318" i="7"/>
  <c r="I318" i="7"/>
  <c r="J319" i="7"/>
  <c r="I319" i="7"/>
  <c r="J320" i="7"/>
  <c r="I320" i="7"/>
  <c r="J321" i="7"/>
  <c r="I321" i="7"/>
  <c r="J322" i="7"/>
  <c r="I322" i="7"/>
  <c r="J323" i="7"/>
  <c r="I323" i="7"/>
  <c r="J324" i="7"/>
  <c r="I324" i="7"/>
  <c r="J325" i="7"/>
  <c r="I325" i="7"/>
  <c r="J327" i="7"/>
  <c r="I327" i="7"/>
  <c r="J328" i="7"/>
  <c r="I328" i="7"/>
  <c r="J329" i="7"/>
  <c r="I329" i="7"/>
  <c r="J330" i="7"/>
  <c r="I330" i="7"/>
  <c r="J331" i="7"/>
  <c r="I331" i="7"/>
  <c r="J332" i="7"/>
  <c r="I332" i="7"/>
  <c r="J333" i="7"/>
  <c r="I333" i="7"/>
  <c r="J335" i="7"/>
  <c r="I335" i="7"/>
  <c r="J336" i="7"/>
  <c r="I336" i="7"/>
  <c r="J337" i="7"/>
  <c r="I337" i="7"/>
  <c r="J338" i="7"/>
  <c r="I338" i="7"/>
  <c r="J339" i="7"/>
  <c r="I339" i="7"/>
  <c r="J340" i="7"/>
  <c r="I340" i="7"/>
  <c r="J341" i="7"/>
  <c r="I341" i="7"/>
  <c r="J342" i="7"/>
  <c r="I342" i="7"/>
  <c r="J343" i="7"/>
  <c r="I343" i="7"/>
  <c r="J344" i="7"/>
  <c r="I344" i="7"/>
  <c r="J346" i="7"/>
  <c r="I346" i="7"/>
  <c r="J347" i="7"/>
  <c r="I347" i="7"/>
  <c r="J349" i="7"/>
  <c r="I349" i="7"/>
  <c r="J350" i="7"/>
  <c r="I350" i="7"/>
  <c r="J351" i="7"/>
  <c r="I351" i="7"/>
  <c r="J353" i="7"/>
  <c r="I353" i="7"/>
  <c r="J354" i="7"/>
  <c r="I354" i="7"/>
  <c r="J355" i="7"/>
  <c r="I355" i="7"/>
  <c r="J356" i="7"/>
  <c r="I356" i="7"/>
  <c r="J357" i="7"/>
  <c r="I357" i="7"/>
  <c r="J359" i="7"/>
  <c r="I359" i="7"/>
  <c r="J360" i="7"/>
  <c r="I360" i="7"/>
  <c r="J361" i="7"/>
  <c r="I361" i="7"/>
  <c r="J362" i="7"/>
  <c r="I362" i="7"/>
  <c r="J363" i="7"/>
  <c r="I363" i="7"/>
  <c r="J364" i="7"/>
  <c r="I364" i="7"/>
  <c r="J365" i="7"/>
  <c r="I365" i="7"/>
  <c r="J366" i="7"/>
  <c r="I366" i="7"/>
  <c r="J367" i="7"/>
  <c r="I367" i="7"/>
  <c r="J368" i="7"/>
  <c r="I368" i="7"/>
  <c r="J369" i="7"/>
  <c r="I369" i="7"/>
  <c r="J370" i="7"/>
  <c r="I370" i="7"/>
  <c r="J371" i="7"/>
  <c r="I371" i="7"/>
  <c r="J373" i="7"/>
  <c r="I373" i="7"/>
  <c r="J374" i="7"/>
  <c r="I374" i="7"/>
  <c r="J375" i="7"/>
  <c r="I375" i="7"/>
  <c r="J376" i="7"/>
  <c r="I376" i="7"/>
  <c r="J377" i="7"/>
  <c r="I377" i="7"/>
  <c r="J378" i="7"/>
  <c r="I378" i="7"/>
  <c r="J379" i="7"/>
  <c r="I379" i="7"/>
  <c r="J381" i="7"/>
  <c r="I381" i="7"/>
  <c r="J383" i="7"/>
  <c r="I383" i="7"/>
  <c r="J384" i="7"/>
  <c r="I384" i="7"/>
  <c r="J385" i="7"/>
  <c r="I385" i="7"/>
  <c r="J386" i="7"/>
  <c r="I386" i="7"/>
  <c r="J387" i="7"/>
  <c r="I387" i="7"/>
  <c r="J388" i="7"/>
  <c r="I388" i="7"/>
  <c r="J389" i="7"/>
  <c r="I389" i="7"/>
  <c r="J390" i="7"/>
  <c r="I390" i="7"/>
  <c r="J391" i="7"/>
  <c r="I391" i="7"/>
  <c r="J392" i="7"/>
  <c r="I392" i="7"/>
  <c r="J394" i="7"/>
  <c r="I394" i="7"/>
  <c r="J395" i="7"/>
  <c r="I395" i="7"/>
  <c r="J396" i="7"/>
  <c r="I396" i="7"/>
  <c r="J397" i="7"/>
  <c r="I397" i="7"/>
  <c r="J399" i="7"/>
  <c r="I399" i="7"/>
  <c r="J400" i="7"/>
  <c r="I400" i="7"/>
  <c r="J401" i="7"/>
  <c r="I401" i="7"/>
  <c r="J402" i="7"/>
  <c r="I402" i="7"/>
  <c r="J403" i="7"/>
  <c r="I403" i="7"/>
  <c r="J405" i="7"/>
  <c r="I405" i="7"/>
  <c r="J406" i="7"/>
  <c r="I406" i="7"/>
  <c r="J407" i="7"/>
  <c r="I407" i="7"/>
  <c r="J408" i="7"/>
  <c r="I408" i="7"/>
  <c r="J409" i="7"/>
  <c r="I409" i="7"/>
  <c r="J410" i="7"/>
  <c r="I410" i="7"/>
  <c r="J411" i="7"/>
  <c r="I411" i="7"/>
  <c r="J412" i="7"/>
  <c r="I412" i="7"/>
  <c r="J413" i="7"/>
  <c r="I413" i="7"/>
  <c r="J414" i="7"/>
  <c r="I414" i="7"/>
  <c r="J416" i="7"/>
  <c r="I416" i="7"/>
  <c r="J417" i="7"/>
  <c r="I417" i="7"/>
  <c r="J418" i="7"/>
  <c r="I418" i="7"/>
  <c r="J419" i="7"/>
  <c r="I419" i="7"/>
  <c r="J421" i="7"/>
  <c r="I421" i="7"/>
  <c r="J422" i="7"/>
  <c r="I422" i="7"/>
  <c r="J423" i="7"/>
  <c r="I423" i="7"/>
  <c r="J424" i="7"/>
  <c r="I424" i="7"/>
  <c r="J425" i="7"/>
  <c r="I425" i="7"/>
  <c r="J426" i="7"/>
  <c r="I426" i="7"/>
  <c r="J428" i="7"/>
  <c r="I428" i="7"/>
  <c r="J429" i="7"/>
  <c r="I429" i="7"/>
  <c r="J431" i="7"/>
  <c r="I431" i="7"/>
  <c r="J432" i="7"/>
  <c r="I432" i="7"/>
  <c r="J433" i="7"/>
  <c r="I433" i="7"/>
  <c r="J434" i="7"/>
  <c r="I434" i="7"/>
  <c r="J435" i="7"/>
  <c r="I435" i="7"/>
  <c r="J436" i="7"/>
  <c r="I436" i="7"/>
  <c r="J437" i="7"/>
  <c r="I437" i="7"/>
  <c r="J438" i="7"/>
  <c r="I438" i="7"/>
  <c r="J439" i="7"/>
  <c r="I439" i="7"/>
  <c r="J440" i="7"/>
  <c r="I440" i="7"/>
  <c r="J441" i="7"/>
  <c r="I441" i="7"/>
  <c r="J443" i="7"/>
  <c r="I443" i="7"/>
  <c r="J444" i="7"/>
  <c r="I444" i="7"/>
  <c r="J446" i="7"/>
  <c r="I446" i="7"/>
  <c r="J447" i="7"/>
  <c r="I447" i="7"/>
  <c r="J448" i="7"/>
  <c r="I448" i="7"/>
  <c r="J449" i="7"/>
  <c r="I449" i="7"/>
  <c r="J451" i="7"/>
  <c r="I451" i="7"/>
  <c r="J452" i="7"/>
  <c r="I452" i="7"/>
  <c r="J453" i="7"/>
  <c r="I453" i="7"/>
  <c r="J454" i="7"/>
  <c r="I454" i="7"/>
  <c r="J455" i="7"/>
  <c r="I455" i="7"/>
  <c r="J456" i="7"/>
  <c r="I456" i="7"/>
  <c r="J457" i="7"/>
  <c r="I457" i="7"/>
  <c r="J458" i="7"/>
  <c r="I458" i="7"/>
  <c r="J459" i="7"/>
  <c r="I459" i="7"/>
  <c r="J460" i="7"/>
  <c r="I460" i="7"/>
  <c r="J462" i="7"/>
  <c r="I462" i="7"/>
  <c r="J463" i="7"/>
  <c r="I463" i="7"/>
  <c r="J464" i="7"/>
  <c r="I464" i="7"/>
  <c r="J465" i="7"/>
  <c r="I465" i="7"/>
  <c r="J466" i="7"/>
  <c r="I466" i="7"/>
  <c r="J467" i="7"/>
  <c r="I467" i="7"/>
  <c r="J468" i="7"/>
  <c r="I468" i="7"/>
  <c r="J469" i="7"/>
  <c r="I469" i="7"/>
  <c r="J470" i="7"/>
  <c r="I470" i="7"/>
  <c r="J472" i="7"/>
  <c r="I472" i="7"/>
  <c r="J473" i="7"/>
  <c r="I473" i="7"/>
  <c r="J474" i="7"/>
  <c r="I474" i="7"/>
  <c r="J475" i="7"/>
  <c r="I475" i="7"/>
  <c r="J476" i="7"/>
  <c r="I476" i="7"/>
  <c r="J477" i="7"/>
  <c r="I477" i="7"/>
  <c r="J478" i="7"/>
  <c r="I478" i="7"/>
  <c r="J480" i="7"/>
  <c r="I480" i="7"/>
  <c r="J481" i="7"/>
  <c r="I481" i="7"/>
  <c r="J482" i="7"/>
  <c r="I482" i="7"/>
  <c r="J483" i="7"/>
  <c r="I483" i="7"/>
  <c r="J484" i="7"/>
  <c r="I484" i="7"/>
  <c r="J485" i="7"/>
  <c r="I485" i="7"/>
  <c r="J486" i="7"/>
  <c r="I486" i="7"/>
  <c r="J487" i="7"/>
  <c r="I487" i="7"/>
  <c r="J488" i="7"/>
  <c r="I488" i="7"/>
  <c r="J489" i="7"/>
  <c r="I489" i="7"/>
  <c r="J490" i="7"/>
  <c r="I490" i="7"/>
  <c r="J491" i="7"/>
  <c r="I491" i="7"/>
  <c r="J493" i="7"/>
  <c r="I493" i="7"/>
  <c r="J494" i="7"/>
  <c r="I494" i="7"/>
  <c r="J495" i="7"/>
  <c r="I495" i="7"/>
  <c r="J497" i="7"/>
  <c r="I497" i="7"/>
  <c r="J498" i="7"/>
  <c r="I498" i="7"/>
  <c r="J499" i="7"/>
  <c r="I499" i="7"/>
  <c r="J501" i="7"/>
  <c r="I501" i="7"/>
  <c r="J502" i="7"/>
  <c r="I502" i="7"/>
  <c r="J503" i="7"/>
  <c r="I503" i="7"/>
  <c r="J504" i="7"/>
  <c r="I504" i="7"/>
  <c r="J505" i="7"/>
  <c r="I505" i="7"/>
  <c r="J506" i="7"/>
  <c r="I506" i="7"/>
  <c r="J507" i="7"/>
  <c r="I507" i="7"/>
  <c r="J508" i="7"/>
  <c r="I508" i="7"/>
  <c r="J509" i="7"/>
  <c r="I509" i="7"/>
  <c r="J510" i="7"/>
  <c r="I510" i="7"/>
  <c r="J511" i="7"/>
  <c r="I511" i="7"/>
  <c r="J512" i="7"/>
  <c r="I512" i="7"/>
  <c r="J513" i="7"/>
  <c r="I513" i="7"/>
  <c r="J514" i="7"/>
  <c r="I514" i="7"/>
  <c r="J515" i="7"/>
  <c r="I515" i="7"/>
  <c r="J516" i="7"/>
  <c r="I516" i="7"/>
  <c r="J517" i="7"/>
  <c r="I517" i="7"/>
  <c r="J519" i="7"/>
  <c r="I519" i="7"/>
  <c r="J520" i="7"/>
  <c r="I520" i="7"/>
  <c r="J522" i="7"/>
  <c r="I522" i="7"/>
  <c r="J523" i="7"/>
  <c r="I523" i="7"/>
  <c r="J524" i="7"/>
  <c r="I524" i="7"/>
  <c r="J525" i="7"/>
  <c r="I525" i="7"/>
  <c r="J526" i="7"/>
  <c r="I526" i="7"/>
  <c r="J527" i="7"/>
  <c r="I527" i="7"/>
  <c r="J528" i="7"/>
  <c r="I528" i="7"/>
  <c r="J530" i="7"/>
  <c r="I530" i="7"/>
  <c r="J531" i="7"/>
  <c r="I531" i="7"/>
  <c r="J532" i="7"/>
  <c r="I532" i="7"/>
  <c r="J533" i="7"/>
  <c r="I533" i="7"/>
  <c r="J534" i="7"/>
  <c r="I534" i="7"/>
  <c r="J535" i="7"/>
  <c r="I535" i="7"/>
  <c r="J536" i="7"/>
  <c r="I536" i="7"/>
  <c r="J537" i="7"/>
  <c r="I537" i="7"/>
  <c r="J538" i="7"/>
  <c r="I538" i="7"/>
  <c r="J539" i="7"/>
  <c r="I539" i="7"/>
  <c r="J540" i="7"/>
  <c r="I540" i="7"/>
  <c r="J541" i="7"/>
  <c r="I541" i="7"/>
  <c r="J543" i="7"/>
  <c r="I543" i="7"/>
  <c r="J544" i="7"/>
  <c r="I544" i="7"/>
  <c r="J545" i="7"/>
  <c r="I545" i="7"/>
  <c r="J547" i="7"/>
  <c r="I547" i="7"/>
  <c r="J548" i="7"/>
  <c r="I548" i="7"/>
  <c r="J550" i="7"/>
  <c r="I550" i="7"/>
  <c r="J551" i="7"/>
  <c r="I551" i="7"/>
  <c r="J552" i="7"/>
  <c r="I552" i="7"/>
  <c r="J553" i="7"/>
  <c r="I553" i="7"/>
  <c r="J554" i="7"/>
  <c r="I554" i="7"/>
  <c r="J555" i="7"/>
  <c r="I555" i="7"/>
  <c r="J556" i="7"/>
  <c r="I556" i="7"/>
  <c r="J557" i="7"/>
  <c r="I557" i="7"/>
  <c r="J558" i="7"/>
  <c r="I558" i="7"/>
  <c r="J559" i="7"/>
  <c r="I559" i="7"/>
  <c r="J560" i="7"/>
  <c r="I560" i="7"/>
  <c r="J561" i="7"/>
  <c r="I561" i="7"/>
  <c r="J562" i="7"/>
  <c r="I562" i="7"/>
  <c r="J563" i="7"/>
  <c r="I563" i="7"/>
  <c r="J565" i="7"/>
  <c r="I565" i="7"/>
  <c r="J566" i="7"/>
  <c r="I566" i="7"/>
  <c r="J567" i="7"/>
  <c r="I567" i="7"/>
  <c r="J568" i="7"/>
  <c r="I568" i="7"/>
  <c r="J569" i="7"/>
  <c r="I569" i="7"/>
  <c r="J570" i="7"/>
  <c r="I570" i="7"/>
  <c r="J572" i="7"/>
  <c r="I572" i="7"/>
  <c r="J573" i="7"/>
  <c r="I573" i="7"/>
  <c r="J574" i="7"/>
  <c r="I574" i="7"/>
  <c r="J575" i="7"/>
  <c r="I575" i="7"/>
  <c r="J576" i="7"/>
  <c r="I576" i="7"/>
  <c r="J577" i="7"/>
  <c r="I577" i="7"/>
  <c r="J578" i="7"/>
  <c r="I578" i="7"/>
  <c r="J580" i="7"/>
  <c r="I580" i="7"/>
  <c r="J581" i="7"/>
  <c r="I581" i="7"/>
  <c r="J582" i="7"/>
  <c r="I582" i="7"/>
  <c r="J583" i="7"/>
  <c r="I583" i="7"/>
  <c r="J584" i="7"/>
  <c r="I584" i="7"/>
  <c r="J585" i="7"/>
  <c r="I585" i="7"/>
  <c r="J586" i="7"/>
  <c r="I586" i="7"/>
  <c r="J587" i="7"/>
  <c r="I587" i="7"/>
  <c r="J588" i="7"/>
  <c r="I588" i="7"/>
  <c r="J589" i="7"/>
  <c r="I589" i="7"/>
  <c r="J590" i="7"/>
  <c r="I590" i="7"/>
  <c r="J591" i="7"/>
  <c r="I591" i="7"/>
  <c r="J593" i="7"/>
  <c r="I593" i="7"/>
  <c r="J594" i="7"/>
  <c r="I594" i="7"/>
  <c r="J596" i="7"/>
  <c r="I596" i="7"/>
  <c r="J597" i="7"/>
  <c r="I597" i="7"/>
  <c r="J598" i="7"/>
  <c r="I598" i="7"/>
  <c r="J599" i="7"/>
  <c r="I599" i="7"/>
  <c r="J600" i="7"/>
  <c r="I600" i="7"/>
  <c r="J601" i="7"/>
  <c r="I601" i="7"/>
  <c r="J602" i="7"/>
  <c r="I602" i="7"/>
  <c r="J603" i="7"/>
  <c r="I603" i="7"/>
  <c r="J605" i="7"/>
  <c r="I605" i="7"/>
  <c r="J606" i="7"/>
  <c r="I606" i="7"/>
  <c r="J607" i="7"/>
  <c r="I607" i="7"/>
  <c r="J608" i="7"/>
  <c r="I608" i="7"/>
  <c r="J609" i="7"/>
  <c r="I609" i="7"/>
  <c r="J610" i="7"/>
  <c r="I610" i="7"/>
  <c r="J611" i="7"/>
  <c r="I611" i="7"/>
  <c r="J612" i="7"/>
  <c r="I612" i="7"/>
  <c r="J613" i="7"/>
  <c r="I613" i="7"/>
  <c r="J614" i="7"/>
  <c r="I614" i="7"/>
  <c r="J615" i="7"/>
  <c r="I615" i="7"/>
  <c r="J616" i="7"/>
  <c r="I616" i="7"/>
  <c r="J618" i="7"/>
  <c r="I618" i="7"/>
  <c r="J620" i="7"/>
  <c r="I620" i="7"/>
  <c r="J621" i="7"/>
  <c r="I621" i="7"/>
  <c r="J623" i="7"/>
  <c r="I623" i="7"/>
  <c r="J624" i="7"/>
  <c r="I624" i="7"/>
  <c r="J626" i="7"/>
  <c r="I626" i="7"/>
  <c r="J627" i="7"/>
  <c r="I627" i="7"/>
  <c r="J628" i="7"/>
  <c r="I628" i="7"/>
  <c r="J629" i="7"/>
  <c r="I629" i="7"/>
  <c r="J630" i="7"/>
  <c r="I630" i="7"/>
  <c r="J631" i="7"/>
  <c r="I631" i="7"/>
  <c r="J632" i="7"/>
  <c r="I632" i="7"/>
  <c r="J634" i="7"/>
  <c r="I634" i="7"/>
  <c r="J635" i="7"/>
  <c r="I635" i="7"/>
  <c r="J636" i="7"/>
  <c r="I636" i="7"/>
  <c r="J637" i="7"/>
  <c r="I637" i="7"/>
  <c r="J638" i="7"/>
  <c r="I638" i="7"/>
  <c r="J639" i="7"/>
  <c r="I639" i="7"/>
  <c r="J640" i="7"/>
  <c r="I640" i="7"/>
  <c r="J641" i="7"/>
  <c r="I641" i="7"/>
  <c r="J642" i="7"/>
  <c r="I642" i="7"/>
  <c r="J643" i="7"/>
  <c r="I643" i="7"/>
  <c r="J645" i="7"/>
  <c r="I645" i="7"/>
  <c r="J646" i="7"/>
  <c r="I646" i="7"/>
  <c r="J647" i="7"/>
  <c r="I647" i="7"/>
  <c r="J648" i="7"/>
  <c r="I648" i="7"/>
  <c r="J649" i="7"/>
  <c r="I649" i="7"/>
  <c r="J651" i="7"/>
  <c r="I651" i="7"/>
  <c r="J652" i="7"/>
  <c r="I652" i="7"/>
  <c r="J653" i="7"/>
  <c r="I653" i="7"/>
  <c r="J654" i="7"/>
  <c r="I654" i="7"/>
  <c r="J655" i="7"/>
  <c r="I655" i="7"/>
  <c r="J656" i="7"/>
  <c r="I656" i="7"/>
  <c r="J657" i="7"/>
  <c r="I657" i="7"/>
  <c r="J659" i="7"/>
  <c r="I659" i="7"/>
  <c r="J660" i="7"/>
  <c r="I660" i="7"/>
  <c r="J661" i="7"/>
  <c r="I661" i="7"/>
  <c r="J662" i="7"/>
  <c r="I662" i="7"/>
  <c r="J663" i="7"/>
  <c r="I663" i="7"/>
  <c r="J664" i="7"/>
  <c r="I664" i="7"/>
  <c r="J665" i="7"/>
  <c r="I665" i="7"/>
  <c r="J666" i="7"/>
  <c r="I666" i="7"/>
  <c r="J667" i="7"/>
  <c r="I667" i="7"/>
  <c r="J668" i="7"/>
  <c r="I668" i="7"/>
  <c r="J669" i="7"/>
  <c r="I669" i="7"/>
  <c r="J670" i="7"/>
  <c r="I670" i="7"/>
  <c r="J672" i="7"/>
  <c r="I672" i="7"/>
  <c r="J673" i="7"/>
  <c r="I673" i="7"/>
  <c r="J674" i="7"/>
  <c r="I674" i="7"/>
  <c r="J676" i="7"/>
  <c r="I676" i="7"/>
  <c r="J677" i="7"/>
  <c r="I677" i="7"/>
  <c r="J678" i="7"/>
  <c r="I678" i="7"/>
  <c r="J679" i="7"/>
  <c r="I679" i="7"/>
  <c r="J680" i="7"/>
  <c r="I680" i="7"/>
  <c r="J681" i="7"/>
  <c r="I681" i="7"/>
  <c r="J683" i="7"/>
  <c r="I683" i="7"/>
  <c r="J684" i="7"/>
  <c r="I684" i="7"/>
  <c r="J685" i="7"/>
  <c r="I685" i="7"/>
  <c r="J686" i="7"/>
  <c r="I686" i="7"/>
  <c r="J687" i="7"/>
  <c r="I687" i="7"/>
  <c r="J688" i="7"/>
  <c r="I688" i="7"/>
  <c r="J689" i="7"/>
  <c r="I689" i="7"/>
  <c r="J690" i="7"/>
  <c r="I690" i="7"/>
  <c r="J691" i="7"/>
  <c r="I691" i="7"/>
  <c r="J692" i="7"/>
  <c r="I692" i="7"/>
  <c r="J693" i="7"/>
  <c r="I693" i="7"/>
  <c r="J694" i="7"/>
  <c r="I694" i="7"/>
  <c r="J695" i="7"/>
  <c r="I695" i="7"/>
  <c r="J696" i="7"/>
  <c r="I696" i="7"/>
  <c r="J698" i="7"/>
  <c r="I698" i="7"/>
  <c r="J699" i="7"/>
  <c r="I699" i="7"/>
  <c r="J700" i="7"/>
  <c r="I700" i="7"/>
  <c r="J701" i="7"/>
  <c r="I701" i="7"/>
  <c r="J702" i="7"/>
  <c r="I702" i="7"/>
  <c r="J703" i="7"/>
  <c r="I703" i="7"/>
  <c r="J704" i="7"/>
  <c r="I704" i="7"/>
  <c r="J706" i="7"/>
  <c r="I706" i="7"/>
  <c r="J707" i="7"/>
  <c r="I707" i="7"/>
  <c r="J708" i="7"/>
  <c r="I708" i="7"/>
  <c r="J709" i="7"/>
  <c r="I709" i="7"/>
  <c r="J710" i="7"/>
  <c r="I710" i="7"/>
  <c r="J711" i="7"/>
  <c r="I711" i="7"/>
  <c r="J712" i="7"/>
  <c r="I712" i="7"/>
  <c r="J713" i="7"/>
  <c r="I713" i="7"/>
  <c r="J714" i="7"/>
  <c r="I714" i="7"/>
  <c r="J715" i="7"/>
  <c r="I715" i="7"/>
  <c r="J716" i="7"/>
  <c r="I716" i="7"/>
  <c r="J717" i="7"/>
  <c r="I717" i="7"/>
  <c r="J718" i="7"/>
  <c r="I718" i="7"/>
  <c r="J720" i="7"/>
  <c r="I720" i="7"/>
  <c r="J721" i="7"/>
  <c r="I721" i="7"/>
  <c r="J722" i="7"/>
  <c r="I722" i="7"/>
  <c r="J723" i="7"/>
  <c r="I723" i="7"/>
  <c r="J725" i="7"/>
  <c r="I725" i="7"/>
  <c r="J726" i="7"/>
  <c r="I726" i="7"/>
  <c r="J727" i="7"/>
  <c r="I727" i="7"/>
  <c r="J728" i="7"/>
  <c r="I728" i="7"/>
  <c r="J729" i="7"/>
  <c r="I729" i="7"/>
  <c r="J730" i="7"/>
  <c r="I730" i="7"/>
  <c r="J731" i="7"/>
  <c r="I731" i="7"/>
  <c r="J732" i="7"/>
  <c r="I732" i="7"/>
  <c r="J734" i="7"/>
  <c r="I734" i="7"/>
  <c r="J735" i="7"/>
  <c r="I735" i="7"/>
  <c r="J736" i="7"/>
  <c r="I736" i="7"/>
  <c r="J737" i="7"/>
  <c r="I737" i="7"/>
  <c r="J738" i="7"/>
  <c r="I738" i="7"/>
  <c r="J739" i="7"/>
  <c r="I739" i="7"/>
  <c r="J740" i="7"/>
  <c r="I740" i="7"/>
  <c r="J741" i="7"/>
  <c r="I741" i="7"/>
  <c r="J742" i="7"/>
  <c r="I742" i="7"/>
  <c r="J743" i="7"/>
  <c r="I743" i="7"/>
  <c r="J744" i="7"/>
  <c r="I744" i="7"/>
  <c r="J746" i="7"/>
  <c r="I746" i="7"/>
  <c r="J747" i="7"/>
  <c r="I747" i="7"/>
  <c r="J748" i="7"/>
  <c r="I748" i="7"/>
  <c r="J750" i="7"/>
  <c r="I750" i="7"/>
  <c r="J751" i="7"/>
  <c r="I751" i="7"/>
  <c r="J752" i="7"/>
  <c r="I752" i="7"/>
  <c r="J753" i="7"/>
  <c r="I753" i="7"/>
  <c r="J754" i="7"/>
  <c r="I754" i="7"/>
  <c r="J756" i="7"/>
  <c r="I756" i="7"/>
  <c r="J757" i="7"/>
  <c r="I757" i="7"/>
  <c r="J758" i="7"/>
  <c r="I758" i="7"/>
  <c r="J760" i="7"/>
  <c r="I760" i="7"/>
  <c r="J761" i="7"/>
  <c r="I761" i="7"/>
  <c r="J762" i="7"/>
  <c r="I762" i="7"/>
  <c r="J763" i="7"/>
  <c r="I763" i="7"/>
  <c r="J764" i="7"/>
  <c r="I764" i="7"/>
  <c r="J765" i="7"/>
  <c r="I765" i="7"/>
  <c r="J766" i="7"/>
  <c r="I766" i="7"/>
  <c r="J767" i="7"/>
  <c r="I767" i="7"/>
  <c r="J768" i="7"/>
  <c r="I768" i="7"/>
  <c r="J769" i="7"/>
  <c r="I769" i="7"/>
  <c r="J770" i="7"/>
  <c r="I770" i="7"/>
  <c r="J772" i="7"/>
  <c r="I772" i="7"/>
  <c r="J773" i="7"/>
  <c r="I773" i="7"/>
  <c r="J774" i="7"/>
  <c r="I774" i="7"/>
  <c r="J776" i="7"/>
  <c r="I776" i="7"/>
  <c r="J777" i="7"/>
  <c r="I777" i="7"/>
  <c r="J778" i="7"/>
  <c r="I778" i="7"/>
  <c r="J779" i="7"/>
  <c r="I779" i="7"/>
  <c r="J781" i="7"/>
  <c r="I781" i="7"/>
  <c r="J782" i="7"/>
  <c r="I782" i="7"/>
  <c r="J784" i="7"/>
  <c r="I784" i="7"/>
  <c r="J785" i="7"/>
  <c r="I785" i="7"/>
  <c r="J786" i="7"/>
  <c r="I786" i="7"/>
  <c r="J787" i="7"/>
  <c r="I787" i="7"/>
  <c r="J788" i="7"/>
  <c r="I788" i="7"/>
  <c r="J789" i="7"/>
  <c r="I789" i="7"/>
  <c r="J790" i="7"/>
  <c r="I790" i="7"/>
  <c r="J791" i="7"/>
  <c r="I791" i="7"/>
  <c r="J792" i="7"/>
  <c r="I792" i="7"/>
  <c r="J793" i="7"/>
  <c r="I793" i="7"/>
  <c r="J794" i="7"/>
  <c r="I794" i="7"/>
  <c r="J796" i="7"/>
  <c r="I796" i="7"/>
  <c r="J797" i="7"/>
  <c r="I797" i="7"/>
  <c r="J798" i="7"/>
  <c r="I798" i="7"/>
  <c r="J800" i="7"/>
  <c r="I800" i="7"/>
  <c r="J801" i="7"/>
  <c r="I801" i="7"/>
  <c r="J802" i="7"/>
  <c r="I802" i="7"/>
  <c r="J803" i="7"/>
  <c r="I803" i="7"/>
  <c r="J804" i="7"/>
  <c r="I804" i="7"/>
  <c r="J805" i="7"/>
  <c r="I805" i="7"/>
  <c r="J806" i="7"/>
  <c r="I806" i="7"/>
  <c r="J807" i="7"/>
  <c r="I807" i="7"/>
  <c r="J809" i="7"/>
  <c r="I809" i="7"/>
  <c r="J810" i="7"/>
  <c r="I810" i="7"/>
  <c r="J811" i="7"/>
  <c r="I811" i="7"/>
  <c r="J812" i="7"/>
  <c r="I812" i="7"/>
  <c r="J813" i="7"/>
  <c r="I813" i="7"/>
  <c r="J814" i="7"/>
  <c r="I814" i="7"/>
  <c r="J815" i="7"/>
  <c r="I815" i="7"/>
  <c r="J816" i="7"/>
  <c r="I816" i="7"/>
  <c r="J817" i="7"/>
  <c r="I817" i="7"/>
  <c r="J818" i="7"/>
  <c r="I818" i="7"/>
  <c r="J819" i="7"/>
  <c r="I819" i="7"/>
  <c r="J820" i="7"/>
  <c r="I820" i="7"/>
  <c r="J822" i="7"/>
  <c r="I822" i="7"/>
  <c r="J823" i="7"/>
  <c r="I823" i="7"/>
  <c r="J825" i="7"/>
  <c r="I825" i="7"/>
  <c r="J826" i="7"/>
  <c r="I826" i="7"/>
  <c r="J828" i="7"/>
  <c r="I828" i="7"/>
  <c r="J829" i="7"/>
  <c r="I829" i="7"/>
  <c r="J830" i="7"/>
  <c r="I830" i="7"/>
  <c r="J831" i="7"/>
  <c r="I831" i="7"/>
  <c r="J832" i="7"/>
  <c r="I832" i="7"/>
  <c r="J833" i="7"/>
  <c r="I833" i="7"/>
  <c r="J835" i="7"/>
  <c r="I835" i="7"/>
  <c r="J836" i="7"/>
  <c r="I836" i="7"/>
  <c r="J837" i="7"/>
  <c r="I837" i="7"/>
  <c r="J838" i="7"/>
  <c r="I838" i="7"/>
  <c r="J839" i="7"/>
  <c r="I839" i="7"/>
  <c r="J840" i="7"/>
  <c r="I840" i="7"/>
  <c r="J841" i="7"/>
  <c r="I841" i="7"/>
  <c r="J842" i="7"/>
  <c r="I842" i="7"/>
  <c r="J843" i="7"/>
  <c r="I843" i="7"/>
  <c r="J844" i="7"/>
  <c r="I844" i="7"/>
  <c r="J845" i="7"/>
  <c r="I845" i="7"/>
  <c r="J846" i="7"/>
  <c r="I846" i="7"/>
  <c r="J847" i="7"/>
  <c r="I847" i="7"/>
  <c r="J848" i="7"/>
  <c r="I848" i="7"/>
  <c r="J850" i="7"/>
  <c r="I850" i="7"/>
  <c r="J851" i="7"/>
  <c r="I851" i="7"/>
  <c r="J852" i="7"/>
  <c r="I852" i="7"/>
  <c r="J854" i="7"/>
  <c r="I854" i="7"/>
  <c r="J855" i="7"/>
  <c r="I855" i="7"/>
  <c r="J856" i="7"/>
  <c r="I856" i="7"/>
  <c r="J857" i="7"/>
  <c r="I857" i="7"/>
  <c r="J858" i="7"/>
  <c r="I858" i="7"/>
  <c r="J859" i="7"/>
  <c r="I859" i="7"/>
  <c r="J860" i="7"/>
  <c r="I860" i="7"/>
  <c r="J861" i="7"/>
  <c r="I861" i="7"/>
  <c r="J862" i="7"/>
  <c r="I862" i="7"/>
  <c r="J863" i="7"/>
  <c r="I863" i="7"/>
  <c r="J864" i="7"/>
  <c r="I864" i="7"/>
  <c r="J865" i="7"/>
  <c r="I865" i="7"/>
  <c r="J866" i="7"/>
  <c r="I866" i="7"/>
  <c r="J867" i="7"/>
  <c r="I867" i="7"/>
  <c r="J868" i="7"/>
  <c r="I868" i="7"/>
  <c r="J869" i="7"/>
  <c r="I869" i="7"/>
  <c r="J871" i="7"/>
  <c r="I871" i="7"/>
  <c r="J872" i="7"/>
  <c r="I872" i="7"/>
  <c r="J874" i="7"/>
  <c r="I874" i="7"/>
  <c r="J875" i="7"/>
  <c r="I875" i="7"/>
  <c r="J876" i="7"/>
  <c r="I876" i="7"/>
  <c r="J878" i="7"/>
  <c r="I878" i="7"/>
  <c r="J879" i="7"/>
  <c r="I879" i="7"/>
  <c r="J880" i="7"/>
  <c r="I880" i="7"/>
  <c r="J881" i="7"/>
  <c r="I881" i="7"/>
  <c r="J883" i="7"/>
  <c r="I883" i="7"/>
  <c r="J884" i="7"/>
  <c r="I884" i="7"/>
  <c r="J885" i="7"/>
  <c r="I885" i="7"/>
  <c r="J886" i="7"/>
  <c r="I886" i="7"/>
  <c r="J887" i="7"/>
  <c r="I887" i="7"/>
  <c r="J888" i="7"/>
  <c r="I888" i="7"/>
  <c r="J889" i="7"/>
  <c r="I889" i="7"/>
  <c r="J890" i="7"/>
  <c r="I890" i="7"/>
  <c r="J891" i="7"/>
  <c r="I891" i="7"/>
  <c r="J892" i="7"/>
  <c r="I892" i="7"/>
  <c r="J893" i="7"/>
  <c r="I893" i="7"/>
  <c r="J894" i="7"/>
  <c r="I894" i="7"/>
  <c r="J895" i="7"/>
  <c r="I895" i="7"/>
  <c r="J896" i="7"/>
  <c r="I896" i="7"/>
  <c r="J897" i="7"/>
  <c r="I897" i="7"/>
  <c r="J899" i="7"/>
  <c r="I899" i="7"/>
  <c r="J900" i="7"/>
  <c r="I900" i="7"/>
  <c r="J901" i="7"/>
  <c r="I901" i="7"/>
  <c r="J903" i="7"/>
  <c r="I903" i="7"/>
  <c r="J904" i="7"/>
  <c r="I904" i="7"/>
  <c r="J905" i="7"/>
  <c r="I905" i="7"/>
  <c r="J906" i="7"/>
  <c r="I906" i="7"/>
  <c r="J907" i="7"/>
  <c r="I907" i="7"/>
  <c r="J908" i="7"/>
  <c r="I908" i="7"/>
  <c r="J910" i="7"/>
  <c r="I910" i="7"/>
  <c r="J911" i="7"/>
  <c r="I911" i="7"/>
  <c r="J912" i="7"/>
  <c r="I912" i="7"/>
  <c r="J913" i="7"/>
  <c r="I913" i="7"/>
  <c r="J914" i="7"/>
  <c r="I914" i="7"/>
  <c r="J915" i="7"/>
  <c r="I915" i="7"/>
  <c r="J916" i="7"/>
  <c r="I916" i="7"/>
  <c r="J917" i="7"/>
  <c r="I917" i="7"/>
  <c r="J918" i="7"/>
  <c r="I918" i="7"/>
  <c r="J919" i="7"/>
  <c r="I919" i="7"/>
  <c r="J920" i="7"/>
  <c r="I920" i="7"/>
  <c r="J921" i="7"/>
  <c r="I921" i="7"/>
  <c r="J923" i="7"/>
  <c r="I923" i="7"/>
  <c r="J925" i="7"/>
  <c r="I925" i="7"/>
  <c r="J926" i="7"/>
  <c r="I926" i="7"/>
  <c r="J927" i="7"/>
  <c r="I927" i="7"/>
  <c r="J928" i="7"/>
  <c r="I928" i="7"/>
  <c r="J929" i="7"/>
  <c r="I929" i="7"/>
  <c r="J930" i="7"/>
  <c r="I930" i="7"/>
  <c r="J931" i="7"/>
  <c r="I931" i="7"/>
  <c r="J932" i="7"/>
  <c r="I932" i="7"/>
  <c r="J934" i="7"/>
  <c r="I934" i="7"/>
  <c r="J935" i="7"/>
  <c r="I935" i="7"/>
  <c r="J936" i="7"/>
  <c r="I936" i="7"/>
  <c r="J937" i="7"/>
  <c r="I937" i="7"/>
  <c r="J938" i="7"/>
  <c r="I938" i="7"/>
  <c r="J939" i="7"/>
  <c r="I939" i="7"/>
  <c r="J941" i="7"/>
  <c r="I941" i="7"/>
  <c r="J942" i="7"/>
  <c r="I942" i="7"/>
  <c r="J943" i="7"/>
  <c r="I943" i="7"/>
  <c r="J944" i="7"/>
  <c r="I944" i="7"/>
  <c r="J945" i="7"/>
  <c r="I945" i="7"/>
  <c r="J946" i="7"/>
  <c r="I946" i="7"/>
  <c r="J947" i="7"/>
  <c r="I947" i="7"/>
  <c r="J948" i="7"/>
  <c r="I948" i="7"/>
  <c r="J949" i="7"/>
  <c r="I949" i="7"/>
  <c r="J951" i="7"/>
  <c r="I951" i="7"/>
  <c r="J952" i="7"/>
  <c r="I952" i="7"/>
  <c r="J953" i="7"/>
  <c r="I953" i="7"/>
  <c r="J954" i="7"/>
  <c r="I954" i="7"/>
  <c r="J955" i="7"/>
  <c r="I955" i="7"/>
  <c r="J956" i="7"/>
  <c r="I956" i="7"/>
  <c r="J957" i="7"/>
  <c r="I957" i="7"/>
  <c r="J958" i="7"/>
  <c r="I958" i="7"/>
  <c r="J959" i="7"/>
  <c r="I959" i="7"/>
  <c r="J960" i="7"/>
  <c r="I960" i="7"/>
  <c r="J961" i="7"/>
  <c r="I961" i="7"/>
  <c r="J962" i="7"/>
  <c r="I962" i="7"/>
  <c r="J963" i="7"/>
  <c r="I963" i="7"/>
  <c r="J964" i="7"/>
  <c r="I964" i="7"/>
  <c r="J965" i="7"/>
  <c r="I965" i="7"/>
  <c r="J966" i="7"/>
  <c r="I966" i="7"/>
  <c r="J967" i="7"/>
  <c r="I967" i="7"/>
  <c r="J968" i="7"/>
  <c r="I968" i="7"/>
  <c r="J969" i="7"/>
  <c r="I969" i="7"/>
  <c r="J970" i="7"/>
  <c r="I970" i="7"/>
  <c r="J971" i="7"/>
  <c r="I971" i="7"/>
  <c r="J972" i="7"/>
  <c r="I972" i="7"/>
  <c r="J973" i="7"/>
  <c r="I973" i="7"/>
  <c r="J974" i="7"/>
  <c r="I974" i="7"/>
  <c r="J975" i="7"/>
  <c r="I975" i="7"/>
  <c r="J976" i="7"/>
  <c r="I976" i="7"/>
  <c r="J977" i="7"/>
  <c r="I977" i="7"/>
  <c r="J978" i="7"/>
  <c r="I978" i="7"/>
  <c r="J979" i="7"/>
  <c r="I979" i="7"/>
  <c r="J980" i="7"/>
  <c r="I980" i="7"/>
  <c r="J981" i="7"/>
  <c r="I981" i="7"/>
  <c r="J982" i="7"/>
  <c r="I982" i="7"/>
  <c r="J983" i="7"/>
  <c r="I983" i="7"/>
  <c r="J984" i="7"/>
  <c r="I984" i="7"/>
  <c r="J985" i="7"/>
  <c r="I985" i="7"/>
  <c r="J986" i="7"/>
  <c r="I986" i="7"/>
  <c r="J987" i="7"/>
  <c r="I987" i="7"/>
  <c r="J988" i="7"/>
  <c r="I988" i="7"/>
  <c r="J989" i="7"/>
  <c r="I989" i="7"/>
  <c r="J990" i="7"/>
  <c r="I990" i="7"/>
  <c r="J991" i="7"/>
  <c r="I991" i="7"/>
  <c r="J992" i="7"/>
  <c r="I992" i="7"/>
  <c r="J993" i="7"/>
  <c r="I993" i="7"/>
  <c r="J733" i="7"/>
  <c r="I733" i="7"/>
  <c r="K733" i="7" s="1"/>
  <c r="J745" i="7"/>
  <c r="I745" i="7"/>
  <c r="K745" i="7" s="1"/>
  <c r="J749" i="7"/>
  <c r="I749" i="7"/>
  <c r="K749" i="7" s="1"/>
  <c r="J755" i="7"/>
  <c r="I755" i="7"/>
  <c r="K755" i="7" s="1"/>
  <c r="J759" i="7"/>
  <c r="I759" i="7"/>
  <c r="K759" i="7" s="1"/>
  <c r="J771" i="7"/>
  <c r="I771" i="7"/>
  <c r="K771" i="7" s="1"/>
  <c r="J775" i="7"/>
  <c r="I775" i="7"/>
  <c r="K775" i="7" s="1"/>
  <c r="J780" i="7"/>
  <c r="I780" i="7"/>
  <c r="K780" i="7" s="1"/>
  <c r="J783" i="7"/>
  <c r="I783" i="7"/>
  <c r="K783" i="7" s="1"/>
  <c r="J795" i="7"/>
  <c r="I795" i="7"/>
  <c r="J799" i="7"/>
  <c r="I799" i="7"/>
  <c r="K799" i="7" s="1"/>
  <c r="J808" i="7"/>
  <c r="I808" i="7"/>
  <c r="J821" i="7"/>
  <c r="I821" i="7"/>
  <c r="K821" i="7" s="1"/>
  <c r="J824" i="7"/>
  <c r="I824" i="7"/>
  <c r="K824" i="7" s="1"/>
  <c r="J827" i="7"/>
  <c r="I827" i="7"/>
  <c r="K827" i="7" s="1"/>
  <c r="J834" i="7"/>
  <c r="I834" i="7"/>
  <c r="K834" i="7" s="1"/>
  <c r="J849" i="7"/>
  <c r="I849" i="7"/>
  <c r="K849" i="7" s="1"/>
  <c r="J853" i="7"/>
  <c r="I853" i="7"/>
  <c r="K853" i="7" s="1"/>
  <c r="J870" i="7"/>
  <c r="I870" i="7"/>
  <c r="K870" i="7" s="1"/>
  <c r="J873" i="7"/>
  <c r="I873" i="7"/>
  <c r="J877" i="7"/>
  <c r="I877" i="7"/>
  <c r="J882" i="7"/>
  <c r="I882" i="7"/>
  <c r="J898" i="7"/>
  <c r="I898" i="7"/>
  <c r="J902" i="7"/>
  <c r="I902" i="7"/>
  <c r="J909" i="7"/>
  <c r="I909" i="7"/>
  <c r="J922" i="7"/>
  <c r="I922" i="7"/>
  <c r="J924" i="7"/>
  <c r="I924" i="7"/>
  <c r="J933" i="7"/>
  <c r="I933" i="7"/>
  <c r="J940" i="7"/>
  <c r="I940" i="7"/>
  <c r="J950" i="7"/>
  <c r="I950" i="7"/>
  <c r="I6" i="7"/>
  <c r="J6" i="7"/>
  <c r="J8" i="7"/>
  <c r="I8" i="7"/>
  <c r="I10" i="7"/>
  <c r="J10" i="7"/>
  <c r="I12" i="7"/>
  <c r="J12" i="7"/>
  <c r="I16" i="7"/>
  <c r="K16" i="7" s="1"/>
  <c r="J16" i="7"/>
  <c r="I18" i="7"/>
  <c r="J18" i="7"/>
  <c r="I21" i="7"/>
  <c r="J21" i="7"/>
  <c r="I24" i="7"/>
  <c r="J24" i="7"/>
  <c r="I29" i="7"/>
  <c r="K29" i="7" s="1"/>
  <c r="J29" i="7"/>
  <c r="I33" i="7"/>
  <c r="J33" i="7"/>
  <c r="I35" i="7"/>
  <c r="J35" i="7"/>
  <c r="I38" i="7"/>
  <c r="K38" i="7" s="1"/>
  <c r="J38" i="7"/>
  <c r="I46" i="7"/>
  <c r="K46" i="7" s="1"/>
  <c r="J46" i="7"/>
  <c r="I48" i="7"/>
  <c r="K48" i="7" s="1"/>
  <c r="J48" i="7"/>
  <c r="I51" i="7"/>
  <c r="J51" i="7"/>
  <c r="I54" i="7"/>
  <c r="J54" i="7"/>
  <c r="J61" i="7"/>
  <c r="I61" i="7"/>
  <c r="I63" i="7"/>
  <c r="J63" i="7"/>
  <c r="I68" i="7"/>
  <c r="J68" i="7"/>
  <c r="I76" i="7"/>
  <c r="K76" i="7" s="1"/>
  <c r="J76" i="7"/>
  <c r="I77" i="7"/>
  <c r="J77" i="7"/>
  <c r="I82" i="7"/>
  <c r="J82" i="7"/>
  <c r="I90" i="7"/>
  <c r="J90" i="7"/>
  <c r="J92" i="7"/>
  <c r="I92" i="7"/>
  <c r="J95" i="7"/>
  <c r="I95" i="7"/>
  <c r="K95" i="7" s="1"/>
  <c r="J105" i="7"/>
  <c r="I105" i="7"/>
  <c r="K105" i="7" s="1"/>
  <c r="I109" i="7"/>
  <c r="J109" i="7"/>
  <c r="J112" i="7"/>
  <c r="I112" i="7"/>
  <c r="K112" i="7" s="1"/>
  <c r="J122" i="7"/>
  <c r="I122" i="7"/>
  <c r="K122" i="7" s="1"/>
  <c r="I123" i="7"/>
  <c r="J123" i="7"/>
  <c r="I128" i="7"/>
  <c r="K128" i="7" s="1"/>
  <c r="J128" i="7"/>
  <c r="J140" i="7"/>
  <c r="I140" i="7"/>
  <c r="I142" i="7"/>
  <c r="K142" i="7" s="1"/>
  <c r="J142" i="7"/>
  <c r="I148" i="7"/>
  <c r="K148" i="7" s="1"/>
  <c r="J148" i="7"/>
  <c r="I159" i="7"/>
  <c r="K159" i="7" s="1"/>
  <c r="J159" i="7"/>
  <c r="I165" i="7"/>
  <c r="J165" i="7"/>
  <c r="I168" i="7"/>
  <c r="K168" i="7" s="1"/>
  <c r="J168" i="7"/>
  <c r="I178" i="7"/>
  <c r="J178" i="7"/>
  <c r="J185" i="7"/>
  <c r="I185" i="7"/>
  <c r="K185" i="7" s="1"/>
  <c r="I196" i="7"/>
  <c r="K196" i="7" s="1"/>
  <c r="J196" i="7"/>
  <c r="I198" i="7"/>
  <c r="J198" i="7"/>
  <c r="I200" i="7"/>
  <c r="K200" i="7" s="1"/>
  <c r="J200" i="7"/>
  <c r="I205" i="7"/>
  <c r="K205" i="7" s="1"/>
  <c r="J205" i="7"/>
  <c r="J217" i="7"/>
  <c r="I217" i="7"/>
  <c r="K217" i="7" s="1"/>
  <c r="J220" i="7"/>
  <c r="I220" i="7"/>
  <c r="K220" i="7" s="1"/>
  <c r="J226" i="7"/>
  <c r="I226" i="7"/>
  <c r="K226" i="7" s="1"/>
  <c r="I238" i="7"/>
  <c r="K238" i="7" s="1"/>
  <c r="J238" i="7"/>
  <c r="I239" i="7"/>
  <c r="K239" i="7" s="1"/>
  <c r="J239" i="7"/>
  <c r="I242" i="7"/>
  <c r="K242" i="7" s="1"/>
  <c r="J242" i="7"/>
  <c r="I248" i="7"/>
  <c r="J248" i="7"/>
  <c r="I259" i="7"/>
  <c r="K259" i="7" s="1"/>
  <c r="J259" i="7"/>
  <c r="I262" i="7"/>
  <c r="J262" i="7"/>
  <c r="I268" i="7"/>
  <c r="J268" i="7"/>
  <c r="I279" i="7"/>
  <c r="J279" i="7"/>
  <c r="I284" i="7"/>
  <c r="J284" i="7"/>
  <c r="I293" i="7"/>
  <c r="J293" i="7"/>
  <c r="I303" i="7"/>
  <c r="K303" i="7" s="1"/>
  <c r="J303" i="7"/>
  <c r="I311" i="7"/>
  <c r="K311" i="7" s="1"/>
  <c r="J311" i="7"/>
  <c r="I316" i="7"/>
  <c r="K316" i="7" s="1"/>
  <c r="J316" i="7"/>
  <c r="I326" i="7"/>
  <c r="J326" i="7"/>
  <c r="I334" i="7"/>
  <c r="K334" i="7" s="1"/>
  <c r="J334" i="7"/>
  <c r="I345" i="7"/>
  <c r="K345" i="7" s="1"/>
  <c r="J345" i="7"/>
  <c r="I348" i="7"/>
  <c r="K348" i="7" s="1"/>
  <c r="J348" i="7"/>
  <c r="I352" i="7"/>
  <c r="K352" i="7" s="1"/>
  <c r="J352" i="7"/>
  <c r="I358" i="7"/>
  <c r="K358" i="7" s="1"/>
  <c r="J358" i="7"/>
  <c r="I372" i="7"/>
  <c r="J372" i="7"/>
  <c r="J380" i="7"/>
  <c r="I380" i="7"/>
  <c r="K380" i="7" s="1"/>
  <c r="I382" i="7"/>
  <c r="J382" i="7"/>
  <c r="J393" i="7"/>
  <c r="I393" i="7"/>
  <c r="J398" i="7"/>
  <c r="I398" i="7"/>
  <c r="J404" i="7"/>
  <c r="I404" i="7"/>
  <c r="K404" i="7" s="1"/>
  <c r="I415" i="7"/>
  <c r="J415" i="7"/>
  <c r="J420" i="7"/>
  <c r="I420" i="7"/>
  <c r="K420" i="7" s="1"/>
  <c r="I427" i="7"/>
  <c r="K427" i="7" s="1"/>
  <c r="J427" i="7"/>
  <c r="J430" i="7"/>
  <c r="I430" i="7"/>
  <c r="K430" i="7" s="1"/>
  <c r="J442" i="7"/>
  <c r="I442" i="7"/>
  <c r="K442" i="7" s="1"/>
  <c r="J445" i="7"/>
  <c r="I445" i="7"/>
  <c r="K445" i="7" s="1"/>
  <c r="J450" i="7"/>
  <c r="I450" i="7"/>
  <c r="K450" i="7" s="1"/>
  <c r="J461" i="7"/>
  <c r="I461" i="7"/>
  <c r="K461" i="7" s="1"/>
  <c r="I471" i="7"/>
  <c r="K471" i="7" s="1"/>
  <c r="J471" i="7"/>
  <c r="I479" i="7"/>
  <c r="K479" i="7" s="1"/>
  <c r="J479" i="7"/>
  <c r="I492" i="7"/>
  <c r="K492" i="7" s="1"/>
  <c r="J492" i="7"/>
  <c r="I496" i="7"/>
  <c r="K496" i="7" s="1"/>
  <c r="J496" i="7"/>
  <c r="I500" i="7"/>
  <c r="K500" i="7" s="1"/>
  <c r="J500" i="7"/>
  <c r="I518" i="7"/>
  <c r="K518" i="7" s="1"/>
  <c r="J518" i="7"/>
  <c r="I521" i="7"/>
  <c r="K521" i="7" s="1"/>
  <c r="J521" i="7"/>
  <c r="I529" i="7"/>
  <c r="K529" i="7" s="1"/>
  <c r="J529" i="7"/>
  <c r="I542" i="7"/>
  <c r="K542" i="7" s="1"/>
  <c r="J542" i="7"/>
  <c r="I546" i="7"/>
  <c r="K546" i="7" s="1"/>
  <c r="J546" i="7"/>
  <c r="J549" i="7"/>
  <c r="I549" i="7"/>
  <c r="K549" i="7" s="1"/>
  <c r="I564" i="7"/>
  <c r="K564" i="7" s="1"/>
  <c r="J564" i="7"/>
  <c r="I571" i="7"/>
  <c r="K571" i="7" s="1"/>
  <c r="J571" i="7"/>
  <c r="I579" i="7"/>
  <c r="K579" i="7" s="1"/>
  <c r="J579" i="7"/>
  <c r="I592" i="7"/>
  <c r="K592" i="7" s="1"/>
  <c r="J592" i="7"/>
  <c r="I595" i="7"/>
  <c r="K595" i="7" s="1"/>
  <c r="J595" i="7"/>
  <c r="I604" i="7"/>
  <c r="K604" i="7" s="1"/>
  <c r="J604" i="7"/>
  <c r="I617" i="7"/>
  <c r="K617" i="7" s="1"/>
  <c r="J617" i="7"/>
  <c r="I619" i="7"/>
  <c r="J619" i="7"/>
  <c r="I622" i="7"/>
  <c r="K622" i="7" s="1"/>
  <c r="J622" i="7"/>
  <c r="I625" i="7"/>
  <c r="K625" i="7" s="1"/>
  <c r="J625" i="7"/>
  <c r="I633" i="7"/>
  <c r="K633" i="7" s="1"/>
  <c r="J633" i="7"/>
  <c r="I644" i="7"/>
  <c r="K644" i="7" s="1"/>
  <c r="J644" i="7"/>
  <c r="I650" i="7"/>
  <c r="K650" i="7" s="1"/>
  <c r="J650" i="7"/>
  <c r="I658" i="7"/>
  <c r="K658" i="7" s="1"/>
  <c r="J658" i="7"/>
  <c r="I671" i="7"/>
  <c r="K671" i="7" s="1"/>
  <c r="J671" i="7"/>
  <c r="I675" i="7"/>
  <c r="J675" i="7"/>
  <c r="I682" i="7"/>
  <c r="K682" i="7" s="1"/>
  <c r="J682" i="7"/>
  <c r="I697" i="7"/>
  <c r="K697" i="7" s="1"/>
  <c r="J697" i="7"/>
  <c r="I705" i="7"/>
  <c r="K705" i="7" s="1"/>
  <c r="J705" i="7"/>
  <c r="I719" i="7"/>
  <c r="K719" i="7" s="1"/>
  <c r="J719" i="7"/>
  <c r="I724" i="7"/>
  <c r="K724" i="7" s="1"/>
  <c r="J724" i="7"/>
  <c r="J13" i="8"/>
  <c r="J9" i="8"/>
  <c r="J11" i="8"/>
  <c r="J10" i="8"/>
  <c r="J12" i="8"/>
  <c r="J19" i="8"/>
  <c r="J16" i="8"/>
  <c r="J15" i="8"/>
  <c r="J14" i="8"/>
  <c r="J17" i="8"/>
  <c r="J18" i="8"/>
  <c r="J22" i="8"/>
  <c r="J23" i="8"/>
  <c r="J21" i="8"/>
  <c r="J20" i="8"/>
  <c r="J24" i="8"/>
  <c r="L5" i="8"/>
  <c r="L6" i="8"/>
  <c r="L8" i="8"/>
  <c r="L7" i="8"/>
  <c r="L12" i="8"/>
  <c r="L9" i="8"/>
  <c r="L13" i="8"/>
  <c r="L11" i="8"/>
  <c r="L10" i="8"/>
  <c r="L14" i="8"/>
  <c r="L16" i="8"/>
  <c r="L20" i="8"/>
  <c r="L17" i="8"/>
  <c r="L21" i="8"/>
  <c r="L19" i="8"/>
  <c r="L15" i="8"/>
  <c r="L18" i="8"/>
  <c r="L22" i="8"/>
  <c r="L23" i="8"/>
  <c r="L24" i="8"/>
  <c r="J5" i="8"/>
  <c r="J7" i="8"/>
  <c r="J6" i="8"/>
  <c r="J8" i="8"/>
  <c r="U10" i="8"/>
  <c r="D6" i="16" a="1"/>
  <c r="E6" i="16" a="1"/>
  <c r="F1968" i="17" l="1"/>
  <c r="F7" i="17"/>
  <c r="F1608" i="17"/>
  <c r="F2068" i="17"/>
  <c r="F11" i="17"/>
  <c r="F1108" i="17"/>
  <c r="F1568" i="17"/>
  <c r="F2028" i="17"/>
  <c r="F16" i="17"/>
  <c r="F281" i="17"/>
  <c r="F267" i="17"/>
  <c r="F622" i="17"/>
  <c r="F21" i="17"/>
  <c r="F2328" i="17"/>
  <c r="F2228" i="17"/>
  <c r="F1068" i="17"/>
  <c r="F26" i="17"/>
  <c r="F1348" i="17"/>
  <c r="F438" i="17"/>
  <c r="F1368" i="17"/>
  <c r="F31" i="17"/>
  <c r="F1828" i="17"/>
  <c r="F254" i="17"/>
  <c r="F1148" i="17"/>
  <c r="F93" i="17"/>
  <c r="F1988" i="17"/>
  <c r="F46" i="17"/>
  <c r="F1788" i="17"/>
  <c r="F2168" i="17"/>
  <c r="F948" i="17"/>
  <c r="F365" i="17"/>
  <c r="F1728" i="17"/>
  <c r="F2108" i="17"/>
  <c r="F1048" i="17"/>
  <c r="F709" i="17"/>
  <c r="F241" i="17"/>
  <c r="F1708" i="17"/>
  <c r="F1628" i="17"/>
  <c r="F2128" i="17"/>
  <c r="F691" i="17"/>
  <c r="F606" i="17"/>
  <c r="F727" i="17"/>
  <c r="F2348" i="17"/>
  <c r="F181" i="17"/>
  <c r="F453" i="17"/>
  <c r="F558" i="17"/>
  <c r="F423" i="17"/>
  <c r="F1768" i="17"/>
  <c r="F113" i="17"/>
  <c r="F205" i="17"/>
  <c r="F890" i="17"/>
  <c r="F2208" i="17"/>
  <c r="F1588" i="17"/>
  <c r="F1448" i="17"/>
  <c r="F1488" i="17"/>
  <c r="F853" i="17"/>
  <c r="F1228" i="17"/>
  <c r="F38" i="17"/>
  <c r="F528" i="17"/>
  <c r="F309" i="17"/>
  <c r="F1468" i="17"/>
  <c r="F123" i="17"/>
  <c r="F483" i="17"/>
  <c r="F323" i="17"/>
  <c r="F2288" i="17"/>
  <c r="F835" i="17"/>
  <c r="F1328" i="17"/>
  <c r="F393" i="17"/>
  <c r="F169" i="17"/>
  <c r="F1128" i="17"/>
  <c r="F1248" i="17"/>
  <c r="F1888" i="17"/>
  <c r="F1428" i="17"/>
  <c r="F1868" i="17"/>
  <c r="F1188" i="17"/>
  <c r="F73" i="17"/>
  <c r="F988" i="17"/>
  <c r="F871" i="17"/>
  <c r="F1748" i="17"/>
  <c r="F103" i="17"/>
  <c r="F799" i="17"/>
  <c r="F655" i="17"/>
  <c r="F1668" i="17"/>
  <c r="F217" i="17"/>
  <c r="F543" i="17"/>
  <c r="F1808" i="17"/>
  <c r="F1268" i="17"/>
  <c r="F408" i="17"/>
  <c r="F2248" i="17"/>
  <c r="F379" i="17"/>
  <c r="F157" i="17"/>
  <c r="F337" i="17"/>
  <c r="F673" i="17"/>
  <c r="F2188" i="17"/>
  <c r="F2048" i="17"/>
  <c r="F909" i="17"/>
  <c r="F513" i="17"/>
  <c r="F54" i="17"/>
  <c r="F928" i="17"/>
  <c r="F745" i="17"/>
  <c r="F1908" i="17"/>
  <c r="F763" i="17"/>
  <c r="F1848" i="17"/>
  <c r="F1288" i="17"/>
  <c r="F1688" i="17"/>
  <c r="F229" i="17"/>
  <c r="F1408" i="17"/>
  <c r="F817" i="17"/>
  <c r="F145" i="17"/>
  <c r="F968" i="17"/>
  <c r="F498" i="17"/>
  <c r="F781" i="17"/>
  <c r="F193" i="17"/>
  <c r="F468" i="17"/>
  <c r="F2148" i="17"/>
  <c r="F1388" i="17"/>
  <c r="F638" i="17"/>
  <c r="F134" i="17"/>
  <c r="F1008" i="17"/>
  <c r="F83" i="17"/>
  <c r="F2308" i="17"/>
  <c r="F1028" i="17"/>
  <c r="F1528" i="17"/>
  <c r="F1168" i="17"/>
  <c r="F1648" i="17"/>
  <c r="F590" i="17"/>
  <c r="F295" i="17"/>
  <c r="F574" i="17"/>
  <c r="F2268" i="17"/>
  <c r="F1308" i="17"/>
  <c r="F1208" i="17"/>
  <c r="F351" i="17"/>
  <c r="F1948" i="17"/>
  <c r="F2008" i="17"/>
  <c r="F1548" i="17"/>
  <c r="F2088" i="17"/>
  <c r="F1088" i="17"/>
  <c r="F1508" i="17"/>
  <c r="F63" i="17"/>
  <c r="F1928" i="17"/>
  <c r="F8" i="17"/>
  <c r="F371" i="17"/>
  <c r="F12" i="17"/>
  <c r="F17" i="17"/>
  <c r="F1980" i="17"/>
  <c r="F22" i="17"/>
  <c r="F1940" i="17"/>
  <c r="F1480" i="17"/>
  <c r="F27" i="17"/>
  <c r="F445" i="17"/>
  <c r="F357" i="17"/>
  <c r="F1680" i="17"/>
  <c r="F34" i="17"/>
  <c r="F1560" i="17"/>
  <c r="F49" i="17"/>
  <c r="F198" i="17"/>
  <c r="F2120" i="17"/>
  <c r="F234" i="17"/>
  <c r="F701" i="17"/>
  <c r="F1720" i="17"/>
  <c r="F1580" i="17"/>
  <c r="F2180" i="17"/>
  <c r="F1540" i="17"/>
  <c r="F460" i="17"/>
  <c r="F186" i="17"/>
  <c r="F1780" i="17"/>
  <c r="F2040" i="17"/>
  <c r="F535" i="17"/>
  <c r="F273" i="17"/>
  <c r="F1660" i="17"/>
  <c r="F174" i="17"/>
  <c r="F329" i="17"/>
  <c r="F1960" i="17"/>
  <c r="F1440" i="17"/>
  <c r="F490" i="17"/>
  <c r="F415" i="17"/>
  <c r="F737" i="17"/>
  <c r="F1880" i="17"/>
  <c r="F2280" i="17"/>
  <c r="F1400" i="17"/>
  <c r="F1380" i="17"/>
  <c r="F1860" i="17"/>
  <c r="F505" i="17"/>
  <c r="F845" i="17"/>
  <c r="F550" i="17"/>
  <c r="F863" i="17"/>
  <c r="F1840" i="17"/>
  <c r="F2200" i="17"/>
  <c r="F1740" i="17"/>
  <c r="F630" i="17"/>
  <c r="F1340" i="17"/>
  <c r="F665" i="17"/>
  <c r="F683" i="17"/>
  <c r="F1760" i="17"/>
  <c r="F1180" i="17"/>
  <c r="F1700" i="17"/>
  <c r="F2340" i="17"/>
  <c r="F2060" i="17"/>
  <c r="F827" i="17"/>
  <c r="F385" i="17"/>
  <c r="F1640" i="17"/>
  <c r="F755" i="17"/>
  <c r="F980" i="17"/>
  <c r="F475" i="17"/>
  <c r="F1120" i="17"/>
  <c r="F1200" i="17"/>
  <c r="F1100" i="17"/>
  <c r="F1000" i="17"/>
  <c r="F2220" i="17"/>
  <c r="F1080" i="17"/>
  <c r="F287" i="17"/>
  <c r="F2100" i="17"/>
  <c r="F57" i="17"/>
  <c r="F1040" i="17"/>
  <c r="F1020" i="17"/>
  <c r="F138" i="17"/>
  <c r="F809" i="17"/>
  <c r="F647" i="17"/>
  <c r="F2320" i="17"/>
  <c r="F1160" i="17"/>
  <c r="F1260" i="17"/>
  <c r="F791" i="17"/>
  <c r="F1420" i="17"/>
  <c r="F1360" i="17"/>
  <c r="F127" i="17"/>
  <c r="F719" i="17"/>
  <c r="F430" i="17"/>
  <c r="F246" i="17"/>
  <c r="F2140" i="17"/>
  <c r="F2260" i="17"/>
  <c r="F150" i="17"/>
  <c r="F960" i="17"/>
  <c r="F582" i="17"/>
  <c r="F882" i="17"/>
  <c r="F2300" i="17"/>
  <c r="F107" i="17"/>
  <c r="F87" i="17"/>
  <c r="F2020" i="17"/>
  <c r="F520" i="17"/>
  <c r="F1280" i="17"/>
  <c r="F1920" i="17"/>
  <c r="F1800" i="17"/>
  <c r="F5" i="17"/>
  <c r="F1620" i="17"/>
  <c r="F1820" i="17"/>
  <c r="F1600" i="17"/>
  <c r="F67" i="17"/>
  <c r="F1060" i="17"/>
  <c r="F1220" i="17"/>
  <c r="F41" i="17"/>
  <c r="F1240" i="17"/>
  <c r="F773" i="17"/>
  <c r="F400" i="17"/>
  <c r="F920" i="17"/>
  <c r="F614" i="17"/>
  <c r="F162" i="17"/>
  <c r="F77" i="17"/>
  <c r="F1520" i="17"/>
  <c r="F1300" i="17"/>
  <c r="F1460" i="17"/>
  <c r="F210" i="17"/>
  <c r="F2080" i="17"/>
  <c r="F1900" i="17"/>
  <c r="F566" i="17"/>
  <c r="F901" i="17"/>
  <c r="F940" i="17"/>
  <c r="F2160" i="17"/>
  <c r="F2000" i="17"/>
  <c r="F259" i="17"/>
  <c r="F2240" i="17"/>
  <c r="F343" i="17"/>
  <c r="F117" i="17"/>
  <c r="F301" i="17"/>
  <c r="F315" i="17"/>
  <c r="F598" i="17"/>
  <c r="F1140" i="17"/>
  <c r="F1500" i="17"/>
  <c r="F1320" i="17"/>
  <c r="F97" i="17"/>
  <c r="F222" i="17"/>
  <c r="F9" i="17"/>
  <c r="F13" i="17"/>
  <c r="F794" i="17"/>
  <c r="F18" i="17"/>
  <c r="F830" i="17"/>
  <c r="F23" i="17"/>
  <c r="F100" i="17"/>
  <c r="F28" i="17"/>
  <c r="F237" i="17"/>
  <c r="F1603" i="17"/>
  <c r="F1583" i="17"/>
  <c r="F35" i="17"/>
  <c r="F276" i="17"/>
  <c r="F1523" i="17"/>
  <c r="F1323" i="17"/>
  <c r="F70" i="17"/>
  <c r="F318" i="17"/>
  <c r="F1183" i="17"/>
  <c r="F1443" i="17"/>
  <c r="F1403" i="17"/>
  <c r="F1343" i="17"/>
  <c r="F110" i="17"/>
  <c r="F120" i="17"/>
  <c r="F249" i="17"/>
  <c r="F1363" i="17"/>
  <c r="F740" i="17"/>
  <c r="F1143" i="17"/>
  <c r="F1123" i="17"/>
  <c r="F1083" i="17"/>
  <c r="F1543" i="17"/>
  <c r="F1063" i="17"/>
  <c r="F153" i="17"/>
  <c r="F553" i="17"/>
  <c r="F943" i="17"/>
  <c r="F538" i="17"/>
  <c r="F1943" i="17"/>
  <c r="F60" i="17"/>
  <c r="F2083" i="17"/>
  <c r="F388" i="17"/>
  <c r="F2183" i="17"/>
  <c r="F262" i="17"/>
  <c r="F1783" i="17"/>
  <c r="F463" i="17"/>
  <c r="F1903" i="17"/>
  <c r="F1863" i="17"/>
  <c r="F1923" i="17"/>
  <c r="F433" i="17"/>
  <c r="F418" i="17"/>
  <c r="F403" i="17"/>
  <c r="F165" i="17"/>
  <c r="F201" i="17"/>
  <c r="F2123" i="17"/>
  <c r="F2143" i="17"/>
  <c r="F2203" i="17"/>
  <c r="F51" i="17"/>
  <c r="F848" i="17"/>
  <c r="F90" i="17"/>
  <c r="F1003" i="17"/>
  <c r="F177" i="17"/>
  <c r="F601" i="17"/>
  <c r="F1023" i="17"/>
  <c r="F1643" i="17"/>
  <c r="F1803" i="17"/>
  <c r="F2263" i="17"/>
  <c r="F290" i="17"/>
  <c r="F493" i="17"/>
  <c r="F585" i="17"/>
  <c r="F983" i="17"/>
  <c r="F686" i="17"/>
  <c r="F722" i="17"/>
  <c r="F1103" i="17"/>
  <c r="F1163" i="17"/>
  <c r="F1563" i="17"/>
  <c r="F1223" i="17"/>
  <c r="F1383" i="17"/>
  <c r="F1463" i="17"/>
  <c r="F80" i="17"/>
  <c r="F189" i="17"/>
  <c r="F2343" i="17"/>
  <c r="F1683" i="17"/>
  <c r="F360" i="17"/>
  <c r="F478" i="17"/>
  <c r="F569" i="17"/>
  <c r="F633" i="17"/>
  <c r="F1043" i="17"/>
  <c r="F866" i="17"/>
  <c r="F923" i="17"/>
  <c r="F1203" i="17"/>
  <c r="F1883" i="17"/>
  <c r="F1663" i="17"/>
  <c r="F2283" i="17"/>
  <c r="F963" i="17"/>
  <c r="F885" i="17"/>
  <c r="F904" i="17"/>
  <c r="F1483" i="17"/>
  <c r="F1623" i="17"/>
  <c r="F2323" i="17"/>
  <c r="F1243" i="17"/>
  <c r="F812" i="17"/>
  <c r="F776" i="17"/>
  <c r="F1263" i="17"/>
  <c r="F2303" i="17"/>
  <c r="F1283" i="17"/>
  <c r="F617" i="17"/>
  <c r="F1303" i="17"/>
  <c r="F374" i="17"/>
  <c r="F332" i="17"/>
  <c r="F523" i="17"/>
  <c r="F304" i="17"/>
  <c r="F1423" i="17"/>
  <c r="F508" i="17"/>
  <c r="F1503" i="17"/>
  <c r="F1743" i="17"/>
  <c r="F448" i="17"/>
  <c r="F1823" i="17"/>
  <c r="F1983" i="17"/>
  <c r="F2243" i="17"/>
  <c r="F2003" i="17"/>
  <c r="F2023" i="17"/>
  <c r="F2223" i="17"/>
  <c r="F2163" i="17"/>
  <c r="F2103" i="17"/>
  <c r="F43" i="17"/>
  <c r="F2063" i="17"/>
  <c r="F130" i="17"/>
  <c r="F213" i="17"/>
  <c r="F2043" i="17"/>
  <c r="F225" i="17"/>
  <c r="F346" i="17"/>
  <c r="F1843" i="17"/>
  <c r="F141" i="17"/>
  <c r="F1963" i="17"/>
  <c r="F1763" i="17"/>
  <c r="F1703" i="17"/>
  <c r="F650" i="17"/>
  <c r="F668" i="17"/>
  <c r="F1723" i="17"/>
  <c r="F704" i="17"/>
  <c r="F758" i="17"/>
  <c r="F15" i="17"/>
  <c r="F20" i="17"/>
  <c r="F25" i="17"/>
  <c r="F30" i="17"/>
  <c r="F2027" i="17"/>
  <c r="F1367" i="17"/>
  <c r="F2287" i="17"/>
  <c r="F467" i="17"/>
  <c r="F2167" i="17"/>
  <c r="F45" i="17"/>
  <c r="F156" i="17"/>
  <c r="F92" i="17"/>
  <c r="F2267" i="17"/>
  <c r="F112" i="17"/>
  <c r="F1247" i="17"/>
  <c r="F1547" i="17"/>
  <c r="F1767" i="17"/>
  <c r="F1727" i="17"/>
  <c r="F2047" i="17"/>
  <c r="F1487" i="17"/>
  <c r="F726" i="17"/>
  <c r="F280" i="17"/>
  <c r="F1907" i="17"/>
  <c r="F708" i="17"/>
  <c r="F1447" i="17"/>
  <c r="F253" i="17"/>
  <c r="F2147" i="17"/>
  <c r="F1987" i="17"/>
  <c r="F1307" i="17"/>
  <c r="F1407" i="17"/>
  <c r="F852" i="17"/>
  <c r="F987" i="17"/>
  <c r="F1607" i="17"/>
  <c r="F216" i="17"/>
  <c r="F834" i="17"/>
  <c r="F1787" i="17"/>
  <c r="F889" i="17"/>
  <c r="F816" i="17"/>
  <c r="F1207" i="17"/>
  <c r="F798" i="17"/>
  <c r="F672" i="17"/>
  <c r="F762" i="17"/>
  <c r="F1167" i="17"/>
  <c r="F1967" i="17"/>
  <c r="F180" i="17"/>
  <c r="F2207" i="17"/>
  <c r="F1127" i="17"/>
  <c r="F364" i="17"/>
  <c r="F1107" i="17"/>
  <c r="F967" i="17"/>
  <c r="F2347" i="17"/>
  <c r="F1027" i="17"/>
  <c r="F1467" i="17"/>
  <c r="F2007" i="17"/>
  <c r="F2327" i="17"/>
  <c r="F527" i="17"/>
  <c r="F407" i="17"/>
  <c r="F1627" i="17"/>
  <c r="F1507" i="17"/>
  <c r="F2247" i="17"/>
  <c r="F1087" i="17"/>
  <c r="F1707" i="17"/>
  <c r="F605" i="17"/>
  <c r="F1947" i="17"/>
  <c r="F573" i="17"/>
  <c r="F294" i="17"/>
  <c r="F512" i="17"/>
  <c r="F1007" i="17"/>
  <c r="F1427" i="17"/>
  <c r="F2127" i="17"/>
  <c r="F240" i="17"/>
  <c r="F452" i="17"/>
  <c r="F1267" i="17"/>
  <c r="F1927" i="17"/>
  <c r="F690" i="17"/>
  <c r="F780" i="17"/>
  <c r="F1187" i="17"/>
  <c r="F557" i="17"/>
  <c r="F308" i="17"/>
  <c r="F621" i="17"/>
  <c r="F1687" i="17"/>
  <c r="F350" i="17"/>
  <c r="F908" i="17"/>
  <c r="F1847" i="17"/>
  <c r="F2087" i="17"/>
  <c r="F2067" i="17"/>
  <c r="F542" i="17"/>
  <c r="F37" i="17"/>
  <c r="F1387" i="17"/>
  <c r="F82" i="17"/>
  <c r="F2307" i="17"/>
  <c r="F133" i="17"/>
  <c r="F1867" i="17"/>
  <c r="F392" i="17"/>
  <c r="F1887" i="17"/>
  <c r="F102" i="17"/>
  <c r="F654" i="17"/>
  <c r="F266" i="17"/>
  <c r="F228" i="17"/>
  <c r="F1807" i="17"/>
  <c r="F1827" i="17"/>
  <c r="F1667" i="17"/>
  <c r="F62" i="17"/>
  <c r="F378" i="17"/>
  <c r="F1287" i="17"/>
  <c r="F1327" i="17"/>
  <c r="F53" i="17"/>
  <c r="F1527" i="17"/>
  <c r="F1747" i="17"/>
  <c r="F497" i="17"/>
  <c r="F637" i="17"/>
  <c r="F422" i="17"/>
  <c r="F1567" i="17"/>
  <c r="F192" i="17"/>
  <c r="F870" i="17"/>
  <c r="F482" i="17"/>
  <c r="F168" i="17"/>
  <c r="F72" i="17"/>
  <c r="F1647" i="17"/>
  <c r="F1047" i="17"/>
  <c r="F1587" i="17"/>
  <c r="F2187" i="17"/>
  <c r="F144" i="17"/>
  <c r="F2227" i="17"/>
  <c r="F336" i="17"/>
  <c r="F437" i="17"/>
  <c r="F322" i="17"/>
  <c r="F122" i="17"/>
  <c r="F204" i="17"/>
  <c r="F927" i="17"/>
  <c r="F744" i="17"/>
  <c r="F1147" i="17"/>
  <c r="F2107" i="17"/>
  <c r="F1067" i="17"/>
  <c r="F1227" i="17"/>
  <c r="F1347" i="17"/>
  <c r="F589" i="17"/>
  <c r="F947" i="17"/>
  <c r="F1009" i="17"/>
  <c r="F1629" i="17"/>
  <c r="F1609" i="17"/>
  <c r="F1589" i="17"/>
  <c r="F1089" i="17"/>
  <c r="F1389" i="17"/>
  <c r="F1069" i="17"/>
  <c r="F1049" i="17"/>
  <c r="F1769" i="17"/>
  <c r="F2269" i="17"/>
  <c r="F158" i="17"/>
  <c r="F1209" i="17"/>
  <c r="F114" i="17"/>
  <c r="F1169" i="17"/>
  <c r="F1329" i="17"/>
  <c r="F84" i="17"/>
  <c r="F1349" i="17"/>
  <c r="F1369" i="17"/>
  <c r="F124" i="17"/>
  <c r="F1909" i="17"/>
  <c r="F1409" i="17"/>
  <c r="F1129" i="17"/>
  <c r="F135" i="17"/>
  <c r="F1109" i="17"/>
  <c r="F206" i="17"/>
  <c r="F2049" i="17"/>
  <c r="F1229" i="17"/>
  <c r="F409" i="17"/>
  <c r="F2109" i="17"/>
  <c r="F282" i="17"/>
  <c r="F47" i="17"/>
  <c r="F836" i="17"/>
  <c r="F591" i="17"/>
  <c r="F1729" i="17"/>
  <c r="F575" i="17"/>
  <c r="F366" i="17"/>
  <c r="F2069" i="17"/>
  <c r="F2229" i="17"/>
  <c r="F949" i="17"/>
  <c r="F1709" i="17"/>
  <c r="F929" i="17"/>
  <c r="F514" i="17"/>
  <c r="F499" i="17"/>
  <c r="F872" i="17"/>
  <c r="F170" i="17"/>
  <c r="F439" i="17"/>
  <c r="F1849" i="17"/>
  <c r="F2329" i="17"/>
  <c r="F2349" i="17"/>
  <c r="F1789" i="17"/>
  <c r="F764" i="17"/>
  <c r="F268" i="17"/>
  <c r="F1649" i="17"/>
  <c r="F2089" i="17"/>
  <c r="F544" i="17"/>
  <c r="F1669" i="17"/>
  <c r="F230" i="17"/>
  <c r="F469" i="17"/>
  <c r="F674" i="17"/>
  <c r="F194" i="17"/>
  <c r="F380" i="17"/>
  <c r="F484" i="17"/>
  <c r="F639" i="17"/>
  <c r="F891" i="17"/>
  <c r="F242" i="17"/>
  <c r="F800" i="17"/>
  <c r="F1869" i="17"/>
  <c r="F1469" i="17"/>
  <c r="F1969" i="17"/>
  <c r="F2149" i="17"/>
  <c r="F324" i="17"/>
  <c r="F2009" i="17"/>
  <c r="F2029" i="17"/>
  <c r="F2129" i="17"/>
  <c r="F1309" i="17"/>
  <c r="F1569" i="17"/>
  <c r="F2249" i="17"/>
  <c r="F2289" i="17"/>
  <c r="F394" i="17"/>
  <c r="F39" i="17"/>
  <c r="F710" i="17"/>
  <c r="F1929" i="17"/>
  <c r="F1189" i="17"/>
  <c r="F1289" i="17"/>
  <c r="F1549" i="17"/>
  <c r="F1529" i="17"/>
  <c r="F1749" i="17"/>
  <c r="F656" i="17"/>
  <c r="F1989" i="17"/>
  <c r="F529" i="17"/>
  <c r="F2209" i="17"/>
  <c r="F1269" i="17"/>
  <c r="F1489" i="17"/>
  <c r="F746" i="17"/>
  <c r="F969" i="17"/>
  <c r="F255" i="17"/>
  <c r="F296" i="17"/>
  <c r="F1249" i="17"/>
  <c r="F310" i="17"/>
  <c r="F1689" i="17"/>
  <c r="F2309" i="17"/>
  <c r="F782" i="17"/>
  <c r="F74" i="17"/>
  <c r="F94" i="17"/>
  <c r="F32" i="17"/>
  <c r="F2189" i="17"/>
  <c r="F146" i="17"/>
  <c r="F338" i="17"/>
  <c r="F55" i="17"/>
  <c r="F64" i="17"/>
  <c r="F104" i="17"/>
  <c r="F2169" i="17"/>
  <c r="F182" i="17"/>
  <c r="F854" i="17"/>
  <c r="F623" i="17"/>
  <c r="F692" i="17"/>
  <c r="F1509" i="17"/>
  <c r="F728" i="17"/>
  <c r="F352" i="17"/>
  <c r="F607" i="17"/>
  <c r="F1889" i="17"/>
  <c r="F1029" i="17"/>
  <c r="F1449" i="17"/>
  <c r="F424" i="17"/>
  <c r="F1149" i="17"/>
  <c r="F454" i="17"/>
  <c r="F818" i="17"/>
  <c r="F1429" i="17"/>
  <c r="F559" i="17"/>
  <c r="F910" i="17"/>
  <c r="F218" i="17"/>
  <c r="F1829" i="17"/>
  <c r="F1949" i="17"/>
  <c r="F989" i="17"/>
  <c r="F1809" i="17"/>
  <c r="F474" i="17"/>
  <c r="F1198" i="17"/>
  <c r="F565" i="17"/>
  <c r="F1398" i="17"/>
  <c r="F663" i="17"/>
  <c r="F2218" i="17"/>
  <c r="F328" i="17"/>
  <c r="F66" i="17"/>
  <c r="F2338" i="17"/>
  <c r="F459" i="17"/>
  <c r="F1478" i="17"/>
  <c r="F1678" i="17"/>
  <c r="F1458" i="17"/>
  <c r="F1018" i="17"/>
  <c r="F1518" i="17"/>
  <c r="F209" i="17"/>
  <c r="F384" i="17"/>
  <c r="F106" i="17"/>
  <c r="F1998" i="17"/>
  <c r="F1278" i="17"/>
  <c r="F56" i="17"/>
  <c r="F197" i="17"/>
  <c r="F2078" i="17"/>
  <c r="F116" i="17"/>
  <c r="F1698" i="17"/>
  <c r="F2058" i="17"/>
  <c r="F429" i="17"/>
  <c r="F549" i="17"/>
  <c r="F1538" i="17"/>
  <c r="F245" i="17"/>
  <c r="F258" i="17"/>
  <c r="F342" i="17"/>
  <c r="F286" i="17"/>
  <c r="F2038" i="17"/>
  <c r="F1818" i="17"/>
  <c r="F185" i="17"/>
  <c r="F1378" i="17"/>
  <c r="F581" i="17"/>
  <c r="F1838" i="17"/>
  <c r="F1858" i="17"/>
  <c r="F1078" i="17"/>
  <c r="F597" i="17"/>
  <c r="F1118" i="17"/>
  <c r="F958" i="17"/>
  <c r="F2018" i="17"/>
  <c r="F1258" i="17"/>
  <c r="F807" i="17"/>
  <c r="F1218" i="17"/>
  <c r="F825" i="17"/>
  <c r="F1358" i="17"/>
  <c r="F444" i="17"/>
  <c r="F861" i="17"/>
  <c r="F681" i="17"/>
  <c r="F880" i="17"/>
  <c r="F221" i="17"/>
  <c r="F978" i="17"/>
  <c r="F699" i="17"/>
  <c r="F1618" i="17"/>
  <c r="F300" i="17"/>
  <c r="F126" i="17"/>
  <c r="F1178" i="17"/>
  <c r="F753" i="17"/>
  <c r="F519" i="17"/>
  <c r="F370" i="17"/>
  <c r="F2278" i="17"/>
  <c r="F1438" i="17"/>
  <c r="F1938" i="17"/>
  <c r="F613" i="17"/>
  <c r="F1498" i="17"/>
  <c r="F149" i="17"/>
  <c r="F489" i="17"/>
  <c r="F2098" i="17"/>
  <c r="F2118" i="17"/>
  <c r="F1638" i="17"/>
  <c r="F86" i="17"/>
  <c r="F2298" i="17"/>
  <c r="F1978" i="17"/>
  <c r="F2318" i="17"/>
  <c r="F1798" i="17"/>
  <c r="F76" i="17"/>
  <c r="F40" i="17"/>
  <c r="F399" i="17"/>
  <c r="F33" i="17"/>
  <c r="F629" i="17"/>
  <c r="F1318" i="17"/>
  <c r="F899" i="17"/>
  <c r="F843" i="17"/>
  <c r="F504" i="17"/>
  <c r="F161" i="17"/>
  <c r="F2198" i="17"/>
  <c r="F314" i="17"/>
  <c r="F356" i="17"/>
  <c r="F1338" i="17"/>
  <c r="F2178" i="17"/>
  <c r="F534" i="17"/>
  <c r="F2138" i="17"/>
  <c r="F1718" i="17"/>
  <c r="F1878" i="17"/>
  <c r="F2238" i="17"/>
  <c r="F233" i="17"/>
  <c r="F645" i="17"/>
  <c r="F2258" i="17"/>
  <c r="F1758" i="17"/>
  <c r="F717" i="17"/>
  <c r="F173" i="17"/>
  <c r="F735" i="17"/>
  <c r="F1898" i="17"/>
  <c r="F771" i="17"/>
  <c r="F789" i="17"/>
  <c r="F1598" i="17"/>
  <c r="F1778" i="17"/>
  <c r="F1918" i="17"/>
  <c r="F1298" i="17"/>
  <c r="F1038" i="17"/>
  <c r="F1738" i="17"/>
  <c r="F96" i="17"/>
  <c r="F1138" i="17"/>
  <c r="F2158" i="17"/>
  <c r="F1158" i="17"/>
  <c r="F137" i="17"/>
  <c r="F1658" i="17"/>
  <c r="F1418" i="17"/>
  <c r="F272" i="17"/>
  <c r="F48" i="17"/>
  <c r="F918" i="17"/>
  <c r="F1558" i="17"/>
  <c r="F1058" i="17"/>
  <c r="F938" i="17"/>
  <c r="F1578" i="17"/>
  <c r="F1958" i="17"/>
  <c r="F414" i="17"/>
  <c r="F1238" i="17"/>
  <c r="F998" i="17"/>
  <c r="F1098" i="17"/>
  <c r="F373" i="17"/>
  <c r="F1662" i="17"/>
  <c r="F1742" i="17"/>
  <c r="F1782" i="17"/>
  <c r="F345" i="17"/>
  <c r="F1862" i="17"/>
  <c r="F2062" i="17"/>
  <c r="F2342" i="17"/>
  <c r="F1242" i="17"/>
  <c r="F1262" i="17"/>
  <c r="F649" i="17"/>
  <c r="F1822" i="17"/>
  <c r="F1282" i="17"/>
  <c r="F1842" i="17"/>
  <c r="F477" i="17"/>
  <c r="F1302" i="17"/>
  <c r="F616" i="17"/>
  <c r="F2262" i="17"/>
  <c r="F1322" i="17"/>
  <c r="F248" i="17"/>
  <c r="F200" i="17"/>
  <c r="F2302" i="17"/>
  <c r="F2142" i="17"/>
  <c r="F2122" i="17"/>
  <c r="F2222" i="17"/>
  <c r="F2242" i="17"/>
  <c r="F2082" i="17"/>
  <c r="F1962" i="17"/>
  <c r="F2282" i="17"/>
  <c r="F331" i="17"/>
  <c r="F942" i="17"/>
  <c r="F2002" i="17"/>
  <c r="F522" i="17"/>
  <c r="F1942" i="17"/>
  <c r="F1042" i="17"/>
  <c r="F1922" i="17"/>
  <c r="F1702" i="17"/>
  <c r="F1622" i="17"/>
  <c r="F1442" i="17"/>
  <c r="F1142" i="17"/>
  <c r="F387" i="17"/>
  <c r="F1182" i="17"/>
  <c r="F1402" i="17"/>
  <c r="F1102" i="17"/>
  <c r="F1522" i="17"/>
  <c r="F1642" i="17"/>
  <c r="F1022" i="17"/>
  <c r="F962" i="17"/>
  <c r="F865" i="17"/>
  <c r="F829" i="17"/>
  <c r="F793" i="17"/>
  <c r="F757" i="17"/>
  <c r="F721" i="17"/>
  <c r="F1982" i="17"/>
  <c r="F667" i="17"/>
  <c r="F2162" i="17"/>
  <c r="F632" i="17"/>
  <c r="F2322" i="17"/>
  <c r="F59" i="17"/>
  <c r="F89" i="17"/>
  <c r="F552" i="17"/>
  <c r="F69" i="17"/>
  <c r="F79" i="17"/>
  <c r="F164" i="17"/>
  <c r="F1362" i="17"/>
  <c r="F317" i="17"/>
  <c r="F507" i="17"/>
  <c r="F99" i="17"/>
  <c r="F568" i="17"/>
  <c r="F584" i="17"/>
  <c r="F600" i="17"/>
  <c r="F417" i="17"/>
  <c r="F402" i="17"/>
  <c r="F1222" i="17"/>
  <c r="F1342" i="17"/>
  <c r="F447" i="17"/>
  <c r="F129" i="17"/>
  <c r="F492" i="17"/>
  <c r="F537" i="17"/>
  <c r="F303" i="17"/>
  <c r="F109" i="17"/>
  <c r="F289" i="17"/>
  <c r="F224" i="17"/>
  <c r="F1682" i="17"/>
  <c r="F188" i="17"/>
  <c r="F176" i="17"/>
  <c r="F152" i="17"/>
  <c r="F1802" i="17"/>
  <c r="F119" i="17"/>
  <c r="F261" i="17"/>
  <c r="F275" i="17"/>
  <c r="F359" i="17"/>
  <c r="F847" i="17"/>
  <c r="F432" i="17"/>
  <c r="F884" i="17"/>
  <c r="F462" i="17"/>
  <c r="F982" i="17"/>
  <c r="F1002" i="17"/>
  <c r="F1422" i="17"/>
  <c r="F140" i="17"/>
  <c r="F50" i="17"/>
  <c r="F703" i="17"/>
  <c r="F42" i="17"/>
  <c r="F1122" i="17"/>
  <c r="F739" i="17"/>
  <c r="F1722" i="17"/>
  <c r="F1162" i="17"/>
  <c r="F1602" i="17"/>
  <c r="F1542" i="17"/>
  <c r="F1762" i="17"/>
  <c r="F1382" i="17"/>
  <c r="F1062" i="17"/>
  <c r="F1082" i="17"/>
  <c r="F922" i="17"/>
  <c r="F1482" i="17"/>
  <c r="F1202" i="17"/>
  <c r="F903" i="17"/>
  <c r="F1582" i="17"/>
  <c r="F811" i="17"/>
  <c r="F775" i="17"/>
  <c r="F1462" i="17"/>
  <c r="F1502" i="17"/>
  <c r="F1882" i="17"/>
  <c r="F1902" i="17"/>
  <c r="F1562" i="17"/>
  <c r="F212" i="17"/>
  <c r="F2022" i="17"/>
  <c r="F2042" i="17"/>
  <c r="F2102" i="17"/>
  <c r="F685" i="17"/>
  <c r="F2182" i="17"/>
  <c r="F2202" i="17"/>
  <c r="F236" i="17"/>
  <c r="F1221" i="17"/>
  <c r="F491" i="17"/>
  <c r="F260" i="17"/>
  <c r="F461" i="17"/>
  <c r="F1321" i="17"/>
  <c r="F78" i="17"/>
  <c r="F666" i="17"/>
  <c r="F583" i="17"/>
  <c r="F1721" i="17"/>
  <c r="F720" i="17"/>
  <c r="F2201" i="17"/>
  <c r="F1301" i="17"/>
  <c r="F599" i="17"/>
  <c r="F2041" i="17"/>
  <c r="F446" i="17"/>
  <c r="F1621" i="17"/>
  <c r="F1281" i="17"/>
  <c r="F98" i="17"/>
  <c r="F684" i="17"/>
  <c r="F961" i="17"/>
  <c r="F1661" i="17"/>
  <c r="F615" i="17"/>
  <c r="F1681" i="17"/>
  <c r="F1021" i="17"/>
  <c r="F1181" i="17"/>
  <c r="F1061" i="17"/>
  <c r="F1041" i="17"/>
  <c r="F431" i="17"/>
  <c r="F211" i="17"/>
  <c r="F416" i="17"/>
  <c r="F1121" i="17"/>
  <c r="F476" i="17"/>
  <c r="F2281" i="17"/>
  <c r="F223" i="17"/>
  <c r="F1821" i="17"/>
  <c r="F1341" i="17"/>
  <c r="F1601" i="17"/>
  <c r="F88" i="17"/>
  <c r="F551" i="17"/>
  <c r="F1581" i="17"/>
  <c r="F1261" i="17"/>
  <c r="F1761" i="17"/>
  <c r="F1501" i="17"/>
  <c r="F2341" i="17"/>
  <c r="F1361" i="17"/>
  <c r="F1881" i="17"/>
  <c r="F1921" i="17"/>
  <c r="F2061" i="17"/>
  <c r="F1081" i="17"/>
  <c r="F358" i="17"/>
  <c r="F1241" i="17"/>
  <c r="F792" i="17"/>
  <c r="F846" i="17"/>
  <c r="F921" i="17"/>
  <c r="F810" i="17"/>
  <c r="F1201" i="17"/>
  <c r="F2241" i="17"/>
  <c r="F828" i="17"/>
  <c r="F1461" i="17"/>
  <c r="F864" i="17"/>
  <c r="F1381" i="17"/>
  <c r="F235" i="17"/>
  <c r="F1401" i="17"/>
  <c r="F128" i="17"/>
  <c r="F139" i="17"/>
  <c r="F2021" i="17"/>
  <c r="F2321" i="17"/>
  <c r="F2081" i="17"/>
  <c r="F981" i="17"/>
  <c r="F175" i="17"/>
  <c r="F330" i="17"/>
  <c r="F1141" i="17"/>
  <c r="F2101" i="17"/>
  <c r="F247" i="17"/>
  <c r="F199" i="17"/>
  <c r="F1101" i="17"/>
  <c r="F521" i="17"/>
  <c r="F187" i="17"/>
  <c r="F2301" i="17"/>
  <c r="F1421" i="17"/>
  <c r="F288" i="17"/>
  <c r="F1521" i="17"/>
  <c r="F1701" i="17"/>
  <c r="F1481" i="17"/>
  <c r="F1541" i="17"/>
  <c r="F902" i="17"/>
  <c r="F108" i="17"/>
  <c r="F1561" i="17"/>
  <c r="F302" i="17"/>
  <c r="F1161" i="17"/>
  <c r="F756" i="17"/>
  <c r="F702" i="17"/>
  <c r="F1441" i="17"/>
  <c r="F883" i="17"/>
  <c r="F2261" i="17"/>
  <c r="F1641" i="17"/>
  <c r="F344" i="17"/>
  <c r="F567" i="17"/>
  <c r="F536" i="17"/>
  <c r="F1801" i="17"/>
  <c r="F2181" i="17"/>
  <c r="F1781" i="17"/>
  <c r="F1941" i="17"/>
  <c r="F774" i="17"/>
  <c r="F1841" i="17"/>
  <c r="F1741" i="17"/>
  <c r="F738" i="17"/>
  <c r="F1901" i="17"/>
  <c r="F1861" i="17"/>
  <c r="F648" i="17"/>
  <c r="F2001" i="17"/>
  <c r="F1961" i="17"/>
  <c r="F163" i="17"/>
  <c r="F631" i="17"/>
  <c r="F58" i="17"/>
  <c r="F68" i="17"/>
  <c r="F274" i="17"/>
  <c r="F1001" i="17"/>
  <c r="F372" i="17"/>
  <c r="F2121" i="17"/>
  <c r="F2161" i="17"/>
  <c r="F2221" i="17"/>
  <c r="F118" i="17"/>
  <c r="F2141" i="17"/>
  <c r="F316" i="17"/>
  <c r="F1981" i="17"/>
  <c r="F151" i="17"/>
  <c r="F506" i="17"/>
  <c r="F401" i="17"/>
  <c r="F386" i="17"/>
  <c r="F941" i="17"/>
  <c r="F220" i="17"/>
  <c r="F1517" i="17"/>
  <c r="F1857" i="17"/>
  <c r="F1997" i="17"/>
  <c r="F172" i="17"/>
  <c r="F196" i="17"/>
  <c r="F136" i="17"/>
  <c r="F299" i="17"/>
  <c r="F698" i="17"/>
  <c r="F125" i="17"/>
  <c r="F115" i="17"/>
  <c r="F1657" i="17"/>
  <c r="F488" i="17"/>
  <c r="F1697" i="17"/>
  <c r="F1157" i="17"/>
  <c r="F644" i="17"/>
  <c r="F95" i="17"/>
  <c r="F1617" i="17"/>
  <c r="F1557" i="17"/>
  <c r="F1097" i="17"/>
  <c r="F2177" i="17"/>
  <c r="F1417" i="17"/>
  <c r="F1397" i="17"/>
  <c r="F2197" i="17"/>
  <c r="F518" i="17"/>
  <c r="F443" i="17"/>
  <c r="F1237" i="17"/>
  <c r="F1217" i="17"/>
  <c r="F1497" i="17"/>
  <c r="F1537" i="17"/>
  <c r="F1177" i="17"/>
  <c r="F232" i="17"/>
  <c r="F148" i="17"/>
  <c r="F2037" i="17"/>
  <c r="K2037" i="17" s="1"/>
  <c r="F1577" i="17"/>
  <c r="F1057" i="17"/>
  <c r="F1757" i="17"/>
  <c r="F1457" i="17"/>
  <c r="F2097" i="17"/>
  <c r="F208" i="17"/>
  <c r="F271" i="17"/>
  <c r="F997" i="17"/>
  <c r="F257" i="17"/>
  <c r="F2157" i="17"/>
  <c r="F1937" i="17"/>
  <c r="F313" i="17"/>
  <c r="F1957" i="17"/>
  <c r="F957" i="17"/>
  <c r="F1717" i="17"/>
  <c r="F2137" i="17"/>
  <c r="F428" i="17"/>
  <c r="F65" i="17"/>
  <c r="F2297" i="17"/>
  <c r="F2317" i="17"/>
  <c r="F75" i="17"/>
  <c r="F612" i="17"/>
  <c r="F1977" i="17"/>
  <c r="F105" i="17"/>
  <c r="F548" i="17"/>
  <c r="F458" i="17"/>
  <c r="F327" i="17"/>
  <c r="F160" i="17"/>
  <c r="F596" i="17"/>
  <c r="F2117" i="17"/>
  <c r="F383" i="17"/>
  <c r="F473" i="17"/>
  <c r="F398" i="17"/>
  <c r="F628" i="17"/>
  <c r="F503" i="17"/>
  <c r="F1317" i="17"/>
  <c r="F184" i="17"/>
  <c r="F1437" i="17"/>
  <c r="F977" i="17"/>
  <c r="F369" i="17"/>
  <c r="F413" i="17"/>
  <c r="F1817" i="17"/>
  <c r="F1357" i="17"/>
  <c r="F752" i="17"/>
  <c r="F1117" i="17"/>
  <c r="F1137" i="17"/>
  <c r="F1597" i="17"/>
  <c r="F533" i="17"/>
  <c r="F1197" i="17"/>
  <c r="F680" i="17"/>
  <c r="F1377" i="17"/>
  <c r="F770" i="17"/>
  <c r="F1297" i="17"/>
  <c r="F1017" i="17"/>
  <c r="F1257" i="17"/>
  <c r="F716" i="17"/>
  <c r="F806" i="17"/>
  <c r="F824" i="17"/>
  <c r="F1037" i="17"/>
  <c r="F879" i="17"/>
  <c r="F788" i="17"/>
  <c r="F1677" i="17"/>
  <c r="F734" i="17"/>
  <c r="F2017" i="17"/>
  <c r="F1077" i="17"/>
  <c r="F937" i="17"/>
  <c r="F917" i="17"/>
  <c r="F1737" i="17"/>
  <c r="F85" i="17"/>
  <c r="F1337" i="17"/>
  <c r="F1797" i="17"/>
  <c r="F341" i="17"/>
  <c r="F285" i="17"/>
  <c r="F580" i="17"/>
  <c r="F842" i="17"/>
  <c r="F564" i="17"/>
  <c r="F1637" i="17"/>
  <c r="F355" i="17"/>
  <c r="F2237" i="17"/>
  <c r="F662" i="17"/>
  <c r="F1777" i="17"/>
  <c r="F1877" i="17"/>
  <c r="F1837" i="17"/>
  <c r="F2277" i="17"/>
  <c r="F860" i="17"/>
  <c r="F1897" i="17"/>
  <c r="F2337" i="17"/>
  <c r="F2057" i="17"/>
  <c r="F2077" i="17"/>
  <c r="F2257" i="17"/>
  <c r="F1277" i="17"/>
  <c r="F2217" i="17"/>
  <c r="F1477" i="17"/>
  <c r="F1917" i="17"/>
  <c r="F898" i="17"/>
  <c r="F244" i="17"/>
  <c r="F1244" i="17"/>
  <c r="F1364" i="17"/>
  <c r="F687" i="17"/>
  <c r="F2124" i="17"/>
  <c r="F2184" i="17"/>
  <c r="F238" i="17"/>
  <c r="F831" i="17"/>
  <c r="F202" i="17"/>
  <c r="F250" i="17"/>
  <c r="F1444" i="17"/>
  <c r="F1564" i="17"/>
  <c r="F226" i="17"/>
  <c r="F777" i="17"/>
  <c r="F305" i="17"/>
  <c r="F2284" i="17"/>
  <c r="F375" i="17"/>
  <c r="F1964" i="17"/>
  <c r="F2144" i="17"/>
  <c r="F214" i="17"/>
  <c r="F389" i="17"/>
  <c r="F1524" i="17"/>
  <c r="F178" i="17"/>
  <c r="F419" i="17"/>
  <c r="F166" i="17"/>
  <c r="F131" i="17"/>
  <c r="F154" i="17"/>
  <c r="F705" i="17"/>
  <c r="F479" i="17"/>
  <c r="F1604" i="17"/>
  <c r="F142" i="17"/>
  <c r="F1944" i="17"/>
  <c r="F1904" i="17"/>
  <c r="F651" i="17"/>
  <c r="F524" i="17"/>
  <c r="F1404" i="17"/>
  <c r="F449" i="17"/>
  <c r="F1024" i="17"/>
  <c r="F1184" i="17"/>
  <c r="F1744" i="17"/>
  <c r="F1344" i="17"/>
  <c r="F602" i="17"/>
  <c r="F554" i="17"/>
  <c r="F1624" i="17"/>
  <c r="F586" i="17"/>
  <c r="F1304" i="17"/>
  <c r="F618" i="17"/>
  <c r="F570" i="17"/>
  <c r="F1584" i="17"/>
  <c r="F1864" i="17"/>
  <c r="F1464" i="17"/>
  <c r="F741" i="17"/>
  <c r="F1384" i="17"/>
  <c r="F1164" i="17"/>
  <c r="F464" i="17"/>
  <c r="F333" i="17"/>
  <c r="F1044" i="17"/>
  <c r="F944" i="17"/>
  <c r="F1224" i="17"/>
  <c r="F1484" i="17"/>
  <c r="F924" i="17"/>
  <c r="F634" i="17"/>
  <c r="F905" i="17"/>
  <c r="F509" i="17"/>
  <c r="F886" i="17"/>
  <c r="F867" i="17"/>
  <c r="F1284" i="17"/>
  <c r="F1664" i="17"/>
  <c r="F1064" i="17"/>
  <c r="F2044" i="17"/>
  <c r="F2064" i="17"/>
  <c r="F1724" i="17"/>
  <c r="F669" i="17"/>
  <c r="F1104" i="17"/>
  <c r="F190" i="17"/>
  <c r="F1844" i="17"/>
  <c r="F723" i="17"/>
  <c r="F2084" i="17"/>
  <c r="F2104" i="17"/>
  <c r="F1504" i="17"/>
  <c r="F263" i="17"/>
  <c r="F1984" i="17"/>
  <c r="F1324" i="17"/>
  <c r="F1004" i="17"/>
  <c r="F1764" i="17"/>
  <c r="F2164" i="17"/>
  <c r="F1804" i="17"/>
  <c r="F984" i="17"/>
  <c r="F964" i="17"/>
  <c r="F1544" i="17"/>
  <c r="F277" i="17"/>
  <c r="F494" i="17"/>
  <c r="F813" i="17"/>
  <c r="F2204" i="17"/>
  <c r="F1704" i="17"/>
  <c r="F1684" i="17"/>
  <c r="F1264" i="17"/>
  <c r="F849" i="17"/>
  <c r="F1784" i="17"/>
  <c r="F434" i="17"/>
  <c r="F1824" i="17"/>
  <c r="F347" i="17"/>
  <c r="F2224" i="17"/>
  <c r="F795" i="17"/>
  <c r="F1424" i="17"/>
  <c r="F1924" i="17"/>
  <c r="F404" i="17"/>
  <c r="F361" i="17"/>
  <c r="F2344" i="17"/>
  <c r="F759" i="17"/>
  <c r="F539" i="17"/>
  <c r="F2024" i="17"/>
  <c r="F1084" i="17"/>
  <c r="F1124" i="17"/>
  <c r="F1144" i="17"/>
  <c r="F319" i="17"/>
  <c r="F1884" i="17"/>
  <c r="F1644" i="17"/>
  <c r="F291" i="17"/>
  <c r="F2004" i="17"/>
  <c r="F2244" i="17"/>
  <c r="F2264" i="17"/>
  <c r="F1204" i="17"/>
  <c r="F2304" i="17"/>
  <c r="F2324" i="17"/>
  <c r="F1070" i="17"/>
  <c r="F1090" i="17"/>
  <c r="F1210" i="17"/>
  <c r="F1930" i="17"/>
  <c r="F1410" i="17"/>
  <c r="F1450" i="17"/>
  <c r="F1630" i="17"/>
  <c r="F2010" i="17"/>
  <c r="F1770" i="17"/>
  <c r="F2030" i="17"/>
  <c r="F1810" i="17"/>
  <c r="F1850" i="17"/>
  <c r="F1950" i="17"/>
  <c r="F1970" i="17"/>
  <c r="F2170" i="17"/>
  <c r="F2250" i="17"/>
  <c r="F592" i="17"/>
  <c r="F640" i="17"/>
  <c r="F765" i="17"/>
  <c r="F2230" i="17"/>
  <c r="F837" i="17"/>
  <c r="F892" i="17"/>
  <c r="F930" i="17"/>
  <c r="F1750" i="17"/>
  <c r="F381" i="17"/>
  <c r="F1790" i="17"/>
  <c r="F159" i="17"/>
  <c r="F485" i="17"/>
  <c r="F608" i="17"/>
  <c r="F693" i="17"/>
  <c r="F1010" i="17"/>
  <c r="F1730" i="17"/>
  <c r="F515" i="17"/>
  <c r="F2150" i="17"/>
  <c r="F1250" i="17"/>
  <c r="F1270" i="17"/>
  <c r="F1290" i="17"/>
  <c r="F440" i="17"/>
  <c r="F1310" i="17"/>
  <c r="F1550" i="17"/>
  <c r="F470" i="17"/>
  <c r="F1870" i="17"/>
  <c r="F2130" i="17"/>
  <c r="F2210" i="17"/>
  <c r="F219" i="17"/>
  <c r="F395" i="17"/>
  <c r="F675" i="17"/>
  <c r="F747" i="17"/>
  <c r="F970" i="17"/>
  <c r="F1050" i="17"/>
  <c r="F1190" i="17"/>
  <c r="F1390" i="17"/>
  <c r="F855" i="17"/>
  <c r="F1470" i="17"/>
  <c r="F873" i="17"/>
  <c r="F1610" i="17"/>
  <c r="F1830" i="17"/>
  <c r="F1990" i="17"/>
  <c r="F2190" i="17"/>
  <c r="F990" i="17"/>
  <c r="F2290" i="17"/>
  <c r="F2310" i="17"/>
  <c r="F2330" i="17"/>
  <c r="F339" i="17"/>
  <c r="F530" i="17"/>
  <c r="F545" i="17"/>
  <c r="F1490" i="17"/>
  <c r="F1690" i="17"/>
  <c r="F231" i="17"/>
  <c r="F256" i="17"/>
  <c r="F269" i="17"/>
  <c r="F353" i="17"/>
  <c r="F1170" i="17"/>
  <c r="F500" i="17"/>
  <c r="F624" i="17"/>
  <c r="F183" i="17"/>
  <c r="F711" i="17"/>
  <c r="F1370" i="17"/>
  <c r="F576" i="17"/>
  <c r="F819" i="17"/>
  <c r="F911" i="17"/>
  <c r="F1330" i="17"/>
  <c r="F1430" i="17"/>
  <c r="F1890" i="17"/>
  <c r="F2050" i="17"/>
  <c r="F2070" i="17"/>
  <c r="F2090" i="17"/>
  <c r="F1570" i="17"/>
  <c r="F2110" i="17"/>
  <c r="F2270" i="17"/>
  <c r="F1650" i="17"/>
  <c r="F1130" i="17"/>
  <c r="F2350" i="17"/>
  <c r="F1150" i="17"/>
  <c r="F195" i="17"/>
  <c r="F207" i="17"/>
  <c r="F1230" i="17"/>
  <c r="F455" i="17"/>
  <c r="F297" i="17"/>
  <c r="F1350" i="17"/>
  <c r="F311" i="17"/>
  <c r="F410" i="17"/>
  <c r="F560" i="17"/>
  <c r="F657" i="17"/>
  <c r="F783" i="17"/>
  <c r="F950" i="17"/>
  <c r="F1030" i="17"/>
  <c r="F1110" i="17"/>
  <c r="F1510" i="17"/>
  <c r="F1910" i="17"/>
  <c r="F1530" i="17"/>
  <c r="F1590" i="17"/>
  <c r="F1670" i="17"/>
  <c r="F1710" i="17"/>
  <c r="F147" i="17"/>
  <c r="F171" i="17"/>
  <c r="F243" i="17"/>
  <c r="F283" i="17"/>
  <c r="F325" i="17"/>
  <c r="F367" i="17"/>
  <c r="F425" i="17"/>
  <c r="F729" i="17"/>
  <c r="F801" i="17"/>
  <c r="F1385" i="17"/>
  <c r="F1525" i="17"/>
  <c r="F1105" i="17"/>
  <c r="F1745" i="17"/>
  <c r="F965" i="17"/>
  <c r="F1025" i="17"/>
  <c r="F1645" i="17"/>
  <c r="F1065" i="17"/>
  <c r="F1245" i="17"/>
  <c r="F906" i="17"/>
  <c r="F2025" i="17"/>
  <c r="F306" i="17"/>
  <c r="F1785" i="17"/>
  <c r="F1765" i="17"/>
  <c r="F850" i="17"/>
  <c r="F1865" i="17"/>
  <c r="F278" i="17"/>
  <c r="F814" i="17"/>
  <c r="F1185" i="17"/>
  <c r="F2085" i="17"/>
  <c r="F587" i="17"/>
  <c r="F1045" i="17"/>
  <c r="F362" i="17"/>
  <c r="F1825" i="17"/>
  <c r="F334" i="17"/>
  <c r="F706" i="17"/>
  <c r="F742" i="17"/>
  <c r="F1365" i="17"/>
  <c r="F1305" i="17"/>
  <c r="F778" i="17"/>
  <c r="F1845" i="17"/>
  <c r="F2105" i="17"/>
  <c r="F405" i="17"/>
  <c r="F2005" i="17"/>
  <c r="F796" i="17"/>
  <c r="F688" i="17"/>
  <c r="F832" i="17"/>
  <c r="F1485" i="17"/>
  <c r="F1705" i="17"/>
  <c r="F603" i="17"/>
  <c r="F2045" i="17"/>
  <c r="F1325" i="17"/>
  <c r="F1665" i="17"/>
  <c r="F2325" i="17"/>
  <c r="F571" i="17"/>
  <c r="F495" i="17"/>
  <c r="F2285" i="17"/>
  <c r="F435" i="17"/>
  <c r="F760" i="17"/>
  <c r="F1085" i="17"/>
  <c r="F420" i="17"/>
  <c r="F1145" i="17"/>
  <c r="F510" i="17"/>
  <c r="F1565" i="17"/>
  <c r="F450" i="17"/>
  <c r="F1925" i="17"/>
  <c r="F2305" i="17"/>
  <c r="F1285" i="17"/>
  <c r="F1625" i="17"/>
  <c r="F670" i="17"/>
  <c r="F2145" i="17"/>
  <c r="F348" i="17"/>
  <c r="F540" i="17"/>
  <c r="F1905" i="17"/>
  <c r="F1345" i="17"/>
  <c r="F1685" i="17"/>
  <c r="F1605" i="17"/>
  <c r="F1585" i="17"/>
  <c r="F925" i="17"/>
  <c r="F1725" i="17"/>
  <c r="F1465" i="17"/>
  <c r="F264" i="17"/>
  <c r="F1205" i="17"/>
  <c r="F292" i="17"/>
  <c r="F1805" i="17"/>
  <c r="F2185" i="17"/>
  <c r="F1505" i="17"/>
  <c r="F1225" i="17"/>
  <c r="F1005" i="17"/>
  <c r="F985" i="17"/>
  <c r="F1405" i="17"/>
  <c r="F1885" i="17"/>
  <c r="F619" i="17"/>
  <c r="F724" i="17"/>
  <c r="F2165" i="17"/>
  <c r="F376" i="17"/>
  <c r="F2265" i="17"/>
  <c r="F390" i="17"/>
  <c r="F1425" i="17"/>
  <c r="F2345" i="17"/>
  <c r="F1265" i="17"/>
  <c r="F2205" i="17"/>
  <c r="F1125" i="17"/>
  <c r="F2225" i="17"/>
  <c r="F635" i="17"/>
  <c r="F887" i="17"/>
  <c r="F1985" i="17"/>
  <c r="F2245" i="17"/>
  <c r="F2065" i="17"/>
  <c r="F480" i="17"/>
  <c r="F945" i="17"/>
  <c r="F1945" i="17"/>
  <c r="F1965" i="17"/>
  <c r="F465" i="17"/>
  <c r="F525" i="17"/>
  <c r="F1445" i="17"/>
  <c r="F2125" i="17"/>
  <c r="F868" i="17"/>
  <c r="F251" i="17"/>
  <c r="F555" i="17"/>
  <c r="F1165" i="17"/>
  <c r="F320" i="17"/>
  <c r="F652" i="17"/>
  <c r="F1545" i="17"/>
  <c r="F802" i="17"/>
  <c r="F2011" i="17"/>
  <c r="F766" i="17"/>
  <c r="F1071" i="17"/>
  <c r="F1871" i="17"/>
  <c r="F1971" i="17"/>
  <c r="F1851" i="17"/>
  <c r="F531" i="17"/>
  <c r="F411" i="17"/>
  <c r="F354" i="17"/>
  <c r="F312" i="17"/>
  <c r="F2031" i="17"/>
  <c r="F284" i="17"/>
  <c r="F270" i="17"/>
  <c r="F1091" i="17"/>
  <c r="F2311" i="17"/>
  <c r="F2291" i="17"/>
  <c r="F2271" i="17"/>
  <c r="F2251" i="17"/>
  <c r="F1471" i="17"/>
  <c r="F2051" i="17"/>
  <c r="F1831" i="17"/>
  <c r="F1911" i="17"/>
  <c r="F1211" i="17"/>
  <c r="F730" i="17"/>
  <c r="F1431" i="17"/>
  <c r="F1891" i="17"/>
  <c r="F1131" i="17"/>
  <c r="F1011" i="17"/>
  <c r="F1551" i="17"/>
  <c r="F1051" i="17"/>
  <c r="F1731" i="17"/>
  <c r="F1491" i="17"/>
  <c r="F1691" i="17"/>
  <c r="F1751" i="17"/>
  <c r="F1311" i="17"/>
  <c r="F1811" i="17"/>
  <c r="F486" i="17"/>
  <c r="F1291" i="17"/>
  <c r="F1271" i="17"/>
  <c r="F593" i="17"/>
  <c r="F893" i="17"/>
  <c r="F1631" i="17"/>
  <c r="F1251" i="17"/>
  <c r="F501" i="17"/>
  <c r="F396" i="17"/>
  <c r="F820" i="17"/>
  <c r="F2071" i="17"/>
  <c r="F694" i="17"/>
  <c r="F874" i="17"/>
  <c r="F456" i="17"/>
  <c r="F368" i="17"/>
  <c r="F2231" i="17"/>
  <c r="F561" i="17"/>
  <c r="F2091" i="17"/>
  <c r="F991" i="17"/>
  <c r="F1931" i="17"/>
  <c r="F1391" i="17"/>
  <c r="F1511" i="17"/>
  <c r="F625" i="17"/>
  <c r="F441" i="17"/>
  <c r="F1651" i="17"/>
  <c r="F326" i="17"/>
  <c r="F838" i="17"/>
  <c r="F1331" i="17"/>
  <c r="F1371" i="17"/>
  <c r="F1171" i="17"/>
  <c r="F577" i="17"/>
  <c r="F658" i="17"/>
  <c r="F641" i="17"/>
  <c r="F1411" i="17"/>
  <c r="F1111" i="17"/>
  <c r="F471" i="17"/>
  <c r="F382" i="17"/>
  <c r="F340" i="17"/>
  <c r="F1451" i="17"/>
  <c r="F1031" i="17"/>
  <c r="F1711" i="17"/>
  <c r="F1991" i="17"/>
  <c r="F1531" i="17"/>
  <c r="F1671" i="17"/>
  <c r="F784" i="17"/>
  <c r="F951" i="17"/>
  <c r="F2151" i="17"/>
  <c r="F2171" i="17"/>
  <c r="F1591" i="17"/>
  <c r="F712" i="17"/>
  <c r="F1571" i="17"/>
  <c r="F1611" i="17"/>
  <c r="F748" i="17"/>
  <c r="F971" i="17"/>
  <c r="F1951" i="17"/>
  <c r="F1351" i="17"/>
  <c r="F1771" i="17"/>
  <c r="F1231" i="17"/>
  <c r="F1191" i="17"/>
  <c r="F1791" i="17"/>
  <c r="F2191" i="17"/>
  <c r="F298" i="17"/>
  <c r="F931" i="17"/>
  <c r="F1151" i="17"/>
  <c r="F912" i="17"/>
  <c r="F426" i="17"/>
  <c r="F516" i="17"/>
  <c r="F546" i="17"/>
  <c r="F609" i="17"/>
  <c r="F2331" i="17"/>
  <c r="F2131" i="17"/>
  <c r="F2111" i="17"/>
  <c r="F676" i="17"/>
  <c r="F2211" i="17"/>
  <c r="F856" i="17"/>
  <c r="F1774" i="17"/>
  <c r="F660" i="17"/>
  <c r="F768" i="17"/>
  <c r="F840" i="17"/>
  <c r="F2214" i="17"/>
  <c r="F2054" i="17"/>
  <c r="F517" i="17"/>
  <c r="F2334" i="17"/>
  <c r="F397" i="17"/>
  <c r="F1674" i="17"/>
  <c r="F502" i="17"/>
  <c r="F1494" i="17"/>
  <c r="F595" i="17"/>
  <c r="F2094" i="17"/>
  <c r="F611" i="17"/>
  <c r="F1054" i="17"/>
  <c r="F412" i="17"/>
  <c r="F2014" i="17"/>
  <c r="K2014" i="17" s="1"/>
  <c r="F1874" i="17"/>
  <c r="F1294" i="17"/>
  <c r="F1694" i="17"/>
  <c r="F2194" i="17"/>
  <c r="F1354" i="17"/>
  <c r="F1574" i="17"/>
  <c r="F1534" i="17"/>
  <c r="F1854" i="17"/>
  <c r="F1314" i="17"/>
  <c r="F1234" i="17"/>
  <c r="F1014" i="17"/>
  <c r="F2134" i="17"/>
  <c r="F1434" i="17"/>
  <c r="F1594" i="17"/>
  <c r="F2074" i="17"/>
  <c r="F1514" i="17"/>
  <c r="F1034" i="17"/>
  <c r="F2034" i="17"/>
  <c r="K2034" i="17" s="1"/>
  <c r="F732" i="17"/>
  <c r="F1374" i="17"/>
  <c r="F1634" i="17"/>
  <c r="F934" i="17"/>
  <c r="F2234" i="17"/>
  <c r="F472" i="17"/>
  <c r="F563" i="17"/>
  <c r="F1954" i="17"/>
  <c r="F487" i="17"/>
  <c r="F2114" i="17"/>
  <c r="F1894" i="17"/>
  <c r="F1714" i="17"/>
  <c r="F1414" i="17"/>
  <c r="F804" i="17"/>
  <c r="F1394" i="17"/>
  <c r="F1194" i="17"/>
  <c r="F1754" i="17"/>
  <c r="F427" i="17"/>
  <c r="F1914" i="17"/>
  <c r="F696" i="17"/>
  <c r="F858" i="17"/>
  <c r="F974" i="17"/>
  <c r="F876" i="17"/>
  <c r="F2154" i="17"/>
  <c r="F750" i="17"/>
  <c r="F678" i="17"/>
  <c r="F786" i="17"/>
  <c r="F1254" i="17"/>
  <c r="F627" i="17"/>
  <c r="F1794" i="17"/>
  <c r="F1994" i="17"/>
  <c r="F1974" i="17"/>
  <c r="F1834" i="17"/>
  <c r="F1094" i="17"/>
  <c r="F1454" i="17"/>
  <c r="F822" i="17"/>
  <c r="F1734" i="17"/>
  <c r="F1074" i="17"/>
  <c r="F1174" i="17"/>
  <c r="F442" i="17"/>
  <c r="F1614" i="17"/>
  <c r="F1474" i="17"/>
  <c r="F954" i="17"/>
  <c r="F457" i="17"/>
  <c r="F895" i="17"/>
  <c r="F2294" i="17"/>
  <c r="F994" i="17"/>
  <c r="F547" i="17"/>
  <c r="F1934" i="17"/>
  <c r="F579" i="17"/>
  <c r="F1154" i="17"/>
  <c r="F532" i="17"/>
  <c r="F2314" i="17"/>
  <c r="F1814" i="17"/>
  <c r="F1214" i="17"/>
  <c r="F1134" i="17"/>
  <c r="F1114" i="17"/>
  <c r="F643" i="17"/>
  <c r="F2174" i="17"/>
  <c r="F1654" i="17"/>
  <c r="F714" i="17"/>
  <c r="F914" i="17"/>
  <c r="F1274" i="17"/>
  <c r="F1334" i="17"/>
  <c r="F1554" i="17"/>
  <c r="F2254" i="17"/>
  <c r="F2274" i="17"/>
  <c r="F1833" i="17"/>
  <c r="F731" i="17"/>
  <c r="F695" i="17"/>
  <c r="F1913" i="17"/>
  <c r="F578" i="17"/>
  <c r="F2193" i="17"/>
  <c r="F2013" i="17"/>
  <c r="F1993" i="17"/>
  <c r="F2293" i="17"/>
  <c r="F2313" i="17"/>
  <c r="F1413" i="17"/>
  <c r="F1313" i="17"/>
  <c r="F1293" i="17"/>
  <c r="F1273" i="17"/>
  <c r="F1253" i="17"/>
  <c r="F2073" i="17"/>
  <c r="F1873" i="17"/>
  <c r="F1793" i="17"/>
  <c r="F1553" i="17"/>
  <c r="F857" i="17"/>
  <c r="F594" i="17"/>
  <c r="F677" i="17"/>
  <c r="F1613" i="17"/>
  <c r="F1493" i="17"/>
  <c r="F767" i="17"/>
  <c r="F1453" i="17"/>
  <c r="F839" i="17"/>
  <c r="F626" i="17"/>
  <c r="F973" i="17"/>
  <c r="F1213" i="17"/>
  <c r="F1053" i="17"/>
  <c r="F1353" i="17"/>
  <c r="F1073" i="17"/>
  <c r="F1433" i="17"/>
  <c r="F1473" i="17"/>
  <c r="F1093" i="17"/>
  <c r="F1133" i="17"/>
  <c r="F1013" i="17"/>
  <c r="F933" i="17"/>
  <c r="F1853" i="17"/>
  <c r="F1373" i="17"/>
  <c r="F875" i="17"/>
  <c r="F2113" i="17"/>
  <c r="F1633" i="17"/>
  <c r="F803" i="17"/>
  <c r="F1733" i="17"/>
  <c r="F1773" i="17"/>
  <c r="F642" i="17"/>
  <c r="F2213" i="17"/>
  <c r="F1673" i="17"/>
  <c r="F2173" i="17"/>
  <c r="F1233" i="17"/>
  <c r="F1393" i="17"/>
  <c r="F610" i="17"/>
  <c r="F562" i="17"/>
  <c r="F2053" i="17"/>
  <c r="F2273" i="17"/>
  <c r="F2253" i="17"/>
  <c r="F659" i="17"/>
  <c r="F2133" i="17"/>
  <c r="F713" i="17"/>
  <c r="F749" i="17"/>
  <c r="F785" i="17"/>
  <c r="F821" i="17"/>
  <c r="F1973" i="17"/>
  <c r="F1933" i="17"/>
  <c r="F1893" i="17"/>
  <c r="F1713" i="17"/>
  <c r="F894" i="17"/>
  <c r="F913" i="17"/>
  <c r="F1573" i="17"/>
  <c r="F1113" i="17"/>
  <c r="F2153" i="17"/>
  <c r="F1153" i="17"/>
  <c r="F1193" i="17"/>
  <c r="F1533" i="17"/>
  <c r="F1173" i="17"/>
  <c r="F1333" i="17"/>
  <c r="F1813" i="17"/>
  <c r="F2033" i="17"/>
  <c r="F2093" i="17"/>
  <c r="F1033" i="17"/>
  <c r="F1513" i="17"/>
  <c r="F1593" i="17"/>
  <c r="F1653" i="17"/>
  <c r="F2233" i="17"/>
  <c r="F1693" i="17"/>
  <c r="F1753" i="17"/>
  <c r="F993" i="17"/>
  <c r="F1953" i="17"/>
  <c r="F953" i="17"/>
  <c r="F2333" i="17"/>
  <c r="F1279" i="17"/>
  <c r="F1139" i="17"/>
  <c r="F900" i="17"/>
  <c r="F1159" i="17"/>
  <c r="F1079" i="17"/>
  <c r="F979" i="17"/>
  <c r="F1259" i="17"/>
  <c r="F2099" i="17"/>
  <c r="F959" i="17"/>
  <c r="F2319" i="17"/>
  <c r="F1099" i="17"/>
  <c r="F1119" i="17"/>
  <c r="F1939" i="17"/>
  <c r="F754" i="17"/>
  <c r="F2119" i="17"/>
  <c r="F2139" i="17"/>
  <c r="F2179" i="17"/>
  <c r="F1199" i="17"/>
  <c r="F881" i="17"/>
  <c r="F1519" i="17"/>
  <c r="F826" i="17"/>
  <c r="F1399" i="17"/>
  <c r="F1739" i="17"/>
  <c r="F2039" i="17"/>
  <c r="K2039" i="17" s="1"/>
  <c r="F919" i="17"/>
  <c r="F844" i="17"/>
  <c r="F2079" i="17"/>
  <c r="F1639" i="17"/>
  <c r="F1359" i="17"/>
  <c r="F2259" i="17"/>
  <c r="F1659" i="17"/>
  <c r="F2279" i="17"/>
  <c r="K2279" i="17" s="1"/>
  <c r="F1719" i="17"/>
  <c r="F1979" i="17"/>
  <c r="F1999" i="17"/>
  <c r="K1999" i="17" s="1"/>
  <c r="F1599" i="17"/>
  <c r="F1219" i="17"/>
  <c r="F1559" i="17"/>
  <c r="F1179" i="17"/>
  <c r="F1419" i="17"/>
  <c r="F1439" i="17"/>
  <c r="F664" i="17"/>
  <c r="F1859" i="17"/>
  <c r="F2019" i="17"/>
  <c r="K2019" i="17" s="1"/>
  <c r="F2299" i="17"/>
  <c r="F1699" i="17"/>
  <c r="F1799" i="17"/>
  <c r="F1839" i="17"/>
  <c r="F1779" i="17"/>
  <c r="F1539" i="17"/>
  <c r="F1459" i="17"/>
  <c r="F1059" i="17"/>
  <c r="F1759" i="17"/>
  <c r="F1579" i="17"/>
  <c r="F2059" i="17"/>
  <c r="F718" i="17"/>
  <c r="F2159" i="17"/>
  <c r="F2339" i="17"/>
  <c r="F939" i="17"/>
  <c r="F1319" i="17"/>
  <c r="F1379" i="17"/>
  <c r="F862" i="17"/>
  <c r="F2219" i="17"/>
  <c r="F1299" i="17"/>
  <c r="F736" i="17"/>
  <c r="F1499" i="17"/>
  <c r="F2239" i="17"/>
  <c r="F1019" i="17"/>
  <c r="F772" i="17"/>
  <c r="F2199" i="17"/>
  <c r="F808" i="17"/>
  <c r="F1239" i="17"/>
  <c r="F790" i="17"/>
  <c r="F1339" i="17"/>
  <c r="F1039" i="17"/>
  <c r="F700" i="17"/>
  <c r="F1479" i="17"/>
  <c r="F1679" i="17"/>
  <c r="F999" i="17"/>
  <c r="F1919" i="17"/>
  <c r="F1819" i="17"/>
  <c r="F646" i="17"/>
  <c r="F1879" i="17"/>
  <c r="F1619" i="17"/>
  <c r="F1959" i="17"/>
  <c r="F1899" i="17"/>
  <c r="F682" i="17"/>
  <c r="F1136" i="17"/>
  <c r="F1956" i="17"/>
  <c r="F1736" i="17"/>
  <c r="F1376" i="17"/>
  <c r="F1236" i="17"/>
  <c r="F1056" i="17"/>
  <c r="F936" i="17"/>
  <c r="F1196" i="17"/>
  <c r="F2156" i="17"/>
  <c r="F2176" i="17"/>
  <c r="F897" i="17"/>
  <c r="F2196" i="17"/>
  <c r="F1716" i="17"/>
  <c r="F1336" i="17"/>
  <c r="F697" i="17"/>
  <c r="F715" i="17"/>
  <c r="F733" i="17"/>
  <c r="F2056" i="17"/>
  <c r="F787" i="17"/>
  <c r="F1996" i="17"/>
  <c r="F1696" i="17"/>
  <c r="F661" i="17"/>
  <c r="F2336" i="17"/>
  <c r="F1936" i="17"/>
  <c r="F1556" i="17"/>
  <c r="F1796" i="17"/>
  <c r="F878" i="17"/>
  <c r="F916" i="17"/>
  <c r="F1636" i="17"/>
  <c r="F1536" i="17"/>
  <c r="F976" i="17"/>
  <c r="F1516" i="17"/>
  <c r="F1476" i="17"/>
  <c r="F996" i="17"/>
  <c r="F1976" i="17"/>
  <c r="F1096" i="17"/>
  <c r="F1436" i="17"/>
  <c r="F1396" i="17"/>
  <c r="F1156" i="17"/>
  <c r="F1776" i="17"/>
  <c r="F1356" i="17"/>
  <c r="F1216" i="17"/>
  <c r="F2116" i="17"/>
  <c r="F1176" i="17"/>
  <c r="F1416" i="17"/>
  <c r="F1596" i="17"/>
  <c r="F1576" i="17"/>
  <c r="F1876" i="17"/>
  <c r="F1896" i="17"/>
  <c r="F2096" i="17"/>
  <c r="F1036" i="17"/>
  <c r="F1456" i="17"/>
  <c r="F1616" i="17"/>
  <c r="F1756" i="17"/>
  <c r="F2136" i="17"/>
  <c r="F1016" i="17"/>
  <c r="F2216" i="17"/>
  <c r="F2256" i="17"/>
  <c r="F2276" i="17"/>
  <c r="F2016" i="17"/>
  <c r="F2036" i="17"/>
  <c r="F679" i="17"/>
  <c r="F1816" i="17"/>
  <c r="F823" i="17"/>
  <c r="F2076" i="17"/>
  <c r="F1496" i="17"/>
  <c r="F769" i="17"/>
  <c r="F2236" i="17"/>
  <c r="F2296" i="17"/>
  <c r="F805" i="17"/>
  <c r="F2316" i="17"/>
  <c r="F1656" i="17"/>
  <c r="F841" i="17"/>
  <c r="F859" i="17"/>
  <c r="F1256" i="17"/>
  <c r="F1856" i="17"/>
  <c r="F1276" i="17"/>
  <c r="F956" i="17"/>
  <c r="F1296" i="17"/>
  <c r="F751" i="17"/>
  <c r="F1316" i="17"/>
  <c r="F1676" i="17"/>
  <c r="F1076" i="17"/>
  <c r="F1836" i="17"/>
  <c r="F1116" i="17"/>
  <c r="F1916" i="17"/>
  <c r="F2255" i="17"/>
  <c r="F1015" i="17"/>
  <c r="F1195" i="17"/>
  <c r="F1995" i="17"/>
  <c r="F1115" i="17"/>
  <c r="F1795" i="17"/>
  <c r="F2115" i="17"/>
  <c r="K2115" i="17" s="1"/>
  <c r="F1235" i="17"/>
  <c r="F896" i="17"/>
  <c r="F1615" i="17"/>
  <c r="F1135" i="17"/>
  <c r="F1575" i="17"/>
  <c r="F1975" i="17"/>
  <c r="F2215" i="17"/>
  <c r="K2215" i="17" s="1"/>
  <c r="F1675" i="17"/>
  <c r="F1955" i="17"/>
  <c r="F1555" i="17"/>
  <c r="F1655" i="17"/>
  <c r="F1735" i="17"/>
  <c r="F1255" i="17"/>
  <c r="F1755" i="17"/>
  <c r="F1495" i="17"/>
  <c r="F1435" i="17"/>
  <c r="F955" i="17"/>
  <c r="F1295" i="17"/>
  <c r="F975" i="17"/>
  <c r="F2275" i="17"/>
  <c r="K2275" i="17" s="1"/>
  <c r="F1635" i="17"/>
  <c r="F1935" i="17"/>
  <c r="F1395" i="17"/>
  <c r="F1835" i="17"/>
  <c r="F1915" i="17"/>
  <c r="F1415" i="17"/>
  <c r="F935" i="17"/>
  <c r="F2335" i="17"/>
  <c r="F2055" i="17"/>
  <c r="F2075" i="17"/>
  <c r="F1535" i="17"/>
  <c r="F1595" i="17"/>
  <c r="F1515" i="17"/>
  <c r="F915" i="17"/>
  <c r="F1095" i="17"/>
  <c r="F1875" i="17"/>
  <c r="F2195" i="17"/>
  <c r="F877" i="17"/>
  <c r="F1895" i="17"/>
  <c r="K1895" i="17" s="1"/>
  <c r="F1035" i="17"/>
  <c r="F1775" i="17"/>
  <c r="F1155" i="17"/>
  <c r="F1475" i="17"/>
  <c r="F1335" i="17"/>
  <c r="F2155" i="17"/>
  <c r="F1275" i="17"/>
  <c r="F2135" i="17"/>
  <c r="F1815" i="17"/>
  <c r="F1055" i="17"/>
  <c r="F1715" i="17"/>
  <c r="F1455" i="17"/>
  <c r="F1355" i="17"/>
  <c r="F1695" i="17"/>
  <c r="F1855" i="17"/>
  <c r="F2235" i="17"/>
  <c r="F1175" i="17"/>
  <c r="F1075" i="17"/>
  <c r="F1375" i="17"/>
  <c r="F995" i="17"/>
  <c r="F2295" i="17"/>
  <c r="F2035" i="17"/>
  <c r="F2315" i="17"/>
  <c r="F2015" i="17"/>
  <c r="F2095" i="17"/>
  <c r="F2175" i="17"/>
  <c r="F1315" i="17"/>
  <c r="F1215" i="17"/>
  <c r="F1172" i="17"/>
  <c r="F1132" i="17"/>
  <c r="F1212" i="17"/>
  <c r="F1732" i="17"/>
  <c r="F2292" i="17"/>
  <c r="F1532" i="17"/>
  <c r="F2192" i="17"/>
  <c r="F932" i="17"/>
  <c r="F1972" i="17"/>
  <c r="F2252" i="17"/>
  <c r="F972" i="17"/>
  <c r="F1672" i="17"/>
  <c r="F1572" i="17"/>
  <c r="F1632" i="17"/>
  <c r="F1952" i="17"/>
  <c r="F1812" i="17"/>
  <c r="F2312" i="17"/>
  <c r="F1492" i="17"/>
  <c r="F2012" i="17"/>
  <c r="F1612" i="17"/>
  <c r="F1912" i="17"/>
  <c r="F1272" i="17"/>
  <c r="F2332" i="17"/>
  <c r="F2272" i="17"/>
  <c r="F1052" i="17"/>
  <c r="F2092" i="17"/>
  <c r="F1652" i="17"/>
  <c r="F1392" i="17"/>
  <c r="F2032" i="17"/>
  <c r="F1232" i="17"/>
  <c r="F2072" i="17"/>
  <c r="F1412" i="17"/>
  <c r="F1252" i="17"/>
  <c r="F1432" i="17"/>
  <c r="F1152" i="17"/>
  <c r="F1452" i="17"/>
  <c r="F1932" i="17"/>
  <c r="F1992" i="17"/>
  <c r="F1112" i="17"/>
  <c r="F2112" i="17"/>
  <c r="F1592" i="17"/>
  <c r="F2212" i="17"/>
  <c r="F1372" i="17"/>
  <c r="F1192" i="17"/>
  <c r="F1472" i="17"/>
  <c r="F1552" i="17"/>
  <c r="F1712" i="17"/>
  <c r="F1692" i="17"/>
  <c r="F2052" i="17"/>
  <c r="F1772" i="17"/>
  <c r="F1032" i="17"/>
  <c r="F2152" i="17"/>
  <c r="F1512" i="17"/>
  <c r="F2172" i="17"/>
  <c r="F1012" i="17"/>
  <c r="F1832" i="17"/>
  <c r="F1312" i="17"/>
  <c r="F1852" i="17"/>
  <c r="F1792" i="17"/>
  <c r="F992" i="17"/>
  <c r="F1872" i="17"/>
  <c r="F1092" i="17"/>
  <c r="F952" i="17"/>
  <c r="F1292" i="17"/>
  <c r="F2232" i="17"/>
  <c r="F1892" i="17"/>
  <c r="F1072" i="17"/>
  <c r="F1352" i="17"/>
  <c r="F1752" i="17"/>
  <c r="F1332" i="17"/>
  <c r="F2132" i="17"/>
  <c r="K262" i="7"/>
  <c r="K326" i="7"/>
  <c r="K2295" i="17"/>
  <c r="K279" i="7"/>
  <c r="K2260" i="17"/>
  <c r="K2160" i="17"/>
  <c r="K2180" i="17"/>
  <c r="K2000" i="17"/>
  <c r="K2200" i="17"/>
  <c r="K2040" i="17"/>
  <c r="K2038" i="17"/>
  <c r="K1998" i="17"/>
  <c r="G1997" i="17"/>
  <c r="K2193" i="17"/>
  <c r="K382" i="7"/>
  <c r="K2015" i="17"/>
  <c r="K398" i="7"/>
  <c r="K2032" i="17"/>
  <c r="K2035" i="17"/>
  <c r="K2012" i="17"/>
  <c r="K2095" i="17"/>
  <c r="K2052" i="17"/>
  <c r="K2072" i="17"/>
  <c r="K2112" i="17"/>
  <c r="K2272" i="17"/>
  <c r="K2092" i="17"/>
  <c r="K619" i="7"/>
  <c r="K2151" i="17"/>
  <c r="K675" i="7"/>
  <c r="K2128" i="17"/>
  <c r="K2141" i="17"/>
  <c r="K2188" i="17"/>
  <c r="K2296" i="17"/>
  <c r="K2221" i="17"/>
  <c r="K2223" i="17"/>
  <c r="K2228" i="17"/>
  <c r="K2270" i="17"/>
  <c r="K2197" i="17"/>
  <c r="K2267" i="17"/>
  <c r="K2268" i="17"/>
  <c r="K2336" i="17"/>
  <c r="K2208" i="17"/>
  <c r="K2243" i="17"/>
  <c r="K2274" i="17"/>
  <c r="K2287" i="17"/>
  <c r="K2288" i="17"/>
  <c r="K2303" i="17"/>
  <c r="K140" i="7"/>
  <c r="K795" i="7"/>
  <c r="K808" i="7"/>
  <c r="K54" i="7"/>
  <c r="K165" i="7"/>
  <c r="K198" i="7"/>
  <c r="K268" i="7"/>
  <c r="K372" i="7"/>
  <c r="K6" i="7"/>
  <c r="L902" i="7" s="1"/>
  <c r="K8" i="7"/>
  <c r="K12" i="7"/>
  <c r="L909" i="7" s="1"/>
  <c r="K33" i="7"/>
  <c r="K90" i="7"/>
  <c r="K92" i="7"/>
  <c r="K109" i="7"/>
  <c r="K123" i="7"/>
  <c r="K178" i="7"/>
  <c r="L882" i="7" s="1"/>
  <c r="K248" i="7"/>
  <c r="K415" i="7"/>
  <c r="R12" i="8"/>
  <c r="K24" i="7"/>
  <c r="L933" i="7" s="1"/>
  <c r="R16" i="8"/>
  <c r="K35" i="7"/>
  <c r="R6" i="8"/>
  <c r="K61" i="7"/>
  <c r="R18" i="8"/>
  <c r="K63" i="7"/>
  <c r="L898" i="7" s="1"/>
  <c r="R24" i="8"/>
  <c r="K68" i="7"/>
  <c r="L877" i="7" s="1"/>
  <c r="K284" i="7"/>
  <c r="K293" i="7"/>
  <c r="K393" i="7"/>
  <c r="K10" i="7"/>
  <c r="L950" i="7" s="1"/>
  <c r="K18" i="7"/>
  <c r="R23" i="8"/>
  <c r="K21" i="7"/>
  <c r="K51" i="7"/>
  <c r="K77" i="7"/>
  <c r="K82" i="7"/>
  <c r="U13" i="8"/>
  <c r="P13" i="8"/>
  <c r="Q13" i="8" s="1"/>
  <c r="U12" i="8"/>
  <c r="P12" i="8"/>
  <c r="Q12" i="8" s="1"/>
  <c r="I13" i="8"/>
  <c r="O13" i="8"/>
  <c r="U9" i="8"/>
  <c r="I9" i="8"/>
  <c r="O9" i="8"/>
  <c r="P9" i="8"/>
  <c r="Q9" i="8" s="1"/>
  <c r="P11" i="8"/>
  <c r="Q11" i="8" s="1"/>
  <c r="U11" i="8"/>
  <c r="I11" i="8"/>
  <c r="O11" i="8"/>
  <c r="P10" i="8"/>
  <c r="Q10" i="8" s="1"/>
  <c r="I10" i="8"/>
  <c r="O10" i="8"/>
  <c r="I12" i="8"/>
  <c r="O12" i="8"/>
  <c r="P19" i="8"/>
  <c r="Q19" i="8" s="1"/>
  <c r="U19" i="8"/>
  <c r="O19" i="8"/>
  <c r="I19" i="8"/>
  <c r="P16" i="8"/>
  <c r="Q16" i="8" s="1"/>
  <c r="I16" i="8"/>
  <c r="U16" i="8"/>
  <c r="O16" i="8"/>
  <c r="P15" i="8"/>
  <c r="Q15" i="8" s="1"/>
  <c r="O15" i="8"/>
  <c r="U15" i="8"/>
  <c r="I15" i="8"/>
  <c r="P14" i="8"/>
  <c r="Q14" i="8" s="1"/>
  <c r="I14" i="8"/>
  <c r="O14" i="8"/>
  <c r="U14" i="8"/>
  <c r="P17" i="8"/>
  <c r="Q17" i="8" s="1"/>
  <c r="U17" i="8"/>
  <c r="I17" i="8"/>
  <c r="O17" i="8"/>
  <c r="P18" i="8"/>
  <c r="Q18" i="8" s="1"/>
  <c r="I18" i="8"/>
  <c r="U18" i="8"/>
  <c r="O18" i="8"/>
  <c r="P22" i="8"/>
  <c r="Q22" i="8" s="1"/>
  <c r="I22" i="8"/>
  <c r="O22" i="8"/>
  <c r="U22" i="8"/>
  <c r="P23" i="8"/>
  <c r="Q23" i="8" s="1"/>
  <c r="O23" i="8"/>
  <c r="U23" i="8"/>
  <c r="I23" i="8"/>
  <c r="P21" i="8"/>
  <c r="Q21" i="8" s="1"/>
  <c r="I21" i="8"/>
  <c r="O21" i="8"/>
  <c r="U21" i="8"/>
  <c r="P20" i="8"/>
  <c r="Q20" i="8" s="1"/>
  <c r="U20" i="8"/>
  <c r="I20" i="8"/>
  <c r="O20" i="8"/>
  <c r="P24" i="8"/>
  <c r="Q24" i="8" s="1"/>
  <c r="O24" i="8"/>
  <c r="I24" i="8"/>
  <c r="U24" i="8"/>
  <c r="P5" i="8"/>
  <c r="Q5" i="8" s="1"/>
  <c r="I5" i="8"/>
  <c r="P7" i="8"/>
  <c r="Q7" i="8" s="1"/>
  <c r="I7" i="8"/>
  <c r="I6" i="8"/>
  <c r="P6" i="8"/>
  <c r="Q6" i="8" s="1"/>
  <c r="P8" i="8"/>
  <c r="Q8" i="8" s="1"/>
  <c r="I8" i="8"/>
  <c r="U5" i="8"/>
  <c r="O5" i="8"/>
  <c r="U7" i="8"/>
  <c r="O7" i="8"/>
  <c r="U6" i="8"/>
  <c r="O6" i="8"/>
  <c r="O8" i="8"/>
  <c r="U8" i="8"/>
  <c r="R5" i="8"/>
  <c r="S5" i="8" s="1"/>
  <c r="R21" i="8"/>
  <c r="R17" i="8"/>
  <c r="R11" i="8"/>
  <c r="R8" i="8"/>
  <c r="S8" i="8" s="1"/>
  <c r="R13" i="8"/>
  <c r="R15" i="8"/>
  <c r="R9" i="8"/>
  <c r="R10" i="8"/>
  <c r="K2328" i="17" l="1"/>
  <c r="G2328" i="17"/>
  <c r="J2328" i="17"/>
  <c r="J2228" i="17"/>
  <c r="G2228" i="17"/>
  <c r="J2168" i="17"/>
  <c r="G2168" i="17"/>
  <c r="K2168" i="17"/>
  <c r="G2128" i="17"/>
  <c r="J2128" i="17"/>
  <c r="J2348" i="17"/>
  <c r="G2348" i="17"/>
  <c r="K2348" i="17"/>
  <c r="J2208" i="17"/>
  <c r="G2208" i="17"/>
  <c r="G2288" i="17"/>
  <c r="J2288" i="17"/>
  <c r="G2248" i="17"/>
  <c r="K2248" i="17"/>
  <c r="J2248" i="17"/>
  <c r="G2188" i="17"/>
  <c r="J2188" i="17"/>
  <c r="K2148" i="17"/>
  <c r="G2148" i="17"/>
  <c r="J2148" i="17"/>
  <c r="G2308" i="17"/>
  <c r="J2308" i="17"/>
  <c r="K2308" i="17"/>
  <c r="J2268" i="17"/>
  <c r="G2268" i="17"/>
  <c r="G2180" i="17"/>
  <c r="J2180" i="17"/>
  <c r="G2200" i="17"/>
  <c r="J2200" i="17"/>
  <c r="G2340" i="17"/>
  <c r="J2340" i="17"/>
  <c r="K2340" i="17"/>
  <c r="G2320" i="17"/>
  <c r="K2320" i="17"/>
  <c r="J2320" i="17"/>
  <c r="J2300" i="17"/>
  <c r="K2300" i="17"/>
  <c r="G2300" i="17"/>
  <c r="G2160" i="17"/>
  <c r="J2160" i="17"/>
  <c r="J2263" i="17"/>
  <c r="G2263" i="17"/>
  <c r="K2263" i="17"/>
  <c r="K2343" i="17"/>
  <c r="G2343" i="17"/>
  <c r="J2343" i="17"/>
  <c r="G2283" i="17"/>
  <c r="J2283" i="17"/>
  <c r="K2283" i="17"/>
  <c r="K2323" i="17"/>
  <c r="J2323" i="17"/>
  <c r="G2323" i="17"/>
  <c r="J2303" i="17"/>
  <c r="G2303" i="17"/>
  <c r="J2243" i="17"/>
  <c r="G2243" i="17"/>
  <c r="G2223" i="17"/>
  <c r="J2223" i="17"/>
  <c r="G2287" i="17"/>
  <c r="J2287" i="17"/>
  <c r="G2167" i="17"/>
  <c r="J2167" i="17"/>
  <c r="K2167" i="17"/>
  <c r="J2267" i="17"/>
  <c r="G2267" i="17"/>
  <c r="K2147" i="17"/>
  <c r="G2147" i="17"/>
  <c r="J2147" i="17"/>
  <c r="J2207" i="17"/>
  <c r="G2207" i="17"/>
  <c r="K2207" i="17"/>
  <c r="J2347" i="17"/>
  <c r="G2347" i="17"/>
  <c r="K2347" i="17"/>
  <c r="G2327" i="17"/>
  <c r="K2327" i="17"/>
  <c r="J2327" i="17"/>
  <c r="J2247" i="17"/>
  <c r="G2247" i="17"/>
  <c r="K2247" i="17"/>
  <c r="K2307" i="17"/>
  <c r="G2307" i="17"/>
  <c r="J2307" i="17"/>
  <c r="J2187" i="17"/>
  <c r="K2187" i="17"/>
  <c r="G2187" i="17"/>
  <c r="K2227" i="17"/>
  <c r="J2227" i="17"/>
  <c r="G2227" i="17"/>
  <c r="J2329" i="17"/>
  <c r="G2329" i="17"/>
  <c r="K2329" i="17"/>
  <c r="J2349" i="17"/>
  <c r="K2349" i="17"/>
  <c r="G2349" i="17"/>
  <c r="G2289" i="17"/>
  <c r="J2289" i="17"/>
  <c r="K2289" i="17"/>
  <c r="G2309" i="17"/>
  <c r="J2309" i="17"/>
  <c r="K2309" i="17"/>
  <c r="J2338" i="17"/>
  <c r="G2338" i="17"/>
  <c r="K2338" i="17"/>
  <c r="K2298" i="17"/>
  <c r="J2298" i="17"/>
  <c r="G2298" i="17"/>
  <c r="K2318" i="17"/>
  <c r="J2318" i="17"/>
  <c r="G2318" i="17"/>
  <c r="G2342" i="17"/>
  <c r="J2342" i="17"/>
  <c r="K2342" i="17"/>
  <c r="J2262" i="17"/>
  <c r="G2262" i="17"/>
  <c r="K2262" i="17"/>
  <c r="K2302" i="17"/>
  <c r="J2302" i="17"/>
  <c r="G2302" i="17"/>
  <c r="J2222" i="17"/>
  <c r="G2222" i="17"/>
  <c r="K2222" i="17"/>
  <c r="G2242" i="17"/>
  <c r="J2242" i="17"/>
  <c r="K2242" i="17"/>
  <c r="G2282" i="17"/>
  <c r="K2282" i="17"/>
  <c r="J2282" i="17"/>
  <c r="K2162" i="17"/>
  <c r="G2162" i="17"/>
  <c r="J2162" i="17"/>
  <c r="G2322" i="17"/>
  <c r="J2322" i="17"/>
  <c r="K2322" i="17"/>
  <c r="K2182" i="17"/>
  <c r="G2182" i="17"/>
  <c r="J2182" i="17"/>
  <c r="K2202" i="17"/>
  <c r="J2202" i="17"/>
  <c r="G2202" i="17"/>
  <c r="K2201" i="17"/>
  <c r="J2201" i="17"/>
  <c r="G2201" i="17"/>
  <c r="G2041" i="17"/>
  <c r="K2041" i="17"/>
  <c r="J2041" i="17"/>
  <c r="K2281" i="17"/>
  <c r="J2281" i="17"/>
  <c r="G2281" i="17"/>
  <c r="J2341" i="17"/>
  <c r="G2341" i="17"/>
  <c r="K2341" i="17"/>
  <c r="K2061" i="17"/>
  <c r="G2061" i="17"/>
  <c r="J2061" i="17"/>
  <c r="K2241" i="17"/>
  <c r="G2241" i="17"/>
  <c r="J2241" i="17"/>
  <c r="J2321" i="17"/>
  <c r="G2321" i="17"/>
  <c r="K2321" i="17"/>
  <c r="G2081" i="17"/>
  <c r="J2081" i="17"/>
  <c r="K2081" i="17"/>
  <c r="K2101" i="17"/>
  <c r="J2101" i="17"/>
  <c r="G2101" i="17"/>
  <c r="K2301" i="17"/>
  <c r="J2301" i="17"/>
  <c r="G2301" i="17"/>
  <c r="G2261" i="17"/>
  <c r="J2261" i="17"/>
  <c r="K2261" i="17"/>
  <c r="G2181" i="17"/>
  <c r="J2181" i="17"/>
  <c r="K2181" i="17"/>
  <c r="J2121" i="17"/>
  <c r="K2121" i="17"/>
  <c r="G2121" i="17"/>
  <c r="K2161" i="17"/>
  <c r="G2161" i="17"/>
  <c r="J2161" i="17"/>
  <c r="G2221" i="17"/>
  <c r="J2221" i="17"/>
  <c r="J2141" i="17"/>
  <c r="G2141" i="17"/>
  <c r="J2177" i="17"/>
  <c r="G2177" i="17"/>
  <c r="K2177" i="17"/>
  <c r="J2197" i="17"/>
  <c r="G2197" i="17"/>
  <c r="J2097" i="17"/>
  <c r="G2097" i="17"/>
  <c r="K2097" i="17"/>
  <c r="J2157" i="17"/>
  <c r="K2157" i="17"/>
  <c r="G2157" i="17"/>
  <c r="K2137" i="17"/>
  <c r="J2137" i="17"/>
  <c r="G2137" i="17"/>
  <c r="J2297" i="17"/>
  <c r="G2297" i="17"/>
  <c r="K2297" i="17"/>
  <c r="J2317" i="17"/>
  <c r="K2317" i="17"/>
  <c r="G2317" i="17"/>
  <c r="G2117" i="17"/>
  <c r="K2117" i="17"/>
  <c r="J2117" i="17"/>
  <c r="G2237" i="17"/>
  <c r="K2237" i="17"/>
  <c r="J2237" i="17"/>
  <c r="J2277" i="17"/>
  <c r="K2277" i="17"/>
  <c r="G2277" i="17"/>
  <c r="G2337" i="17"/>
  <c r="K2337" i="17"/>
  <c r="J2337" i="17"/>
  <c r="G2057" i="17"/>
  <c r="J2057" i="17"/>
  <c r="K2057" i="17"/>
  <c r="K2077" i="17"/>
  <c r="J2077" i="17"/>
  <c r="G2077" i="17"/>
  <c r="G2257" i="17"/>
  <c r="J2257" i="17"/>
  <c r="K2257" i="17"/>
  <c r="G2217" i="17"/>
  <c r="J2217" i="17"/>
  <c r="K2217" i="17"/>
  <c r="G2284" i="17"/>
  <c r="K2284" i="17"/>
  <c r="J2284" i="17"/>
  <c r="K2344" i="17"/>
  <c r="G2344" i="17"/>
  <c r="J2344" i="17"/>
  <c r="K2304" i="17"/>
  <c r="G2304" i="17"/>
  <c r="J2304" i="17"/>
  <c r="G2324" i="17"/>
  <c r="J2324" i="17"/>
  <c r="K2324" i="17"/>
  <c r="K2170" i="17"/>
  <c r="J2170" i="17"/>
  <c r="G2170" i="17"/>
  <c r="G2250" i="17"/>
  <c r="J2250" i="17"/>
  <c r="K2250" i="17"/>
  <c r="G2230" i="17"/>
  <c r="J2230" i="17"/>
  <c r="K2230" i="17"/>
  <c r="G2150" i="17"/>
  <c r="J2150" i="17"/>
  <c r="K2150" i="17"/>
  <c r="J2130" i="17"/>
  <c r="G2130" i="17"/>
  <c r="K2130" i="17"/>
  <c r="J2210" i="17"/>
  <c r="G2210" i="17"/>
  <c r="K2210" i="17"/>
  <c r="G2190" i="17"/>
  <c r="K2190" i="17"/>
  <c r="J2190" i="17"/>
  <c r="J2290" i="17"/>
  <c r="K2290" i="17"/>
  <c r="G2290" i="17"/>
  <c r="G2310" i="17"/>
  <c r="J2310" i="17"/>
  <c r="K2310" i="17"/>
  <c r="J2330" i="17"/>
  <c r="K2330" i="17"/>
  <c r="G2330" i="17"/>
  <c r="K2110" i="17"/>
  <c r="J2110" i="17"/>
  <c r="G2110" i="17"/>
  <c r="G2270" i="17"/>
  <c r="J2270" i="17"/>
  <c r="J2350" i="17"/>
  <c r="K2350" i="17"/>
  <c r="G2350" i="17"/>
  <c r="G2325" i="17"/>
  <c r="J2325" i="17"/>
  <c r="K2325" i="17"/>
  <c r="G2285" i="17"/>
  <c r="J2285" i="17"/>
  <c r="K2285" i="17"/>
  <c r="K2305" i="17"/>
  <c r="G2305" i="17"/>
  <c r="J2305" i="17"/>
  <c r="K2345" i="17"/>
  <c r="J2345" i="17"/>
  <c r="G2345" i="17"/>
  <c r="J2311" i="17"/>
  <c r="G2311" i="17"/>
  <c r="K2311" i="17"/>
  <c r="G2291" i="17"/>
  <c r="J2291" i="17"/>
  <c r="K2291" i="17"/>
  <c r="G2191" i="17"/>
  <c r="K2191" i="17"/>
  <c r="J2191" i="17"/>
  <c r="K2331" i="17"/>
  <c r="J2331" i="17"/>
  <c r="G2331" i="17"/>
  <c r="J2214" i="17"/>
  <c r="G2214" i="17"/>
  <c r="K2214" i="17"/>
  <c r="K2054" i="17"/>
  <c r="G2054" i="17"/>
  <c r="J2054" i="17"/>
  <c r="K2334" i="17"/>
  <c r="G2334" i="17"/>
  <c r="J2334" i="17"/>
  <c r="K2094" i="17"/>
  <c r="J2094" i="17"/>
  <c r="G2094" i="17"/>
  <c r="K2194" i="17"/>
  <c r="G2194" i="17"/>
  <c r="J2194" i="17"/>
  <c r="K2134" i="17"/>
  <c r="J2134" i="17"/>
  <c r="G2134" i="17"/>
  <c r="J2074" i="17"/>
  <c r="G2074" i="17"/>
  <c r="K2074" i="17"/>
  <c r="K2234" i="17"/>
  <c r="G2234" i="17"/>
  <c r="J2234" i="17"/>
  <c r="K2114" i="17"/>
  <c r="G2114" i="17"/>
  <c r="J2114" i="17"/>
  <c r="K2154" i="17"/>
  <c r="G2154" i="17"/>
  <c r="J2154" i="17"/>
  <c r="K2294" i="17"/>
  <c r="G2294" i="17"/>
  <c r="J2294" i="17"/>
  <c r="K2314" i="17"/>
  <c r="G2314" i="17"/>
  <c r="J2314" i="17"/>
  <c r="K2174" i="17"/>
  <c r="G2174" i="17"/>
  <c r="J2174" i="17"/>
  <c r="K2254" i="17"/>
  <c r="G2254" i="17"/>
  <c r="J2254" i="17"/>
  <c r="G2274" i="17"/>
  <c r="J2274" i="17"/>
  <c r="J2193" i="17"/>
  <c r="G2193" i="17"/>
  <c r="K2293" i="17"/>
  <c r="J2293" i="17"/>
  <c r="G2293" i="17"/>
  <c r="K2313" i="17"/>
  <c r="G2313" i="17"/>
  <c r="J2313" i="17"/>
  <c r="G2333" i="17"/>
  <c r="J2333" i="17"/>
  <c r="K2333" i="17"/>
  <c r="K2099" i="17"/>
  <c r="G2099" i="17"/>
  <c r="J2099" i="17"/>
  <c r="J2319" i="17"/>
  <c r="G2319" i="17"/>
  <c r="K2319" i="17"/>
  <c r="J2119" i="17"/>
  <c r="G2119" i="17"/>
  <c r="K2119" i="17"/>
  <c r="K2139" i="17"/>
  <c r="G2139" i="17"/>
  <c r="J2139" i="17"/>
  <c r="J2299" i="17"/>
  <c r="G2299" i="17"/>
  <c r="K2299" i="17"/>
  <c r="G2339" i="17"/>
  <c r="K2339" i="17"/>
  <c r="J2339" i="17"/>
  <c r="J2336" i="17"/>
  <c r="G2336" i="17"/>
  <c r="J2296" i="17"/>
  <c r="G2296" i="17"/>
  <c r="K2316" i="17"/>
  <c r="J2316" i="17"/>
  <c r="G2316" i="17"/>
  <c r="G2335" i="17"/>
  <c r="J2335" i="17"/>
  <c r="K2335" i="17"/>
  <c r="K2055" i="17"/>
  <c r="J2055" i="17"/>
  <c r="G2055" i="17"/>
  <c r="G2075" i="17"/>
  <c r="J2075" i="17"/>
  <c r="K2075" i="17"/>
  <c r="J2135" i="17"/>
  <c r="G2135" i="17"/>
  <c r="K2135" i="17"/>
  <c r="J2295" i="17"/>
  <c r="G2295" i="17"/>
  <c r="G2315" i="17"/>
  <c r="K2315" i="17"/>
  <c r="J2315" i="17"/>
  <c r="J2095" i="17"/>
  <c r="G2095" i="17"/>
  <c r="K2192" i="17"/>
  <c r="G2192" i="17"/>
  <c r="J2192" i="17"/>
  <c r="K2059" i="17"/>
  <c r="G2059" i="17"/>
  <c r="J2059" i="17"/>
  <c r="K2079" i="17"/>
  <c r="G2079" i="17"/>
  <c r="J2079" i="17"/>
  <c r="G2260" i="17"/>
  <c r="J2260" i="17"/>
  <c r="J2292" i="17"/>
  <c r="G2292" i="17"/>
  <c r="K2292" i="17"/>
  <c r="K2312" i="17"/>
  <c r="G2312" i="17"/>
  <c r="J2312" i="17"/>
  <c r="K2332" i="17"/>
  <c r="G2332" i="17"/>
  <c r="J2332" i="17"/>
  <c r="K2259" i="17"/>
  <c r="G2259" i="17"/>
  <c r="J2259" i="17"/>
  <c r="K2278" i="17"/>
  <c r="J2278" i="17"/>
  <c r="G2278" i="17"/>
  <c r="K2280" i="17"/>
  <c r="J2280" i="17"/>
  <c r="G2280" i="17"/>
  <c r="K1988" i="17"/>
  <c r="J1988" i="17"/>
  <c r="G1988" i="17"/>
  <c r="K2276" i="17"/>
  <c r="J2276" i="17"/>
  <c r="G2276" i="17"/>
  <c r="K2264" i="17"/>
  <c r="G2264" i="17"/>
  <c r="J2264" i="17"/>
  <c r="K1894" i="17"/>
  <c r="G1894" i="17"/>
  <c r="J1894" i="17"/>
  <c r="K2269" i="17"/>
  <c r="J2269" i="17"/>
  <c r="G2269" i="17"/>
  <c r="K2240" i="17"/>
  <c r="J2240" i="17"/>
  <c r="G2240" i="17"/>
  <c r="K2183" i="17"/>
  <c r="G2183" i="17"/>
  <c r="J2183" i="17"/>
  <c r="K2203" i="17"/>
  <c r="J2203" i="17"/>
  <c r="G2203" i="17"/>
  <c r="K2163" i="17"/>
  <c r="G2163" i="17"/>
  <c r="J2163" i="17"/>
  <c r="K2169" i="17"/>
  <c r="G2169" i="17"/>
  <c r="J2169" i="17"/>
  <c r="K2189" i="17"/>
  <c r="J2189" i="17"/>
  <c r="G2189" i="17"/>
  <c r="K2249" i="17"/>
  <c r="J2249" i="17"/>
  <c r="G2249" i="17"/>
  <c r="K2178" i="17"/>
  <c r="G2178" i="17"/>
  <c r="J2178" i="17"/>
  <c r="K2158" i="17"/>
  <c r="G2158" i="17"/>
  <c r="J2158" i="17"/>
  <c r="K2238" i="17"/>
  <c r="G2238" i="17"/>
  <c r="J2238" i="17"/>
  <c r="K2198" i="17"/>
  <c r="J2198" i="17"/>
  <c r="G2198" i="17"/>
  <c r="K2164" i="17"/>
  <c r="G2164" i="17"/>
  <c r="J2164" i="17"/>
  <c r="K2184" i="17"/>
  <c r="J2184" i="17"/>
  <c r="G2184" i="17"/>
  <c r="K2244" i="17"/>
  <c r="G2244" i="17"/>
  <c r="J2244" i="17"/>
  <c r="K2204" i="17"/>
  <c r="J2204" i="17"/>
  <c r="G2204" i="17"/>
  <c r="K2265" i="17"/>
  <c r="G2265" i="17"/>
  <c r="J2265" i="17"/>
  <c r="K2185" i="17"/>
  <c r="G2185" i="17"/>
  <c r="J2185" i="17"/>
  <c r="K2245" i="17"/>
  <c r="G2245" i="17"/>
  <c r="J2245" i="17"/>
  <c r="K2205" i="17"/>
  <c r="J2205" i="17"/>
  <c r="G2205" i="17"/>
  <c r="K2165" i="17"/>
  <c r="J2165" i="17"/>
  <c r="G2165" i="17"/>
  <c r="K2271" i="17"/>
  <c r="J2271" i="17"/>
  <c r="G2271" i="17"/>
  <c r="K2171" i="17"/>
  <c r="G2171" i="17"/>
  <c r="J2171" i="17"/>
  <c r="K2251" i="17"/>
  <c r="G2251" i="17"/>
  <c r="J2251" i="17"/>
  <c r="K1974" i="17"/>
  <c r="G1974" i="17"/>
  <c r="J1974" i="17"/>
  <c r="K1994" i="17"/>
  <c r="J1994" i="17"/>
  <c r="G1994" i="17"/>
  <c r="K1954" i="17"/>
  <c r="G1954" i="17"/>
  <c r="J1954" i="17"/>
  <c r="K1914" i="17"/>
  <c r="G1914" i="17"/>
  <c r="J1914" i="17"/>
  <c r="K1934" i="17"/>
  <c r="G1934" i="17"/>
  <c r="J1934" i="17"/>
  <c r="K2273" i="17"/>
  <c r="J2273" i="17"/>
  <c r="G2273" i="17"/>
  <c r="K2253" i="17"/>
  <c r="G2253" i="17"/>
  <c r="J2253" i="17"/>
  <c r="K2173" i="17"/>
  <c r="J2173" i="17"/>
  <c r="G2173" i="17"/>
  <c r="K2153" i="17"/>
  <c r="G2153" i="17"/>
  <c r="J2153" i="17"/>
  <c r="K2233" i="17"/>
  <c r="J2233" i="17"/>
  <c r="G2233" i="17"/>
  <c r="K1993" i="17"/>
  <c r="J1993" i="17"/>
  <c r="G1993" i="17"/>
  <c r="K2179" i="17"/>
  <c r="J2179" i="17"/>
  <c r="G2179" i="17"/>
  <c r="K2239" i="17"/>
  <c r="J2239" i="17"/>
  <c r="G2239" i="17"/>
  <c r="K2159" i="17"/>
  <c r="G2159" i="17"/>
  <c r="J2159" i="17"/>
  <c r="K2219" i="17"/>
  <c r="J2219" i="17"/>
  <c r="G2219" i="17"/>
  <c r="K2199" i="17"/>
  <c r="G2199" i="17"/>
  <c r="J2199" i="17"/>
  <c r="K2196" i="17"/>
  <c r="J2196" i="17"/>
  <c r="G2196" i="17"/>
  <c r="K2156" i="17"/>
  <c r="J2156" i="17"/>
  <c r="G2156" i="17"/>
  <c r="K2176" i="17"/>
  <c r="J2176" i="17"/>
  <c r="G2176" i="17"/>
  <c r="K2236" i="17"/>
  <c r="G2236" i="17"/>
  <c r="J2236" i="17"/>
  <c r="K2258" i="17"/>
  <c r="J2258" i="17"/>
  <c r="G2258" i="17"/>
  <c r="J2215" i="17"/>
  <c r="G2215" i="17"/>
  <c r="K2175" i="17"/>
  <c r="J2175" i="17"/>
  <c r="G2175" i="17"/>
  <c r="K2155" i="17"/>
  <c r="J2155" i="17"/>
  <c r="G2155" i="17"/>
  <c r="K2195" i="17"/>
  <c r="G2195" i="17"/>
  <c r="J2195" i="17"/>
  <c r="K2235" i="17"/>
  <c r="G2235" i="17"/>
  <c r="J2235" i="17"/>
  <c r="K2255" i="17"/>
  <c r="J2255" i="17"/>
  <c r="G2255" i="17"/>
  <c r="K2256" i="17"/>
  <c r="G2256" i="17"/>
  <c r="J2256" i="17"/>
  <c r="K2252" i="17"/>
  <c r="J2252" i="17"/>
  <c r="G2252" i="17"/>
  <c r="K2232" i="17"/>
  <c r="G2232" i="17"/>
  <c r="J2232" i="17"/>
  <c r="K2212" i="17"/>
  <c r="G2212" i="17"/>
  <c r="J2212" i="17"/>
  <c r="K2172" i="17"/>
  <c r="G2172" i="17"/>
  <c r="J2172" i="17"/>
  <c r="K2152" i="17"/>
  <c r="G2152" i="17"/>
  <c r="J2152" i="17"/>
  <c r="J1997" i="17"/>
  <c r="K1997" i="17"/>
  <c r="K1919" i="17"/>
  <c r="G1919" i="17"/>
  <c r="J1919" i="17"/>
  <c r="K1979" i="17"/>
  <c r="G1979" i="17"/>
  <c r="J1979" i="17"/>
  <c r="K1959" i="17"/>
  <c r="G1959" i="17"/>
  <c r="J1959" i="17"/>
  <c r="K1939" i="17"/>
  <c r="G1939" i="17"/>
  <c r="J1939" i="17"/>
  <c r="K1996" i="17"/>
  <c r="J1996" i="17"/>
  <c r="G1996" i="17"/>
  <c r="K1935" i="17"/>
  <c r="J1935" i="17"/>
  <c r="G1935" i="17"/>
  <c r="J1975" i="17"/>
  <c r="G1975" i="17"/>
  <c r="K1975" i="17"/>
  <c r="K1915" i="17"/>
  <c r="G1915" i="17"/>
  <c r="J1915" i="17"/>
  <c r="J1995" i="17"/>
  <c r="G1995" i="17"/>
  <c r="K1995" i="17"/>
  <c r="K1955" i="17"/>
  <c r="J1955" i="17"/>
  <c r="G1955" i="17"/>
  <c r="K1952" i="17"/>
  <c r="G1952" i="17"/>
  <c r="J1952" i="17"/>
  <c r="K1972" i="17"/>
  <c r="J1972" i="17"/>
  <c r="G1972" i="17"/>
  <c r="K1992" i="17"/>
  <c r="G1992" i="17"/>
  <c r="J1992" i="17"/>
  <c r="J1932" i="17"/>
  <c r="G1932" i="17"/>
  <c r="K1932" i="17"/>
  <c r="G1912" i="17"/>
  <c r="K1912" i="17"/>
  <c r="J1912" i="17"/>
  <c r="G2000" i="17"/>
  <c r="J2000" i="17"/>
  <c r="G2040" i="17"/>
  <c r="J2040" i="17"/>
  <c r="G2038" i="17"/>
  <c r="J2038" i="17"/>
  <c r="G1998" i="17"/>
  <c r="J1998" i="17"/>
  <c r="G2037" i="17"/>
  <c r="J2037" i="17"/>
  <c r="G2034" i="17"/>
  <c r="J2034" i="17"/>
  <c r="G2014" i="17"/>
  <c r="J2014" i="17"/>
  <c r="G2019" i="17"/>
  <c r="J2019" i="17"/>
  <c r="G2039" i="17"/>
  <c r="J2039" i="17"/>
  <c r="G1999" i="17"/>
  <c r="J1999" i="17"/>
  <c r="G2035" i="17"/>
  <c r="J2035" i="17"/>
  <c r="G2015" i="17"/>
  <c r="J2015" i="17"/>
  <c r="G2012" i="17"/>
  <c r="J2012" i="17"/>
  <c r="G2032" i="17"/>
  <c r="J2032" i="17"/>
  <c r="J2279" i="17"/>
  <c r="G2279" i="17"/>
  <c r="G2275" i="17"/>
  <c r="J2275" i="17"/>
  <c r="J1895" i="17"/>
  <c r="G1895" i="17"/>
  <c r="J2115" i="17"/>
  <c r="G2115" i="17"/>
  <c r="G2052" i="17"/>
  <c r="J2052" i="17"/>
  <c r="G2072" i="17"/>
  <c r="J2072" i="17"/>
  <c r="J2112" i="17"/>
  <c r="G2112" i="17"/>
  <c r="J2272" i="17"/>
  <c r="G2272" i="17"/>
  <c r="K1892" i="17"/>
  <c r="J1892" i="17"/>
  <c r="G1892" i="17"/>
  <c r="G2092" i="17"/>
  <c r="J2092" i="17"/>
  <c r="K2132" i="17"/>
  <c r="J2132" i="17"/>
  <c r="G2132" i="17"/>
  <c r="J2151" i="17"/>
  <c r="G2151" i="17"/>
  <c r="K1899" i="17"/>
  <c r="G1899" i="17"/>
  <c r="J1899" i="17"/>
  <c r="K1933" i="17"/>
  <c r="J1933" i="17"/>
  <c r="G1933" i="17"/>
  <c r="K2053" i="17"/>
  <c r="J2053" i="17"/>
  <c r="G2053" i="17"/>
  <c r="K2073" i="17"/>
  <c r="J2073" i="17"/>
  <c r="G2073" i="17"/>
  <c r="K2013" i="17"/>
  <c r="J2013" i="17"/>
  <c r="G2013" i="17"/>
  <c r="K2093" i="17"/>
  <c r="J2093" i="17"/>
  <c r="G2093" i="17"/>
  <c r="K1893" i="17"/>
  <c r="G1893" i="17"/>
  <c r="J1893" i="17"/>
  <c r="K2113" i="17"/>
  <c r="J2113" i="17"/>
  <c r="G2113" i="17"/>
  <c r="K2133" i="17"/>
  <c r="G2133" i="17"/>
  <c r="J2133" i="17"/>
  <c r="K2116" i="17"/>
  <c r="J2116" i="17"/>
  <c r="G2116" i="17"/>
  <c r="K2076" i="17"/>
  <c r="J2076" i="17"/>
  <c r="G2076" i="17"/>
  <c r="K2136" i="17"/>
  <c r="G2136" i="17"/>
  <c r="J2136" i="17"/>
  <c r="K2096" i="17"/>
  <c r="G2096" i="17"/>
  <c r="J2096" i="17"/>
  <c r="K2056" i="17"/>
  <c r="J2056" i="17"/>
  <c r="G2056" i="17"/>
  <c r="K2220" i="17"/>
  <c r="G2220" i="17"/>
  <c r="J2220" i="17"/>
  <c r="K2060" i="17"/>
  <c r="G2060" i="17"/>
  <c r="J2060" i="17"/>
  <c r="K2100" i="17"/>
  <c r="J2100" i="17"/>
  <c r="G2100" i="17"/>
  <c r="K2140" i="17"/>
  <c r="J2140" i="17"/>
  <c r="G2140" i="17"/>
  <c r="K2063" i="17"/>
  <c r="J2063" i="17"/>
  <c r="G2063" i="17"/>
  <c r="K2143" i="17"/>
  <c r="G2143" i="17"/>
  <c r="J2143" i="17"/>
  <c r="K2083" i="17"/>
  <c r="J2083" i="17"/>
  <c r="G2083" i="17"/>
  <c r="K2123" i="17"/>
  <c r="J2123" i="17"/>
  <c r="G2123" i="17"/>
  <c r="K1929" i="17"/>
  <c r="G1929" i="17"/>
  <c r="J1929" i="17"/>
  <c r="K2049" i="17"/>
  <c r="G2049" i="17"/>
  <c r="J2049" i="17"/>
  <c r="K1989" i="17"/>
  <c r="G1989" i="17"/>
  <c r="J1989" i="17"/>
  <c r="K2009" i="17"/>
  <c r="G2009" i="17"/>
  <c r="J2009" i="17"/>
  <c r="K2078" i="17"/>
  <c r="G2078" i="17"/>
  <c r="J2078" i="17"/>
  <c r="K2044" i="17"/>
  <c r="J2044" i="17"/>
  <c r="G2044" i="17"/>
  <c r="G46" i="17"/>
  <c r="J46" i="17"/>
  <c r="K46" i="17"/>
  <c r="J1008" i="17"/>
  <c r="K1008" i="17"/>
  <c r="G1008" i="17"/>
  <c r="J1068" i="17"/>
  <c r="K1068" i="17"/>
  <c r="G1068" i="17"/>
  <c r="G205" i="17"/>
  <c r="J205" i="17"/>
  <c r="K205" i="17"/>
  <c r="J73" i="17"/>
  <c r="G73" i="17"/>
  <c r="K73" i="17"/>
  <c r="J134" i="17"/>
  <c r="K134" i="17"/>
  <c r="G134" i="17"/>
  <c r="J1248" i="17"/>
  <c r="K1248" i="17"/>
  <c r="G1248" i="17"/>
  <c r="K393" i="17"/>
  <c r="J393" i="17"/>
  <c r="G393" i="17"/>
  <c r="J123" i="17"/>
  <c r="K123" i="17"/>
  <c r="G123" i="17"/>
  <c r="K1168" i="17"/>
  <c r="J1168" i="17"/>
  <c r="G1168" i="17"/>
  <c r="J1408" i="17"/>
  <c r="K1408" i="17"/>
  <c r="G1408" i="17"/>
  <c r="J157" i="17"/>
  <c r="K157" i="17"/>
  <c r="G157" i="17"/>
  <c r="K1448" i="17"/>
  <c r="J1448" i="17"/>
  <c r="G1448" i="17"/>
  <c r="K254" i="17"/>
  <c r="J254" i="17"/>
  <c r="G254" i="17"/>
  <c r="J928" i="17"/>
  <c r="K928" i="17"/>
  <c r="G928" i="17"/>
  <c r="K1048" i="17"/>
  <c r="J1048" i="17"/>
  <c r="G1048" i="17"/>
  <c r="J1228" i="17"/>
  <c r="K1228" i="17"/>
  <c r="G1228" i="17"/>
  <c r="J54" i="17"/>
  <c r="G54" i="17"/>
  <c r="K54" i="17"/>
  <c r="J1308" i="17"/>
  <c r="K1308" i="17"/>
  <c r="G1308" i="17"/>
  <c r="G217" i="17"/>
  <c r="J217" i="17"/>
  <c r="K217" i="17"/>
  <c r="J1548" i="17"/>
  <c r="K1548" i="17"/>
  <c r="G1548" i="17"/>
  <c r="K745" i="17"/>
  <c r="J745" i="17"/>
  <c r="G745" i="17"/>
  <c r="K1348" i="17"/>
  <c r="J1348" i="17"/>
  <c r="G1348" i="17"/>
  <c r="K498" i="17"/>
  <c r="J498" i="17"/>
  <c r="G498" i="17"/>
  <c r="G11" i="17"/>
  <c r="J11" i="17"/>
  <c r="K11" i="17"/>
  <c r="G408" i="17"/>
  <c r="J408" i="17"/>
  <c r="K408" i="17"/>
  <c r="K606" i="17"/>
  <c r="J606" i="17"/>
  <c r="G606" i="17"/>
  <c r="G438" i="17"/>
  <c r="J438" i="17"/>
  <c r="K438" i="17"/>
  <c r="K241" i="17"/>
  <c r="J241" i="17"/>
  <c r="G241" i="17"/>
  <c r="J483" i="17"/>
  <c r="G483" i="17"/>
  <c r="K483" i="17"/>
  <c r="K988" i="17"/>
  <c r="J988" i="17"/>
  <c r="G988" i="17"/>
  <c r="K513" i="17"/>
  <c r="J513" i="17"/>
  <c r="G513" i="17"/>
  <c r="J528" i="17"/>
  <c r="K528" i="17"/>
  <c r="G528" i="17"/>
  <c r="K1648" i="17"/>
  <c r="J1648" i="17"/>
  <c r="G1648" i="17"/>
  <c r="K1668" i="17"/>
  <c r="J1668" i="17"/>
  <c r="G1668" i="17"/>
  <c r="G26" i="17"/>
  <c r="J26" i="17"/>
  <c r="K26" i="17"/>
  <c r="J835" i="17"/>
  <c r="K835" i="17"/>
  <c r="G835" i="17"/>
  <c r="J1208" i="17"/>
  <c r="K1208" i="17"/>
  <c r="G1208" i="17"/>
  <c r="J1428" i="17"/>
  <c r="K1428" i="17"/>
  <c r="G1428" i="17"/>
  <c r="J365" i="17"/>
  <c r="K365" i="17"/>
  <c r="G365" i="17"/>
  <c r="J1508" i="17"/>
  <c r="K1508" i="17"/>
  <c r="G1508" i="17"/>
  <c r="J691" i="17"/>
  <c r="K691" i="17"/>
  <c r="G691" i="17"/>
  <c r="J1808" i="17"/>
  <c r="K1808" i="17"/>
  <c r="G1808" i="17"/>
  <c r="K1828" i="17"/>
  <c r="J1828" i="17"/>
  <c r="G1828" i="17"/>
  <c r="J83" i="17"/>
  <c r="K83" i="17"/>
  <c r="G83" i="17"/>
  <c r="J871" i="17"/>
  <c r="K871" i="17"/>
  <c r="G871" i="17"/>
  <c r="G229" i="17"/>
  <c r="J229" i="17"/>
  <c r="K229" i="17"/>
  <c r="K590" i="17"/>
  <c r="J590" i="17"/>
  <c r="G590" i="17"/>
  <c r="J1328" i="17"/>
  <c r="K1328" i="17"/>
  <c r="G1328" i="17"/>
  <c r="J1708" i="17"/>
  <c r="K1708" i="17"/>
  <c r="G1708" i="17"/>
  <c r="J1608" i="17"/>
  <c r="K1608" i="17"/>
  <c r="G1608" i="17"/>
  <c r="J781" i="17"/>
  <c r="K781" i="17"/>
  <c r="G781" i="17"/>
  <c r="K638" i="17"/>
  <c r="J638" i="17"/>
  <c r="G638" i="17"/>
  <c r="J145" i="17"/>
  <c r="K145" i="17"/>
  <c r="G145" i="17"/>
  <c r="G21" i="17"/>
  <c r="J21" i="17"/>
  <c r="K21" i="17"/>
  <c r="J1788" i="17"/>
  <c r="K1788" i="17"/>
  <c r="G1788" i="17"/>
  <c r="J1848" i="17"/>
  <c r="K1848" i="17"/>
  <c r="G1848" i="17"/>
  <c r="G16" i="17"/>
  <c r="J16" i="17"/>
  <c r="K16" i="17"/>
  <c r="J281" i="17"/>
  <c r="G281" i="17"/>
  <c r="K281" i="17"/>
  <c r="J1768" i="17"/>
  <c r="K1768" i="17"/>
  <c r="G1768" i="17"/>
  <c r="K1748" i="17"/>
  <c r="J1748" i="17"/>
  <c r="G1748" i="17"/>
  <c r="J38" i="17"/>
  <c r="G38" i="17"/>
  <c r="K38" i="17"/>
  <c r="G31" i="17"/>
  <c r="J31" i="17"/>
  <c r="K31" i="17"/>
  <c r="J1728" i="17"/>
  <c r="K1728" i="17"/>
  <c r="G1728" i="17"/>
  <c r="G295" i="17"/>
  <c r="K295" i="17"/>
  <c r="J295" i="17"/>
  <c r="J1288" i="17"/>
  <c r="K1288" i="17"/>
  <c r="G1288" i="17"/>
  <c r="J103" i="17"/>
  <c r="K103" i="17"/>
  <c r="G103" i="17"/>
  <c r="K423" i="17"/>
  <c r="G423" i="17"/>
  <c r="J423" i="17"/>
  <c r="G379" i="17"/>
  <c r="K379" i="17"/>
  <c r="J379" i="17"/>
  <c r="J337" i="17"/>
  <c r="G337" i="17"/>
  <c r="K337" i="17"/>
  <c r="J622" i="17"/>
  <c r="K622" i="17"/>
  <c r="G622" i="17"/>
  <c r="J468" i="17"/>
  <c r="G468" i="17"/>
  <c r="K468" i="17"/>
  <c r="J93" i="17"/>
  <c r="K93" i="17"/>
  <c r="G93" i="17"/>
  <c r="G7" i="17"/>
  <c r="J7" i="17"/>
  <c r="K7" i="17"/>
  <c r="K558" i="17"/>
  <c r="J558" i="17"/>
  <c r="G558" i="17"/>
  <c r="J1268" i="17"/>
  <c r="K1268" i="17"/>
  <c r="G1268" i="17"/>
  <c r="K1128" i="17"/>
  <c r="J1128" i="17"/>
  <c r="G1128" i="17"/>
  <c r="J1588" i="17"/>
  <c r="K1588" i="17"/>
  <c r="G1588" i="17"/>
  <c r="J1628" i="17"/>
  <c r="K1628" i="17"/>
  <c r="G1628" i="17"/>
  <c r="K1028" i="17"/>
  <c r="J1028" i="17"/>
  <c r="G1028" i="17"/>
  <c r="G351" i="17"/>
  <c r="J351" i="17"/>
  <c r="K351" i="17"/>
  <c r="K1688" i="17"/>
  <c r="J1688" i="17"/>
  <c r="G1688" i="17"/>
  <c r="K948" i="17"/>
  <c r="J948" i="17"/>
  <c r="G948" i="17"/>
  <c r="J113" i="17"/>
  <c r="K113" i="17"/>
  <c r="G113" i="17"/>
  <c r="J181" i="17"/>
  <c r="K181" i="17"/>
  <c r="G181" i="17"/>
  <c r="K968" i="17"/>
  <c r="J968" i="17"/>
  <c r="G968" i="17"/>
  <c r="J890" i="17"/>
  <c r="K890" i="17"/>
  <c r="G890" i="17"/>
  <c r="K799" i="17"/>
  <c r="J799" i="17"/>
  <c r="G799" i="17"/>
  <c r="J817" i="17"/>
  <c r="K817" i="17"/>
  <c r="G817" i="17"/>
  <c r="K1528" i="17"/>
  <c r="J1528" i="17"/>
  <c r="G1528" i="17"/>
  <c r="J709" i="17"/>
  <c r="K709" i="17"/>
  <c r="G709" i="17"/>
  <c r="J1568" i="17"/>
  <c r="K1568" i="17"/>
  <c r="G1568" i="17"/>
  <c r="K727" i="17"/>
  <c r="J727" i="17"/>
  <c r="G727" i="17"/>
  <c r="J853" i="17"/>
  <c r="K853" i="17"/>
  <c r="G853" i="17"/>
  <c r="J1368" i="17"/>
  <c r="K1368" i="17"/>
  <c r="G1368" i="17"/>
  <c r="J673" i="17"/>
  <c r="K673" i="17"/>
  <c r="G673" i="17"/>
  <c r="J543" i="17"/>
  <c r="K543" i="17"/>
  <c r="G543" i="17"/>
  <c r="K655" i="17"/>
  <c r="J655" i="17"/>
  <c r="G655" i="17"/>
  <c r="J574" i="17"/>
  <c r="K574" i="17"/>
  <c r="G574" i="17"/>
  <c r="K1188" i="17"/>
  <c r="J1188" i="17"/>
  <c r="G1188" i="17"/>
  <c r="J1088" i="17"/>
  <c r="K1088" i="17"/>
  <c r="G1088" i="17"/>
  <c r="K1468" i="17"/>
  <c r="J1468" i="17"/>
  <c r="G1468" i="17"/>
  <c r="J1388" i="17"/>
  <c r="K1388" i="17"/>
  <c r="G1388" i="17"/>
  <c r="J1488" i="17"/>
  <c r="K1488" i="17"/>
  <c r="G1488" i="17"/>
  <c r="J193" i="17"/>
  <c r="K193" i="17"/>
  <c r="G193" i="17"/>
  <c r="K453" i="17"/>
  <c r="J453" i="17"/>
  <c r="G453" i="17"/>
  <c r="J909" i="17"/>
  <c r="K909" i="17"/>
  <c r="G909" i="17"/>
  <c r="J1148" i="17"/>
  <c r="K1148" i="17"/>
  <c r="G1148" i="17"/>
  <c r="G309" i="17"/>
  <c r="J309" i="17"/>
  <c r="K309" i="17"/>
  <c r="J169" i="17"/>
  <c r="K169" i="17"/>
  <c r="G169" i="17"/>
  <c r="J267" i="17"/>
  <c r="K267" i="17"/>
  <c r="G267" i="17"/>
  <c r="G63" i="17"/>
  <c r="J63" i="17"/>
  <c r="K63" i="17"/>
  <c r="K323" i="17"/>
  <c r="G323" i="17"/>
  <c r="J323" i="17"/>
  <c r="K1108" i="17"/>
  <c r="J1108" i="17"/>
  <c r="G1108" i="17"/>
  <c r="J1868" i="17"/>
  <c r="K1868" i="17"/>
  <c r="G1868" i="17"/>
  <c r="J763" i="17"/>
  <c r="K763" i="17"/>
  <c r="G763" i="17"/>
  <c r="K1480" i="17"/>
  <c r="J1480" i="17"/>
  <c r="G1480" i="17"/>
  <c r="J22" i="17"/>
  <c r="G22" i="17"/>
  <c r="K22" i="17"/>
  <c r="J107" i="17"/>
  <c r="K107" i="17"/>
  <c r="G107" i="17"/>
  <c r="K1840" i="17"/>
  <c r="J1840" i="17"/>
  <c r="G1840" i="17"/>
  <c r="J665" i="17"/>
  <c r="K665" i="17"/>
  <c r="G665" i="17"/>
  <c r="J17" i="17"/>
  <c r="G17" i="17"/>
  <c r="K17" i="17"/>
  <c r="K1420" i="17"/>
  <c r="J1420" i="17"/>
  <c r="G1420" i="17"/>
  <c r="K490" i="17"/>
  <c r="G490" i="17"/>
  <c r="J490" i="17"/>
  <c r="J27" i="17"/>
  <c r="G27" i="17"/>
  <c r="K27" i="17"/>
  <c r="K1440" i="17"/>
  <c r="J1440" i="17"/>
  <c r="G1440" i="17"/>
  <c r="K1300" i="17"/>
  <c r="J1300" i="17"/>
  <c r="G1300" i="17"/>
  <c r="K1040" i="17"/>
  <c r="J1040" i="17"/>
  <c r="G1040" i="17"/>
  <c r="J1380" i="17"/>
  <c r="K1380" i="17"/>
  <c r="G1380" i="17"/>
  <c r="K582" i="17"/>
  <c r="J582" i="17"/>
  <c r="G582" i="17"/>
  <c r="J1640" i="17"/>
  <c r="K1640" i="17"/>
  <c r="G1640" i="17"/>
  <c r="K505" i="17"/>
  <c r="J505" i="17"/>
  <c r="G505" i="17"/>
  <c r="K1700" i="17"/>
  <c r="J1700" i="17"/>
  <c r="G1700" i="17"/>
  <c r="J357" i="17"/>
  <c r="K357" i="17"/>
  <c r="G357" i="17"/>
  <c r="K1680" i="17"/>
  <c r="J1680" i="17"/>
  <c r="G1680" i="17"/>
  <c r="K371" i="17"/>
  <c r="G371" i="17"/>
  <c r="J371" i="17"/>
  <c r="J1000" i="17"/>
  <c r="K1000" i="17"/>
  <c r="G1000" i="17"/>
  <c r="J1220" i="17"/>
  <c r="K1220" i="17"/>
  <c r="G1220" i="17"/>
  <c r="K1600" i="17"/>
  <c r="J1600" i="17"/>
  <c r="G1600" i="17"/>
  <c r="K329" i="17"/>
  <c r="J329" i="17"/>
  <c r="G329" i="17"/>
  <c r="J1620" i="17"/>
  <c r="K1620" i="17"/>
  <c r="G1620" i="17"/>
  <c r="J415" i="17"/>
  <c r="G415" i="17"/>
  <c r="K415" i="17"/>
  <c r="K535" i="17"/>
  <c r="J535" i="17"/>
  <c r="G535" i="17"/>
  <c r="K1140" i="17"/>
  <c r="J1140" i="17"/>
  <c r="G1140" i="17"/>
  <c r="J520" i="17"/>
  <c r="K520" i="17"/>
  <c r="G520" i="17"/>
  <c r="J5" i="17"/>
  <c r="G5" i="17"/>
  <c r="K5" i="17"/>
  <c r="K1780" i="17"/>
  <c r="J1780" i="17"/>
  <c r="G1780" i="17"/>
  <c r="G385" i="17"/>
  <c r="J385" i="17"/>
  <c r="K385" i="17"/>
  <c r="J1200" i="17"/>
  <c r="K1200" i="17"/>
  <c r="G1200" i="17"/>
  <c r="J162" i="17"/>
  <c r="K162" i="17"/>
  <c r="G162" i="17"/>
  <c r="K1120" i="17"/>
  <c r="J1120" i="17"/>
  <c r="G1120" i="17"/>
  <c r="J1560" i="17"/>
  <c r="K1560" i="17"/>
  <c r="G1560" i="17"/>
  <c r="K1580" i="17"/>
  <c r="J1580" i="17"/>
  <c r="G1580" i="17"/>
  <c r="J701" i="17"/>
  <c r="K701" i="17"/>
  <c r="G701" i="17"/>
  <c r="K1280" i="17"/>
  <c r="J1280" i="17"/>
  <c r="G1280" i="17"/>
  <c r="J174" i="17"/>
  <c r="K174" i="17"/>
  <c r="G174" i="17"/>
  <c r="K550" i="17"/>
  <c r="J550" i="17"/>
  <c r="G550" i="17"/>
  <c r="J1320" i="17"/>
  <c r="K1320" i="17"/>
  <c r="G1320" i="17"/>
  <c r="J57" i="17"/>
  <c r="G57" i="17"/>
  <c r="K57" i="17"/>
  <c r="J1180" i="17"/>
  <c r="K1180" i="17"/>
  <c r="G1180" i="17"/>
  <c r="K1520" i="17"/>
  <c r="J1520" i="17"/>
  <c r="G1520" i="17"/>
  <c r="J1740" i="17"/>
  <c r="K1740" i="17"/>
  <c r="G1740" i="17"/>
  <c r="J940" i="17"/>
  <c r="K940" i="17"/>
  <c r="G940" i="17"/>
  <c r="K1080" i="17"/>
  <c r="J1080" i="17"/>
  <c r="G1080" i="17"/>
  <c r="K343" i="17"/>
  <c r="G343" i="17"/>
  <c r="J343" i="17"/>
  <c r="K1800" i="17"/>
  <c r="J1800" i="17"/>
  <c r="G1800" i="17"/>
  <c r="K566" i="17"/>
  <c r="J566" i="17"/>
  <c r="G566" i="17"/>
  <c r="J920" i="17"/>
  <c r="K920" i="17"/>
  <c r="G920" i="17"/>
  <c r="J791" i="17"/>
  <c r="K791" i="17"/>
  <c r="G791" i="17"/>
  <c r="K259" i="17"/>
  <c r="J259" i="17"/>
  <c r="G259" i="17"/>
  <c r="G315" i="17"/>
  <c r="K315" i="17"/>
  <c r="J315" i="17"/>
  <c r="J1720" i="17"/>
  <c r="K1720" i="17"/>
  <c r="G1720" i="17"/>
  <c r="K827" i="17"/>
  <c r="J827" i="17"/>
  <c r="G827" i="17"/>
  <c r="J87" i="17"/>
  <c r="K87" i="17"/>
  <c r="G87" i="17"/>
  <c r="G273" i="17"/>
  <c r="J273" i="17"/>
  <c r="K273" i="17"/>
  <c r="J210" i="17"/>
  <c r="G210" i="17"/>
  <c r="K210" i="17"/>
  <c r="J719" i="17"/>
  <c r="K719" i="17"/>
  <c r="G719" i="17"/>
  <c r="J34" i="17"/>
  <c r="G34" i="17"/>
  <c r="K34" i="17"/>
  <c r="J598" i="17"/>
  <c r="K598" i="17"/>
  <c r="G598" i="17"/>
  <c r="J186" i="17"/>
  <c r="K186" i="17"/>
  <c r="G186" i="17"/>
  <c r="G198" i="17"/>
  <c r="J198" i="17"/>
  <c r="K198" i="17"/>
  <c r="J222" i="17"/>
  <c r="G222" i="17"/>
  <c r="K222" i="17"/>
  <c r="J683" i="17"/>
  <c r="K683" i="17"/>
  <c r="G683" i="17"/>
  <c r="J882" i="17"/>
  <c r="K882" i="17"/>
  <c r="G882" i="17"/>
  <c r="K1760" i="17"/>
  <c r="J1760" i="17"/>
  <c r="G1760" i="17"/>
  <c r="J1160" i="17"/>
  <c r="K1160" i="17"/>
  <c r="G1160" i="17"/>
  <c r="J49" i="17"/>
  <c r="G49" i="17"/>
  <c r="K49" i="17"/>
  <c r="J863" i="17"/>
  <c r="K863" i="17"/>
  <c r="G863" i="17"/>
  <c r="K430" i="17"/>
  <c r="J430" i="17"/>
  <c r="G430" i="17"/>
  <c r="K1360" i="17"/>
  <c r="J1360" i="17"/>
  <c r="G1360" i="17"/>
  <c r="G460" i="17"/>
  <c r="J460" i="17"/>
  <c r="K460" i="17"/>
  <c r="G8" i="17"/>
  <c r="J8" i="17"/>
  <c r="K8" i="17"/>
  <c r="J150" i="17"/>
  <c r="K150" i="17"/>
  <c r="G150" i="17"/>
  <c r="G41" i="17"/>
  <c r="J41" i="17"/>
  <c r="K41" i="17"/>
  <c r="G77" i="17"/>
  <c r="J77" i="17"/>
  <c r="K77" i="17"/>
  <c r="K614" i="17"/>
  <c r="J614" i="17"/>
  <c r="G614" i="17"/>
  <c r="J117" i="17"/>
  <c r="K117" i="17"/>
  <c r="G117" i="17"/>
  <c r="K1260" i="17"/>
  <c r="J1260" i="17"/>
  <c r="G1260" i="17"/>
  <c r="J647" i="17"/>
  <c r="K647" i="17"/>
  <c r="G647" i="17"/>
  <c r="K1820" i="17"/>
  <c r="J1820" i="17"/>
  <c r="G1820" i="17"/>
  <c r="K630" i="17"/>
  <c r="J630" i="17"/>
  <c r="G630" i="17"/>
  <c r="G67" i="17"/>
  <c r="J67" i="17"/>
  <c r="K67" i="17"/>
  <c r="J960" i="17"/>
  <c r="K960" i="17"/>
  <c r="G960" i="17"/>
  <c r="G287" i="17"/>
  <c r="J287" i="17"/>
  <c r="K287" i="17"/>
  <c r="J1060" i="17"/>
  <c r="K1060" i="17"/>
  <c r="G1060" i="17"/>
  <c r="J1400" i="17"/>
  <c r="K1400" i="17"/>
  <c r="G1400" i="17"/>
  <c r="K301" i="17"/>
  <c r="G301" i="17"/>
  <c r="J301" i="17"/>
  <c r="J980" i="17"/>
  <c r="K980" i="17"/>
  <c r="G980" i="17"/>
  <c r="K809" i="17"/>
  <c r="J809" i="17"/>
  <c r="G809" i="17"/>
  <c r="K1100" i="17"/>
  <c r="J1100" i="17"/>
  <c r="G1100" i="17"/>
  <c r="K1340" i="17"/>
  <c r="J1340" i="17"/>
  <c r="G1340" i="17"/>
  <c r="J1020" i="17"/>
  <c r="K1020" i="17"/>
  <c r="G1020" i="17"/>
  <c r="G400" i="17"/>
  <c r="J400" i="17"/>
  <c r="K400" i="17"/>
  <c r="J1240" i="17"/>
  <c r="K1240" i="17"/>
  <c r="G1240" i="17"/>
  <c r="G475" i="17"/>
  <c r="J475" i="17"/>
  <c r="K475" i="17"/>
  <c r="J234" i="17"/>
  <c r="K234" i="17"/>
  <c r="G234" i="17"/>
  <c r="J1500" i="17"/>
  <c r="K1500" i="17"/>
  <c r="G1500" i="17"/>
  <c r="G246" i="17"/>
  <c r="J246" i="17"/>
  <c r="K246" i="17"/>
  <c r="K845" i="17"/>
  <c r="J845" i="17"/>
  <c r="G845" i="17"/>
  <c r="J97" i="17"/>
  <c r="K97" i="17"/>
  <c r="G97" i="17"/>
  <c r="J901" i="17"/>
  <c r="K901" i="17"/>
  <c r="G901" i="17"/>
  <c r="G12" i="17"/>
  <c r="J12" i="17"/>
  <c r="K12" i="17"/>
  <c r="J138" i="17"/>
  <c r="K138" i="17"/>
  <c r="G138" i="17"/>
  <c r="J127" i="17"/>
  <c r="K127" i="17"/>
  <c r="G127" i="17"/>
  <c r="J1880" i="17"/>
  <c r="K1880" i="17"/>
  <c r="G1880" i="17"/>
  <c r="G445" i="17"/>
  <c r="J445" i="17"/>
  <c r="K445" i="17"/>
  <c r="K1460" i="17"/>
  <c r="J1460" i="17"/>
  <c r="G1460" i="17"/>
  <c r="J773" i="17"/>
  <c r="K773" i="17"/>
  <c r="G773" i="17"/>
  <c r="K1660" i="17"/>
  <c r="J1660" i="17"/>
  <c r="G1660" i="17"/>
  <c r="K1540" i="17"/>
  <c r="J1540" i="17"/>
  <c r="G1540" i="17"/>
  <c r="J1860" i="17"/>
  <c r="K1860" i="17"/>
  <c r="G1860" i="17"/>
  <c r="K755" i="17"/>
  <c r="J755" i="17"/>
  <c r="G755" i="17"/>
  <c r="K737" i="17"/>
  <c r="J737" i="17"/>
  <c r="G737" i="17"/>
  <c r="K1183" i="17"/>
  <c r="J1183" i="17"/>
  <c r="G1183" i="17"/>
  <c r="K1203" i="17"/>
  <c r="J1203" i="17"/>
  <c r="G1203" i="17"/>
  <c r="K1083" i="17"/>
  <c r="J1083" i="17"/>
  <c r="G1083" i="17"/>
  <c r="K1643" i="17"/>
  <c r="J1643" i="17"/>
  <c r="G1643" i="17"/>
  <c r="K1223" i="17"/>
  <c r="J1223" i="17"/>
  <c r="G1223" i="17"/>
  <c r="J830" i="17"/>
  <c r="K830" i="17"/>
  <c r="G830" i="17"/>
  <c r="K776" i="17"/>
  <c r="J776" i="17"/>
  <c r="G776" i="17"/>
  <c r="K1243" i="17"/>
  <c r="J1243" i="17"/>
  <c r="G1243" i="17"/>
  <c r="K1283" i="17"/>
  <c r="J1283" i="17"/>
  <c r="G1283" i="17"/>
  <c r="J1683" i="17"/>
  <c r="K1683" i="17"/>
  <c r="G1683" i="17"/>
  <c r="K1863" i="17"/>
  <c r="J1863" i="17"/>
  <c r="G1863" i="17"/>
  <c r="J508" i="17"/>
  <c r="K508" i="17"/>
  <c r="G508" i="17"/>
  <c r="K433" i="17"/>
  <c r="G433" i="17"/>
  <c r="J433" i="17"/>
  <c r="J403" i="17"/>
  <c r="G403" i="17"/>
  <c r="K403" i="17"/>
  <c r="J1883" i="17"/>
  <c r="K1883" i="17"/>
  <c r="G1883" i="17"/>
  <c r="G51" i="17"/>
  <c r="J51" i="17"/>
  <c r="K51" i="17"/>
  <c r="J189" i="17"/>
  <c r="K189" i="17"/>
  <c r="G189" i="17"/>
  <c r="J225" i="17"/>
  <c r="G225" i="17"/>
  <c r="K225" i="17"/>
  <c r="G213" i="17"/>
  <c r="J213" i="17"/>
  <c r="K213" i="17"/>
  <c r="J463" i="17"/>
  <c r="G463" i="17"/>
  <c r="K463" i="17"/>
  <c r="K478" i="17"/>
  <c r="G478" i="17"/>
  <c r="J478" i="17"/>
  <c r="K493" i="17"/>
  <c r="J493" i="17"/>
  <c r="G493" i="17"/>
  <c r="J120" i="17"/>
  <c r="K120" i="17"/>
  <c r="G120" i="17"/>
  <c r="J18" i="17"/>
  <c r="G18" i="17"/>
  <c r="K18" i="17"/>
  <c r="J23" i="17"/>
  <c r="G23" i="17"/>
  <c r="K23" i="17"/>
  <c r="K1743" i="17"/>
  <c r="J1743" i="17"/>
  <c r="G1743" i="17"/>
  <c r="J1703" i="17"/>
  <c r="K1703" i="17"/>
  <c r="G1703" i="17"/>
  <c r="K1483" i="17"/>
  <c r="J1483" i="17"/>
  <c r="G1483" i="17"/>
  <c r="J812" i="17"/>
  <c r="K812" i="17"/>
  <c r="G812" i="17"/>
  <c r="K1103" i="17"/>
  <c r="J1103" i="17"/>
  <c r="G1103" i="17"/>
  <c r="K374" i="17"/>
  <c r="G374" i="17"/>
  <c r="J374" i="17"/>
  <c r="K923" i="17"/>
  <c r="J923" i="17"/>
  <c r="G923" i="17"/>
  <c r="J904" i="17"/>
  <c r="K904" i="17"/>
  <c r="G904" i="17"/>
  <c r="J1063" i="17"/>
  <c r="K1063" i="17"/>
  <c r="G1063" i="17"/>
  <c r="J130" i="17"/>
  <c r="K130" i="17"/>
  <c r="G130" i="17"/>
  <c r="J1603" i="17"/>
  <c r="K1603" i="17"/>
  <c r="G1603" i="17"/>
  <c r="K237" i="17"/>
  <c r="J237" i="17"/>
  <c r="G237" i="17"/>
  <c r="J1343" i="17"/>
  <c r="K1343" i="17"/>
  <c r="G1343" i="17"/>
  <c r="J1763" i="17"/>
  <c r="K1763" i="17"/>
  <c r="G1763" i="17"/>
  <c r="G13" i="17"/>
  <c r="J13" i="17"/>
  <c r="K13" i="17"/>
  <c r="J28" i="17"/>
  <c r="G28" i="17"/>
  <c r="K28" i="17"/>
  <c r="G43" i="17"/>
  <c r="J43" i="17"/>
  <c r="K43" i="17"/>
  <c r="J177" i="17"/>
  <c r="K177" i="17"/>
  <c r="G177" i="17"/>
  <c r="J165" i="17"/>
  <c r="K165" i="17"/>
  <c r="G165" i="17"/>
  <c r="K569" i="17"/>
  <c r="J569" i="17"/>
  <c r="G569" i="17"/>
  <c r="G70" i="17"/>
  <c r="J70" i="17"/>
  <c r="K70" i="17"/>
  <c r="G60" i="17"/>
  <c r="J60" i="17"/>
  <c r="K60" i="17"/>
  <c r="J1783" i="17"/>
  <c r="K1783" i="17"/>
  <c r="G1783" i="17"/>
  <c r="K1663" i="17"/>
  <c r="J1663" i="17"/>
  <c r="G1663" i="17"/>
  <c r="J201" i="17"/>
  <c r="G201" i="17"/>
  <c r="K201" i="17"/>
  <c r="J1583" i="17"/>
  <c r="K1583" i="17"/>
  <c r="G1583" i="17"/>
  <c r="K1143" i="17"/>
  <c r="J1143" i="17"/>
  <c r="G1143" i="17"/>
  <c r="K1123" i="17"/>
  <c r="J1123" i="17"/>
  <c r="G1123" i="17"/>
  <c r="J1803" i="17"/>
  <c r="K1803" i="17"/>
  <c r="G1803" i="17"/>
  <c r="J794" i="17"/>
  <c r="K794" i="17"/>
  <c r="G794" i="17"/>
  <c r="J262" i="17"/>
  <c r="K262" i="17"/>
  <c r="G262" i="17"/>
  <c r="J110" i="17"/>
  <c r="K110" i="17"/>
  <c r="G110" i="17"/>
  <c r="K538" i="17"/>
  <c r="J538" i="17"/>
  <c r="G538" i="17"/>
  <c r="K1023" i="17"/>
  <c r="J1023" i="17"/>
  <c r="G1023" i="17"/>
  <c r="K1823" i="17"/>
  <c r="J1823" i="17"/>
  <c r="G1823" i="17"/>
  <c r="J100" i="17"/>
  <c r="K100" i="17"/>
  <c r="G100" i="17"/>
  <c r="K1723" i="17"/>
  <c r="J1723" i="17"/>
  <c r="G1723" i="17"/>
  <c r="J418" i="17"/>
  <c r="G418" i="17"/>
  <c r="K418" i="17"/>
  <c r="J249" i="17"/>
  <c r="K249" i="17"/>
  <c r="G249" i="17"/>
  <c r="G448" i="17"/>
  <c r="J448" i="17"/>
  <c r="K448" i="17"/>
  <c r="J1423" i="17"/>
  <c r="K1423" i="17"/>
  <c r="G1423" i="17"/>
  <c r="K650" i="17"/>
  <c r="J650" i="17"/>
  <c r="G650" i="17"/>
  <c r="K1463" i="17"/>
  <c r="J1463" i="17"/>
  <c r="G1463" i="17"/>
  <c r="J686" i="17"/>
  <c r="K686" i="17"/>
  <c r="G686" i="17"/>
  <c r="J1563" i="17"/>
  <c r="K1563" i="17"/>
  <c r="G1563" i="17"/>
  <c r="J153" i="17"/>
  <c r="K153" i="17"/>
  <c r="G153" i="17"/>
  <c r="J276" i="17"/>
  <c r="K276" i="17"/>
  <c r="G276" i="17"/>
  <c r="J346" i="17"/>
  <c r="K346" i="17"/>
  <c r="G346" i="17"/>
  <c r="K943" i="17"/>
  <c r="J943" i="17"/>
  <c r="G943" i="17"/>
  <c r="K1043" i="17"/>
  <c r="J1043" i="17"/>
  <c r="G1043" i="17"/>
  <c r="J1003" i="17"/>
  <c r="K1003" i="17"/>
  <c r="G1003" i="17"/>
  <c r="J963" i="17"/>
  <c r="K963" i="17"/>
  <c r="G963" i="17"/>
  <c r="K1443" i="17"/>
  <c r="J1443" i="17"/>
  <c r="G1443" i="17"/>
  <c r="J866" i="17"/>
  <c r="K866" i="17"/>
  <c r="G866" i="17"/>
  <c r="J1623" i="17"/>
  <c r="K1623" i="17"/>
  <c r="G1623" i="17"/>
  <c r="J722" i="17"/>
  <c r="K722" i="17"/>
  <c r="G722" i="17"/>
  <c r="J704" i="17"/>
  <c r="K704" i="17"/>
  <c r="G704" i="17"/>
  <c r="J90" i="17"/>
  <c r="K90" i="17"/>
  <c r="G90" i="17"/>
  <c r="J141" i="17"/>
  <c r="K141" i="17"/>
  <c r="G141" i="17"/>
  <c r="J388" i="17"/>
  <c r="K388" i="17"/>
  <c r="G388" i="17"/>
  <c r="J1303" i="17"/>
  <c r="K1303" i="17"/>
  <c r="G1303" i="17"/>
  <c r="J1363" i="17"/>
  <c r="K1363" i="17"/>
  <c r="G1363" i="17"/>
  <c r="J668" i="17"/>
  <c r="K668" i="17"/>
  <c r="G668" i="17"/>
  <c r="G318" i="17"/>
  <c r="K318" i="17"/>
  <c r="J318" i="17"/>
  <c r="K1543" i="17"/>
  <c r="J1543" i="17"/>
  <c r="G1543" i="17"/>
  <c r="J601" i="17"/>
  <c r="K601" i="17"/>
  <c r="G601" i="17"/>
  <c r="G9" i="17"/>
  <c r="J9" i="17"/>
  <c r="K9" i="17"/>
  <c r="J1403" i="17"/>
  <c r="K1403" i="17"/>
  <c r="G1403" i="17"/>
  <c r="K617" i="17"/>
  <c r="J617" i="17"/>
  <c r="G617" i="17"/>
  <c r="J1503" i="17"/>
  <c r="K1503" i="17"/>
  <c r="G1503" i="17"/>
  <c r="K1383" i="17"/>
  <c r="J1383" i="17"/>
  <c r="G1383" i="17"/>
  <c r="J633" i="17"/>
  <c r="K633" i="17"/>
  <c r="G633" i="17"/>
  <c r="J758" i="17"/>
  <c r="K758" i="17"/>
  <c r="G758" i="17"/>
  <c r="J848" i="17"/>
  <c r="K848" i="17"/>
  <c r="G848" i="17"/>
  <c r="J885" i="17"/>
  <c r="K885" i="17"/>
  <c r="G885" i="17"/>
  <c r="K740" i="17"/>
  <c r="J740" i="17"/>
  <c r="G740" i="17"/>
  <c r="K1323" i="17"/>
  <c r="J1323" i="17"/>
  <c r="G1323" i="17"/>
  <c r="J983" i="17"/>
  <c r="K983" i="17"/>
  <c r="G983" i="17"/>
  <c r="J1263" i="17"/>
  <c r="K1263" i="17"/>
  <c r="G1263" i="17"/>
  <c r="K332" i="17"/>
  <c r="J332" i="17"/>
  <c r="G332" i="17"/>
  <c r="J1523" i="17"/>
  <c r="K1523" i="17"/>
  <c r="G1523" i="17"/>
  <c r="J290" i="17"/>
  <c r="G290" i="17"/>
  <c r="K290" i="17"/>
  <c r="G80" i="17"/>
  <c r="J80" i="17"/>
  <c r="K80" i="17"/>
  <c r="K1843" i="17"/>
  <c r="J1843" i="17"/>
  <c r="G1843" i="17"/>
  <c r="J35" i="17"/>
  <c r="G35" i="17"/>
  <c r="K35" i="17"/>
  <c r="K585" i="17"/>
  <c r="J585" i="17"/>
  <c r="G585" i="17"/>
  <c r="J553" i="17"/>
  <c r="K553" i="17"/>
  <c r="G553" i="17"/>
  <c r="K1163" i="17"/>
  <c r="J1163" i="17"/>
  <c r="G1163" i="17"/>
  <c r="J523" i="17"/>
  <c r="K523" i="17"/>
  <c r="G523" i="17"/>
  <c r="G360" i="17"/>
  <c r="J360" i="17"/>
  <c r="K360" i="17"/>
  <c r="K304" i="17"/>
  <c r="G304" i="17"/>
  <c r="J304" i="17"/>
  <c r="K1287" i="17"/>
  <c r="J1287" i="17"/>
  <c r="G1287" i="17"/>
  <c r="J1587" i="17"/>
  <c r="K1587" i="17"/>
  <c r="G1587" i="17"/>
  <c r="K350" i="17"/>
  <c r="J350" i="17"/>
  <c r="G350" i="17"/>
  <c r="J654" i="17"/>
  <c r="K654" i="17"/>
  <c r="G654" i="17"/>
  <c r="K967" i="17"/>
  <c r="J967" i="17"/>
  <c r="G967" i="17"/>
  <c r="K1467" i="17"/>
  <c r="J1467" i="17"/>
  <c r="G1467" i="17"/>
  <c r="K512" i="17"/>
  <c r="J512" i="17"/>
  <c r="G512" i="17"/>
  <c r="J1487" i="17"/>
  <c r="K1487" i="17"/>
  <c r="G1487" i="17"/>
  <c r="J1727" i="17"/>
  <c r="K1727" i="17"/>
  <c r="G1727" i="17"/>
  <c r="J1327" i="17"/>
  <c r="K1327" i="17"/>
  <c r="G1327" i="17"/>
  <c r="J672" i="17"/>
  <c r="K672" i="17"/>
  <c r="G672" i="17"/>
  <c r="J1767" i="17"/>
  <c r="K1767" i="17"/>
  <c r="G1767" i="17"/>
  <c r="J1087" i="17"/>
  <c r="K1087" i="17"/>
  <c r="G1087" i="17"/>
  <c r="K497" i="17"/>
  <c r="G497" i="17"/>
  <c r="J497" i="17"/>
  <c r="G392" i="17"/>
  <c r="J392" i="17"/>
  <c r="K392" i="17"/>
  <c r="G482" i="17"/>
  <c r="J482" i="17"/>
  <c r="K482" i="17"/>
  <c r="K1047" i="17"/>
  <c r="J1047" i="17"/>
  <c r="G1047" i="17"/>
  <c r="G228" i="17"/>
  <c r="J228" i="17"/>
  <c r="K228" i="17"/>
  <c r="J908" i="17"/>
  <c r="K908" i="17"/>
  <c r="G908" i="17"/>
  <c r="J30" i="17"/>
  <c r="G30" i="17"/>
  <c r="K30" i="17"/>
  <c r="J216" i="17"/>
  <c r="G216" i="17"/>
  <c r="K216" i="17"/>
  <c r="J557" i="17"/>
  <c r="K557" i="17"/>
  <c r="G557" i="17"/>
  <c r="K726" i="17"/>
  <c r="J726" i="17"/>
  <c r="G726" i="17"/>
  <c r="G25" i="17"/>
  <c r="J25" i="17"/>
  <c r="K25" i="17"/>
  <c r="G45" i="17"/>
  <c r="J45" i="17"/>
  <c r="K45" i="17"/>
  <c r="J280" i="17"/>
  <c r="G280" i="17"/>
  <c r="K280" i="17"/>
  <c r="J144" i="17"/>
  <c r="K144" i="17"/>
  <c r="G144" i="17"/>
  <c r="J1307" i="17"/>
  <c r="K1307" i="17"/>
  <c r="G1307" i="17"/>
  <c r="K1747" i="17"/>
  <c r="J1747" i="17"/>
  <c r="G1747" i="17"/>
  <c r="J852" i="17"/>
  <c r="K852" i="17"/>
  <c r="G852" i="17"/>
  <c r="J889" i="17"/>
  <c r="K889" i="17"/>
  <c r="G889" i="17"/>
  <c r="J1507" i="17"/>
  <c r="K1507" i="17"/>
  <c r="G1507" i="17"/>
  <c r="J708" i="17"/>
  <c r="K708" i="17"/>
  <c r="G708" i="17"/>
  <c r="K798" i="17"/>
  <c r="J798" i="17"/>
  <c r="G798" i="17"/>
  <c r="J573" i="17"/>
  <c r="K573" i="17"/>
  <c r="G573" i="17"/>
  <c r="K527" i="17"/>
  <c r="J527" i="17"/>
  <c r="G527" i="17"/>
  <c r="K1627" i="17"/>
  <c r="J1627" i="17"/>
  <c r="G1627" i="17"/>
  <c r="J180" i="17"/>
  <c r="K180" i="17"/>
  <c r="G180" i="17"/>
  <c r="K605" i="17"/>
  <c r="J605" i="17"/>
  <c r="G605" i="17"/>
  <c r="J1867" i="17"/>
  <c r="K1867" i="17"/>
  <c r="G1867" i="17"/>
  <c r="J1807" i="17"/>
  <c r="K1807" i="17"/>
  <c r="G1807" i="17"/>
  <c r="K744" i="17"/>
  <c r="J744" i="17"/>
  <c r="G744" i="17"/>
  <c r="J870" i="17"/>
  <c r="K870" i="17"/>
  <c r="G870" i="17"/>
  <c r="K378" i="17"/>
  <c r="J378" i="17"/>
  <c r="G378" i="17"/>
  <c r="J102" i="17"/>
  <c r="K102" i="17"/>
  <c r="G102" i="17"/>
  <c r="J762" i="17"/>
  <c r="K762" i="17"/>
  <c r="G762" i="17"/>
  <c r="K1827" i="17"/>
  <c r="J1827" i="17"/>
  <c r="G1827" i="17"/>
  <c r="J1787" i="17"/>
  <c r="K1787" i="17"/>
  <c r="G1787" i="17"/>
  <c r="J204" i="17"/>
  <c r="G204" i="17"/>
  <c r="K204" i="17"/>
  <c r="K422" i="17"/>
  <c r="G422" i="17"/>
  <c r="J422" i="17"/>
  <c r="J780" i="17"/>
  <c r="K780" i="17"/>
  <c r="G780" i="17"/>
  <c r="J168" i="17"/>
  <c r="K168" i="17"/>
  <c r="G168" i="17"/>
  <c r="J82" i="17"/>
  <c r="K82" i="17"/>
  <c r="G82" i="17"/>
  <c r="J92" i="17"/>
  <c r="K92" i="17"/>
  <c r="G92" i="17"/>
  <c r="G294" i="17"/>
  <c r="K294" i="17"/>
  <c r="J294" i="17"/>
  <c r="J1647" i="17"/>
  <c r="K1647" i="17"/>
  <c r="G1647" i="17"/>
  <c r="J112" i="17"/>
  <c r="K112" i="17"/>
  <c r="G112" i="17"/>
  <c r="J156" i="17"/>
  <c r="K156" i="17"/>
  <c r="G156" i="17"/>
  <c r="J1127" i="17"/>
  <c r="K1127" i="17"/>
  <c r="G1127" i="17"/>
  <c r="J1007" i="17"/>
  <c r="K1007" i="17"/>
  <c r="G1007" i="17"/>
  <c r="J122" i="17"/>
  <c r="K122" i="17"/>
  <c r="G122" i="17"/>
  <c r="K816" i="17"/>
  <c r="J816" i="17"/>
  <c r="G816" i="17"/>
  <c r="J452" i="17"/>
  <c r="G452" i="17"/>
  <c r="K452" i="17"/>
  <c r="G407" i="17"/>
  <c r="J407" i="17"/>
  <c r="K407" i="17"/>
  <c r="K1187" i="17"/>
  <c r="J1187" i="17"/>
  <c r="G1187" i="17"/>
  <c r="J1347" i="17"/>
  <c r="K1347" i="17"/>
  <c r="G1347" i="17"/>
  <c r="G308" i="17"/>
  <c r="K308" i="17"/>
  <c r="J308" i="17"/>
  <c r="J1027" i="17"/>
  <c r="K1027" i="17"/>
  <c r="G1027" i="17"/>
  <c r="J690" i="17"/>
  <c r="K690" i="17"/>
  <c r="G690" i="17"/>
  <c r="J72" i="17"/>
  <c r="G72" i="17"/>
  <c r="K72" i="17"/>
  <c r="J621" i="17"/>
  <c r="K621" i="17"/>
  <c r="G621" i="17"/>
  <c r="G336" i="17"/>
  <c r="J336" i="17"/>
  <c r="K336" i="17"/>
  <c r="J15" i="17"/>
  <c r="G15" i="17"/>
  <c r="K15" i="17"/>
  <c r="J637" i="17"/>
  <c r="K637" i="17"/>
  <c r="G637" i="17"/>
  <c r="K322" i="17"/>
  <c r="J322" i="17"/>
  <c r="G322" i="17"/>
  <c r="K253" i="17"/>
  <c r="G253" i="17"/>
  <c r="J253" i="17"/>
  <c r="K947" i="17"/>
  <c r="J947" i="17"/>
  <c r="G947" i="17"/>
  <c r="J1607" i="17"/>
  <c r="K1607" i="17"/>
  <c r="G1607" i="17"/>
  <c r="G20" i="17"/>
  <c r="J20" i="17"/>
  <c r="K20" i="17"/>
  <c r="K364" i="17"/>
  <c r="G364" i="17"/>
  <c r="J364" i="17"/>
  <c r="K1527" i="17"/>
  <c r="J1527" i="17"/>
  <c r="G1527" i="17"/>
  <c r="J133" i="17"/>
  <c r="K133" i="17"/>
  <c r="G133" i="17"/>
  <c r="K1207" i="17"/>
  <c r="J1207" i="17"/>
  <c r="G1207" i="17"/>
  <c r="K1887" i="17"/>
  <c r="J1887" i="17"/>
  <c r="G1887" i="17"/>
  <c r="J240" i="17"/>
  <c r="G240" i="17"/>
  <c r="K240" i="17"/>
  <c r="J1687" i="17"/>
  <c r="K1687" i="17"/>
  <c r="G1687" i="17"/>
  <c r="K1107" i="17"/>
  <c r="J1107" i="17"/>
  <c r="G1107" i="17"/>
  <c r="J589" i="17"/>
  <c r="K589" i="17"/>
  <c r="G589" i="17"/>
  <c r="K1567" i="17"/>
  <c r="J1567" i="17"/>
  <c r="G1567" i="17"/>
  <c r="K542" i="17"/>
  <c r="J542" i="17"/>
  <c r="G542" i="17"/>
  <c r="J1707" i="17"/>
  <c r="K1707" i="17"/>
  <c r="G1707" i="17"/>
  <c r="J927" i="17"/>
  <c r="K927" i="17"/>
  <c r="G927" i="17"/>
  <c r="J1367" i="17"/>
  <c r="K1367" i="17"/>
  <c r="G1367" i="17"/>
  <c r="K1387" i="17"/>
  <c r="J1387" i="17"/>
  <c r="G1387" i="17"/>
  <c r="G467" i="17"/>
  <c r="J467" i="17"/>
  <c r="K467" i="17"/>
  <c r="K834" i="17"/>
  <c r="J834" i="17"/>
  <c r="G834" i="17"/>
  <c r="J1407" i="17"/>
  <c r="K1407" i="17"/>
  <c r="G1407" i="17"/>
  <c r="J1247" i="17"/>
  <c r="K1247" i="17"/>
  <c r="G1247" i="17"/>
  <c r="K1147" i="17"/>
  <c r="J1147" i="17"/>
  <c r="G1147" i="17"/>
  <c r="K1267" i="17"/>
  <c r="J1267" i="17"/>
  <c r="G1267" i="17"/>
  <c r="J192" i="17"/>
  <c r="K192" i="17"/>
  <c r="G192" i="17"/>
  <c r="J1227" i="17"/>
  <c r="K1227" i="17"/>
  <c r="G1227" i="17"/>
  <c r="J1427" i="17"/>
  <c r="K1427" i="17"/>
  <c r="G1427" i="17"/>
  <c r="G37" i="17"/>
  <c r="J37" i="17"/>
  <c r="K37" i="17"/>
  <c r="K1447" i="17"/>
  <c r="J1447" i="17"/>
  <c r="G1447" i="17"/>
  <c r="J1067" i="17"/>
  <c r="K1067" i="17"/>
  <c r="G1067" i="17"/>
  <c r="G53" i="17"/>
  <c r="J53" i="17"/>
  <c r="K53" i="17"/>
  <c r="K987" i="17"/>
  <c r="J987" i="17"/>
  <c r="G987" i="17"/>
  <c r="G62" i="17"/>
  <c r="J62" i="17"/>
  <c r="K62" i="17"/>
  <c r="J1847" i="17"/>
  <c r="K1847" i="17"/>
  <c r="G1847" i="17"/>
  <c r="K266" i="17"/>
  <c r="G266" i="17"/>
  <c r="J266" i="17"/>
  <c r="J1547" i="17"/>
  <c r="K1547" i="17"/>
  <c r="G1547" i="17"/>
  <c r="G437" i="17"/>
  <c r="K437" i="17"/>
  <c r="J437" i="17"/>
  <c r="K1167" i="17"/>
  <c r="J1167" i="17"/>
  <c r="G1167" i="17"/>
  <c r="J1667" i="17"/>
  <c r="K1667" i="17"/>
  <c r="G1667" i="17"/>
  <c r="K559" i="17"/>
  <c r="J559" i="17"/>
  <c r="G559" i="17"/>
  <c r="G324" i="17"/>
  <c r="K324" i="17"/>
  <c r="J324" i="17"/>
  <c r="G55" i="17"/>
  <c r="J55" i="17"/>
  <c r="K55" i="17"/>
  <c r="J206" i="17"/>
  <c r="G206" i="17"/>
  <c r="K206" i="17"/>
  <c r="J218" i="17"/>
  <c r="G218" i="17"/>
  <c r="K218" i="17"/>
  <c r="J268" i="17"/>
  <c r="K268" i="17"/>
  <c r="G268" i="17"/>
  <c r="K366" i="17"/>
  <c r="J366" i="17"/>
  <c r="G366" i="17"/>
  <c r="K1169" i="17"/>
  <c r="J1169" i="17"/>
  <c r="G1169" i="17"/>
  <c r="G242" i="17"/>
  <c r="J242" i="17"/>
  <c r="K242" i="17"/>
  <c r="G282" i="17"/>
  <c r="K282" i="17"/>
  <c r="J282" i="17"/>
  <c r="J591" i="17"/>
  <c r="K591" i="17"/>
  <c r="G591" i="17"/>
  <c r="J146" i="17"/>
  <c r="K146" i="17"/>
  <c r="G146" i="17"/>
  <c r="J929" i="17"/>
  <c r="K929" i="17"/>
  <c r="G929" i="17"/>
  <c r="J1189" i="17"/>
  <c r="K1189" i="17"/>
  <c r="G1189" i="17"/>
  <c r="J94" i="17"/>
  <c r="K94" i="17"/>
  <c r="G94" i="17"/>
  <c r="J1409" i="17"/>
  <c r="K1409" i="17"/>
  <c r="G1409" i="17"/>
  <c r="G47" i="17"/>
  <c r="J47" i="17"/>
  <c r="K47" i="17"/>
  <c r="G39" i="17"/>
  <c r="J39" i="17"/>
  <c r="K39" i="17"/>
  <c r="J1849" i="17"/>
  <c r="K1849" i="17"/>
  <c r="G1849" i="17"/>
  <c r="K1349" i="17"/>
  <c r="J1349" i="17"/>
  <c r="G1349" i="17"/>
  <c r="J1789" i="17"/>
  <c r="K1789" i="17"/>
  <c r="G1789" i="17"/>
  <c r="K529" i="17"/>
  <c r="J529" i="17"/>
  <c r="G529" i="17"/>
  <c r="J124" i="17"/>
  <c r="K124" i="17"/>
  <c r="G124" i="17"/>
  <c r="K1209" i="17"/>
  <c r="J1209" i="17"/>
  <c r="G1209" i="17"/>
  <c r="K1629" i="17"/>
  <c r="J1629" i="17"/>
  <c r="G1629" i="17"/>
  <c r="J575" i="17"/>
  <c r="K575" i="17"/>
  <c r="G575" i="17"/>
  <c r="K424" i="17"/>
  <c r="J424" i="17"/>
  <c r="G424" i="17"/>
  <c r="J1569" i="17"/>
  <c r="K1569" i="17"/>
  <c r="G1569" i="17"/>
  <c r="K1469" i="17"/>
  <c r="J1469" i="17"/>
  <c r="G1469" i="17"/>
  <c r="J1229" i="17"/>
  <c r="K1229" i="17"/>
  <c r="G1229" i="17"/>
  <c r="J1369" i="17"/>
  <c r="K1369" i="17"/>
  <c r="G1369" i="17"/>
  <c r="J230" i="17"/>
  <c r="G230" i="17"/>
  <c r="K230" i="17"/>
  <c r="J910" i="17"/>
  <c r="K910" i="17"/>
  <c r="G910" i="17"/>
  <c r="J1389" i="17"/>
  <c r="K1389" i="17"/>
  <c r="G1389" i="17"/>
  <c r="J1329" i="17"/>
  <c r="K1329" i="17"/>
  <c r="G1329" i="17"/>
  <c r="G409" i="17"/>
  <c r="K409" i="17"/>
  <c r="J409" i="17"/>
  <c r="J818" i="17"/>
  <c r="K818" i="17"/>
  <c r="G818" i="17"/>
  <c r="J1869" i="17"/>
  <c r="K1869" i="17"/>
  <c r="G1869" i="17"/>
  <c r="J484" i="17"/>
  <c r="G484" i="17"/>
  <c r="K484" i="17"/>
  <c r="G454" i="17"/>
  <c r="J454" i="17"/>
  <c r="K454" i="17"/>
  <c r="K639" i="17"/>
  <c r="J639" i="17"/>
  <c r="G639" i="17"/>
  <c r="G394" i="17"/>
  <c r="K394" i="17"/>
  <c r="J394" i="17"/>
  <c r="K1669" i="17"/>
  <c r="J1669" i="17"/>
  <c r="G1669" i="17"/>
  <c r="G32" i="17"/>
  <c r="J32" i="17"/>
  <c r="K32" i="17"/>
  <c r="G64" i="17"/>
  <c r="J64" i="17"/>
  <c r="K64" i="17"/>
  <c r="J1089" i="17"/>
  <c r="K1089" i="17"/>
  <c r="G1089" i="17"/>
  <c r="J891" i="17"/>
  <c r="K891" i="17"/>
  <c r="G891" i="17"/>
  <c r="J1489" i="17"/>
  <c r="K1489" i="17"/>
  <c r="G1489" i="17"/>
  <c r="J1029" i="17"/>
  <c r="K1029" i="17"/>
  <c r="G1029" i="17"/>
  <c r="J170" i="17"/>
  <c r="K170" i="17"/>
  <c r="G170" i="17"/>
  <c r="J969" i="17"/>
  <c r="K969" i="17"/>
  <c r="G969" i="17"/>
  <c r="J84" i="17"/>
  <c r="K84" i="17"/>
  <c r="G84" i="17"/>
  <c r="J74" i="17"/>
  <c r="G74" i="17"/>
  <c r="K74" i="17"/>
  <c r="K836" i="17"/>
  <c r="J836" i="17"/>
  <c r="G836" i="17"/>
  <c r="K1109" i="17"/>
  <c r="J1109" i="17"/>
  <c r="G1109" i="17"/>
  <c r="J135" i="17"/>
  <c r="K135" i="17"/>
  <c r="G135" i="17"/>
  <c r="K1449" i="17"/>
  <c r="J1449" i="17"/>
  <c r="G1449" i="17"/>
  <c r="J782" i="17"/>
  <c r="K782" i="17"/>
  <c r="G782" i="17"/>
  <c r="J1809" i="17"/>
  <c r="K1809" i="17"/>
  <c r="G1809" i="17"/>
  <c r="K800" i="17"/>
  <c r="J800" i="17"/>
  <c r="G800" i="17"/>
  <c r="J764" i="17"/>
  <c r="K764" i="17"/>
  <c r="G764" i="17"/>
  <c r="J949" i="17"/>
  <c r="K949" i="17"/>
  <c r="G949" i="17"/>
  <c r="K989" i="17"/>
  <c r="J989" i="17"/>
  <c r="G989" i="17"/>
  <c r="J623" i="17"/>
  <c r="K623" i="17"/>
  <c r="G623" i="17"/>
  <c r="J194" i="17"/>
  <c r="K194" i="17"/>
  <c r="G194" i="17"/>
  <c r="J1049" i="17"/>
  <c r="K1049" i="17"/>
  <c r="G1049" i="17"/>
  <c r="J872" i="17"/>
  <c r="K872" i="17"/>
  <c r="G872" i="17"/>
  <c r="J1769" i="17"/>
  <c r="K1769" i="17"/>
  <c r="G1769" i="17"/>
  <c r="K1509" i="17"/>
  <c r="J1509" i="17"/>
  <c r="G1509" i="17"/>
  <c r="J104" i="17"/>
  <c r="K104" i="17"/>
  <c r="G104" i="17"/>
  <c r="J674" i="17"/>
  <c r="K674" i="17"/>
  <c r="G674" i="17"/>
  <c r="J1649" i="17"/>
  <c r="K1649" i="17"/>
  <c r="G1649" i="17"/>
  <c r="J1009" i="17"/>
  <c r="K1009" i="17"/>
  <c r="G1009" i="17"/>
  <c r="K1289" i="17"/>
  <c r="J1289" i="17"/>
  <c r="G1289" i="17"/>
  <c r="J1749" i="17"/>
  <c r="K1749" i="17"/>
  <c r="G1749" i="17"/>
  <c r="J114" i="17"/>
  <c r="K114" i="17"/>
  <c r="G114" i="17"/>
  <c r="J710" i="17"/>
  <c r="K710" i="17"/>
  <c r="G710" i="17"/>
  <c r="K1149" i="17"/>
  <c r="J1149" i="17"/>
  <c r="G1149" i="17"/>
  <c r="J1249" i="17"/>
  <c r="K1249" i="17"/>
  <c r="G1249" i="17"/>
  <c r="K1689" i="17"/>
  <c r="J1689" i="17"/>
  <c r="G1689" i="17"/>
  <c r="K1729" i="17"/>
  <c r="J1729" i="17"/>
  <c r="G1729" i="17"/>
  <c r="J514" i="17"/>
  <c r="K514" i="17"/>
  <c r="G514" i="17"/>
  <c r="K338" i="17"/>
  <c r="G338" i="17"/>
  <c r="J338" i="17"/>
  <c r="J1549" i="17"/>
  <c r="K1549" i="17"/>
  <c r="G1549" i="17"/>
  <c r="J310" i="17"/>
  <c r="G310" i="17"/>
  <c r="K310" i="17"/>
  <c r="G352" i="17"/>
  <c r="K352" i="17"/>
  <c r="J352" i="17"/>
  <c r="G296" i="17"/>
  <c r="J296" i="17"/>
  <c r="K296" i="17"/>
  <c r="J1589" i="17"/>
  <c r="K1589" i="17"/>
  <c r="G1589" i="17"/>
  <c r="G439" i="17"/>
  <c r="J439" i="17"/>
  <c r="K439" i="17"/>
  <c r="K1129" i="17"/>
  <c r="J1129" i="17"/>
  <c r="G1129" i="17"/>
  <c r="J607" i="17"/>
  <c r="K607" i="17"/>
  <c r="G607" i="17"/>
  <c r="J1709" i="17"/>
  <c r="K1709" i="17"/>
  <c r="G1709" i="17"/>
  <c r="G255" i="17"/>
  <c r="K255" i="17"/>
  <c r="J255" i="17"/>
  <c r="K656" i="17"/>
  <c r="J656" i="17"/>
  <c r="G656" i="17"/>
  <c r="J728" i="17"/>
  <c r="K728" i="17"/>
  <c r="G728" i="17"/>
  <c r="J746" i="17"/>
  <c r="K746" i="17"/>
  <c r="G746" i="17"/>
  <c r="J158" i="17"/>
  <c r="K158" i="17"/>
  <c r="G158" i="17"/>
  <c r="K1309" i="17"/>
  <c r="J1309" i="17"/>
  <c r="G1309" i="17"/>
  <c r="J854" i="17"/>
  <c r="K854" i="17"/>
  <c r="G854" i="17"/>
  <c r="J692" i="17"/>
  <c r="K692" i="17"/>
  <c r="G692" i="17"/>
  <c r="J544" i="17"/>
  <c r="K544" i="17"/>
  <c r="G544" i="17"/>
  <c r="K1609" i="17"/>
  <c r="J1609" i="17"/>
  <c r="G1609" i="17"/>
  <c r="J1069" i="17"/>
  <c r="K1069" i="17"/>
  <c r="G1069" i="17"/>
  <c r="J380" i="17"/>
  <c r="K380" i="17"/>
  <c r="G380" i="17"/>
  <c r="J182" i="17"/>
  <c r="K182" i="17"/>
  <c r="G182" i="17"/>
  <c r="K469" i="17"/>
  <c r="G469" i="17"/>
  <c r="J469" i="17"/>
  <c r="K1529" i="17"/>
  <c r="J1529" i="17"/>
  <c r="G1529" i="17"/>
  <c r="K1829" i="17"/>
  <c r="J1829" i="17"/>
  <c r="G1829" i="17"/>
  <c r="G499" i="17"/>
  <c r="J499" i="17"/>
  <c r="K499" i="17"/>
  <c r="J1429" i="17"/>
  <c r="K1429" i="17"/>
  <c r="G1429" i="17"/>
  <c r="J1269" i="17"/>
  <c r="K1269" i="17"/>
  <c r="G1269" i="17"/>
  <c r="J1638" i="17"/>
  <c r="K1638" i="17"/>
  <c r="G1638" i="17"/>
  <c r="J880" i="17"/>
  <c r="K880" i="17"/>
  <c r="G880" i="17"/>
  <c r="J161" i="17"/>
  <c r="K161" i="17"/>
  <c r="G161" i="17"/>
  <c r="J735" i="17"/>
  <c r="K735" i="17"/>
  <c r="G735" i="17"/>
  <c r="K1098" i="17"/>
  <c r="J1098" i="17"/>
  <c r="G1098" i="17"/>
  <c r="K843" i="17"/>
  <c r="J843" i="17"/>
  <c r="G843" i="17"/>
  <c r="K1778" i="17"/>
  <c r="J1778" i="17"/>
  <c r="G1778" i="17"/>
  <c r="J1258" i="17"/>
  <c r="K1258" i="17"/>
  <c r="G1258" i="17"/>
  <c r="G197" i="17"/>
  <c r="J197" i="17"/>
  <c r="K197" i="17"/>
  <c r="K1478" i="17"/>
  <c r="J1478" i="17"/>
  <c r="G1478" i="17"/>
  <c r="J1498" i="17"/>
  <c r="K1498" i="17"/>
  <c r="G1498" i="17"/>
  <c r="J899" i="17"/>
  <c r="K899" i="17"/>
  <c r="G899" i="17"/>
  <c r="J258" i="17"/>
  <c r="G258" i="17"/>
  <c r="K258" i="17"/>
  <c r="K1658" i="17"/>
  <c r="J1658" i="17"/>
  <c r="G1658" i="17"/>
  <c r="K245" i="17"/>
  <c r="G245" i="17"/>
  <c r="J245" i="17"/>
  <c r="K1678" i="17"/>
  <c r="J1678" i="17"/>
  <c r="G1678" i="17"/>
  <c r="J1758" i="17"/>
  <c r="K1758" i="17"/>
  <c r="G1758" i="17"/>
  <c r="J149" i="17"/>
  <c r="K149" i="17"/>
  <c r="G149" i="17"/>
  <c r="J504" i="17"/>
  <c r="K504" i="17"/>
  <c r="G504" i="17"/>
  <c r="K399" i="17"/>
  <c r="J399" i="17"/>
  <c r="G399" i="17"/>
  <c r="J978" i="17"/>
  <c r="K978" i="17"/>
  <c r="G978" i="17"/>
  <c r="J221" i="17"/>
  <c r="G221" i="17"/>
  <c r="K221" i="17"/>
  <c r="K534" i="17"/>
  <c r="J534" i="17"/>
  <c r="G534" i="17"/>
  <c r="K1378" i="17"/>
  <c r="J1378" i="17"/>
  <c r="G1378" i="17"/>
  <c r="J137" i="17"/>
  <c r="K137" i="17"/>
  <c r="G137" i="17"/>
  <c r="J1058" i="17"/>
  <c r="K1058" i="17"/>
  <c r="G1058" i="17"/>
  <c r="K1338" i="17"/>
  <c r="J1338" i="17"/>
  <c r="G1338" i="17"/>
  <c r="K1198" i="17"/>
  <c r="J1198" i="17"/>
  <c r="G1198" i="17"/>
  <c r="K356" i="17"/>
  <c r="G356" i="17"/>
  <c r="J356" i="17"/>
  <c r="G300" i="17"/>
  <c r="J300" i="17"/>
  <c r="K300" i="17"/>
  <c r="J958" i="17"/>
  <c r="K958" i="17"/>
  <c r="G958" i="17"/>
  <c r="K629" i="17"/>
  <c r="J629" i="17"/>
  <c r="G629" i="17"/>
  <c r="J106" i="17"/>
  <c r="K106" i="17"/>
  <c r="G106" i="17"/>
  <c r="K1598" i="17"/>
  <c r="J1598" i="17"/>
  <c r="G1598" i="17"/>
  <c r="J645" i="17"/>
  <c r="K645" i="17"/>
  <c r="G645" i="17"/>
  <c r="J126" i="17"/>
  <c r="K126" i="17"/>
  <c r="G126" i="17"/>
  <c r="J1318" i="17"/>
  <c r="K1318" i="17"/>
  <c r="G1318" i="17"/>
  <c r="K613" i="17"/>
  <c r="J613" i="17"/>
  <c r="G613" i="17"/>
  <c r="J565" i="17"/>
  <c r="K565" i="17"/>
  <c r="G565" i="17"/>
  <c r="K1178" i="17"/>
  <c r="J1178" i="17"/>
  <c r="G1178" i="17"/>
  <c r="J581" i="17"/>
  <c r="K581" i="17"/>
  <c r="G581" i="17"/>
  <c r="J1518" i="17"/>
  <c r="K1518" i="17"/>
  <c r="G1518" i="17"/>
  <c r="J314" i="17"/>
  <c r="K314" i="17"/>
  <c r="G314" i="17"/>
  <c r="J286" i="17"/>
  <c r="K286" i="17"/>
  <c r="G286" i="17"/>
  <c r="K1858" i="17"/>
  <c r="J1858" i="17"/>
  <c r="G1858" i="17"/>
  <c r="J328" i="17"/>
  <c r="G328" i="17"/>
  <c r="K328" i="17"/>
  <c r="K1118" i="17"/>
  <c r="J1118" i="17"/>
  <c r="G1118" i="17"/>
  <c r="G48" i="17"/>
  <c r="J48" i="17"/>
  <c r="K48" i="17"/>
  <c r="J1878" i="17"/>
  <c r="K1878" i="17"/>
  <c r="G1878" i="17"/>
  <c r="K1738" i="17"/>
  <c r="J1738" i="17"/>
  <c r="G1738" i="17"/>
  <c r="K825" i="17"/>
  <c r="J825" i="17"/>
  <c r="G825" i="17"/>
  <c r="J597" i="17"/>
  <c r="K597" i="17"/>
  <c r="G597" i="17"/>
  <c r="K519" i="17"/>
  <c r="J519" i="17"/>
  <c r="G519" i="17"/>
  <c r="K1698" i="17"/>
  <c r="J1698" i="17"/>
  <c r="G1698" i="17"/>
  <c r="K1798" i="17"/>
  <c r="J1798" i="17"/>
  <c r="G1798" i="17"/>
  <c r="K1838" i="17"/>
  <c r="J1838" i="17"/>
  <c r="G1838" i="17"/>
  <c r="K429" i="17"/>
  <c r="G429" i="17"/>
  <c r="J429" i="17"/>
  <c r="K1818" i="17"/>
  <c r="J1818" i="17"/>
  <c r="G1818" i="17"/>
  <c r="G342" i="17"/>
  <c r="K342" i="17"/>
  <c r="J342" i="17"/>
  <c r="J1558" i="17"/>
  <c r="K1558" i="17"/>
  <c r="G1558" i="17"/>
  <c r="J173" i="17"/>
  <c r="K173" i="17"/>
  <c r="G173" i="17"/>
  <c r="J753" i="17"/>
  <c r="K753" i="17"/>
  <c r="G753" i="17"/>
  <c r="G414" i="17"/>
  <c r="J414" i="17"/>
  <c r="K414" i="17"/>
  <c r="J116" i="17"/>
  <c r="K116" i="17"/>
  <c r="G116" i="17"/>
  <c r="K1538" i="17"/>
  <c r="J1538" i="17"/>
  <c r="G1538" i="17"/>
  <c r="G233" i="17"/>
  <c r="J233" i="17"/>
  <c r="K233" i="17"/>
  <c r="J789" i="17"/>
  <c r="K789" i="17"/>
  <c r="G789" i="17"/>
  <c r="J1298" i="17"/>
  <c r="K1298" i="17"/>
  <c r="G1298" i="17"/>
  <c r="K474" i="17"/>
  <c r="G474" i="17"/>
  <c r="J474" i="17"/>
  <c r="J1158" i="17"/>
  <c r="K1158" i="17"/>
  <c r="G1158" i="17"/>
  <c r="J1398" i="17"/>
  <c r="K1398" i="17"/>
  <c r="G1398" i="17"/>
  <c r="K1038" i="17"/>
  <c r="J1038" i="17"/>
  <c r="G1038" i="17"/>
  <c r="J1138" i="17"/>
  <c r="K1138" i="17"/>
  <c r="G1138" i="17"/>
  <c r="K861" i="17"/>
  <c r="J861" i="17"/>
  <c r="G861" i="17"/>
  <c r="J807" i="17"/>
  <c r="K807" i="17"/>
  <c r="G807" i="17"/>
  <c r="K771" i="17"/>
  <c r="J771" i="17"/>
  <c r="G771" i="17"/>
  <c r="J40" i="17"/>
  <c r="G40" i="17"/>
  <c r="K40" i="17"/>
  <c r="J185" i="17"/>
  <c r="K185" i="17"/>
  <c r="G185" i="17"/>
  <c r="J76" i="17"/>
  <c r="G76" i="17"/>
  <c r="K76" i="17"/>
  <c r="K938" i="17"/>
  <c r="J938" i="17"/>
  <c r="G938" i="17"/>
  <c r="K717" i="17"/>
  <c r="J717" i="17"/>
  <c r="G717" i="17"/>
  <c r="G66" i="17"/>
  <c r="J66" i="17"/>
  <c r="K66" i="17"/>
  <c r="G33" i="17"/>
  <c r="J33" i="17"/>
  <c r="K33" i="17"/>
  <c r="G56" i="17"/>
  <c r="J56" i="17"/>
  <c r="K56" i="17"/>
  <c r="K1718" i="17"/>
  <c r="J1718" i="17"/>
  <c r="G1718" i="17"/>
  <c r="K699" i="17"/>
  <c r="J699" i="17"/>
  <c r="G699" i="17"/>
  <c r="J370" i="17"/>
  <c r="G370" i="17"/>
  <c r="K370" i="17"/>
  <c r="J1018" i="17"/>
  <c r="K1018" i="17"/>
  <c r="G1018" i="17"/>
  <c r="G444" i="17"/>
  <c r="J444" i="17"/>
  <c r="K444" i="17"/>
  <c r="K549" i="17"/>
  <c r="J549" i="17"/>
  <c r="G549" i="17"/>
  <c r="J681" i="17"/>
  <c r="K681" i="17"/>
  <c r="G681" i="17"/>
  <c r="J1078" i="17"/>
  <c r="K1078" i="17"/>
  <c r="G1078" i="17"/>
  <c r="K384" i="17"/>
  <c r="G384" i="17"/>
  <c r="J384" i="17"/>
  <c r="J998" i="17"/>
  <c r="K998" i="17"/>
  <c r="G998" i="17"/>
  <c r="K489" i="17"/>
  <c r="J489" i="17"/>
  <c r="G489" i="17"/>
  <c r="J1238" i="17"/>
  <c r="K1238" i="17"/>
  <c r="G1238" i="17"/>
  <c r="J918" i="17"/>
  <c r="K918" i="17"/>
  <c r="G918" i="17"/>
  <c r="J663" i="17"/>
  <c r="K663" i="17"/>
  <c r="G663" i="17"/>
  <c r="J1438" i="17"/>
  <c r="K1438" i="17"/>
  <c r="G1438" i="17"/>
  <c r="G459" i="17"/>
  <c r="J459" i="17"/>
  <c r="K459" i="17"/>
  <c r="K1278" i="17"/>
  <c r="J1278" i="17"/>
  <c r="G1278" i="17"/>
  <c r="J86" i="17"/>
  <c r="K86" i="17"/>
  <c r="G86" i="17"/>
  <c r="G209" i="17"/>
  <c r="J209" i="17"/>
  <c r="K209" i="17"/>
  <c r="K1618" i="17"/>
  <c r="J1618" i="17"/>
  <c r="G1618" i="17"/>
  <c r="J1358" i="17"/>
  <c r="K1358" i="17"/>
  <c r="G1358" i="17"/>
  <c r="K1458" i="17"/>
  <c r="J1458" i="17"/>
  <c r="G1458" i="17"/>
  <c r="J1418" i="17"/>
  <c r="K1418" i="17"/>
  <c r="G1418" i="17"/>
  <c r="K1218" i="17"/>
  <c r="J1218" i="17"/>
  <c r="G1218" i="17"/>
  <c r="J96" i="17"/>
  <c r="K96" i="17"/>
  <c r="G96" i="17"/>
  <c r="J1578" i="17"/>
  <c r="K1578" i="17"/>
  <c r="G1578" i="17"/>
  <c r="J272" i="17"/>
  <c r="K272" i="17"/>
  <c r="G272" i="17"/>
  <c r="J212" i="17"/>
  <c r="G212" i="17"/>
  <c r="K212" i="17"/>
  <c r="J275" i="17"/>
  <c r="K275" i="17"/>
  <c r="G275" i="17"/>
  <c r="K402" i="17"/>
  <c r="G402" i="17"/>
  <c r="J402" i="17"/>
  <c r="J447" i="17"/>
  <c r="G447" i="17"/>
  <c r="K447" i="17"/>
  <c r="K477" i="17"/>
  <c r="J477" i="17"/>
  <c r="G477" i="17"/>
  <c r="K1262" i="17"/>
  <c r="J1262" i="17"/>
  <c r="G1262" i="17"/>
  <c r="K1522" i="17"/>
  <c r="J1522" i="17"/>
  <c r="G1522" i="17"/>
  <c r="J1762" i="17"/>
  <c r="K1762" i="17"/>
  <c r="G1762" i="17"/>
  <c r="J152" i="17"/>
  <c r="K152" i="17"/>
  <c r="G152" i="17"/>
  <c r="J685" i="17"/>
  <c r="K685" i="17"/>
  <c r="G685" i="17"/>
  <c r="J1122" i="17"/>
  <c r="K1122" i="17"/>
  <c r="G1122" i="17"/>
  <c r="K1642" i="17"/>
  <c r="J1642" i="17"/>
  <c r="G1642" i="17"/>
  <c r="K1462" i="17"/>
  <c r="J1462" i="17"/>
  <c r="G1462" i="17"/>
  <c r="J1622" i="17"/>
  <c r="K1622" i="17"/>
  <c r="G1622" i="17"/>
  <c r="J1662" i="17"/>
  <c r="K1662" i="17"/>
  <c r="G1662" i="17"/>
  <c r="J99" i="17"/>
  <c r="K99" i="17"/>
  <c r="G99" i="17"/>
  <c r="J129" i="17"/>
  <c r="K129" i="17"/>
  <c r="G129" i="17"/>
  <c r="K261" i="17"/>
  <c r="J261" i="17"/>
  <c r="G261" i="17"/>
  <c r="K303" i="17"/>
  <c r="G303" i="17"/>
  <c r="J303" i="17"/>
  <c r="K331" i="17"/>
  <c r="J331" i="17"/>
  <c r="G331" i="17"/>
  <c r="K1282" i="17"/>
  <c r="J1282" i="17"/>
  <c r="G1282" i="17"/>
  <c r="J1382" i="17"/>
  <c r="K1382" i="17"/>
  <c r="G1382" i="17"/>
  <c r="J59" i="17"/>
  <c r="G59" i="17"/>
  <c r="K59" i="17"/>
  <c r="J1422" i="17"/>
  <c r="K1422" i="17"/>
  <c r="G1422" i="17"/>
  <c r="J600" i="17"/>
  <c r="K600" i="17"/>
  <c r="G600" i="17"/>
  <c r="K616" i="17"/>
  <c r="J616" i="17"/>
  <c r="G616" i="17"/>
  <c r="K632" i="17"/>
  <c r="J632" i="17"/>
  <c r="G632" i="17"/>
  <c r="J703" i="17"/>
  <c r="K703" i="17"/>
  <c r="G703" i="17"/>
  <c r="J1602" i="17"/>
  <c r="K1602" i="17"/>
  <c r="G1602" i="17"/>
  <c r="J176" i="17"/>
  <c r="K176" i="17"/>
  <c r="G176" i="17"/>
  <c r="K1162" i="17"/>
  <c r="J1162" i="17"/>
  <c r="G1162" i="17"/>
  <c r="J1182" i="17"/>
  <c r="K1182" i="17"/>
  <c r="G1182" i="17"/>
  <c r="K1202" i="17"/>
  <c r="J1202" i="17"/>
  <c r="G1202" i="17"/>
  <c r="K1222" i="17"/>
  <c r="J1222" i="17"/>
  <c r="G1222" i="17"/>
  <c r="K1242" i="17"/>
  <c r="J1242" i="17"/>
  <c r="G1242" i="17"/>
  <c r="J1862" i="17"/>
  <c r="K1862" i="17"/>
  <c r="G1862" i="17"/>
  <c r="J1882" i="17"/>
  <c r="K1882" i="17"/>
  <c r="G1882" i="17"/>
  <c r="K387" i="17"/>
  <c r="G387" i="17"/>
  <c r="J387" i="17"/>
  <c r="G432" i="17"/>
  <c r="K432" i="17"/>
  <c r="J432" i="17"/>
  <c r="K507" i="17"/>
  <c r="J507" i="17"/>
  <c r="G507" i="17"/>
  <c r="J1322" i="17"/>
  <c r="K1322" i="17"/>
  <c r="G1322" i="17"/>
  <c r="K865" i="17"/>
  <c r="J865" i="17"/>
  <c r="G865" i="17"/>
  <c r="J903" i="17"/>
  <c r="K903" i="17"/>
  <c r="G903" i="17"/>
  <c r="K1542" i="17"/>
  <c r="J1542" i="17"/>
  <c r="G1542" i="17"/>
  <c r="J236" i="17"/>
  <c r="G236" i="17"/>
  <c r="K236" i="17"/>
  <c r="K584" i="17"/>
  <c r="J584" i="17"/>
  <c r="G584" i="17"/>
  <c r="J1302" i="17"/>
  <c r="K1302" i="17"/>
  <c r="G1302" i="17"/>
  <c r="J649" i="17"/>
  <c r="K649" i="17"/>
  <c r="G649" i="17"/>
  <c r="K721" i="17"/>
  <c r="J721" i="17"/>
  <c r="G721" i="17"/>
  <c r="J829" i="17"/>
  <c r="K829" i="17"/>
  <c r="G829" i="17"/>
  <c r="J922" i="17"/>
  <c r="K922" i="17"/>
  <c r="G922" i="17"/>
  <c r="K1042" i="17"/>
  <c r="J1042" i="17"/>
  <c r="G1042" i="17"/>
  <c r="J1582" i="17"/>
  <c r="K1582" i="17"/>
  <c r="G1582" i="17"/>
  <c r="G42" i="17"/>
  <c r="J42" i="17"/>
  <c r="K42" i="17"/>
  <c r="J89" i="17"/>
  <c r="K89" i="17"/>
  <c r="G89" i="17"/>
  <c r="J109" i="17"/>
  <c r="K109" i="17"/>
  <c r="G109" i="17"/>
  <c r="G224" i="17"/>
  <c r="J224" i="17"/>
  <c r="K224" i="17"/>
  <c r="K522" i="17"/>
  <c r="J522" i="17"/>
  <c r="G522" i="17"/>
  <c r="J1362" i="17"/>
  <c r="K1362" i="17"/>
  <c r="G1362" i="17"/>
  <c r="J757" i="17"/>
  <c r="K757" i="17"/>
  <c r="G757" i="17"/>
  <c r="J775" i="17"/>
  <c r="K775" i="17"/>
  <c r="G775" i="17"/>
  <c r="J1062" i="17"/>
  <c r="K1062" i="17"/>
  <c r="G1062" i="17"/>
  <c r="J1702" i="17"/>
  <c r="K1702" i="17"/>
  <c r="G1702" i="17"/>
  <c r="G79" i="17"/>
  <c r="J79" i="17"/>
  <c r="K79" i="17"/>
  <c r="K1442" i="17"/>
  <c r="J1442" i="17"/>
  <c r="G1442" i="17"/>
  <c r="K552" i="17"/>
  <c r="J552" i="17"/>
  <c r="G552" i="17"/>
  <c r="J793" i="17"/>
  <c r="K793" i="17"/>
  <c r="G793" i="17"/>
  <c r="J811" i="17"/>
  <c r="K811" i="17"/>
  <c r="G811" i="17"/>
  <c r="J847" i="17"/>
  <c r="K847" i="17"/>
  <c r="G847" i="17"/>
  <c r="J884" i="17"/>
  <c r="K884" i="17"/>
  <c r="G884" i="17"/>
  <c r="K982" i="17"/>
  <c r="J982" i="17"/>
  <c r="G982" i="17"/>
  <c r="J1002" i="17"/>
  <c r="K1002" i="17"/>
  <c r="G1002" i="17"/>
  <c r="K1082" i="17"/>
  <c r="J1082" i="17"/>
  <c r="G1082" i="17"/>
  <c r="K1102" i="17"/>
  <c r="J1102" i="17"/>
  <c r="G1102" i="17"/>
  <c r="K248" i="17"/>
  <c r="J248" i="17"/>
  <c r="G248" i="17"/>
  <c r="J345" i="17"/>
  <c r="G345" i="17"/>
  <c r="K345" i="17"/>
  <c r="G359" i="17"/>
  <c r="J359" i="17"/>
  <c r="K359" i="17"/>
  <c r="K492" i="17"/>
  <c r="J492" i="17"/>
  <c r="G492" i="17"/>
  <c r="K537" i="17"/>
  <c r="J537" i="17"/>
  <c r="G537" i="17"/>
  <c r="K1482" i="17"/>
  <c r="J1482" i="17"/>
  <c r="G1482" i="17"/>
  <c r="K1682" i="17"/>
  <c r="J1682" i="17"/>
  <c r="G1682" i="17"/>
  <c r="K1842" i="17"/>
  <c r="J1842" i="17"/>
  <c r="G1842" i="17"/>
  <c r="J164" i="17"/>
  <c r="K164" i="17"/>
  <c r="G164" i="17"/>
  <c r="K462" i="17"/>
  <c r="G462" i="17"/>
  <c r="J462" i="17"/>
  <c r="J667" i="17"/>
  <c r="K667" i="17"/>
  <c r="G667" i="17"/>
  <c r="J1562" i="17"/>
  <c r="K1562" i="17"/>
  <c r="G1562" i="17"/>
  <c r="J188" i="17"/>
  <c r="K188" i="17"/>
  <c r="G188" i="17"/>
  <c r="G200" i="17"/>
  <c r="J200" i="17"/>
  <c r="K200" i="17"/>
  <c r="G69" i="17"/>
  <c r="J69" i="17"/>
  <c r="K69" i="17"/>
  <c r="G317" i="17"/>
  <c r="K317" i="17"/>
  <c r="J317" i="17"/>
  <c r="J119" i="17"/>
  <c r="K119" i="17"/>
  <c r="G119" i="17"/>
  <c r="K417" i="17"/>
  <c r="G417" i="17"/>
  <c r="J417" i="17"/>
  <c r="K568" i="17"/>
  <c r="J568" i="17"/>
  <c r="G568" i="17"/>
  <c r="G289" i="17"/>
  <c r="K289" i="17"/>
  <c r="J289" i="17"/>
  <c r="J942" i="17"/>
  <c r="K942" i="17"/>
  <c r="G942" i="17"/>
  <c r="J1022" i="17"/>
  <c r="K1022" i="17"/>
  <c r="G1022" i="17"/>
  <c r="J1782" i="17"/>
  <c r="K1782" i="17"/>
  <c r="G1782" i="17"/>
  <c r="J1802" i="17"/>
  <c r="K1802" i="17"/>
  <c r="G1802" i="17"/>
  <c r="K1822" i="17"/>
  <c r="J1822" i="17"/>
  <c r="G1822" i="17"/>
  <c r="J50" i="17"/>
  <c r="G50" i="17"/>
  <c r="K50" i="17"/>
  <c r="J140" i="17"/>
  <c r="K140" i="17"/>
  <c r="G140" i="17"/>
  <c r="K373" i="17"/>
  <c r="J373" i="17"/>
  <c r="G373" i="17"/>
  <c r="K1402" i="17"/>
  <c r="J1402" i="17"/>
  <c r="G1402" i="17"/>
  <c r="K739" i="17"/>
  <c r="J739" i="17"/>
  <c r="G739" i="17"/>
  <c r="J1342" i="17"/>
  <c r="K1342" i="17"/>
  <c r="G1342" i="17"/>
  <c r="K962" i="17"/>
  <c r="J962" i="17"/>
  <c r="G962" i="17"/>
  <c r="K1142" i="17"/>
  <c r="J1142" i="17"/>
  <c r="G1142" i="17"/>
  <c r="J1502" i="17"/>
  <c r="K1502" i="17"/>
  <c r="G1502" i="17"/>
  <c r="K1722" i="17"/>
  <c r="J1722" i="17"/>
  <c r="G1722" i="17"/>
  <c r="K1742" i="17"/>
  <c r="J1742" i="17"/>
  <c r="G1742" i="17"/>
  <c r="J792" i="17"/>
  <c r="K792" i="17"/>
  <c r="G792" i="17"/>
  <c r="K1241" i="17"/>
  <c r="J1241" i="17"/>
  <c r="G1241" i="17"/>
  <c r="J1421" i="17"/>
  <c r="K1421" i="17"/>
  <c r="G1421" i="17"/>
  <c r="K1301" i="17"/>
  <c r="J1301" i="17"/>
  <c r="G1301" i="17"/>
  <c r="K1861" i="17"/>
  <c r="J1861" i="17"/>
  <c r="G1861" i="17"/>
  <c r="J1261" i="17"/>
  <c r="K1261" i="17"/>
  <c r="G1261" i="17"/>
  <c r="J583" i="17"/>
  <c r="K583" i="17"/>
  <c r="G583" i="17"/>
  <c r="J551" i="17"/>
  <c r="K551" i="17"/>
  <c r="G551" i="17"/>
  <c r="J1881" i="17"/>
  <c r="K1881" i="17"/>
  <c r="G1881" i="17"/>
  <c r="J78" i="17"/>
  <c r="G78" i="17"/>
  <c r="K78" i="17"/>
  <c r="J1601" i="17"/>
  <c r="K1601" i="17"/>
  <c r="G1601" i="17"/>
  <c r="K1581" i="17"/>
  <c r="J1581" i="17"/>
  <c r="G1581" i="17"/>
  <c r="G416" i="17"/>
  <c r="J416" i="17"/>
  <c r="K416" i="17"/>
  <c r="J1401" i="17"/>
  <c r="K1401" i="17"/>
  <c r="G1401" i="17"/>
  <c r="K1121" i="17"/>
  <c r="J1121" i="17"/>
  <c r="G1121" i="17"/>
  <c r="K302" i="17"/>
  <c r="G302" i="17"/>
  <c r="J302" i="17"/>
  <c r="K358" i="17"/>
  <c r="J358" i="17"/>
  <c r="G358" i="17"/>
  <c r="K1041" i="17"/>
  <c r="J1041" i="17"/>
  <c r="G1041" i="17"/>
  <c r="K288" i="17"/>
  <c r="G288" i="17"/>
  <c r="J288" i="17"/>
  <c r="J68" i="17"/>
  <c r="G68" i="17"/>
  <c r="K68" i="17"/>
  <c r="J1621" i="17"/>
  <c r="K1621" i="17"/>
  <c r="G1621" i="17"/>
  <c r="K828" i="17"/>
  <c r="J828" i="17"/>
  <c r="G828" i="17"/>
  <c r="G211" i="17"/>
  <c r="J211" i="17"/>
  <c r="K211" i="17"/>
  <c r="K846" i="17"/>
  <c r="J846" i="17"/>
  <c r="G846" i="17"/>
  <c r="K1641" i="17"/>
  <c r="J1641" i="17"/>
  <c r="G1641" i="17"/>
  <c r="K386" i="17"/>
  <c r="J386" i="17"/>
  <c r="G386" i="17"/>
  <c r="K1681" i="17"/>
  <c r="J1681" i="17"/>
  <c r="G1681" i="17"/>
  <c r="J1661" i="17"/>
  <c r="K1661" i="17"/>
  <c r="G1661" i="17"/>
  <c r="J187" i="17"/>
  <c r="K187" i="17"/>
  <c r="G187" i="17"/>
  <c r="J1341" i="17"/>
  <c r="K1341" i="17"/>
  <c r="G1341" i="17"/>
  <c r="K1141" i="17"/>
  <c r="J1141" i="17"/>
  <c r="G1141" i="17"/>
  <c r="K506" i="17"/>
  <c r="J506" i="17"/>
  <c r="G506" i="17"/>
  <c r="K1321" i="17"/>
  <c r="J1321" i="17"/>
  <c r="G1321" i="17"/>
  <c r="J599" i="17"/>
  <c r="K599" i="17"/>
  <c r="G599" i="17"/>
  <c r="J175" i="17"/>
  <c r="K175" i="17"/>
  <c r="G175" i="17"/>
  <c r="K1741" i="17"/>
  <c r="J1741" i="17"/>
  <c r="G1741" i="17"/>
  <c r="J163" i="17"/>
  <c r="K163" i="17"/>
  <c r="G163" i="17"/>
  <c r="J981" i="17"/>
  <c r="K981" i="17"/>
  <c r="G981" i="17"/>
  <c r="K1801" i="17"/>
  <c r="J1801" i="17"/>
  <c r="G1801" i="17"/>
  <c r="K1541" i="17"/>
  <c r="J1541" i="17"/>
  <c r="G1541" i="17"/>
  <c r="J615" i="17"/>
  <c r="K615" i="17"/>
  <c r="G615" i="17"/>
  <c r="J1701" i="17"/>
  <c r="K1701" i="17"/>
  <c r="G1701" i="17"/>
  <c r="K631" i="17"/>
  <c r="J631" i="17"/>
  <c r="G631" i="17"/>
  <c r="K1081" i="17"/>
  <c r="J1081" i="17"/>
  <c r="G1081" i="17"/>
  <c r="K431" i="17"/>
  <c r="J431" i="17"/>
  <c r="G431" i="17"/>
  <c r="J666" i="17"/>
  <c r="K666" i="17"/>
  <c r="G666" i="17"/>
  <c r="J1061" i="17"/>
  <c r="K1061" i="17"/>
  <c r="G1061" i="17"/>
  <c r="J756" i="17"/>
  <c r="K756" i="17"/>
  <c r="G756" i="17"/>
  <c r="K941" i="17"/>
  <c r="J941" i="17"/>
  <c r="G941" i="17"/>
  <c r="J774" i="17"/>
  <c r="K774" i="17"/>
  <c r="G774" i="17"/>
  <c r="K567" i="17"/>
  <c r="J567" i="17"/>
  <c r="G567" i="17"/>
  <c r="J961" i="17"/>
  <c r="K961" i="17"/>
  <c r="G961" i="17"/>
  <c r="J921" i="17"/>
  <c r="K921" i="17"/>
  <c r="G921" i="17"/>
  <c r="K1381" i="17"/>
  <c r="J1381" i="17"/>
  <c r="G1381" i="17"/>
  <c r="K536" i="17"/>
  <c r="J536" i="17"/>
  <c r="G536" i="17"/>
  <c r="J88" i="17"/>
  <c r="K88" i="17"/>
  <c r="G88" i="17"/>
  <c r="K1721" i="17"/>
  <c r="J1721" i="17"/>
  <c r="G1721" i="17"/>
  <c r="G344" i="17"/>
  <c r="K344" i="17"/>
  <c r="J344" i="17"/>
  <c r="G446" i="17"/>
  <c r="J446" i="17"/>
  <c r="K446" i="17"/>
  <c r="J521" i="17"/>
  <c r="K521" i="17"/>
  <c r="G521" i="17"/>
  <c r="J330" i="17"/>
  <c r="G330" i="17"/>
  <c r="K330" i="17"/>
  <c r="J274" i="17"/>
  <c r="G274" i="17"/>
  <c r="K274" i="17"/>
  <c r="J128" i="17"/>
  <c r="K128" i="17"/>
  <c r="G128" i="17"/>
  <c r="J118" i="17"/>
  <c r="K118" i="17"/>
  <c r="G118" i="17"/>
  <c r="J98" i="17"/>
  <c r="K98" i="17"/>
  <c r="G98" i="17"/>
  <c r="J316" i="17"/>
  <c r="G316" i="17"/>
  <c r="K316" i="17"/>
  <c r="J108" i="17"/>
  <c r="K108" i="17"/>
  <c r="G108" i="17"/>
  <c r="J1001" i="17"/>
  <c r="K1001" i="17"/>
  <c r="G1001" i="17"/>
  <c r="J684" i="17"/>
  <c r="K684" i="17"/>
  <c r="G684" i="17"/>
  <c r="J247" i="17"/>
  <c r="G247" i="17"/>
  <c r="K247" i="17"/>
  <c r="K1821" i="17"/>
  <c r="J1821" i="17"/>
  <c r="G1821" i="17"/>
  <c r="J151" i="17"/>
  <c r="K151" i="17"/>
  <c r="G151" i="17"/>
  <c r="J1501" i="17"/>
  <c r="K1501" i="17"/>
  <c r="G1501" i="17"/>
  <c r="J260" i="17"/>
  <c r="G260" i="17"/>
  <c r="K260" i="17"/>
  <c r="J1781" i="17"/>
  <c r="K1781" i="17"/>
  <c r="G1781" i="17"/>
  <c r="J139" i="17"/>
  <c r="K139" i="17"/>
  <c r="G139" i="17"/>
  <c r="K1841" i="17"/>
  <c r="J1841" i="17"/>
  <c r="G1841" i="17"/>
  <c r="J702" i="17"/>
  <c r="K702" i="17"/>
  <c r="G702" i="17"/>
  <c r="J1161" i="17"/>
  <c r="K1161" i="17"/>
  <c r="G1161" i="17"/>
  <c r="K372" i="17"/>
  <c r="J372" i="17"/>
  <c r="G372" i="17"/>
  <c r="K1761" i="17"/>
  <c r="J1761" i="17"/>
  <c r="G1761" i="17"/>
  <c r="K902" i="17"/>
  <c r="J902" i="17"/>
  <c r="G902" i="17"/>
  <c r="K1461" i="17"/>
  <c r="J1461" i="17"/>
  <c r="G1461" i="17"/>
  <c r="K1361" i="17"/>
  <c r="J1361" i="17"/>
  <c r="G1361" i="17"/>
  <c r="K235" i="17"/>
  <c r="G235" i="17"/>
  <c r="J235" i="17"/>
  <c r="J401" i="17"/>
  <c r="K401" i="17"/>
  <c r="G401" i="17"/>
  <c r="J223" i="17"/>
  <c r="G223" i="17"/>
  <c r="K223" i="17"/>
  <c r="G476" i="17"/>
  <c r="J476" i="17"/>
  <c r="K476" i="17"/>
  <c r="K1281" i="17"/>
  <c r="J1281" i="17"/>
  <c r="G1281" i="17"/>
  <c r="J1181" i="17"/>
  <c r="K1181" i="17"/>
  <c r="G1181" i="17"/>
  <c r="J648" i="17"/>
  <c r="K648" i="17"/>
  <c r="G648" i="17"/>
  <c r="J461" i="17"/>
  <c r="G461" i="17"/>
  <c r="K461" i="17"/>
  <c r="J58" i="17"/>
  <c r="G58" i="17"/>
  <c r="K58" i="17"/>
  <c r="K1201" i="17"/>
  <c r="J1201" i="17"/>
  <c r="G1201" i="17"/>
  <c r="K1441" i="17"/>
  <c r="J1441" i="17"/>
  <c r="G1441" i="17"/>
  <c r="J1221" i="17"/>
  <c r="K1221" i="17"/>
  <c r="G1221" i="17"/>
  <c r="K1481" i="17"/>
  <c r="J1481" i="17"/>
  <c r="G1481" i="17"/>
  <c r="J720" i="17"/>
  <c r="K720" i="17"/>
  <c r="G720" i="17"/>
  <c r="J738" i="17"/>
  <c r="K738" i="17"/>
  <c r="G738" i="17"/>
  <c r="K1101" i="17"/>
  <c r="J1101" i="17"/>
  <c r="G1101" i="17"/>
  <c r="J1021" i="17"/>
  <c r="K1021" i="17"/>
  <c r="G1021" i="17"/>
  <c r="J883" i="17"/>
  <c r="K883" i="17"/>
  <c r="G883" i="17"/>
  <c r="K864" i="17"/>
  <c r="J864" i="17"/>
  <c r="G864" i="17"/>
  <c r="J199" i="17"/>
  <c r="G199" i="17"/>
  <c r="K199" i="17"/>
  <c r="J810" i="17"/>
  <c r="K810" i="17"/>
  <c r="G810" i="17"/>
  <c r="K1521" i="17"/>
  <c r="J1521" i="17"/>
  <c r="G1521" i="17"/>
  <c r="J491" i="17"/>
  <c r="G491" i="17"/>
  <c r="K491" i="17"/>
  <c r="J1561" i="17"/>
  <c r="K1561" i="17"/>
  <c r="G1561" i="17"/>
  <c r="J580" i="17"/>
  <c r="K580" i="17"/>
  <c r="G580" i="17"/>
  <c r="K548" i="17"/>
  <c r="J548" i="17"/>
  <c r="G548" i="17"/>
  <c r="J369" i="17"/>
  <c r="K369" i="17"/>
  <c r="G369" i="17"/>
  <c r="K355" i="17"/>
  <c r="G355" i="17"/>
  <c r="J355" i="17"/>
  <c r="K1717" i="17"/>
  <c r="J1717" i="17"/>
  <c r="G1717" i="17"/>
  <c r="J518" i="17"/>
  <c r="K518" i="17"/>
  <c r="G518" i="17"/>
  <c r="J125" i="17"/>
  <c r="K125" i="17"/>
  <c r="G125" i="17"/>
  <c r="J208" i="17"/>
  <c r="G208" i="17"/>
  <c r="K208" i="17"/>
  <c r="K1137" i="17"/>
  <c r="J1137" i="17"/>
  <c r="G1137" i="17"/>
  <c r="K383" i="17"/>
  <c r="G383" i="17"/>
  <c r="J383" i="17"/>
  <c r="J1877" i="17"/>
  <c r="K1877" i="17"/>
  <c r="G1877" i="17"/>
  <c r="J1757" i="17"/>
  <c r="K1757" i="17"/>
  <c r="G1757" i="17"/>
  <c r="J1377" i="17"/>
  <c r="K1377" i="17"/>
  <c r="G1377" i="17"/>
  <c r="K1777" i="17"/>
  <c r="J1777" i="17"/>
  <c r="G1777" i="17"/>
  <c r="J662" i="17"/>
  <c r="K662" i="17"/>
  <c r="G662" i="17"/>
  <c r="K698" i="17"/>
  <c r="J698" i="17"/>
  <c r="G698" i="17"/>
  <c r="K1237" i="17"/>
  <c r="J1237" i="17"/>
  <c r="G1237" i="17"/>
  <c r="J1297" i="17"/>
  <c r="K1297" i="17"/>
  <c r="G1297" i="17"/>
  <c r="K1537" i="17"/>
  <c r="J1537" i="17"/>
  <c r="G1537" i="17"/>
  <c r="J1557" i="17"/>
  <c r="K1557" i="17"/>
  <c r="G1557" i="17"/>
  <c r="K1217" i="17"/>
  <c r="J1217" i="17"/>
  <c r="G1217" i="17"/>
  <c r="K533" i="17"/>
  <c r="J533" i="17"/>
  <c r="G533" i="17"/>
  <c r="J1597" i="17"/>
  <c r="K1597" i="17"/>
  <c r="G1597" i="17"/>
  <c r="K398" i="17"/>
  <c r="G398" i="17"/>
  <c r="J398" i="17"/>
  <c r="J1017" i="17"/>
  <c r="K1017" i="17"/>
  <c r="G1017" i="17"/>
  <c r="K1197" i="17"/>
  <c r="J1197" i="17"/>
  <c r="G1197" i="17"/>
  <c r="J115" i="17"/>
  <c r="K115" i="17"/>
  <c r="G115" i="17"/>
  <c r="K232" i="17"/>
  <c r="J232" i="17"/>
  <c r="G232" i="17"/>
  <c r="J244" i="17"/>
  <c r="K244" i="17"/>
  <c r="G244" i="17"/>
  <c r="J1177" i="17"/>
  <c r="K1177" i="17"/>
  <c r="G1177" i="17"/>
  <c r="K1077" i="17"/>
  <c r="J1077" i="17"/>
  <c r="G1077" i="17"/>
  <c r="J564" i="17"/>
  <c r="K564" i="17"/>
  <c r="G564" i="17"/>
  <c r="J1157" i="17"/>
  <c r="K1157" i="17"/>
  <c r="G1157" i="17"/>
  <c r="K1317" i="17"/>
  <c r="J1317" i="17"/>
  <c r="G1317" i="17"/>
  <c r="J1337" i="17"/>
  <c r="K1337" i="17"/>
  <c r="G1337" i="17"/>
  <c r="J1417" i="17"/>
  <c r="K1417" i="17"/>
  <c r="G1417" i="17"/>
  <c r="J299" i="17"/>
  <c r="K299" i="17"/>
  <c r="G299" i="17"/>
  <c r="J220" i="17"/>
  <c r="G220" i="17"/>
  <c r="K220" i="17"/>
  <c r="J160" i="17"/>
  <c r="K160" i="17"/>
  <c r="G160" i="17"/>
  <c r="K716" i="17"/>
  <c r="J716" i="17"/>
  <c r="G716" i="17"/>
  <c r="J1857" i="17"/>
  <c r="K1857" i="17"/>
  <c r="G1857" i="17"/>
  <c r="J458" i="17"/>
  <c r="G458" i="17"/>
  <c r="K458" i="17"/>
  <c r="K1837" i="17"/>
  <c r="J1837" i="17"/>
  <c r="G1837" i="17"/>
  <c r="K1737" i="17"/>
  <c r="J1737" i="17"/>
  <c r="G1737" i="17"/>
  <c r="K770" i="17"/>
  <c r="J770" i="17"/>
  <c r="G770" i="17"/>
  <c r="J1657" i="17"/>
  <c r="K1657" i="17"/>
  <c r="G1657" i="17"/>
  <c r="J184" i="17"/>
  <c r="K184" i="17"/>
  <c r="G184" i="17"/>
  <c r="K1617" i="17"/>
  <c r="J1617" i="17"/>
  <c r="G1617" i="17"/>
  <c r="J257" i="17"/>
  <c r="G257" i="17"/>
  <c r="K257" i="17"/>
  <c r="J1497" i="17"/>
  <c r="K1497" i="17"/>
  <c r="G1497" i="17"/>
  <c r="K473" i="17"/>
  <c r="J473" i="17"/>
  <c r="G473" i="17"/>
  <c r="K327" i="17"/>
  <c r="G327" i="17"/>
  <c r="J327" i="17"/>
  <c r="K1817" i="17"/>
  <c r="J1817" i="17"/>
  <c r="G1817" i="17"/>
  <c r="K428" i="17"/>
  <c r="J428" i="17"/>
  <c r="G428" i="17"/>
  <c r="K503" i="17"/>
  <c r="J503" i="17"/>
  <c r="G503" i="17"/>
  <c r="K1797" i="17"/>
  <c r="J1797" i="17"/>
  <c r="G1797" i="17"/>
  <c r="K1117" i="17"/>
  <c r="J1117" i="17"/>
  <c r="G1117" i="17"/>
  <c r="J898" i="17"/>
  <c r="K898" i="17"/>
  <c r="G898" i="17"/>
  <c r="J752" i="17"/>
  <c r="K752" i="17"/>
  <c r="G752" i="17"/>
  <c r="K860" i="17"/>
  <c r="J860" i="17"/>
  <c r="G860" i="17"/>
  <c r="K842" i="17"/>
  <c r="J842" i="17"/>
  <c r="G842" i="17"/>
  <c r="K824" i="17"/>
  <c r="J824" i="17"/>
  <c r="G824" i="17"/>
  <c r="J95" i="17"/>
  <c r="K95" i="17"/>
  <c r="G95" i="17"/>
  <c r="J917" i="17"/>
  <c r="K917" i="17"/>
  <c r="G917" i="17"/>
  <c r="K1037" i="17"/>
  <c r="J1037" i="17"/>
  <c r="G1037" i="17"/>
  <c r="K957" i="17"/>
  <c r="J957" i="17"/>
  <c r="G957" i="17"/>
  <c r="K1057" i="17"/>
  <c r="J1057" i="17"/>
  <c r="G1057" i="17"/>
  <c r="K285" i="17"/>
  <c r="J285" i="17"/>
  <c r="G285" i="17"/>
  <c r="J628" i="17"/>
  <c r="K628" i="17"/>
  <c r="G628" i="17"/>
  <c r="K612" i="17"/>
  <c r="J612" i="17"/>
  <c r="G612" i="17"/>
  <c r="J85" i="17"/>
  <c r="K85" i="17"/>
  <c r="G85" i="17"/>
  <c r="J596" i="17"/>
  <c r="K596" i="17"/>
  <c r="G596" i="17"/>
  <c r="J879" i="17"/>
  <c r="K879" i="17"/>
  <c r="G879" i="17"/>
  <c r="J105" i="17"/>
  <c r="K105" i="17"/>
  <c r="G105" i="17"/>
  <c r="K488" i="17"/>
  <c r="J488" i="17"/>
  <c r="G488" i="17"/>
  <c r="J341" i="17"/>
  <c r="G341" i="17"/>
  <c r="K341" i="17"/>
  <c r="G313" i="17"/>
  <c r="K313" i="17"/>
  <c r="J313" i="17"/>
  <c r="G413" i="17"/>
  <c r="J413" i="17"/>
  <c r="K413" i="17"/>
  <c r="J443" i="17"/>
  <c r="K443" i="17"/>
  <c r="G443" i="17"/>
  <c r="J1437" i="17"/>
  <c r="K1437" i="17"/>
  <c r="G1437" i="17"/>
  <c r="J172" i="17"/>
  <c r="K172" i="17"/>
  <c r="G172" i="17"/>
  <c r="J271" i="17"/>
  <c r="K271" i="17"/>
  <c r="G271" i="17"/>
  <c r="K1277" i="17"/>
  <c r="J1277" i="17"/>
  <c r="G1277" i="17"/>
  <c r="J136" i="17"/>
  <c r="K136" i="17"/>
  <c r="G136" i="17"/>
  <c r="J75" i="17"/>
  <c r="G75" i="17"/>
  <c r="K75" i="17"/>
  <c r="J1697" i="17"/>
  <c r="K1697" i="17"/>
  <c r="G1697" i="17"/>
  <c r="J977" i="17"/>
  <c r="K977" i="17"/>
  <c r="G977" i="17"/>
  <c r="J65" i="17"/>
  <c r="G65" i="17"/>
  <c r="K65" i="17"/>
  <c r="J1517" i="17"/>
  <c r="K1517" i="17"/>
  <c r="G1517" i="17"/>
  <c r="J148" i="17"/>
  <c r="K148" i="17"/>
  <c r="G148" i="17"/>
  <c r="J196" i="17"/>
  <c r="K196" i="17"/>
  <c r="G196" i="17"/>
  <c r="J1457" i="17"/>
  <c r="K1457" i="17"/>
  <c r="G1457" i="17"/>
  <c r="K1097" i="17"/>
  <c r="J1097" i="17"/>
  <c r="G1097" i="17"/>
  <c r="J997" i="17"/>
  <c r="K997" i="17"/>
  <c r="G997" i="17"/>
  <c r="J644" i="17"/>
  <c r="K644" i="17"/>
  <c r="G644" i="17"/>
  <c r="J680" i="17"/>
  <c r="K680" i="17"/>
  <c r="G680" i="17"/>
  <c r="K1357" i="17"/>
  <c r="J1357" i="17"/>
  <c r="G1357" i="17"/>
  <c r="K937" i="17"/>
  <c r="J937" i="17"/>
  <c r="G937" i="17"/>
  <c r="K1677" i="17"/>
  <c r="J1677" i="17"/>
  <c r="G1677" i="17"/>
  <c r="J1577" i="17"/>
  <c r="K1577" i="17"/>
  <c r="G1577" i="17"/>
  <c r="J806" i="17"/>
  <c r="K806" i="17"/>
  <c r="G806" i="17"/>
  <c r="J788" i="17"/>
  <c r="K788" i="17"/>
  <c r="G788" i="17"/>
  <c r="J1637" i="17"/>
  <c r="K1637" i="17"/>
  <c r="G1637" i="17"/>
  <c r="J734" i="17"/>
  <c r="K734" i="17"/>
  <c r="G734" i="17"/>
  <c r="K1477" i="17"/>
  <c r="J1477" i="17"/>
  <c r="G1477" i="17"/>
  <c r="J1397" i="17"/>
  <c r="K1397" i="17"/>
  <c r="G1397" i="17"/>
  <c r="J1257" i="17"/>
  <c r="K1257" i="17"/>
  <c r="G1257" i="17"/>
  <c r="J464" i="17"/>
  <c r="K464" i="17"/>
  <c r="G464" i="17"/>
  <c r="K586" i="17"/>
  <c r="J586" i="17"/>
  <c r="G586" i="17"/>
  <c r="J1364" i="17"/>
  <c r="K1364" i="17"/>
  <c r="G1364" i="17"/>
  <c r="K554" i="17"/>
  <c r="J554" i="17"/>
  <c r="G554" i="17"/>
  <c r="K250" i="17"/>
  <c r="J250" i="17"/>
  <c r="G250" i="17"/>
  <c r="J539" i="17"/>
  <c r="K539" i="17"/>
  <c r="G539" i="17"/>
  <c r="K1124" i="17"/>
  <c r="J1124" i="17"/>
  <c r="G1124" i="17"/>
  <c r="J1004" i="17"/>
  <c r="K1004" i="17"/>
  <c r="G1004" i="17"/>
  <c r="J1624" i="17"/>
  <c r="K1624" i="17"/>
  <c r="G1624" i="17"/>
  <c r="K1244" i="17"/>
  <c r="J1244" i="17"/>
  <c r="G1244" i="17"/>
  <c r="K602" i="17"/>
  <c r="J602" i="17"/>
  <c r="G602" i="17"/>
  <c r="K434" i="17"/>
  <c r="G434" i="17"/>
  <c r="J434" i="17"/>
  <c r="K494" i="17"/>
  <c r="J494" i="17"/>
  <c r="G494" i="17"/>
  <c r="K984" i="17"/>
  <c r="J984" i="17"/>
  <c r="G984" i="17"/>
  <c r="J142" i="17"/>
  <c r="K142" i="17"/>
  <c r="G142" i="17"/>
  <c r="J1024" i="17"/>
  <c r="K1024" i="17"/>
  <c r="G1024" i="17"/>
  <c r="G263" i="17"/>
  <c r="J263" i="17"/>
  <c r="K263" i="17"/>
  <c r="K741" i="17"/>
  <c r="J741" i="17"/>
  <c r="G741" i="17"/>
  <c r="K1824" i="17"/>
  <c r="J1824" i="17"/>
  <c r="G1824" i="17"/>
  <c r="J687" i="17"/>
  <c r="K687" i="17"/>
  <c r="G687" i="17"/>
  <c r="G404" i="17"/>
  <c r="K404" i="17"/>
  <c r="J404" i="17"/>
  <c r="K1564" i="17"/>
  <c r="J1564" i="17"/>
  <c r="G1564" i="17"/>
  <c r="J1424" i="17"/>
  <c r="K1424" i="17"/>
  <c r="G1424" i="17"/>
  <c r="J166" i="17"/>
  <c r="K166" i="17"/>
  <c r="G166" i="17"/>
  <c r="J1744" i="17"/>
  <c r="K1744" i="17"/>
  <c r="G1744" i="17"/>
  <c r="K1144" i="17"/>
  <c r="J1144" i="17"/>
  <c r="G1144" i="17"/>
  <c r="K618" i="17"/>
  <c r="J618" i="17"/>
  <c r="G618" i="17"/>
  <c r="K1284" i="17"/>
  <c r="J1284" i="17"/>
  <c r="G1284" i="17"/>
  <c r="K1444" i="17"/>
  <c r="J1444" i="17"/>
  <c r="G1444" i="17"/>
  <c r="J924" i="17"/>
  <c r="K924" i="17"/>
  <c r="G924" i="17"/>
  <c r="K634" i="17"/>
  <c r="J634" i="17"/>
  <c r="G634" i="17"/>
  <c r="J1084" i="17"/>
  <c r="K1084" i="17"/>
  <c r="G1084" i="17"/>
  <c r="J178" i="17"/>
  <c r="K178" i="17"/>
  <c r="G178" i="17"/>
  <c r="J226" i="17"/>
  <c r="G226" i="17"/>
  <c r="K226" i="17"/>
  <c r="J1604" i="17"/>
  <c r="K1604" i="17"/>
  <c r="G1604" i="17"/>
  <c r="G361" i="17"/>
  <c r="J361" i="17"/>
  <c r="K361" i="17"/>
  <c r="K305" i="17"/>
  <c r="G305" i="17"/>
  <c r="J305" i="17"/>
  <c r="K905" i="17"/>
  <c r="J905" i="17"/>
  <c r="G905" i="17"/>
  <c r="J524" i="17"/>
  <c r="K524" i="17"/>
  <c r="G524" i="17"/>
  <c r="J238" i="17"/>
  <c r="K238" i="17"/>
  <c r="G238" i="17"/>
  <c r="K1044" i="17"/>
  <c r="J1044" i="17"/>
  <c r="G1044" i="17"/>
  <c r="J1064" i="17"/>
  <c r="K1064" i="17"/>
  <c r="G1064" i="17"/>
  <c r="J1684" i="17"/>
  <c r="K1684" i="17"/>
  <c r="G1684" i="17"/>
  <c r="K1464" i="17"/>
  <c r="J1464" i="17"/>
  <c r="G1464" i="17"/>
  <c r="J849" i="17"/>
  <c r="K849" i="17"/>
  <c r="G849" i="17"/>
  <c r="J1524" i="17"/>
  <c r="K1524" i="17"/>
  <c r="G1524" i="17"/>
  <c r="J1544" i="17"/>
  <c r="K1544" i="17"/>
  <c r="G1544" i="17"/>
  <c r="K570" i="17"/>
  <c r="J570" i="17"/>
  <c r="G570" i="17"/>
  <c r="J1644" i="17"/>
  <c r="K1644" i="17"/>
  <c r="G1644" i="17"/>
  <c r="K651" i="17"/>
  <c r="J651" i="17"/>
  <c r="G651" i="17"/>
  <c r="J1724" i="17"/>
  <c r="K1724" i="17"/>
  <c r="G1724" i="17"/>
  <c r="J1804" i="17"/>
  <c r="K1804" i="17"/>
  <c r="G1804" i="17"/>
  <c r="K1484" i="17"/>
  <c r="J1484" i="17"/>
  <c r="G1484" i="17"/>
  <c r="J1784" i="17"/>
  <c r="K1784" i="17"/>
  <c r="G1784" i="17"/>
  <c r="J277" i="17"/>
  <c r="G277" i="17"/>
  <c r="K277" i="17"/>
  <c r="J1224" i="17"/>
  <c r="K1224" i="17"/>
  <c r="G1224" i="17"/>
  <c r="J202" i="17"/>
  <c r="G202" i="17"/>
  <c r="K202" i="17"/>
  <c r="J154" i="17"/>
  <c r="K154" i="17"/>
  <c r="G154" i="17"/>
  <c r="K333" i="17"/>
  <c r="J333" i="17"/>
  <c r="G333" i="17"/>
  <c r="K1584" i="17"/>
  <c r="J1584" i="17"/>
  <c r="G1584" i="17"/>
  <c r="J131" i="17"/>
  <c r="K131" i="17"/>
  <c r="G131" i="17"/>
  <c r="J886" i="17"/>
  <c r="K886" i="17"/>
  <c r="G886" i="17"/>
  <c r="J964" i="17"/>
  <c r="K964" i="17"/>
  <c r="G964" i="17"/>
  <c r="K1324" i="17"/>
  <c r="J1324" i="17"/>
  <c r="G1324" i="17"/>
  <c r="K1264" i="17"/>
  <c r="J1264" i="17"/>
  <c r="G1264" i="17"/>
  <c r="G389" i="17"/>
  <c r="K389" i="17"/>
  <c r="J389" i="17"/>
  <c r="K1184" i="17"/>
  <c r="J1184" i="17"/>
  <c r="G1184" i="17"/>
  <c r="K795" i="17"/>
  <c r="J795" i="17"/>
  <c r="G795" i="17"/>
  <c r="J190" i="17"/>
  <c r="K190" i="17"/>
  <c r="G190" i="17"/>
  <c r="K1504" i="17"/>
  <c r="J1504" i="17"/>
  <c r="G1504" i="17"/>
  <c r="K1164" i="17"/>
  <c r="J1164" i="17"/>
  <c r="G1164" i="17"/>
  <c r="J1844" i="17"/>
  <c r="K1844" i="17"/>
  <c r="G1844" i="17"/>
  <c r="J509" i="17"/>
  <c r="K509" i="17"/>
  <c r="G509" i="17"/>
  <c r="K777" i="17"/>
  <c r="J777" i="17"/>
  <c r="G777" i="17"/>
  <c r="J1304" i="17"/>
  <c r="K1304" i="17"/>
  <c r="G1304" i="17"/>
  <c r="J705" i="17"/>
  <c r="K705" i="17"/>
  <c r="G705" i="17"/>
  <c r="J831" i="17"/>
  <c r="K831" i="17"/>
  <c r="G831" i="17"/>
  <c r="J669" i="17"/>
  <c r="K669" i="17"/>
  <c r="G669" i="17"/>
  <c r="J1704" i="17"/>
  <c r="K1704" i="17"/>
  <c r="G1704" i="17"/>
  <c r="J1404" i="17"/>
  <c r="K1404" i="17"/>
  <c r="G1404" i="17"/>
  <c r="J1764" i="17"/>
  <c r="K1764" i="17"/>
  <c r="G1764" i="17"/>
  <c r="K375" i="17"/>
  <c r="J375" i="17"/>
  <c r="G375" i="17"/>
  <c r="K1384" i="17"/>
  <c r="J1384" i="17"/>
  <c r="G1384" i="17"/>
  <c r="G214" i="17"/>
  <c r="J214" i="17"/>
  <c r="K214" i="17"/>
  <c r="G319" i="17"/>
  <c r="J319" i="17"/>
  <c r="K319" i="17"/>
  <c r="J867" i="17"/>
  <c r="K867" i="17"/>
  <c r="G867" i="17"/>
  <c r="J419" i="17"/>
  <c r="G419" i="17"/>
  <c r="K419" i="17"/>
  <c r="J1344" i="17"/>
  <c r="K1344" i="17"/>
  <c r="G1344" i="17"/>
  <c r="K1104" i="17"/>
  <c r="J1104" i="17"/>
  <c r="G1104" i="17"/>
  <c r="J723" i="17"/>
  <c r="K723" i="17"/>
  <c r="G723" i="17"/>
  <c r="K479" i="17"/>
  <c r="J479" i="17"/>
  <c r="G479" i="17"/>
  <c r="G291" i="17"/>
  <c r="K291" i="17"/>
  <c r="J291" i="17"/>
  <c r="K759" i="17"/>
  <c r="J759" i="17"/>
  <c r="G759" i="17"/>
  <c r="J1884" i="17"/>
  <c r="K1884" i="17"/>
  <c r="G1884" i="17"/>
  <c r="K1864" i="17"/>
  <c r="J1864" i="17"/>
  <c r="G1864" i="17"/>
  <c r="G347" i="17"/>
  <c r="J347" i="17"/>
  <c r="K347" i="17"/>
  <c r="J449" i="17"/>
  <c r="G449" i="17"/>
  <c r="K449" i="17"/>
  <c r="J813" i="17"/>
  <c r="K813" i="17"/>
  <c r="G813" i="17"/>
  <c r="J944" i="17"/>
  <c r="K944" i="17"/>
  <c r="G944" i="17"/>
  <c r="J1664" i="17"/>
  <c r="K1664" i="17"/>
  <c r="G1664" i="17"/>
  <c r="K1204" i="17"/>
  <c r="J1204" i="17"/>
  <c r="G1204" i="17"/>
  <c r="J1010" i="17"/>
  <c r="K1010" i="17"/>
  <c r="G1010" i="17"/>
  <c r="K485" i="17"/>
  <c r="J485" i="17"/>
  <c r="G485" i="17"/>
  <c r="G470" i="17"/>
  <c r="J470" i="17"/>
  <c r="K470" i="17"/>
  <c r="J1870" i="17"/>
  <c r="K1870" i="17"/>
  <c r="G1870" i="17"/>
  <c r="K1290" i="17"/>
  <c r="J1290" i="17"/>
  <c r="G1290" i="17"/>
  <c r="J147" i="17"/>
  <c r="K147" i="17"/>
  <c r="G147" i="17"/>
  <c r="J1370" i="17"/>
  <c r="K1370" i="17"/>
  <c r="G1370" i="17"/>
  <c r="G256" i="17"/>
  <c r="J256" i="17"/>
  <c r="K256" i="17"/>
  <c r="J530" i="17"/>
  <c r="K530" i="17"/>
  <c r="G530" i="17"/>
  <c r="G367" i="17"/>
  <c r="K367" i="17"/>
  <c r="J367" i="17"/>
  <c r="J576" i="17"/>
  <c r="K576" i="17"/>
  <c r="G576" i="17"/>
  <c r="J1790" i="17"/>
  <c r="K1790" i="17"/>
  <c r="G1790" i="17"/>
  <c r="J171" i="17"/>
  <c r="K171" i="17"/>
  <c r="G171" i="17"/>
  <c r="K353" i="17"/>
  <c r="J353" i="17"/>
  <c r="G353" i="17"/>
  <c r="J1630" i="17"/>
  <c r="K1630" i="17"/>
  <c r="G1630" i="17"/>
  <c r="K1590" i="17"/>
  <c r="J1590" i="17"/>
  <c r="G1590" i="17"/>
  <c r="J1810" i="17"/>
  <c r="K1810" i="17"/>
  <c r="G1810" i="17"/>
  <c r="K1690" i="17"/>
  <c r="J1690" i="17"/>
  <c r="G1690" i="17"/>
  <c r="G455" i="17"/>
  <c r="J455" i="17"/>
  <c r="K455" i="17"/>
  <c r="K1830" i="17"/>
  <c r="J1830" i="17"/>
  <c r="G1830" i="17"/>
  <c r="K747" i="17"/>
  <c r="J747" i="17"/>
  <c r="G747" i="17"/>
  <c r="J1150" i="17"/>
  <c r="K1150" i="17"/>
  <c r="G1150" i="17"/>
  <c r="K1170" i="17"/>
  <c r="J1170" i="17"/>
  <c r="G1170" i="17"/>
  <c r="J1310" i="17"/>
  <c r="K1310" i="17"/>
  <c r="G1310" i="17"/>
  <c r="K1470" i="17"/>
  <c r="J1470" i="17"/>
  <c r="G1470" i="17"/>
  <c r="J339" i="17"/>
  <c r="G339" i="17"/>
  <c r="K339" i="17"/>
  <c r="G325" i="17"/>
  <c r="K325" i="17"/>
  <c r="J325" i="17"/>
  <c r="G243" i="17"/>
  <c r="K243" i="17"/>
  <c r="J243" i="17"/>
  <c r="K1390" i="17"/>
  <c r="J1390" i="17"/>
  <c r="G1390" i="17"/>
  <c r="K425" i="17"/>
  <c r="J425" i="17"/>
  <c r="G425" i="17"/>
  <c r="K1190" i="17"/>
  <c r="J1190" i="17"/>
  <c r="G1190" i="17"/>
  <c r="J657" i="17"/>
  <c r="K657" i="17"/>
  <c r="G657" i="17"/>
  <c r="J892" i="17"/>
  <c r="K892" i="17"/>
  <c r="G892" i="17"/>
  <c r="J911" i="17"/>
  <c r="K911" i="17"/>
  <c r="G911" i="17"/>
  <c r="J930" i="17"/>
  <c r="K930" i="17"/>
  <c r="G930" i="17"/>
  <c r="J765" i="17"/>
  <c r="K765" i="17"/>
  <c r="G765" i="17"/>
  <c r="J1770" i="17"/>
  <c r="K1770" i="17"/>
  <c r="G1770" i="17"/>
  <c r="J183" i="17"/>
  <c r="K183" i="17"/>
  <c r="G183" i="17"/>
  <c r="J1210" i="17"/>
  <c r="K1210" i="17"/>
  <c r="G1210" i="17"/>
  <c r="J950" i="17"/>
  <c r="K950" i="17"/>
  <c r="G950" i="17"/>
  <c r="K1530" i="17"/>
  <c r="J1530" i="17"/>
  <c r="G1530" i="17"/>
  <c r="J1490" i="17"/>
  <c r="K1490" i="17"/>
  <c r="G1490" i="17"/>
  <c r="K1230" i="17"/>
  <c r="J1230" i="17"/>
  <c r="G1230" i="17"/>
  <c r="J693" i="17"/>
  <c r="K693" i="17"/>
  <c r="G693" i="17"/>
  <c r="J1550" i="17"/>
  <c r="K1550" i="17"/>
  <c r="G1550" i="17"/>
  <c r="K1130" i="17"/>
  <c r="J1130" i="17"/>
  <c r="G1130" i="17"/>
  <c r="K1610" i="17"/>
  <c r="J1610" i="17"/>
  <c r="G1610" i="17"/>
  <c r="K311" i="17"/>
  <c r="G311" i="17"/>
  <c r="J311" i="17"/>
  <c r="J1670" i="17"/>
  <c r="K1670" i="17"/>
  <c r="G1670" i="17"/>
  <c r="K1110" i="17"/>
  <c r="J1110" i="17"/>
  <c r="G1110" i="17"/>
  <c r="K1090" i="17"/>
  <c r="J1090" i="17"/>
  <c r="G1090" i="17"/>
  <c r="J1030" i="17"/>
  <c r="K1030" i="17"/>
  <c r="G1030" i="17"/>
  <c r="K545" i="17"/>
  <c r="J545" i="17"/>
  <c r="G545" i="17"/>
  <c r="J195" i="17"/>
  <c r="K195" i="17"/>
  <c r="G195" i="17"/>
  <c r="J970" i="17"/>
  <c r="K970" i="17"/>
  <c r="G970" i="17"/>
  <c r="J1850" i="17"/>
  <c r="K1850" i="17"/>
  <c r="G1850" i="17"/>
  <c r="K381" i="17"/>
  <c r="G381" i="17"/>
  <c r="J381" i="17"/>
  <c r="G410" i="17"/>
  <c r="J410" i="17"/>
  <c r="K410" i="17"/>
  <c r="J515" i="17"/>
  <c r="K515" i="17"/>
  <c r="G515" i="17"/>
  <c r="J1750" i="17"/>
  <c r="K1750" i="17"/>
  <c r="G1750" i="17"/>
  <c r="J1250" i="17"/>
  <c r="K1250" i="17"/>
  <c r="G1250" i="17"/>
  <c r="J873" i="17"/>
  <c r="K873" i="17"/>
  <c r="G873" i="17"/>
  <c r="K1050" i="17"/>
  <c r="J1050" i="17"/>
  <c r="G1050" i="17"/>
  <c r="K855" i="17"/>
  <c r="J855" i="17"/>
  <c r="G855" i="17"/>
  <c r="J819" i="17"/>
  <c r="K819" i="17"/>
  <c r="G819" i="17"/>
  <c r="G395" i="17"/>
  <c r="J395" i="17"/>
  <c r="K395" i="17"/>
  <c r="J297" i="17"/>
  <c r="K297" i="17"/>
  <c r="G297" i="17"/>
  <c r="J1330" i="17"/>
  <c r="K1330" i="17"/>
  <c r="G1330" i="17"/>
  <c r="J283" i="17"/>
  <c r="G283" i="17"/>
  <c r="K283" i="17"/>
  <c r="J269" i="17"/>
  <c r="K269" i="17"/>
  <c r="G269" i="17"/>
  <c r="K1450" i="17"/>
  <c r="J1450" i="17"/>
  <c r="G1450" i="17"/>
  <c r="K1710" i="17"/>
  <c r="J1710" i="17"/>
  <c r="G1710" i="17"/>
  <c r="J1730" i="17"/>
  <c r="K1730" i="17"/>
  <c r="G1730" i="17"/>
  <c r="G231" i="17"/>
  <c r="J231" i="17"/>
  <c r="K231" i="17"/>
  <c r="K1510" i="17"/>
  <c r="J1510" i="17"/>
  <c r="G1510" i="17"/>
  <c r="G440" i="17"/>
  <c r="J440" i="17"/>
  <c r="K440" i="17"/>
  <c r="K1350" i="17"/>
  <c r="J1350" i="17"/>
  <c r="G1350" i="17"/>
  <c r="J1570" i="17"/>
  <c r="K1570" i="17"/>
  <c r="G1570" i="17"/>
  <c r="K801" i="17"/>
  <c r="J801" i="17"/>
  <c r="G801" i="17"/>
  <c r="J837" i="17"/>
  <c r="K837" i="17"/>
  <c r="G837" i="17"/>
  <c r="J783" i="17"/>
  <c r="K783" i="17"/>
  <c r="G783" i="17"/>
  <c r="K990" i="17"/>
  <c r="J990" i="17"/>
  <c r="G990" i="17"/>
  <c r="G207" i="17"/>
  <c r="J207" i="17"/>
  <c r="K207" i="17"/>
  <c r="J640" i="17"/>
  <c r="K640" i="17"/>
  <c r="G640" i="17"/>
  <c r="J1070" i="17"/>
  <c r="K1070" i="17"/>
  <c r="G1070" i="17"/>
  <c r="K624" i="17"/>
  <c r="J624" i="17"/>
  <c r="G624" i="17"/>
  <c r="J608" i="17"/>
  <c r="K608" i="17"/>
  <c r="G608" i="17"/>
  <c r="J675" i="17"/>
  <c r="K675" i="17"/>
  <c r="G675" i="17"/>
  <c r="J159" i="17"/>
  <c r="K159" i="17"/>
  <c r="G159" i="17"/>
  <c r="G219" i="17"/>
  <c r="J219" i="17"/>
  <c r="K219" i="17"/>
  <c r="J711" i="17"/>
  <c r="K711" i="17"/>
  <c r="G711" i="17"/>
  <c r="J592" i="17"/>
  <c r="K592" i="17"/>
  <c r="G592" i="17"/>
  <c r="J1650" i="17"/>
  <c r="K1650" i="17"/>
  <c r="G1650" i="17"/>
  <c r="K1270" i="17"/>
  <c r="J1270" i="17"/>
  <c r="G1270" i="17"/>
  <c r="J560" i="17"/>
  <c r="K560" i="17"/>
  <c r="G560" i="17"/>
  <c r="K500" i="17"/>
  <c r="G500" i="17"/>
  <c r="J500" i="17"/>
  <c r="J729" i="17"/>
  <c r="K729" i="17"/>
  <c r="G729" i="17"/>
  <c r="J1410" i="17"/>
  <c r="K1410" i="17"/>
  <c r="G1410" i="17"/>
  <c r="J1430" i="17"/>
  <c r="K1430" i="17"/>
  <c r="G1430" i="17"/>
  <c r="J1385" i="17"/>
  <c r="K1385" i="17"/>
  <c r="G1385" i="17"/>
  <c r="K945" i="17"/>
  <c r="J945" i="17"/>
  <c r="G945" i="17"/>
  <c r="J1245" i="17"/>
  <c r="K1245" i="17"/>
  <c r="G1245" i="17"/>
  <c r="J1625" i="17"/>
  <c r="K1625" i="17"/>
  <c r="G1625" i="17"/>
  <c r="J1085" i="17"/>
  <c r="K1085" i="17"/>
  <c r="G1085" i="17"/>
  <c r="J1505" i="17"/>
  <c r="K1505" i="17"/>
  <c r="G1505" i="17"/>
  <c r="J1345" i="17"/>
  <c r="K1345" i="17"/>
  <c r="G1345" i="17"/>
  <c r="G334" i="17"/>
  <c r="J334" i="17"/>
  <c r="K334" i="17"/>
  <c r="J1365" i="17"/>
  <c r="K1365" i="17"/>
  <c r="G1365" i="17"/>
  <c r="J1865" i="17"/>
  <c r="K1865" i="17"/>
  <c r="G1865" i="17"/>
  <c r="K1185" i="17"/>
  <c r="J1185" i="17"/>
  <c r="G1185" i="17"/>
  <c r="K1665" i="17"/>
  <c r="J1665" i="17"/>
  <c r="G1665" i="17"/>
  <c r="J525" i="17"/>
  <c r="K525" i="17"/>
  <c r="G525" i="17"/>
  <c r="K435" i="17"/>
  <c r="J435" i="17"/>
  <c r="G435" i="17"/>
  <c r="K814" i="17"/>
  <c r="J814" i="17"/>
  <c r="G814" i="17"/>
  <c r="J1485" i="17"/>
  <c r="K1485" i="17"/>
  <c r="G1485" i="17"/>
  <c r="J1465" i="17"/>
  <c r="K1465" i="17"/>
  <c r="G1465" i="17"/>
  <c r="K1285" i="17"/>
  <c r="J1285" i="17"/>
  <c r="G1285" i="17"/>
  <c r="J1205" i="17"/>
  <c r="K1205" i="17"/>
  <c r="G1205" i="17"/>
  <c r="K1165" i="17"/>
  <c r="J1165" i="17"/>
  <c r="G1165" i="17"/>
  <c r="G450" i="17"/>
  <c r="K450" i="17"/>
  <c r="J450" i="17"/>
  <c r="J1545" i="17"/>
  <c r="K1545" i="17"/>
  <c r="G1545" i="17"/>
  <c r="J925" i="17"/>
  <c r="K925" i="17"/>
  <c r="G925" i="17"/>
  <c r="K1145" i="17"/>
  <c r="J1145" i="17"/>
  <c r="G1145" i="17"/>
  <c r="J1805" i="17"/>
  <c r="K1805" i="17"/>
  <c r="G1805" i="17"/>
  <c r="J495" i="17"/>
  <c r="G495" i="17"/>
  <c r="K495" i="17"/>
  <c r="K635" i="17"/>
  <c r="J635" i="17"/>
  <c r="G635" i="17"/>
  <c r="K1825" i="17"/>
  <c r="J1825" i="17"/>
  <c r="G1825" i="17"/>
  <c r="J1305" i="17"/>
  <c r="K1305" i="17"/>
  <c r="G1305" i="17"/>
  <c r="K1605" i="17"/>
  <c r="J1605" i="17"/>
  <c r="G1605" i="17"/>
  <c r="J850" i="17"/>
  <c r="K850" i="17"/>
  <c r="G850" i="17"/>
  <c r="G348" i="17"/>
  <c r="J348" i="17"/>
  <c r="K348" i="17"/>
  <c r="K587" i="17"/>
  <c r="J587" i="17"/>
  <c r="G587" i="17"/>
  <c r="K1645" i="17"/>
  <c r="J1645" i="17"/>
  <c r="G1645" i="17"/>
  <c r="J1005" i="17"/>
  <c r="K1005" i="17"/>
  <c r="G1005" i="17"/>
  <c r="K742" i="17"/>
  <c r="J742" i="17"/>
  <c r="G742" i="17"/>
  <c r="G320" i="17"/>
  <c r="J320" i="17"/>
  <c r="K320" i="17"/>
  <c r="J1065" i="17"/>
  <c r="K1065" i="17"/>
  <c r="G1065" i="17"/>
  <c r="K985" i="17"/>
  <c r="J985" i="17"/>
  <c r="G985" i="17"/>
  <c r="K362" i="17"/>
  <c r="G362" i="17"/>
  <c r="J362" i="17"/>
  <c r="G376" i="17"/>
  <c r="K376" i="17"/>
  <c r="J376" i="17"/>
  <c r="J390" i="17"/>
  <c r="K390" i="17"/>
  <c r="G390" i="17"/>
  <c r="J264" i="17"/>
  <c r="G264" i="17"/>
  <c r="K264" i="17"/>
  <c r="J1565" i="17"/>
  <c r="K1565" i="17"/>
  <c r="G1565" i="17"/>
  <c r="K480" i="17"/>
  <c r="J480" i="17"/>
  <c r="G480" i="17"/>
  <c r="K1445" i="17"/>
  <c r="J1445" i="17"/>
  <c r="G1445" i="17"/>
  <c r="J1125" i="17"/>
  <c r="K1125" i="17"/>
  <c r="G1125" i="17"/>
  <c r="K251" i="17"/>
  <c r="G251" i="17"/>
  <c r="J251" i="17"/>
  <c r="K778" i="17"/>
  <c r="J778" i="17"/>
  <c r="G778" i="17"/>
  <c r="J1425" i="17"/>
  <c r="K1425" i="17"/>
  <c r="G1425" i="17"/>
  <c r="K760" i="17"/>
  <c r="J760" i="17"/>
  <c r="G760" i="17"/>
  <c r="K1725" i="17"/>
  <c r="J1725" i="17"/>
  <c r="G1725" i="17"/>
  <c r="K1745" i="17"/>
  <c r="J1745" i="17"/>
  <c r="G1745" i="17"/>
  <c r="J306" i="17"/>
  <c r="K306" i="17"/>
  <c r="G306" i="17"/>
  <c r="J724" i="17"/>
  <c r="K724" i="17"/>
  <c r="G724" i="17"/>
  <c r="J1885" i="17"/>
  <c r="K1885" i="17"/>
  <c r="G1885" i="17"/>
  <c r="J1765" i="17"/>
  <c r="K1765" i="17"/>
  <c r="G1765" i="17"/>
  <c r="J965" i="17"/>
  <c r="K965" i="17"/>
  <c r="G965" i="17"/>
  <c r="J555" i="17"/>
  <c r="K555" i="17"/>
  <c r="G555" i="17"/>
  <c r="K292" i="17"/>
  <c r="J292" i="17"/>
  <c r="G292" i="17"/>
  <c r="J1025" i="17"/>
  <c r="K1025" i="17"/>
  <c r="G1025" i="17"/>
  <c r="J1685" i="17"/>
  <c r="K1685" i="17"/>
  <c r="G1685" i="17"/>
  <c r="K868" i="17"/>
  <c r="J868" i="17"/>
  <c r="G868" i="17"/>
  <c r="J1405" i="17"/>
  <c r="K1405" i="17"/>
  <c r="G1405" i="17"/>
  <c r="J652" i="17"/>
  <c r="K652" i="17"/>
  <c r="G652" i="17"/>
  <c r="K510" i="17"/>
  <c r="J510" i="17"/>
  <c r="G510" i="17"/>
  <c r="J465" i="17"/>
  <c r="G465" i="17"/>
  <c r="K465" i="17"/>
  <c r="J619" i="17"/>
  <c r="K619" i="17"/>
  <c r="G619" i="17"/>
  <c r="J688" i="17"/>
  <c r="K688" i="17"/>
  <c r="G688" i="17"/>
  <c r="K1845" i="17"/>
  <c r="J1845" i="17"/>
  <c r="G1845" i="17"/>
  <c r="J906" i="17"/>
  <c r="K906" i="17"/>
  <c r="G906" i="17"/>
  <c r="J670" i="17"/>
  <c r="K670" i="17"/>
  <c r="G670" i="17"/>
  <c r="K603" i="17"/>
  <c r="J603" i="17"/>
  <c r="G603" i="17"/>
  <c r="J405" i="17"/>
  <c r="G405" i="17"/>
  <c r="K405" i="17"/>
  <c r="K540" i="17"/>
  <c r="J540" i="17"/>
  <c r="G540" i="17"/>
  <c r="K1705" i="17"/>
  <c r="J1705" i="17"/>
  <c r="G1705" i="17"/>
  <c r="J887" i="17"/>
  <c r="K887" i="17"/>
  <c r="G887" i="17"/>
  <c r="J1525" i="17"/>
  <c r="K1525" i="17"/>
  <c r="G1525" i="17"/>
  <c r="K796" i="17"/>
  <c r="J796" i="17"/>
  <c r="G796" i="17"/>
  <c r="K1105" i="17"/>
  <c r="J1105" i="17"/>
  <c r="G1105" i="17"/>
  <c r="K420" i="17"/>
  <c r="G420" i="17"/>
  <c r="J420" i="17"/>
  <c r="K1585" i="17"/>
  <c r="J1585" i="17"/>
  <c r="G1585" i="17"/>
  <c r="K1045" i="17"/>
  <c r="J1045" i="17"/>
  <c r="G1045" i="17"/>
  <c r="J278" i="17"/>
  <c r="G278" i="17"/>
  <c r="K278" i="17"/>
  <c r="J1225" i="17"/>
  <c r="K1225" i="17"/>
  <c r="G1225" i="17"/>
  <c r="J832" i="17"/>
  <c r="K832" i="17"/>
  <c r="G832" i="17"/>
  <c r="J1325" i="17"/>
  <c r="K1325" i="17"/>
  <c r="G1325" i="17"/>
  <c r="J1785" i="17"/>
  <c r="K1785" i="17"/>
  <c r="G1785" i="17"/>
  <c r="K571" i="17"/>
  <c r="J571" i="17"/>
  <c r="G571" i="17"/>
  <c r="J706" i="17"/>
  <c r="K706" i="17"/>
  <c r="G706" i="17"/>
  <c r="K1265" i="17"/>
  <c r="J1265" i="17"/>
  <c r="G1265" i="17"/>
  <c r="K1511" i="17"/>
  <c r="J1511" i="17"/>
  <c r="G1511" i="17"/>
  <c r="K1351" i="17"/>
  <c r="J1351" i="17"/>
  <c r="G1351" i="17"/>
  <c r="J912" i="17"/>
  <c r="K912" i="17"/>
  <c r="G912" i="17"/>
  <c r="K1851" i="17"/>
  <c r="J1851" i="17"/>
  <c r="G1851" i="17"/>
  <c r="J561" i="17"/>
  <c r="K561" i="17"/>
  <c r="G561" i="17"/>
  <c r="K1291" i="17"/>
  <c r="J1291" i="17"/>
  <c r="G1291" i="17"/>
  <c r="K486" i="17"/>
  <c r="G486" i="17"/>
  <c r="J486" i="17"/>
  <c r="J1671" i="17"/>
  <c r="K1671" i="17"/>
  <c r="G1671" i="17"/>
  <c r="J931" i="17"/>
  <c r="K931" i="17"/>
  <c r="G931" i="17"/>
  <c r="J1371" i="17"/>
  <c r="K1371" i="17"/>
  <c r="G1371" i="17"/>
  <c r="J1431" i="17"/>
  <c r="K1431" i="17"/>
  <c r="G1431" i="17"/>
  <c r="K340" i="17"/>
  <c r="J340" i="17"/>
  <c r="G340" i="17"/>
  <c r="J712" i="17"/>
  <c r="K712" i="17"/>
  <c r="G712" i="17"/>
  <c r="J1811" i="17"/>
  <c r="K1811" i="17"/>
  <c r="G1811" i="17"/>
  <c r="K1151" i="17"/>
  <c r="J1151" i="17"/>
  <c r="G1151" i="17"/>
  <c r="J1731" i="17"/>
  <c r="K1731" i="17"/>
  <c r="G1731" i="17"/>
  <c r="K856" i="17"/>
  <c r="J856" i="17"/>
  <c r="G856" i="17"/>
  <c r="J874" i="17"/>
  <c r="K874" i="17"/>
  <c r="G874" i="17"/>
  <c r="J1071" i="17"/>
  <c r="K1071" i="17"/>
  <c r="G1071" i="17"/>
  <c r="J1771" i="17"/>
  <c r="K1771" i="17"/>
  <c r="G1771" i="17"/>
  <c r="J1011" i="17"/>
  <c r="K1011" i="17"/>
  <c r="G1011" i="17"/>
  <c r="K971" i="17"/>
  <c r="J971" i="17"/>
  <c r="G971" i="17"/>
  <c r="K991" i="17"/>
  <c r="J991" i="17"/>
  <c r="G991" i="17"/>
  <c r="J456" i="17"/>
  <c r="K456" i="17"/>
  <c r="G456" i="17"/>
  <c r="K1131" i="17"/>
  <c r="J1131" i="17"/>
  <c r="G1131" i="17"/>
  <c r="J784" i="17"/>
  <c r="K784" i="17"/>
  <c r="G784" i="17"/>
  <c r="J730" i="17"/>
  <c r="K730" i="17"/>
  <c r="G730" i="17"/>
  <c r="J1251" i="17"/>
  <c r="K1251" i="17"/>
  <c r="G1251" i="17"/>
  <c r="K1091" i="17"/>
  <c r="J1091" i="17"/>
  <c r="G1091" i="17"/>
  <c r="K1631" i="17"/>
  <c r="J1631" i="17"/>
  <c r="G1631" i="17"/>
  <c r="K1651" i="17"/>
  <c r="J1651" i="17"/>
  <c r="G1651" i="17"/>
  <c r="K1691" i="17"/>
  <c r="J1691" i="17"/>
  <c r="G1691" i="17"/>
  <c r="K1471" i="17"/>
  <c r="J1471" i="17"/>
  <c r="G1471" i="17"/>
  <c r="G354" i="17"/>
  <c r="J354" i="17"/>
  <c r="K354" i="17"/>
  <c r="G298" i="17"/>
  <c r="K298" i="17"/>
  <c r="J298" i="17"/>
  <c r="G270" i="17"/>
  <c r="K270" i="17"/>
  <c r="J270" i="17"/>
  <c r="K312" i="17"/>
  <c r="J312" i="17"/>
  <c r="G312" i="17"/>
  <c r="J1051" i="17"/>
  <c r="K1051" i="17"/>
  <c r="G1051" i="17"/>
  <c r="J1031" i="17"/>
  <c r="K1031" i="17"/>
  <c r="G1031" i="17"/>
  <c r="K658" i="17"/>
  <c r="J658" i="17"/>
  <c r="G658" i="17"/>
  <c r="K501" i="17"/>
  <c r="G501" i="17"/>
  <c r="J501" i="17"/>
  <c r="J641" i="17"/>
  <c r="K641" i="17"/>
  <c r="G641" i="17"/>
  <c r="J577" i="17"/>
  <c r="K577" i="17"/>
  <c r="G577" i="17"/>
  <c r="J951" i="17"/>
  <c r="K951" i="17"/>
  <c r="G951" i="17"/>
  <c r="J1871" i="17"/>
  <c r="K1871" i="17"/>
  <c r="G1871" i="17"/>
  <c r="J516" i="17"/>
  <c r="K516" i="17"/>
  <c r="G516" i="17"/>
  <c r="J1791" i="17"/>
  <c r="K1791" i="17"/>
  <c r="G1791" i="17"/>
  <c r="J1411" i="17"/>
  <c r="K1411" i="17"/>
  <c r="G1411" i="17"/>
  <c r="K748" i="17"/>
  <c r="J748" i="17"/>
  <c r="G748" i="17"/>
  <c r="J766" i="17"/>
  <c r="K766" i="17"/>
  <c r="G766" i="17"/>
  <c r="K802" i="17"/>
  <c r="J802" i="17"/>
  <c r="G802" i="17"/>
  <c r="J820" i="17"/>
  <c r="K820" i="17"/>
  <c r="G820" i="17"/>
  <c r="K694" i="17"/>
  <c r="J694" i="17"/>
  <c r="G694" i="17"/>
  <c r="J625" i="17"/>
  <c r="K625" i="17"/>
  <c r="G625" i="17"/>
  <c r="J838" i="17"/>
  <c r="K838" i="17"/>
  <c r="G838" i="17"/>
  <c r="J676" i="17"/>
  <c r="K676" i="17"/>
  <c r="G676" i="17"/>
  <c r="J426" i="17"/>
  <c r="K426" i="17"/>
  <c r="G426" i="17"/>
  <c r="J893" i="17"/>
  <c r="K893" i="17"/>
  <c r="G893" i="17"/>
  <c r="J411" i="17"/>
  <c r="G411" i="17"/>
  <c r="K411" i="17"/>
  <c r="J1231" i="17"/>
  <c r="K1231" i="17"/>
  <c r="G1231" i="17"/>
  <c r="K1831" i="17"/>
  <c r="J1831" i="17"/>
  <c r="G1831" i="17"/>
  <c r="K396" i="17"/>
  <c r="J396" i="17"/>
  <c r="G396" i="17"/>
  <c r="J1591" i="17"/>
  <c r="K1591" i="17"/>
  <c r="G1591" i="17"/>
  <c r="J609" i="17"/>
  <c r="K609" i="17"/>
  <c r="G609" i="17"/>
  <c r="K1611" i="17"/>
  <c r="J1611" i="17"/>
  <c r="G1611" i="17"/>
  <c r="J1451" i="17"/>
  <c r="K1451" i="17"/>
  <c r="G1451" i="17"/>
  <c r="J1211" i="17"/>
  <c r="K1211" i="17"/>
  <c r="G1211" i="17"/>
  <c r="K1311" i="17"/>
  <c r="J1311" i="17"/>
  <c r="G1311" i="17"/>
  <c r="K1751" i="17"/>
  <c r="J1751" i="17"/>
  <c r="G1751" i="17"/>
  <c r="K1191" i="17"/>
  <c r="J1191" i="17"/>
  <c r="G1191" i="17"/>
  <c r="J1331" i="17"/>
  <c r="K1331" i="17"/>
  <c r="G1331" i="17"/>
  <c r="J382" i="17"/>
  <c r="K382" i="17"/>
  <c r="G382" i="17"/>
  <c r="K1171" i="17"/>
  <c r="J1171" i="17"/>
  <c r="G1171" i="17"/>
  <c r="J1711" i="17"/>
  <c r="K1711" i="17"/>
  <c r="G1711" i="17"/>
  <c r="J1531" i="17"/>
  <c r="K1531" i="17"/>
  <c r="G1531" i="17"/>
  <c r="J593" i="17"/>
  <c r="K593" i="17"/>
  <c r="G593" i="17"/>
  <c r="J1551" i="17"/>
  <c r="K1551" i="17"/>
  <c r="G1551" i="17"/>
  <c r="J368" i="17"/>
  <c r="K368" i="17"/>
  <c r="G368" i="17"/>
  <c r="J441" i="17"/>
  <c r="G441" i="17"/>
  <c r="K441" i="17"/>
  <c r="G471" i="17"/>
  <c r="J471" i="17"/>
  <c r="K471" i="17"/>
  <c r="J1491" i="17"/>
  <c r="K1491" i="17"/>
  <c r="G1491" i="17"/>
  <c r="J531" i="17"/>
  <c r="K531" i="17"/>
  <c r="G531" i="17"/>
  <c r="J546" i="17"/>
  <c r="K546" i="17"/>
  <c r="G546" i="17"/>
  <c r="J326" i="17"/>
  <c r="G326" i="17"/>
  <c r="K326" i="17"/>
  <c r="J1571" i="17"/>
  <c r="K1571" i="17"/>
  <c r="G1571" i="17"/>
  <c r="G284" i="17"/>
  <c r="K284" i="17"/>
  <c r="J284" i="17"/>
  <c r="K1111" i="17"/>
  <c r="J1111" i="17"/>
  <c r="G1111" i="17"/>
  <c r="J1391" i="17"/>
  <c r="K1391" i="17"/>
  <c r="G1391" i="17"/>
  <c r="K1271" i="17"/>
  <c r="J1271" i="17"/>
  <c r="G1271" i="17"/>
  <c r="K750" i="17"/>
  <c r="J750" i="17"/>
  <c r="G750" i="17"/>
  <c r="J1774" i="17"/>
  <c r="K1774" i="17"/>
  <c r="G1774" i="17"/>
  <c r="K1114" i="17"/>
  <c r="J1114" i="17"/>
  <c r="G1114" i="17"/>
  <c r="J1074" i="17"/>
  <c r="K1074" i="17"/>
  <c r="G1074" i="17"/>
  <c r="J1054" i="17"/>
  <c r="K1054" i="17"/>
  <c r="G1054" i="17"/>
  <c r="J1454" i="17"/>
  <c r="K1454" i="17"/>
  <c r="G1454" i="17"/>
  <c r="J1014" i="17"/>
  <c r="K1014" i="17"/>
  <c r="G1014" i="17"/>
  <c r="K1034" i="17"/>
  <c r="J1034" i="17"/>
  <c r="G1034" i="17"/>
  <c r="J1614" i="17"/>
  <c r="K1614" i="17"/>
  <c r="G1614" i="17"/>
  <c r="J1494" i="17"/>
  <c r="K1494" i="17"/>
  <c r="G1494" i="17"/>
  <c r="J732" i="17"/>
  <c r="K732" i="17"/>
  <c r="G732" i="17"/>
  <c r="K1714" i="17"/>
  <c r="J1714" i="17"/>
  <c r="G1714" i="17"/>
  <c r="J1194" i="17"/>
  <c r="K1194" i="17"/>
  <c r="G1194" i="17"/>
  <c r="J895" i="17"/>
  <c r="K895" i="17"/>
  <c r="G895" i="17"/>
  <c r="K934" i="17"/>
  <c r="J934" i="17"/>
  <c r="G934" i="17"/>
  <c r="J1374" i="17"/>
  <c r="K1374" i="17"/>
  <c r="G1374" i="17"/>
  <c r="K714" i="17"/>
  <c r="J714" i="17"/>
  <c r="G714" i="17"/>
  <c r="K1534" i="17"/>
  <c r="J1534" i="17"/>
  <c r="G1534" i="17"/>
  <c r="K1594" i="17"/>
  <c r="J1594" i="17"/>
  <c r="G1594" i="17"/>
  <c r="J840" i="17"/>
  <c r="K840" i="17"/>
  <c r="G840" i="17"/>
  <c r="K660" i="17"/>
  <c r="J660" i="17"/>
  <c r="G660" i="17"/>
  <c r="J643" i="17"/>
  <c r="K643" i="17"/>
  <c r="G643" i="17"/>
  <c r="J1554" i="17"/>
  <c r="K1554" i="17"/>
  <c r="G1554" i="17"/>
  <c r="K696" i="17"/>
  <c r="J696" i="17"/>
  <c r="G696" i="17"/>
  <c r="K1514" i="17"/>
  <c r="J1514" i="17"/>
  <c r="G1514" i="17"/>
  <c r="K858" i="17"/>
  <c r="J858" i="17"/>
  <c r="G858" i="17"/>
  <c r="K786" i="17"/>
  <c r="J786" i="17"/>
  <c r="G786" i="17"/>
  <c r="J1734" i="17"/>
  <c r="K1734" i="17"/>
  <c r="G1734" i="17"/>
  <c r="J804" i="17"/>
  <c r="K804" i="17"/>
  <c r="G804" i="17"/>
  <c r="J1094" i="17"/>
  <c r="K1094" i="17"/>
  <c r="G1094" i="17"/>
  <c r="J1434" i="17"/>
  <c r="K1434" i="17"/>
  <c r="G1434" i="17"/>
  <c r="K954" i="17"/>
  <c r="J954" i="17"/>
  <c r="G954" i="17"/>
  <c r="K442" i="17"/>
  <c r="G442" i="17"/>
  <c r="J442" i="17"/>
  <c r="K472" i="17"/>
  <c r="G472" i="17"/>
  <c r="J472" i="17"/>
  <c r="J1694" i="17"/>
  <c r="K1694" i="17"/>
  <c r="G1694" i="17"/>
  <c r="J1754" i="17"/>
  <c r="K1754" i="17"/>
  <c r="G1754" i="17"/>
  <c r="K579" i="17"/>
  <c r="J579" i="17"/>
  <c r="G579" i="17"/>
  <c r="J876" i="17"/>
  <c r="K876" i="17"/>
  <c r="G876" i="17"/>
  <c r="J678" i="17"/>
  <c r="K678" i="17"/>
  <c r="G678" i="17"/>
  <c r="K563" i="17"/>
  <c r="J563" i="17"/>
  <c r="G563" i="17"/>
  <c r="J914" i="17"/>
  <c r="K914" i="17"/>
  <c r="G914" i="17"/>
  <c r="J1134" i="17"/>
  <c r="K1134" i="17"/>
  <c r="G1134" i="17"/>
  <c r="J627" i="17"/>
  <c r="K627" i="17"/>
  <c r="G627" i="17"/>
  <c r="J1574" i="17"/>
  <c r="K1574" i="17"/>
  <c r="G1574" i="17"/>
  <c r="J1634" i="17"/>
  <c r="K1634" i="17"/>
  <c r="G1634" i="17"/>
  <c r="J1154" i="17"/>
  <c r="K1154" i="17"/>
  <c r="G1154" i="17"/>
  <c r="J994" i="17"/>
  <c r="K994" i="17"/>
  <c r="G994" i="17"/>
  <c r="K1174" i="17"/>
  <c r="J1174" i="17"/>
  <c r="G1174" i="17"/>
  <c r="J397" i="17"/>
  <c r="K397" i="17"/>
  <c r="G397" i="17"/>
  <c r="K611" i="17"/>
  <c r="J611" i="17"/>
  <c r="G611" i="17"/>
  <c r="J412" i="17"/>
  <c r="G412" i="17"/>
  <c r="K412" i="17"/>
  <c r="J1814" i="17"/>
  <c r="K1814" i="17"/>
  <c r="G1814" i="17"/>
  <c r="K487" i="17"/>
  <c r="J487" i="17"/>
  <c r="G487" i="17"/>
  <c r="J1794" i="17"/>
  <c r="K1794" i="17"/>
  <c r="G1794" i="17"/>
  <c r="J1834" i="17"/>
  <c r="K1834" i="17"/>
  <c r="G1834" i="17"/>
  <c r="J1854" i="17"/>
  <c r="K1854" i="17"/>
  <c r="G1854" i="17"/>
  <c r="K532" i="17"/>
  <c r="J532" i="17"/>
  <c r="G532" i="17"/>
  <c r="J1874" i="17"/>
  <c r="K1874" i="17"/>
  <c r="G1874" i="17"/>
  <c r="J595" i="17"/>
  <c r="K595" i="17"/>
  <c r="G595" i="17"/>
  <c r="K1654" i="17"/>
  <c r="J1654" i="17"/>
  <c r="G1654" i="17"/>
  <c r="J1414" i="17"/>
  <c r="K1414" i="17"/>
  <c r="G1414" i="17"/>
  <c r="K1674" i="17"/>
  <c r="J1674" i="17"/>
  <c r="G1674" i="17"/>
  <c r="K1334" i="17"/>
  <c r="J1334" i="17"/>
  <c r="G1334" i="17"/>
  <c r="J1254" i="17"/>
  <c r="K1254" i="17"/>
  <c r="G1254" i="17"/>
  <c r="K1274" i="17"/>
  <c r="J1274" i="17"/>
  <c r="G1274" i="17"/>
  <c r="J427" i="17"/>
  <c r="K427" i="17"/>
  <c r="G427" i="17"/>
  <c r="J1214" i="17"/>
  <c r="K1214" i="17"/>
  <c r="G1214" i="17"/>
  <c r="G457" i="17"/>
  <c r="J457" i="17"/>
  <c r="K457" i="17"/>
  <c r="J974" i="17"/>
  <c r="K974" i="17"/>
  <c r="G974" i="17"/>
  <c r="G502" i="17"/>
  <c r="J502" i="17"/>
  <c r="K502" i="17"/>
  <c r="J517" i="17"/>
  <c r="K517" i="17"/>
  <c r="G517" i="17"/>
  <c r="K1354" i="17"/>
  <c r="J1354" i="17"/>
  <c r="G1354" i="17"/>
  <c r="J1394" i="17"/>
  <c r="K1394" i="17"/>
  <c r="G1394" i="17"/>
  <c r="J547" i="17"/>
  <c r="K547" i="17"/>
  <c r="G547" i="17"/>
  <c r="J1314" i="17"/>
  <c r="K1314" i="17"/>
  <c r="G1314" i="17"/>
  <c r="K1474" i="17"/>
  <c r="J1474" i="17"/>
  <c r="G1474" i="17"/>
  <c r="K822" i="17"/>
  <c r="J822" i="17"/>
  <c r="G822" i="17"/>
  <c r="J1294" i="17"/>
  <c r="K1294" i="17"/>
  <c r="G1294" i="17"/>
  <c r="J1234" i="17"/>
  <c r="K1234" i="17"/>
  <c r="G1234" i="17"/>
  <c r="K768" i="17"/>
  <c r="J768" i="17"/>
  <c r="G768" i="17"/>
  <c r="J713" i="17"/>
  <c r="K713" i="17"/>
  <c r="G713" i="17"/>
  <c r="K1873" i="17"/>
  <c r="J1873" i="17"/>
  <c r="G1873" i="17"/>
  <c r="K626" i="17"/>
  <c r="J626" i="17"/>
  <c r="G626" i="17"/>
  <c r="J1073" i="17"/>
  <c r="K1073" i="17"/>
  <c r="G1073" i="17"/>
  <c r="K933" i="17"/>
  <c r="J933" i="17"/>
  <c r="G933" i="17"/>
  <c r="K1533" i="17"/>
  <c r="J1533" i="17"/>
  <c r="G1533" i="17"/>
  <c r="K1353" i="17"/>
  <c r="J1353" i="17"/>
  <c r="G1353" i="17"/>
  <c r="J1413" i="17"/>
  <c r="K1413" i="17"/>
  <c r="G1413" i="17"/>
  <c r="K1753" i="17"/>
  <c r="J1753" i="17"/>
  <c r="G1753" i="17"/>
  <c r="J1033" i="17"/>
  <c r="K1033" i="17"/>
  <c r="G1033" i="17"/>
  <c r="J913" i="17"/>
  <c r="K913" i="17"/>
  <c r="G913" i="17"/>
  <c r="K993" i="17"/>
  <c r="J993" i="17"/>
  <c r="G993" i="17"/>
  <c r="J1713" i="17"/>
  <c r="K1713" i="17"/>
  <c r="G1713" i="17"/>
  <c r="J1773" i="17"/>
  <c r="K1773" i="17"/>
  <c r="G1773" i="17"/>
  <c r="J642" i="17"/>
  <c r="K642" i="17"/>
  <c r="G642" i="17"/>
  <c r="J1513" i="17"/>
  <c r="K1513" i="17"/>
  <c r="G1513" i="17"/>
  <c r="J1173" i="17"/>
  <c r="K1173" i="17"/>
  <c r="G1173" i="17"/>
  <c r="J1053" i="17"/>
  <c r="K1053" i="17"/>
  <c r="G1053" i="17"/>
  <c r="K1473" i="17"/>
  <c r="J1473" i="17"/>
  <c r="G1473" i="17"/>
  <c r="K1453" i="17"/>
  <c r="J1453" i="17"/>
  <c r="G1453" i="17"/>
  <c r="K610" i="17"/>
  <c r="J610" i="17"/>
  <c r="G610" i="17"/>
  <c r="K1633" i="17"/>
  <c r="J1633" i="17"/>
  <c r="G1633" i="17"/>
  <c r="J731" i="17"/>
  <c r="K731" i="17"/>
  <c r="G731" i="17"/>
  <c r="J1133" i="17"/>
  <c r="K1133" i="17"/>
  <c r="G1133" i="17"/>
  <c r="J839" i="17"/>
  <c r="K839" i="17"/>
  <c r="G839" i="17"/>
  <c r="K803" i="17"/>
  <c r="J803" i="17"/>
  <c r="G803" i="17"/>
  <c r="J677" i="17"/>
  <c r="K677" i="17"/>
  <c r="G677" i="17"/>
  <c r="K695" i="17"/>
  <c r="J695" i="17"/>
  <c r="G695" i="17"/>
  <c r="J1613" i="17"/>
  <c r="K1613" i="17"/>
  <c r="G1613" i="17"/>
  <c r="J1153" i="17"/>
  <c r="K1153" i="17"/>
  <c r="G1153" i="17"/>
  <c r="K1793" i="17"/>
  <c r="J1793" i="17"/>
  <c r="G1793" i="17"/>
  <c r="J562" i="17"/>
  <c r="K562" i="17"/>
  <c r="G562" i="17"/>
  <c r="J1393" i="17"/>
  <c r="K1393" i="17"/>
  <c r="G1393" i="17"/>
  <c r="K1853" i="17"/>
  <c r="J1853" i="17"/>
  <c r="G1853" i="17"/>
  <c r="J594" i="17"/>
  <c r="K594" i="17"/>
  <c r="G594" i="17"/>
  <c r="K1213" i="17"/>
  <c r="J1213" i="17"/>
  <c r="G1213" i="17"/>
  <c r="K1293" i="17"/>
  <c r="J1293" i="17"/>
  <c r="G1293" i="17"/>
  <c r="J1433" i="17"/>
  <c r="K1433" i="17"/>
  <c r="G1433" i="17"/>
  <c r="J1253" i="17"/>
  <c r="K1253" i="17"/>
  <c r="G1253" i="17"/>
  <c r="K1733" i="17"/>
  <c r="J1733" i="17"/>
  <c r="G1733" i="17"/>
  <c r="K1693" i="17"/>
  <c r="J1693" i="17"/>
  <c r="G1693" i="17"/>
  <c r="K659" i="17"/>
  <c r="J659" i="17"/>
  <c r="G659" i="17"/>
  <c r="K1113" i="17"/>
  <c r="J1113" i="17"/>
  <c r="G1113" i="17"/>
  <c r="J1833" i="17"/>
  <c r="K1833" i="17"/>
  <c r="G1833" i="17"/>
  <c r="J973" i="17"/>
  <c r="K973" i="17"/>
  <c r="G973" i="17"/>
  <c r="J749" i="17"/>
  <c r="K749" i="17"/>
  <c r="G749" i="17"/>
  <c r="J785" i="17"/>
  <c r="K785" i="17"/>
  <c r="G785" i="17"/>
  <c r="J953" i="17"/>
  <c r="K953" i="17"/>
  <c r="G953" i="17"/>
  <c r="J1193" i="17"/>
  <c r="K1193" i="17"/>
  <c r="G1193" i="17"/>
  <c r="J894" i="17"/>
  <c r="K894" i="17"/>
  <c r="G894" i="17"/>
  <c r="J875" i="17"/>
  <c r="K875" i="17"/>
  <c r="G875" i="17"/>
  <c r="J1673" i="17"/>
  <c r="K1673" i="17"/>
  <c r="G1673" i="17"/>
  <c r="K857" i="17"/>
  <c r="J857" i="17"/>
  <c r="G857" i="17"/>
  <c r="J1573" i="17"/>
  <c r="K1573" i="17"/>
  <c r="G1573" i="17"/>
  <c r="J1373" i="17"/>
  <c r="K1373" i="17"/>
  <c r="G1373" i="17"/>
  <c r="K578" i="17"/>
  <c r="J578" i="17"/>
  <c r="G578" i="17"/>
  <c r="K1653" i="17"/>
  <c r="J1653" i="17"/>
  <c r="G1653" i="17"/>
  <c r="K821" i="17"/>
  <c r="J821" i="17"/>
  <c r="G821" i="17"/>
  <c r="K1333" i="17"/>
  <c r="J1333" i="17"/>
  <c r="G1333" i="17"/>
  <c r="J1553" i="17"/>
  <c r="K1553" i="17"/>
  <c r="G1553" i="17"/>
  <c r="K1093" i="17"/>
  <c r="J1093" i="17"/>
  <c r="G1093" i="17"/>
  <c r="J1813" i="17"/>
  <c r="K1813" i="17"/>
  <c r="G1813" i="17"/>
  <c r="J1013" i="17"/>
  <c r="K1013" i="17"/>
  <c r="G1013" i="17"/>
  <c r="J1233" i="17"/>
  <c r="K1233" i="17"/>
  <c r="G1233" i="17"/>
  <c r="J1493" i="17"/>
  <c r="K1493" i="17"/>
  <c r="G1493" i="17"/>
  <c r="K767" i="17"/>
  <c r="J767" i="17"/>
  <c r="G767" i="17"/>
  <c r="K1313" i="17"/>
  <c r="J1313" i="17"/>
  <c r="G1313" i="17"/>
  <c r="J1593" i="17"/>
  <c r="K1593" i="17"/>
  <c r="G1593" i="17"/>
  <c r="J1273" i="17"/>
  <c r="K1273" i="17"/>
  <c r="G1273" i="17"/>
  <c r="J1259" i="17"/>
  <c r="K1259" i="17"/>
  <c r="G1259" i="17"/>
  <c r="J1159" i="17"/>
  <c r="K1159" i="17"/>
  <c r="G1159" i="17"/>
  <c r="J1499" i="17"/>
  <c r="K1499" i="17"/>
  <c r="G1499" i="17"/>
  <c r="K1239" i="17"/>
  <c r="J1239" i="17"/>
  <c r="G1239" i="17"/>
  <c r="K1639" i="17"/>
  <c r="J1639" i="17"/>
  <c r="G1639" i="17"/>
  <c r="J1559" i="17"/>
  <c r="K1559" i="17"/>
  <c r="G1559" i="17"/>
  <c r="K1759" i="17"/>
  <c r="J1759" i="17"/>
  <c r="G1759" i="17"/>
  <c r="J1739" i="17"/>
  <c r="K1739" i="17"/>
  <c r="G1739" i="17"/>
  <c r="K1279" i="17"/>
  <c r="J1279" i="17"/>
  <c r="G1279" i="17"/>
  <c r="J1879" i="17"/>
  <c r="K1879" i="17"/>
  <c r="G1879" i="17"/>
  <c r="J1399" i="17"/>
  <c r="K1399" i="17"/>
  <c r="G1399" i="17"/>
  <c r="J1419" i="17"/>
  <c r="K1419" i="17"/>
  <c r="G1419" i="17"/>
  <c r="J754" i="17"/>
  <c r="K754" i="17"/>
  <c r="G754" i="17"/>
  <c r="K862" i="17"/>
  <c r="J862" i="17"/>
  <c r="G862" i="17"/>
  <c r="J999" i="17"/>
  <c r="K999" i="17"/>
  <c r="G999" i="17"/>
  <c r="K844" i="17"/>
  <c r="J844" i="17"/>
  <c r="G844" i="17"/>
  <c r="K1799" i="17"/>
  <c r="J1799" i="17"/>
  <c r="G1799" i="17"/>
  <c r="K959" i="17"/>
  <c r="J959" i="17"/>
  <c r="G959" i="17"/>
  <c r="K1199" i="17"/>
  <c r="J1199" i="17"/>
  <c r="G1199" i="17"/>
  <c r="K1819" i="17"/>
  <c r="J1819" i="17"/>
  <c r="G1819" i="17"/>
  <c r="J1519" i="17"/>
  <c r="K1519" i="17"/>
  <c r="G1519" i="17"/>
  <c r="J1839" i="17"/>
  <c r="K1839" i="17"/>
  <c r="G1839" i="17"/>
  <c r="J900" i="17"/>
  <c r="K900" i="17"/>
  <c r="G900" i="17"/>
  <c r="J919" i="17"/>
  <c r="K919" i="17"/>
  <c r="G919" i="17"/>
  <c r="J736" i="17"/>
  <c r="K736" i="17"/>
  <c r="G736" i="17"/>
  <c r="K718" i="17"/>
  <c r="J718" i="17"/>
  <c r="G718" i="17"/>
  <c r="K1319" i="17"/>
  <c r="J1319" i="17"/>
  <c r="G1319" i="17"/>
  <c r="K1479" i="17"/>
  <c r="J1479" i="17"/>
  <c r="G1479" i="17"/>
  <c r="K1299" i="17"/>
  <c r="J1299" i="17"/>
  <c r="G1299" i="17"/>
  <c r="K1719" i="17"/>
  <c r="J1719" i="17"/>
  <c r="G1719" i="17"/>
  <c r="J979" i="17"/>
  <c r="K979" i="17"/>
  <c r="G979" i="17"/>
  <c r="J790" i="17"/>
  <c r="K790" i="17"/>
  <c r="G790" i="17"/>
  <c r="J1679" i="17"/>
  <c r="K1679" i="17"/>
  <c r="G1679" i="17"/>
  <c r="J772" i="17"/>
  <c r="K772" i="17"/>
  <c r="G772" i="17"/>
  <c r="K1039" i="17"/>
  <c r="J1039" i="17"/>
  <c r="G1039" i="17"/>
  <c r="K939" i="17"/>
  <c r="J939" i="17"/>
  <c r="G939" i="17"/>
  <c r="J1599" i="17"/>
  <c r="K1599" i="17"/>
  <c r="G1599" i="17"/>
  <c r="K1179" i="17"/>
  <c r="J1179" i="17"/>
  <c r="G1179" i="17"/>
  <c r="K1539" i="17"/>
  <c r="J1539" i="17"/>
  <c r="G1539" i="17"/>
  <c r="J1379" i="17"/>
  <c r="K1379" i="17"/>
  <c r="G1379" i="17"/>
  <c r="K1859" i="17"/>
  <c r="J1859" i="17"/>
  <c r="G1859" i="17"/>
  <c r="K1079" i="17"/>
  <c r="J1079" i="17"/>
  <c r="G1079" i="17"/>
  <c r="K1339" i="17"/>
  <c r="J1339" i="17"/>
  <c r="G1339" i="17"/>
  <c r="K1619" i="17"/>
  <c r="J1619" i="17"/>
  <c r="G1619" i="17"/>
  <c r="J1659" i="17"/>
  <c r="K1659" i="17"/>
  <c r="G1659" i="17"/>
  <c r="J1699" i="17"/>
  <c r="K1699" i="17"/>
  <c r="G1699" i="17"/>
  <c r="J1059" i="17"/>
  <c r="K1059" i="17"/>
  <c r="G1059" i="17"/>
  <c r="K1119" i="17"/>
  <c r="J1119" i="17"/>
  <c r="G1119" i="17"/>
  <c r="K1459" i="17"/>
  <c r="J1459" i="17"/>
  <c r="G1459" i="17"/>
  <c r="J646" i="17"/>
  <c r="K646" i="17"/>
  <c r="G646" i="17"/>
  <c r="J1779" i="17"/>
  <c r="K1779" i="17"/>
  <c r="G1779" i="17"/>
  <c r="K1099" i="17"/>
  <c r="J1099" i="17"/>
  <c r="G1099" i="17"/>
  <c r="J881" i="17"/>
  <c r="K881" i="17"/>
  <c r="G881" i="17"/>
  <c r="J664" i="17"/>
  <c r="K664" i="17"/>
  <c r="G664" i="17"/>
  <c r="J682" i="17"/>
  <c r="K682" i="17"/>
  <c r="G682" i="17"/>
  <c r="J700" i="17"/>
  <c r="K700" i="17"/>
  <c r="G700" i="17"/>
  <c r="K1359" i="17"/>
  <c r="J1359" i="17"/>
  <c r="G1359" i="17"/>
  <c r="J826" i="17"/>
  <c r="K826" i="17"/>
  <c r="G826" i="17"/>
  <c r="K1579" i="17"/>
  <c r="J1579" i="17"/>
  <c r="G1579" i="17"/>
  <c r="K808" i="17"/>
  <c r="J808" i="17"/>
  <c r="G808" i="17"/>
  <c r="J1219" i="17"/>
  <c r="K1219" i="17"/>
  <c r="G1219" i="17"/>
  <c r="K1019" i="17"/>
  <c r="J1019" i="17"/>
  <c r="G1019" i="17"/>
  <c r="K1139" i="17"/>
  <c r="J1139" i="17"/>
  <c r="G1139" i="17"/>
  <c r="J1439" i="17"/>
  <c r="K1439" i="17"/>
  <c r="G1439" i="17"/>
  <c r="J1276" i="17"/>
  <c r="K1276" i="17"/>
  <c r="G1276" i="17"/>
  <c r="J1236" i="17"/>
  <c r="K1236" i="17"/>
  <c r="G1236" i="17"/>
  <c r="J679" i="17"/>
  <c r="K679" i="17"/>
  <c r="G679" i="17"/>
  <c r="K1796" i="17"/>
  <c r="J1796" i="17"/>
  <c r="G1796" i="17"/>
  <c r="J1456" i="17"/>
  <c r="K1456" i="17"/>
  <c r="G1456" i="17"/>
  <c r="J1436" i="17"/>
  <c r="K1436" i="17"/>
  <c r="G1436" i="17"/>
  <c r="J751" i="17"/>
  <c r="K751" i="17"/>
  <c r="G751" i="17"/>
  <c r="J936" i="17"/>
  <c r="K936" i="17"/>
  <c r="G936" i="17"/>
  <c r="J897" i="17"/>
  <c r="K897" i="17"/>
  <c r="G897" i="17"/>
  <c r="K1596" i="17"/>
  <c r="J1596" i="17"/>
  <c r="G1596" i="17"/>
  <c r="J1496" i="17"/>
  <c r="K1496" i="17"/>
  <c r="G1496" i="17"/>
  <c r="J996" i="17"/>
  <c r="K996" i="17"/>
  <c r="G996" i="17"/>
  <c r="K1616" i="17"/>
  <c r="J1616" i="17"/>
  <c r="G1616" i="17"/>
  <c r="K1776" i="17"/>
  <c r="J1776" i="17"/>
  <c r="G1776" i="17"/>
  <c r="K1636" i="17"/>
  <c r="J1636" i="17"/>
  <c r="G1636" i="17"/>
  <c r="J1836" i="17"/>
  <c r="K1836" i="17"/>
  <c r="G1836" i="17"/>
  <c r="K1036" i="17"/>
  <c r="J1036" i="17"/>
  <c r="G1036" i="17"/>
  <c r="J1416" i="17"/>
  <c r="K1416" i="17"/>
  <c r="G1416" i="17"/>
  <c r="J1556" i="17"/>
  <c r="K1556" i="17"/>
  <c r="G1556" i="17"/>
  <c r="K787" i="17"/>
  <c r="J787" i="17"/>
  <c r="G787" i="17"/>
  <c r="K1476" i="17"/>
  <c r="J1476" i="17"/>
  <c r="G1476" i="17"/>
  <c r="K1096" i="17"/>
  <c r="J1096" i="17"/>
  <c r="G1096" i="17"/>
  <c r="K1216" i="17"/>
  <c r="J1216" i="17"/>
  <c r="G1216" i="17"/>
  <c r="J1396" i="17"/>
  <c r="K1396" i="17"/>
  <c r="G1396" i="17"/>
  <c r="J1316" i="17"/>
  <c r="K1316" i="17"/>
  <c r="G1316" i="17"/>
  <c r="K1716" i="17"/>
  <c r="J1716" i="17"/>
  <c r="G1716" i="17"/>
  <c r="K1656" i="17"/>
  <c r="J1656" i="17"/>
  <c r="G1656" i="17"/>
  <c r="J1176" i="17"/>
  <c r="K1176" i="17"/>
  <c r="G1176" i="17"/>
  <c r="J1576" i="17"/>
  <c r="K1576" i="17"/>
  <c r="G1576" i="17"/>
  <c r="J661" i="17"/>
  <c r="K661" i="17"/>
  <c r="G661" i="17"/>
  <c r="J976" i="17"/>
  <c r="K976" i="17"/>
  <c r="G976" i="17"/>
  <c r="J1156" i="17"/>
  <c r="K1156" i="17"/>
  <c r="G1156" i="17"/>
  <c r="J1196" i="17"/>
  <c r="K1196" i="17"/>
  <c r="G1196" i="17"/>
  <c r="K1356" i="17"/>
  <c r="J1356" i="17"/>
  <c r="G1356" i="17"/>
  <c r="K1336" i="17"/>
  <c r="J1336" i="17"/>
  <c r="G1336" i="17"/>
  <c r="K1056" i="17"/>
  <c r="J1056" i="17"/>
  <c r="G1056" i="17"/>
  <c r="J1696" i="17"/>
  <c r="K1696" i="17"/>
  <c r="G1696" i="17"/>
  <c r="J916" i="17"/>
  <c r="K916" i="17"/>
  <c r="G916" i="17"/>
  <c r="J805" i="17"/>
  <c r="K805" i="17"/>
  <c r="G805" i="17"/>
  <c r="J1376" i="17"/>
  <c r="K1376" i="17"/>
  <c r="G1376" i="17"/>
  <c r="J1676" i="17"/>
  <c r="K1676" i="17"/>
  <c r="G1676" i="17"/>
  <c r="K1076" i="17"/>
  <c r="J1076" i="17"/>
  <c r="G1076" i="17"/>
  <c r="K823" i="17"/>
  <c r="J823" i="17"/>
  <c r="G823" i="17"/>
  <c r="J1736" i="17"/>
  <c r="K1736" i="17"/>
  <c r="G1736" i="17"/>
  <c r="J878" i="17"/>
  <c r="K878" i="17"/>
  <c r="G878" i="17"/>
  <c r="J841" i="17"/>
  <c r="K841" i="17"/>
  <c r="G841" i="17"/>
  <c r="J1756" i="17"/>
  <c r="K1756" i="17"/>
  <c r="G1756" i="17"/>
  <c r="K715" i="17"/>
  <c r="J715" i="17"/>
  <c r="G715" i="17"/>
  <c r="J1876" i="17"/>
  <c r="K1876" i="17"/>
  <c r="G1876" i="17"/>
  <c r="K1136" i="17"/>
  <c r="J1136" i="17"/>
  <c r="G1136" i="17"/>
  <c r="K956" i="17"/>
  <c r="J956" i="17"/>
  <c r="G956" i="17"/>
  <c r="K769" i="17"/>
  <c r="J769" i="17"/>
  <c r="G769" i="17"/>
  <c r="J1256" i="17"/>
  <c r="K1256" i="17"/>
  <c r="G1256" i="17"/>
  <c r="J1016" i="17"/>
  <c r="K1016" i="17"/>
  <c r="G1016" i="17"/>
  <c r="K1816" i="17"/>
  <c r="J1816" i="17"/>
  <c r="G1816" i="17"/>
  <c r="K859" i="17"/>
  <c r="J859" i="17"/>
  <c r="G859" i="17"/>
  <c r="J733" i="17"/>
  <c r="K733" i="17"/>
  <c r="G733" i="17"/>
  <c r="J1296" i="17"/>
  <c r="K1296" i="17"/>
  <c r="G1296" i="17"/>
  <c r="K1516" i="17"/>
  <c r="J1516" i="17"/>
  <c r="G1516" i="17"/>
  <c r="J1116" i="17"/>
  <c r="K1116" i="17"/>
  <c r="G1116" i="17"/>
  <c r="J697" i="17"/>
  <c r="K697" i="17"/>
  <c r="G697" i="17"/>
  <c r="K1856" i="17"/>
  <c r="J1856" i="17"/>
  <c r="G1856" i="17"/>
  <c r="K1536" i="17"/>
  <c r="J1536" i="17"/>
  <c r="G1536" i="17"/>
  <c r="J1215" i="17"/>
  <c r="K1215" i="17"/>
  <c r="G1215" i="17"/>
  <c r="J1755" i="17"/>
  <c r="K1755" i="17"/>
  <c r="G1755" i="17"/>
  <c r="J1415" i="17"/>
  <c r="K1415" i="17"/>
  <c r="G1415" i="17"/>
  <c r="J1435" i="17"/>
  <c r="K1435" i="17"/>
  <c r="G1435" i="17"/>
  <c r="K1515" i="17"/>
  <c r="J1515" i="17"/>
  <c r="G1515" i="17"/>
  <c r="K1035" i="17"/>
  <c r="J1035" i="17"/>
  <c r="G1035" i="17"/>
  <c r="J1635" i="17"/>
  <c r="K1635" i="17"/>
  <c r="G1635" i="17"/>
  <c r="J1155" i="17"/>
  <c r="K1155" i="17"/>
  <c r="G1155" i="17"/>
  <c r="K1655" i="17"/>
  <c r="J1655" i="17"/>
  <c r="G1655" i="17"/>
  <c r="K1675" i="17"/>
  <c r="J1675" i="17"/>
  <c r="G1675" i="17"/>
  <c r="J1115" i="17"/>
  <c r="K1115" i="17"/>
  <c r="G1115" i="17"/>
  <c r="K1235" i="17"/>
  <c r="J1235" i="17"/>
  <c r="G1235" i="17"/>
  <c r="J1555" i="17"/>
  <c r="K1555" i="17"/>
  <c r="G1555" i="17"/>
  <c r="J1775" i="17"/>
  <c r="K1775" i="17"/>
  <c r="G1775" i="17"/>
  <c r="J1075" i="17"/>
  <c r="K1075" i="17"/>
  <c r="G1075" i="17"/>
  <c r="K1855" i="17"/>
  <c r="J1855" i="17"/>
  <c r="G1855" i="17"/>
  <c r="J1815" i="17"/>
  <c r="K1815" i="17"/>
  <c r="G1815" i="17"/>
  <c r="K1095" i="17"/>
  <c r="J1095" i="17"/>
  <c r="G1095" i="17"/>
  <c r="K1695" i="17"/>
  <c r="J1695" i="17"/>
  <c r="G1695" i="17"/>
  <c r="K1595" i="17"/>
  <c r="J1595" i="17"/>
  <c r="G1595" i="17"/>
  <c r="K1335" i="17"/>
  <c r="J1335" i="17"/>
  <c r="G1335" i="17"/>
  <c r="J1495" i="17"/>
  <c r="K1495" i="17"/>
  <c r="G1495" i="17"/>
  <c r="K955" i="17"/>
  <c r="J955" i="17"/>
  <c r="G955" i="17"/>
  <c r="J1715" i="17"/>
  <c r="K1715" i="17"/>
  <c r="G1715" i="17"/>
  <c r="J1275" i="17"/>
  <c r="K1275" i="17"/>
  <c r="G1275" i="17"/>
  <c r="J915" i="17"/>
  <c r="K915" i="17"/>
  <c r="G915" i="17"/>
  <c r="K1355" i="17"/>
  <c r="J1355" i="17"/>
  <c r="G1355" i="17"/>
  <c r="J877" i="17"/>
  <c r="K877" i="17"/>
  <c r="G877" i="17"/>
  <c r="J1875" i="17"/>
  <c r="K1875" i="17"/>
  <c r="G1875" i="17"/>
  <c r="J1195" i="17"/>
  <c r="K1195" i="17"/>
  <c r="G1195" i="17"/>
  <c r="K935" i="17"/>
  <c r="J935" i="17"/>
  <c r="G935" i="17"/>
  <c r="J1255" i="17"/>
  <c r="K1255" i="17"/>
  <c r="G1255" i="17"/>
  <c r="K1795" i="17"/>
  <c r="J1795" i="17"/>
  <c r="G1795" i="17"/>
  <c r="K1315" i="17"/>
  <c r="J1315" i="17"/>
  <c r="G1315" i="17"/>
  <c r="J896" i="17"/>
  <c r="K896" i="17"/>
  <c r="G896" i="17"/>
  <c r="J1055" i="17"/>
  <c r="K1055" i="17"/>
  <c r="G1055" i="17"/>
  <c r="J1375" i="17"/>
  <c r="K1375" i="17"/>
  <c r="G1375" i="17"/>
  <c r="K1535" i="17"/>
  <c r="J1535" i="17"/>
  <c r="G1535" i="17"/>
  <c r="K1475" i="17"/>
  <c r="J1475" i="17"/>
  <c r="G1475" i="17"/>
  <c r="J1735" i="17"/>
  <c r="K1735" i="17"/>
  <c r="G1735" i="17"/>
  <c r="J975" i="17"/>
  <c r="K975" i="17"/>
  <c r="G975" i="17"/>
  <c r="J1835" i="17"/>
  <c r="K1835" i="17"/>
  <c r="G1835" i="17"/>
  <c r="J1395" i="17"/>
  <c r="K1395" i="17"/>
  <c r="G1395" i="17"/>
  <c r="K1615" i="17"/>
  <c r="J1615" i="17"/>
  <c r="G1615" i="17"/>
  <c r="J1455" i="17"/>
  <c r="K1455" i="17"/>
  <c r="G1455" i="17"/>
  <c r="J1295" i="17"/>
  <c r="K1295" i="17"/>
  <c r="G1295" i="17"/>
  <c r="K1015" i="17"/>
  <c r="J1015" i="17"/>
  <c r="G1015" i="17"/>
  <c r="K1135" i="17"/>
  <c r="J1135" i="17"/>
  <c r="G1135" i="17"/>
  <c r="J1175" i="17"/>
  <c r="K1175" i="17"/>
  <c r="G1175" i="17"/>
  <c r="J995" i="17"/>
  <c r="K995" i="17"/>
  <c r="G995" i="17"/>
  <c r="J1575" i="17"/>
  <c r="K1575" i="17"/>
  <c r="G1575" i="17"/>
  <c r="J1632" i="17"/>
  <c r="K1632" i="17"/>
  <c r="G1632" i="17"/>
  <c r="J1712" i="17"/>
  <c r="K1712" i="17"/>
  <c r="G1712" i="17"/>
  <c r="J1612" i="17"/>
  <c r="K1612" i="17"/>
  <c r="G1612" i="17"/>
  <c r="J1272" i="17"/>
  <c r="K1272" i="17"/>
  <c r="G1272" i="17"/>
  <c r="J1572" i="17"/>
  <c r="K1572" i="17"/>
  <c r="G1572" i="17"/>
  <c r="J1092" i="17"/>
  <c r="K1092" i="17"/>
  <c r="G1092" i="17"/>
  <c r="J1692" i="17"/>
  <c r="K1692" i="17"/>
  <c r="G1692" i="17"/>
  <c r="J1432" i="17"/>
  <c r="K1432" i="17"/>
  <c r="G1432" i="17"/>
  <c r="K1452" i="17"/>
  <c r="J1452" i="17"/>
  <c r="G1452" i="17"/>
  <c r="J1212" i="17"/>
  <c r="K1212" i="17"/>
  <c r="G1212" i="17"/>
  <c r="J1672" i="17"/>
  <c r="K1672" i="17"/>
  <c r="G1672" i="17"/>
  <c r="K1652" i="17"/>
  <c r="J1652" i="17"/>
  <c r="G1652" i="17"/>
  <c r="J972" i="17"/>
  <c r="K972" i="17"/>
  <c r="G972" i="17"/>
  <c r="K1472" i="17"/>
  <c r="J1472" i="17"/>
  <c r="G1472" i="17"/>
  <c r="K1412" i="17"/>
  <c r="J1412" i="17"/>
  <c r="G1412" i="17"/>
  <c r="K1012" i="17"/>
  <c r="J1012" i="17"/>
  <c r="G1012" i="17"/>
  <c r="K1352" i="17"/>
  <c r="J1352" i="17"/>
  <c r="G1352" i="17"/>
  <c r="J1872" i="17"/>
  <c r="K1872" i="17"/>
  <c r="G1872" i="17"/>
  <c r="K1192" i="17"/>
  <c r="J1192" i="17"/>
  <c r="G1192" i="17"/>
  <c r="K1032" i="17"/>
  <c r="J1032" i="17"/>
  <c r="G1032" i="17"/>
  <c r="J1492" i="17"/>
  <c r="K1492" i="17"/>
  <c r="G1492" i="17"/>
  <c r="J932" i="17"/>
  <c r="K932" i="17"/>
  <c r="G932" i="17"/>
  <c r="J952" i="17"/>
  <c r="K952" i="17"/>
  <c r="G952" i="17"/>
  <c r="J1252" i="17"/>
  <c r="K1252" i="17"/>
  <c r="G1252" i="17"/>
  <c r="K1752" i="17"/>
  <c r="J1752" i="17"/>
  <c r="G1752" i="17"/>
  <c r="K1072" i="17"/>
  <c r="J1072" i="17"/>
  <c r="G1072" i="17"/>
  <c r="J1052" i="17"/>
  <c r="K1052" i="17"/>
  <c r="G1052" i="17"/>
  <c r="K1852" i="17"/>
  <c r="J1852" i="17"/>
  <c r="G1852" i="17"/>
  <c r="J1812" i="17"/>
  <c r="K1812" i="17"/>
  <c r="G1812" i="17"/>
  <c r="J1172" i="17"/>
  <c r="K1172" i="17"/>
  <c r="G1172" i="17"/>
  <c r="J1552" i="17"/>
  <c r="K1552" i="17"/>
  <c r="G1552" i="17"/>
  <c r="K1832" i="17"/>
  <c r="J1832" i="17"/>
  <c r="G1832" i="17"/>
  <c r="K1532" i="17"/>
  <c r="J1532" i="17"/>
  <c r="G1532" i="17"/>
  <c r="K992" i="17"/>
  <c r="J992" i="17"/>
  <c r="G992" i="17"/>
  <c r="K1792" i="17"/>
  <c r="J1792" i="17"/>
  <c r="G1792" i="17"/>
  <c r="J1152" i="17"/>
  <c r="K1152" i="17"/>
  <c r="G1152" i="17"/>
  <c r="J1232" i="17"/>
  <c r="K1232" i="17"/>
  <c r="G1232" i="17"/>
  <c r="K1312" i="17"/>
  <c r="J1312" i="17"/>
  <c r="G1312" i="17"/>
  <c r="J1372" i="17"/>
  <c r="K1372" i="17"/>
  <c r="G1372" i="17"/>
  <c r="K1592" i="17"/>
  <c r="J1592" i="17"/>
  <c r="G1592" i="17"/>
  <c r="K1772" i="17"/>
  <c r="J1772" i="17"/>
  <c r="G1772" i="17"/>
  <c r="K1512" i="17"/>
  <c r="J1512" i="17"/>
  <c r="G1512" i="17"/>
  <c r="K1112" i="17"/>
  <c r="J1112" i="17"/>
  <c r="G1112" i="17"/>
  <c r="J1332" i="17"/>
  <c r="K1332" i="17"/>
  <c r="G1332" i="17"/>
  <c r="K1132" i="17"/>
  <c r="J1132" i="17"/>
  <c r="G1132" i="17"/>
  <c r="J1392" i="17"/>
  <c r="K1392" i="17"/>
  <c r="G1392" i="17"/>
  <c r="J1732" i="17"/>
  <c r="K1732" i="17"/>
  <c r="G1732" i="17"/>
  <c r="K1292" i="17"/>
  <c r="J1292" i="17"/>
  <c r="G1292" i="17"/>
  <c r="K1953" i="17"/>
  <c r="G1953" i="17"/>
  <c r="J1953" i="17"/>
  <c r="K1973" i="17"/>
  <c r="G1973" i="17"/>
  <c r="J1973" i="17"/>
  <c r="K1913" i="17"/>
  <c r="G1913" i="17"/>
  <c r="J1913" i="17"/>
  <c r="K2213" i="17"/>
  <c r="J2213" i="17"/>
  <c r="G2213" i="17"/>
  <c r="K2033" i="17"/>
  <c r="G2033" i="17"/>
  <c r="J2033" i="17"/>
  <c r="K1916" i="17"/>
  <c r="G1916" i="17"/>
  <c r="J1916" i="17"/>
  <c r="K1976" i="17"/>
  <c r="J1976" i="17"/>
  <c r="G1976" i="17"/>
  <c r="K1956" i="17"/>
  <c r="G1956" i="17"/>
  <c r="J1956" i="17"/>
  <c r="K2016" i="17"/>
  <c r="J2016" i="17"/>
  <c r="G2016" i="17"/>
  <c r="K1936" i="17"/>
  <c r="G1936" i="17"/>
  <c r="J1936" i="17"/>
  <c r="K2036" i="17"/>
  <c r="G2036" i="17"/>
  <c r="J2036" i="17"/>
  <c r="K2216" i="17"/>
  <c r="G2216" i="17"/>
  <c r="J2216" i="17"/>
  <c r="K1896" i="17"/>
  <c r="G1896" i="17"/>
  <c r="J1896" i="17"/>
  <c r="K2028" i="17"/>
  <c r="G2028" i="17"/>
  <c r="J2028" i="17"/>
  <c r="K1948" i="17"/>
  <c r="G1948" i="17"/>
  <c r="J1948" i="17"/>
  <c r="K1968" i="17"/>
  <c r="J1968" i="17"/>
  <c r="G1968" i="17"/>
  <c r="K1928" i="17"/>
  <c r="G1928" i="17"/>
  <c r="J1928" i="17"/>
  <c r="K2008" i="17"/>
  <c r="G2008" i="17"/>
  <c r="J2008" i="17"/>
  <c r="K1908" i="17"/>
  <c r="J1908" i="17"/>
  <c r="G1908" i="17"/>
  <c r="K1888" i="17"/>
  <c r="G1888" i="17"/>
  <c r="J1888" i="17"/>
  <c r="K2048" i="17"/>
  <c r="J2048" i="17"/>
  <c r="G2048" i="17"/>
  <c r="K2068" i="17"/>
  <c r="G2068" i="17"/>
  <c r="J2068" i="17"/>
  <c r="K2088" i="17"/>
  <c r="J2088" i="17"/>
  <c r="G2088" i="17"/>
  <c r="K2108" i="17"/>
  <c r="G2108" i="17"/>
  <c r="J2108" i="17"/>
  <c r="K1940" i="17"/>
  <c r="J1940" i="17"/>
  <c r="G1940" i="17"/>
  <c r="K1920" i="17"/>
  <c r="G1920" i="17"/>
  <c r="J1920" i="17"/>
  <c r="K1980" i="17"/>
  <c r="G1980" i="17"/>
  <c r="J1980" i="17"/>
  <c r="K1900" i="17"/>
  <c r="G1900" i="17"/>
  <c r="J1900" i="17"/>
  <c r="K1960" i="17"/>
  <c r="G1960" i="17"/>
  <c r="J1960" i="17"/>
  <c r="K2020" i="17"/>
  <c r="G2020" i="17"/>
  <c r="J2020" i="17"/>
  <c r="K2080" i="17"/>
  <c r="J2080" i="17"/>
  <c r="G2080" i="17"/>
  <c r="K2120" i="17"/>
  <c r="G2120" i="17"/>
  <c r="J2120" i="17"/>
  <c r="K2043" i="17"/>
  <c r="J2043" i="17"/>
  <c r="G2043" i="17"/>
  <c r="K2103" i="17"/>
  <c r="G2103" i="17"/>
  <c r="J2103" i="17"/>
  <c r="K1963" i="17"/>
  <c r="G1963" i="17"/>
  <c r="J1963" i="17"/>
  <c r="K1983" i="17"/>
  <c r="J1983" i="17"/>
  <c r="G1983" i="17"/>
  <c r="K1903" i="17"/>
  <c r="G1903" i="17"/>
  <c r="J1903" i="17"/>
  <c r="K1923" i="17"/>
  <c r="G1923" i="17"/>
  <c r="J1923" i="17"/>
  <c r="K1943" i="17"/>
  <c r="J1943" i="17"/>
  <c r="G1943" i="17"/>
  <c r="K2003" i="17"/>
  <c r="J2003" i="17"/>
  <c r="G2003" i="17"/>
  <c r="K2023" i="17"/>
  <c r="J2023" i="17"/>
  <c r="G2023" i="17"/>
  <c r="K2107" i="17"/>
  <c r="J2107" i="17"/>
  <c r="G2107" i="17"/>
  <c r="K1927" i="17"/>
  <c r="G1927" i="17"/>
  <c r="J1927" i="17"/>
  <c r="K1967" i="17"/>
  <c r="J1967" i="17"/>
  <c r="G1967" i="17"/>
  <c r="K2067" i="17"/>
  <c r="G2067" i="17"/>
  <c r="J2067" i="17"/>
  <c r="K1907" i="17"/>
  <c r="G1907" i="17"/>
  <c r="J1907" i="17"/>
  <c r="K2087" i="17"/>
  <c r="J2087" i="17"/>
  <c r="G2087" i="17"/>
  <c r="K1987" i="17"/>
  <c r="G1987" i="17"/>
  <c r="J1987" i="17"/>
  <c r="K1947" i="17"/>
  <c r="J1947" i="17"/>
  <c r="G1947" i="17"/>
  <c r="K2007" i="17"/>
  <c r="J2007" i="17"/>
  <c r="G2007" i="17"/>
  <c r="K2047" i="17"/>
  <c r="J2047" i="17"/>
  <c r="G2047" i="17"/>
  <c r="K2127" i="17"/>
  <c r="J2127" i="17"/>
  <c r="G2127" i="17"/>
  <c r="K2027" i="17"/>
  <c r="G2027" i="17"/>
  <c r="J2027" i="17"/>
  <c r="K1949" i="17"/>
  <c r="J1949" i="17"/>
  <c r="G1949" i="17"/>
  <c r="K1969" i="17"/>
  <c r="J1969" i="17"/>
  <c r="G1969" i="17"/>
  <c r="K1889" i="17"/>
  <c r="G1889" i="17"/>
  <c r="J1889" i="17"/>
  <c r="K1909" i="17"/>
  <c r="J1909" i="17"/>
  <c r="G1909" i="17"/>
  <c r="K2089" i="17"/>
  <c r="J2089" i="17"/>
  <c r="G2089" i="17"/>
  <c r="K2109" i="17"/>
  <c r="J2109" i="17"/>
  <c r="G2109" i="17"/>
  <c r="K2069" i="17"/>
  <c r="G2069" i="17"/>
  <c r="J2069" i="17"/>
  <c r="K2029" i="17"/>
  <c r="G2029" i="17"/>
  <c r="J2029" i="17"/>
  <c r="K2129" i="17"/>
  <c r="G2129" i="17"/>
  <c r="J2129" i="17"/>
  <c r="K2209" i="17"/>
  <c r="J2209" i="17"/>
  <c r="G2209" i="17"/>
  <c r="K2229" i="17"/>
  <c r="G2229" i="17"/>
  <c r="J2229" i="17"/>
  <c r="K2118" i="17"/>
  <c r="J2118" i="17"/>
  <c r="G2118" i="17"/>
  <c r="K2098" i="17"/>
  <c r="G2098" i="17"/>
  <c r="J2098" i="17"/>
  <c r="K1978" i="17"/>
  <c r="J1978" i="17"/>
  <c r="G1978" i="17"/>
  <c r="K2138" i="17"/>
  <c r="J2138" i="17"/>
  <c r="G2138" i="17"/>
  <c r="K1938" i="17"/>
  <c r="J1938" i="17"/>
  <c r="G1938" i="17"/>
  <c r="K2058" i="17"/>
  <c r="J2058" i="17"/>
  <c r="G2058" i="17"/>
  <c r="K1898" i="17"/>
  <c r="G1898" i="17"/>
  <c r="J1898" i="17"/>
  <c r="K1958" i="17"/>
  <c r="G1958" i="17"/>
  <c r="J1958" i="17"/>
  <c r="K1918" i="17"/>
  <c r="G1918" i="17"/>
  <c r="J1918" i="17"/>
  <c r="K2218" i="17"/>
  <c r="J2218" i="17"/>
  <c r="G2218" i="17"/>
  <c r="K2018" i="17"/>
  <c r="G2018" i="17"/>
  <c r="J2018" i="17"/>
  <c r="K2082" i="17"/>
  <c r="J2082" i="17"/>
  <c r="G2082" i="17"/>
  <c r="K1962" i="17"/>
  <c r="G1962" i="17"/>
  <c r="J1962" i="17"/>
  <c r="K1902" i="17"/>
  <c r="G1902" i="17"/>
  <c r="J1902" i="17"/>
  <c r="K1922" i="17"/>
  <c r="J1922" i="17"/>
  <c r="G1922" i="17"/>
  <c r="K1942" i="17"/>
  <c r="J1942" i="17"/>
  <c r="G1942" i="17"/>
  <c r="K1982" i="17"/>
  <c r="J1982" i="17"/>
  <c r="G1982" i="17"/>
  <c r="K2002" i="17"/>
  <c r="J2002" i="17"/>
  <c r="G2002" i="17"/>
  <c r="K2022" i="17"/>
  <c r="J2022" i="17"/>
  <c r="G2022" i="17"/>
  <c r="K2102" i="17"/>
  <c r="J2102" i="17"/>
  <c r="G2102" i="17"/>
  <c r="K2142" i="17"/>
  <c r="G2142" i="17"/>
  <c r="J2142" i="17"/>
  <c r="K2042" i="17"/>
  <c r="G2042" i="17"/>
  <c r="J2042" i="17"/>
  <c r="K2062" i="17"/>
  <c r="J2062" i="17"/>
  <c r="G2062" i="17"/>
  <c r="K2122" i="17"/>
  <c r="G2122" i="17"/>
  <c r="J2122" i="17"/>
  <c r="K1981" i="17"/>
  <c r="J1981" i="17"/>
  <c r="G1981" i="17"/>
  <c r="K1941" i="17"/>
  <c r="G1941" i="17"/>
  <c r="J1941" i="17"/>
  <c r="K1921" i="17"/>
  <c r="G1921" i="17"/>
  <c r="J1921" i="17"/>
  <c r="K1961" i="17"/>
  <c r="G1961" i="17"/>
  <c r="J1961" i="17"/>
  <c r="K1901" i="17"/>
  <c r="G1901" i="17"/>
  <c r="J1901" i="17"/>
  <c r="K2001" i="17"/>
  <c r="J2001" i="17"/>
  <c r="G2001" i="17"/>
  <c r="K2021" i="17"/>
  <c r="J2021" i="17"/>
  <c r="G2021" i="17"/>
  <c r="K1977" i="17"/>
  <c r="G1977" i="17"/>
  <c r="J1977" i="17"/>
  <c r="K1957" i="17"/>
  <c r="J1957" i="17"/>
  <c r="G1957" i="17"/>
  <c r="K1937" i="17"/>
  <c r="G1937" i="17"/>
  <c r="J1937" i="17"/>
  <c r="K1897" i="17"/>
  <c r="J1897" i="17"/>
  <c r="G1897" i="17"/>
  <c r="K1917" i="17"/>
  <c r="G1917" i="17"/>
  <c r="J1917" i="17"/>
  <c r="K2017" i="17"/>
  <c r="G2017" i="17"/>
  <c r="J2017" i="17"/>
  <c r="K2064" i="17"/>
  <c r="G2064" i="17"/>
  <c r="J2064" i="17"/>
  <c r="K2224" i="17"/>
  <c r="G2224" i="17"/>
  <c r="J2224" i="17"/>
  <c r="K1944" i="17"/>
  <c r="J1944" i="17"/>
  <c r="G1944" i="17"/>
  <c r="K1984" i="17"/>
  <c r="G1984" i="17"/>
  <c r="J1984" i="17"/>
  <c r="K1904" i="17"/>
  <c r="G1904" i="17"/>
  <c r="J1904" i="17"/>
  <c r="K1924" i="17"/>
  <c r="G1924" i="17"/>
  <c r="J1924" i="17"/>
  <c r="K1964" i="17"/>
  <c r="J1964" i="17"/>
  <c r="G1964" i="17"/>
  <c r="K2004" i="17"/>
  <c r="J2004" i="17"/>
  <c r="G2004" i="17"/>
  <c r="K2024" i="17"/>
  <c r="G2024" i="17"/>
  <c r="J2024" i="17"/>
  <c r="K2084" i="17"/>
  <c r="G2084" i="17"/>
  <c r="J2084" i="17"/>
  <c r="K2104" i="17"/>
  <c r="G2104" i="17"/>
  <c r="J2104" i="17"/>
  <c r="K2124" i="17"/>
  <c r="J2124" i="17"/>
  <c r="G2124" i="17"/>
  <c r="K2144" i="17"/>
  <c r="G2144" i="17"/>
  <c r="J2144" i="17"/>
  <c r="K1970" i="17"/>
  <c r="J1970" i="17"/>
  <c r="G1970" i="17"/>
  <c r="K1910" i="17"/>
  <c r="J1910" i="17"/>
  <c r="G1910" i="17"/>
  <c r="K1990" i="17"/>
  <c r="G1990" i="17"/>
  <c r="J1990" i="17"/>
  <c r="K1930" i="17"/>
  <c r="J1930" i="17"/>
  <c r="G1930" i="17"/>
  <c r="K1950" i="17"/>
  <c r="J1950" i="17"/>
  <c r="G1950" i="17"/>
  <c r="K1890" i="17"/>
  <c r="G1890" i="17"/>
  <c r="J1890" i="17"/>
  <c r="K2010" i="17"/>
  <c r="G2010" i="17"/>
  <c r="J2010" i="17"/>
  <c r="K2030" i="17"/>
  <c r="J2030" i="17"/>
  <c r="G2030" i="17"/>
  <c r="K2070" i="17"/>
  <c r="J2070" i="17"/>
  <c r="G2070" i="17"/>
  <c r="K2050" i="17"/>
  <c r="G2050" i="17"/>
  <c r="J2050" i="17"/>
  <c r="K2090" i="17"/>
  <c r="G2090" i="17"/>
  <c r="J2090" i="17"/>
  <c r="K2125" i="17"/>
  <c r="G2125" i="17"/>
  <c r="J2125" i="17"/>
  <c r="K2085" i="17"/>
  <c r="J2085" i="17"/>
  <c r="G2085" i="17"/>
  <c r="K2065" i="17"/>
  <c r="J2065" i="17"/>
  <c r="G2065" i="17"/>
  <c r="K2045" i="17"/>
  <c r="J2045" i="17"/>
  <c r="G2045" i="17"/>
  <c r="K2145" i="17"/>
  <c r="J2145" i="17"/>
  <c r="G2145" i="17"/>
  <c r="K2105" i="17"/>
  <c r="J2105" i="17"/>
  <c r="G2105" i="17"/>
  <c r="K2025" i="17"/>
  <c r="G2025" i="17"/>
  <c r="J2025" i="17"/>
  <c r="K2005" i="17"/>
  <c r="G2005" i="17"/>
  <c r="J2005" i="17"/>
  <c r="K1985" i="17"/>
  <c r="J1985" i="17"/>
  <c r="G1985" i="17"/>
  <c r="K1905" i="17"/>
  <c r="J1905" i="17"/>
  <c r="G1905" i="17"/>
  <c r="K2225" i="17"/>
  <c r="J2225" i="17"/>
  <c r="G2225" i="17"/>
  <c r="K1965" i="17"/>
  <c r="J1965" i="17"/>
  <c r="G1965" i="17"/>
  <c r="K1925" i="17"/>
  <c r="J1925" i="17"/>
  <c r="G1925" i="17"/>
  <c r="K1945" i="17"/>
  <c r="G1945" i="17"/>
  <c r="J1945" i="17"/>
  <c r="K2111" i="17"/>
  <c r="G2111" i="17"/>
  <c r="J2111" i="17"/>
  <c r="K2091" i="17"/>
  <c r="J2091" i="17"/>
  <c r="G2091" i="17"/>
  <c r="K2131" i="17"/>
  <c r="J2131" i="17"/>
  <c r="G2131" i="17"/>
  <c r="K2211" i="17"/>
  <c r="J2211" i="17"/>
  <c r="G2211" i="17"/>
  <c r="K2231" i="17"/>
  <c r="J2231" i="17"/>
  <c r="G2231" i="17"/>
  <c r="K1931" i="17"/>
  <c r="G1931" i="17"/>
  <c r="J1931" i="17"/>
  <c r="K1991" i="17"/>
  <c r="J1991" i="17"/>
  <c r="G1991" i="17"/>
  <c r="K1951" i="17"/>
  <c r="J1951" i="17"/>
  <c r="G1951" i="17"/>
  <c r="K1971" i="17"/>
  <c r="G1971" i="17"/>
  <c r="J1971" i="17"/>
  <c r="K1911" i="17"/>
  <c r="G1911" i="17"/>
  <c r="J1911" i="17"/>
  <c r="K1891" i="17"/>
  <c r="J1891" i="17"/>
  <c r="G1891" i="17"/>
  <c r="K2011" i="17"/>
  <c r="G2011" i="17"/>
  <c r="J2011" i="17"/>
  <c r="K2031" i="17"/>
  <c r="G2031" i="17"/>
  <c r="J2031" i="17"/>
  <c r="K2051" i="17"/>
  <c r="G2051" i="17"/>
  <c r="J2051" i="17"/>
  <c r="K2071" i="17"/>
  <c r="G2071" i="17"/>
  <c r="J2071" i="17"/>
  <c r="K2149" i="17"/>
  <c r="J2149" i="17"/>
  <c r="G2149" i="17"/>
  <c r="L873" i="7"/>
  <c r="L922" i="7"/>
  <c r="L940" i="7"/>
  <c r="L924" i="7"/>
  <c r="S24" i="8"/>
  <c r="S23" i="8"/>
  <c r="S17" i="8"/>
  <c r="S21" i="8"/>
  <c r="S15" i="8"/>
  <c r="S13" i="8"/>
  <c r="S10" i="8"/>
  <c r="S11" i="8"/>
  <c r="S9" i="8"/>
  <c r="S12" i="8"/>
  <c r="S16" i="8"/>
  <c r="S18" i="8"/>
  <c r="S6" i="8"/>
  <c r="X5" i="8"/>
  <c r="V5" i="8"/>
  <c r="W5" i="8" s="1"/>
  <c r="X8" i="8"/>
  <c r="V8" i="8"/>
  <c r="W8" i="8" s="1"/>
  <c r="N5" i="7"/>
  <c r="M5" i="7"/>
  <c r="L5" i="7"/>
  <c r="V24" i="8" l="1"/>
  <c r="W24" i="8" s="1"/>
  <c r="X24" i="8"/>
  <c r="V12" i="8"/>
  <c r="W12" i="8" s="1"/>
  <c r="X12" i="8"/>
  <c r="X11" i="8"/>
  <c r="V11" i="8"/>
  <c r="W11" i="8" s="1"/>
  <c r="V9" i="8"/>
  <c r="W9" i="8" s="1"/>
  <c r="X9" i="8"/>
  <c r="V16" i="8"/>
  <c r="W16" i="8" s="1"/>
  <c r="X16" i="8"/>
  <c r="V18" i="8"/>
  <c r="W18" i="8" s="1"/>
  <c r="X18" i="8"/>
  <c r="V23" i="8"/>
  <c r="W23" i="8" s="1"/>
  <c r="X23" i="8"/>
  <c r="V17" i="8"/>
  <c r="W17" i="8" s="1"/>
  <c r="X17" i="8"/>
  <c r="X21" i="8"/>
  <c r="V21" i="8"/>
  <c r="W21" i="8" s="1"/>
  <c r="X15" i="8"/>
  <c r="V15" i="8"/>
  <c r="W15" i="8" s="1"/>
  <c r="X13" i="8"/>
  <c r="V13" i="8"/>
  <c r="W13" i="8" s="1"/>
  <c r="X10" i="8"/>
  <c r="V10" i="8"/>
  <c r="W10" i="8" s="1"/>
  <c r="V6" i="8"/>
  <c r="W6" i="8" s="1"/>
  <c r="X6" i="8"/>
  <c r="J5" i="7"/>
  <c r="I5" i="7"/>
  <c r="F6" i="17" l="1"/>
  <c r="F10" i="17"/>
  <c r="F14" i="17"/>
  <c r="F19" i="17"/>
  <c r="F24" i="17"/>
  <c r="F29" i="17"/>
  <c r="F36" i="17"/>
  <c r="F61" i="17"/>
  <c r="F81" i="17"/>
  <c r="F143" i="17"/>
  <c r="F155" i="17"/>
  <c r="F191" i="17"/>
  <c r="F227" i="17"/>
  <c r="F252" i="17"/>
  <c r="F526" i="17"/>
  <c r="F1046" i="17"/>
  <c r="F1606" i="17"/>
  <c r="F1846" i="17"/>
  <c r="F1926" i="17"/>
  <c r="F2026" i="17"/>
  <c r="F2046" i="17"/>
  <c r="F2246" i="17"/>
  <c r="F2266" i="17"/>
  <c r="F2306" i="17"/>
  <c r="F1246" i="17"/>
  <c r="F1266" i="17"/>
  <c r="F1286" i="17"/>
  <c r="F1306" i="17"/>
  <c r="F1526" i="17"/>
  <c r="F1586" i="17"/>
  <c r="F1646" i="17"/>
  <c r="F1906" i="17"/>
  <c r="F2086" i="17"/>
  <c r="F239" i="17"/>
  <c r="F265" i="17"/>
  <c r="F307" i="17"/>
  <c r="F363" i="17"/>
  <c r="F377" i="17"/>
  <c r="F466" i="17"/>
  <c r="F556" i="17"/>
  <c r="F588" i="17"/>
  <c r="F725" i="17"/>
  <c r="F926" i="17"/>
  <c r="F946" i="17"/>
  <c r="F1106" i="17"/>
  <c r="F1166" i="17"/>
  <c r="F1486" i="17"/>
  <c r="F1666" i="17"/>
  <c r="F1706" i="17"/>
  <c r="F1806" i="17"/>
  <c r="F1966" i="17"/>
  <c r="F2006" i="17"/>
  <c r="F2146" i="17"/>
  <c r="F111" i="17"/>
  <c r="F406" i="17"/>
  <c r="F421" i="17"/>
  <c r="F436" i="17"/>
  <c r="F620" i="17"/>
  <c r="F1546" i="17"/>
  <c r="F1746" i="17"/>
  <c r="F1786" i="17"/>
  <c r="F321" i="17"/>
  <c r="F335" i="17"/>
  <c r="F391" i="17"/>
  <c r="F541" i="17"/>
  <c r="F966" i="17"/>
  <c r="F1026" i="17"/>
  <c r="F1146" i="17"/>
  <c r="F1226" i="17"/>
  <c r="F1346" i="17"/>
  <c r="F1386" i="17"/>
  <c r="F1686" i="17"/>
  <c r="F1946" i="17"/>
  <c r="F1986" i="17"/>
  <c r="F2186" i="17"/>
  <c r="F2206" i="17"/>
  <c r="F2346" i="17"/>
  <c r="F71" i="17"/>
  <c r="F179" i="17"/>
  <c r="F293" i="17"/>
  <c r="F451" i="17"/>
  <c r="F481" i="17"/>
  <c r="F511" i="17"/>
  <c r="F636" i="17"/>
  <c r="F671" i="17"/>
  <c r="F851" i="17"/>
  <c r="F869" i="17"/>
  <c r="F986" i="17"/>
  <c r="F91" i="17"/>
  <c r="F132" i="17"/>
  <c r="F203" i="17"/>
  <c r="F496" i="17"/>
  <c r="F572" i="17"/>
  <c r="F653" i="17"/>
  <c r="F707" i="17"/>
  <c r="F743" i="17"/>
  <c r="F1426" i="17"/>
  <c r="F1466" i="17"/>
  <c r="F1726" i="17"/>
  <c r="F1826" i="17"/>
  <c r="F1886" i="17"/>
  <c r="F2126" i="17"/>
  <c r="F2286" i="17"/>
  <c r="F215" i="17"/>
  <c r="F279" i="17"/>
  <c r="F604" i="17"/>
  <c r="F689" i="17"/>
  <c r="F1126" i="17"/>
  <c r="F1366" i="17"/>
  <c r="F1446" i="17"/>
  <c r="F1506" i="17"/>
  <c r="F1566" i="17"/>
  <c r="F44" i="17"/>
  <c r="F1066" i="17"/>
  <c r="F1866" i="17"/>
  <c r="F2166" i="17"/>
  <c r="F779" i="17"/>
  <c r="F888" i="17"/>
  <c r="F907" i="17"/>
  <c r="F1006" i="17"/>
  <c r="F1206" i="17"/>
  <c r="F1406" i="17"/>
  <c r="F2106" i="17"/>
  <c r="F2226" i="17"/>
  <c r="F2326" i="17"/>
  <c r="F52" i="17"/>
  <c r="F101" i="17"/>
  <c r="F121" i="17"/>
  <c r="F167" i="17"/>
  <c r="F349" i="17"/>
  <c r="F761" i="17"/>
  <c r="F797" i="17"/>
  <c r="F815" i="17"/>
  <c r="F833" i="17"/>
  <c r="F1086" i="17"/>
  <c r="F1186" i="17"/>
  <c r="F1326" i="17"/>
  <c r="F1626" i="17"/>
  <c r="F1766" i="17"/>
  <c r="F2066" i="17"/>
  <c r="R20" i="8"/>
  <c r="S20" i="8" s="1"/>
  <c r="R22" i="8"/>
  <c r="S22" i="8" s="1"/>
  <c r="R7" i="8"/>
  <c r="S7" i="8" s="1"/>
  <c r="R19" i="8"/>
  <c r="S19" i="8" s="1"/>
  <c r="R14" i="8"/>
  <c r="S14" i="8" s="1"/>
  <c r="K5" i="7"/>
  <c r="K1446" i="17" l="1"/>
  <c r="J1446" i="17"/>
  <c r="G1446" i="17"/>
  <c r="J1726" i="17"/>
  <c r="K1726" i="17"/>
  <c r="G1726" i="17"/>
  <c r="K307" i="17"/>
  <c r="J307" i="17"/>
  <c r="G307" i="17"/>
  <c r="K321" i="17"/>
  <c r="J321" i="17"/>
  <c r="G321" i="17"/>
  <c r="K363" i="17"/>
  <c r="J363" i="17"/>
  <c r="G363" i="17"/>
  <c r="K377" i="17"/>
  <c r="G377" i="17"/>
  <c r="J377" i="17"/>
  <c r="G391" i="17"/>
  <c r="J391" i="17"/>
  <c r="K391" i="17"/>
  <c r="J511" i="17"/>
  <c r="K511" i="17"/>
  <c r="G511" i="17"/>
  <c r="J1306" i="17"/>
  <c r="K1306" i="17"/>
  <c r="G1306" i="17"/>
  <c r="J1506" i="17"/>
  <c r="K1506" i="17"/>
  <c r="G1506" i="17"/>
  <c r="G265" i="17"/>
  <c r="J265" i="17"/>
  <c r="K265" i="17"/>
  <c r="G451" i="17"/>
  <c r="K451" i="17"/>
  <c r="J451" i="17"/>
  <c r="K556" i="17"/>
  <c r="J556" i="17"/>
  <c r="G556" i="17"/>
  <c r="K572" i="17"/>
  <c r="J572" i="17"/>
  <c r="G572" i="17"/>
  <c r="K604" i="17"/>
  <c r="J604" i="17"/>
  <c r="G604" i="17"/>
  <c r="J620" i="17"/>
  <c r="K620" i="17"/>
  <c r="G620" i="17"/>
  <c r="K636" i="17"/>
  <c r="J636" i="17"/>
  <c r="G636" i="17"/>
  <c r="J1086" i="17"/>
  <c r="K1086" i="17"/>
  <c r="G1086" i="17"/>
  <c r="J1586" i="17"/>
  <c r="K1586" i="17"/>
  <c r="G1586" i="17"/>
  <c r="J1686" i="17"/>
  <c r="K1686" i="17"/>
  <c r="G1686" i="17"/>
  <c r="J1766" i="17"/>
  <c r="K1766" i="17"/>
  <c r="G1766" i="17"/>
  <c r="J52" i="17"/>
  <c r="G52" i="17"/>
  <c r="K52" i="17"/>
  <c r="G81" i="17"/>
  <c r="J81" i="17"/>
  <c r="K81" i="17"/>
  <c r="K1166" i="17"/>
  <c r="J1166" i="17"/>
  <c r="G1166" i="17"/>
  <c r="K1186" i="17"/>
  <c r="J1186" i="17"/>
  <c r="G1186" i="17"/>
  <c r="J1206" i="17"/>
  <c r="K1206" i="17"/>
  <c r="G1206" i="17"/>
  <c r="J1226" i="17"/>
  <c r="K1226" i="17"/>
  <c r="G1226" i="17"/>
  <c r="J1246" i="17"/>
  <c r="K1246" i="17"/>
  <c r="G1246" i="17"/>
  <c r="K1866" i="17"/>
  <c r="J1866" i="17"/>
  <c r="G1866" i="17"/>
  <c r="J1886" i="17"/>
  <c r="K1886" i="17"/>
  <c r="G1886" i="17"/>
  <c r="G227" i="17"/>
  <c r="J227" i="17"/>
  <c r="K227" i="17"/>
  <c r="J966" i="17"/>
  <c r="K966" i="17"/>
  <c r="G966" i="17"/>
  <c r="J61" i="17"/>
  <c r="G61" i="17"/>
  <c r="K61" i="17"/>
  <c r="J111" i="17"/>
  <c r="K111" i="17"/>
  <c r="G111" i="17"/>
  <c r="K761" i="17"/>
  <c r="J761" i="17"/>
  <c r="G761" i="17"/>
  <c r="J869" i="17"/>
  <c r="K869" i="17"/>
  <c r="G869" i="17"/>
  <c r="K946" i="17"/>
  <c r="J946" i="17"/>
  <c r="G946" i="17"/>
  <c r="K1006" i="17"/>
  <c r="J1006" i="17"/>
  <c r="G1006" i="17"/>
  <c r="J1126" i="17"/>
  <c r="K1126" i="17"/>
  <c r="G1126" i="17"/>
  <c r="K1746" i="17"/>
  <c r="J1746" i="17"/>
  <c r="G1746" i="17"/>
  <c r="J1806" i="17"/>
  <c r="K1806" i="17"/>
  <c r="G1806" i="17"/>
  <c r="J101" i="17"/>
  <c r="K101" i="17"/>
  <c r="G101" i="17"/>
  <c r="J121" i="17"/>
  <c r="K121" i="17"/>
  <c r="G121" i="17"/>
  <c r="J215" i="17"/>
  <c r="G215" i="17"/>
  <c r="K215" i="17"/>
  <c r="K279" i="17"/>
  <c r="G279" i="17"/>
  <c r="J279" i="17"/>
  <c r="K406" i="17"/>
  <c r="G406" i="17"/>
  <c r="J406" i="17"/>
  <c r="J1266" i="17"/>
  <c r="K1266" i="17"/>
  <c r="G1266" i="17"/>
  <c r="J1326" i="17"/>
  <c r="K1326" i="17"/>
  <c r="G1326" i="17"/>
  <c r="J888" i="17"/>
  <c r="K888" i="17"/>
  <c r="G888" i="17"/>
  <c r="J1846" i="17"/>
  <c r="K1846" i="17"/>
  <c r="G1846" i="17"/>
  <c r="J14" i="17"/>
  <c r="G14" i="17"/>
  <c r="K14" i="17"/>
  <c r="G36" i="17"/>
  <c r="J36" i="17"/>
  <c r="K36" i="17"/>
  <c r="J91" i="17"/>
  <c r="K91" i="17"/>
  <c r="G91" i="17"/>
  <c r="J179" i="17"/>
  <c r="K179" i="17"/>
  <c r="G179" i="17"/>
  <c r="J239" i="17"/>
  <c r="K239" i="17"/>
  <c r="G239" i="17"/>
  <c r="J541" i="17"/>
  <c r="K541" i="17"/>
  <c r="G541" i="17"/>
  <c r="K1286" i="17"/>
  <c r="J1286" i="17"/>
  <c r="G1286" i="17"/>
  <c r="J1426" i="17"/>
  <c r="K1426" i="17"/>
  <c r="G1426" i="17"/>
  <c r="K779" i="17"/>
  <c r="J779" i="17"/>
  <c r="G779" i="17"/>
  <c r="J926" i="17"/>
  <c r="K926" i="17"/>
  <c r="G926" i="17"/>
  <c r="J1106" i="17"/>
  <c r="K1106" i="17"/>
  <c r="G1106" i="17"/>
  <c r="K743" i="17"/>
  <c r="J743" i="17"/>
  <c r="G743" i="17"/>
  <c r="K1046" i="17"/>
  <c r="J1046" i="17"/>
  <c r="G1046" i="17"/>
  <c r="J1486" i="17"/>
  <c r="K1486" i="17"/>
  <c r="G1486" i="17"/>
  <c r="J1566" i="17"/>
  <c r="K1566" i="17"/>
  <c r="G1566" i="17"/>
  <c r="K1826" i="17"/>
  <c r="J1826" i="17"/>
  <c r="G1826" i="17"/>
  <c r="J44" i="17"/>
  <c r="G44" i="17"/>
  <c r="K44" i="17"/>
  <c r="J143" i="17"/>
  <c r="K143" i="17"/>
  <c r="G143" i="17"/>
  <c r="J191" i="17"/>
  <c r="K191" i="17"/>
  <c r="G191" i="17"/>
  <c r="J293" i="17"/>
  <c r="G293" i="17"/>
  <c r="K293" i="17"/>
  <c r="G335" i="17"/>
  <c r="K335" i="17"/>
  <c r="J335" i="17"/>
  <c r="K481" i="17"/>
  <c r="J481" i="17"/>
  <c r="G481" i="17"/>
  <c r="K526" i="17"/>
  <c r="J526" i="17"/>
  <c r="G526" i="17"/>
  <c r="K1526" i="17"/>
  <c r="J1526" i="17"/>
  <c r="G1526" i="17"/>
  <c r="K1626" i="17"/>
  <c r="J1626" i="17"/>
  <c r="G1626" i="17"/>
  <c r="J10" i="17"/>
  <c r="G10" i="17"/>
  <c r="K10" i="17"/>
  <c r="K496" i="17"/>
  <c r="G496" i="17"/>
  <c r="J496" i="17"/>
  <c r="K588" i="17"/>
  <c r="J588" i="17"/>
  <c r="G588" i="17"/>
  <c r="J1386" i="17"/>
  <c r="K1386" i="17"/>
  <c r="G1386" i="17"/>
  <c r="K833" i="17"/>
  <c r="J833" i="17"/>
  <c r="G833" i="17"/>
  <c r="K986" i="17"/>
  <c r="J986" i="17"/>
  <c r="G986" i="17"/>
  <c r="J1026" i="17"/>
  <c r="K1026" i="17"/>
  <c r="G1026" i="17"/>
  <c r="J1706" i="17"/>
  <c r="K1706" i="17"/>
  <c r="G1706" i="17"/>
  <c r="J1786" i="17"/>
  <c r="K1786" i="17"/>
  <c r="G1786" i="17"/>
  <c r="G6" i="17"/>
  <c r="J6" i="17"/>
  <c r="K6" i="17"/>
  <c r="J132" i="17"/>
  <c r="K132" i="17"/>
  <c r="G132" i="17"/>
  <c r="J155" i="17"/>
  <c r="K155" i="17"/>
  <c r="G155" i="17"/>
  <c r="J436" i="17"/>
  <c r="G436" i="17"/>
  <c r="K436" i="17"/>
  <c r="J1406" i="17"/>
  <c r="K1406" i="17"/>
  <c r="G1406" i="17"/>
  <c r="J689" i="17"/>
  <c r="K689" i="17"/>
  <c r="G689" i="17"/>
  <c r="J725" i="17"/>
  <c r="K725" i="17"/>
  <c r="G725" i="17"/>
  <c r="K797" i="17"/>
  <c r="J797" i="17"/>
  <c r="G797" i="17"/>
  <c r="K1146" i="17"/>
  <c r="J1146" i="17"/>
  <c r="G1146" i="17"/>
  <c r="K1646" i="17"/>
  <c r="J1646" i="17"/>
  <c r="G1646" i="17"/>
  <c r="J1666" i="17"/>
  <c r="K1666" i="17"/>
  <c r="G1666" i="17"/>
  <c r="G29" i="17"/>
  <c r="J29" i="17"/>
  <c r="K29" i="17"/>
  <c r="G421" i="17"/>
  <c r="K421" i="17"/>
  <c r="J421" i="17"/>
  <c r="J1346" i="17"/>
  <c r="K1346" i="17"/>
  <c r="G1346" i="17"/>
  <c r="J1366" i="17"/>
  <c r="K1366" i="17"/>
  <c r="G1366" i="17"/>
  <c r="K653" i="17"/>
  <c r="J653" i="17"/>
  <c r="G653" i="17"/>
  <c r="J1066" i="17"/>
  <c r="K1066" i="17"/>
  <c r="G1066" i="17"/>
  <c r="G24" i="17"/>
  <c r="J24" i="17"/>
  <c r="K24" i="17"/>
  <c r="J167" i="17"/>
  <c r="K167" i="17"/>
  <c r="G167" i="17"/>
  <c r="J203" i="17"/>
  <c r="G203" i="17"/>
  <c r="K203" i="17"/>
  <c r="G252" i="17"/>
  <c r="J252" i="17"/>
  <c r="K252" i="17"/>
  <c r="G349" i="17"/>
  <c r="K349" i="17"/>
  <c r="J349" i="17"/>
  <c r="G466" i="17"/>
  <c r="J466" i="17"/>
  <c r="K466" i="17"/>
  <c r="K1466" i="17"/>
  <c r="J1466" i="17"/>
  <c r="G1466" i="17"/>
  <c r="J19" i="17"/>
  <c r="G19" i="17"/>
  <c r="K19" i="17"/>
  <c r="J671" i="17"/>
  <c r="K671" i="17"/>
  <c r="G671" i="17"/>
  <c r="J707" i="17"/>
  <c r="K707" i="17"/>
  <c r="G707" i="17"/>
  <c r="K815" i="17"/>
  <c r="J815" i="17"/>
  <c r="G815" i="17"/>
  <c r="J851" i="17"/>
  <c r="K851" i="17"/>
  <c r="G851" i="17"/>
  <c r="J907" i="17"/>
  <c r="K907" i="17"/>
  <c r="G907" i="17"/>
  <c r="K1546" i="17"/>
  <c r="J1546" i="17"/>
  <c r="G1546" i="17"/>
  <c r="K1606" i="17"/>
  <c r="J1606" i="17"/>
  <c r="G1606" i="17"/>
  <c r="G71" i="17"/>
  <c r="J71" i="17"/>
  <c r="K71" i="17"/>
  <c r="J2066" i="17"/>
  <c r="G2066" i="17"/>
  <c r="K2066" i="17"/>
  <c r="J2086" i="17"/>
  <c r="G2086" i="17"/>
  <c r="K2086" i="17"/>
  <c r="J2146" i="17"/>
  <c r="G2146" i="17"/>
  <c r="K2146" i="17"/>
  <c r="J2266" i="17"/>
  <c r="G2266" i="17"/>
  <c r="K2266" i="17"/>
  <c r="J2226" i="17"/>
  <c r="G2226" i="17"/>
  <c r="K2226" i="17"/>
  <c r="J2286" i="17"/>
  <c r="G2286" i="17"/>
  <c r="K2286" i="17"/>
  <c r="J2326" i="17"/>
  <c r="G2326" i="17"/>
  <c r="K2326" i="17"/>
  <c r="J1986" i="17"/>
  <c r="G1986" i="17"/>
  <c r="K1986" i="17"/>
  <c r="J2206" i="17"/>
  <c r="G2206" i="17"/>
  <c r="K2206" i="17"/>
  <c r="J1946" i="17"/>
  <c r="G1946" i="17"/>
  <c r="K1946" i="17"/>
  <c r="J1966" i="17"/>
  <c r="G1966" i="17"/>
  <c r="K1966" i="17"/>
  <c r="J2346" i="17"/>
  <c r="G2346" i="17"/>
  <c r="K2346" i="17"/>
  <c r="J1906" i="17"/>
  <c r="G1906" i="17"/>
  <c r="K1906" i="17"/>
  <c r="J1926" i="17"/>
  <c r="G1926" i="17"/>
  <c r="K1926" i="17"/>
  <c r="J2006" i="17"/>
  <c r="G2006" i="17"/>
  <c r="K2006" i="17"/>
  <c r="J2026" i="17"/>
  <c r="G2026" i="17"/>
  <c r="K2026" i="17"/>
  <c r="J2306" i="17"/>
  <c r="G2306" i="17"/>
  <c r="K2306" i="17"/>
  <c r="J2126" i="17"/>
  <c r="G2126" i="17"/>
  <c r="K2126" i="17"/>
  <c r="J2166" i="17"/>
  <c r="G2166" i="17"/>
  <c r="K2166" i="17"/>
  <c r="J2106" i="17"/>
  <c r="G2106" i="17"/>
  <c r="K2106" i="17"/>
  <c r="J2186" i="17"/>
  <c r="G2186" i="17"/>
  <c r="K2186" i="17"/>
  <c r="J2046" i="17"/>
  <c r="G2046" i="17"/>
  <c r="K2046" i="17"/>
  <c r="J2246" i="17"/>
  <c r="G2246" i="17"/>
  <c r="K2246" i="17"/>
  <c r="V20" i="8"/>
  <c r="W20" i="8" s="1"/>
  <c r="X20" i="8"/>
  <c r="X22" i="8"/>
  <c r="V22" i="8"/>
  <c r="W22" i="8" s="1"/>
  <c r="V7" i="8"/>
  <c r="W7" i="8" s="1"/>
  <c r="X7" i="8"/>
  <c r="V19" i="8"/>
  <c r="W19" i="8" s="1"/>
  <c r="X19" i="8"/>
  <c r="X14" i="8"/>
  <c r="V14" i="8"/>
  <c r="W14"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FB7F10-BEA1-4AB5-9905-91F232B8371E}" keepAlive="1" name="Query - CompanyDetailsList" description="Connection to the 'CompanyDetailsList' query in the workbook." type="5" refreshedVersion="0" background="1">
    <dbPr connection="Provider=Microsoft.Mashup.OleDb.1;Data Source=$Workbook$;Location=CompanyDetailsList;Extended Properties=&quot;&quot;" command="SELECT * FROM [CompanyDetailsList]"/>
  </connection>
  <connection id="2" xr16:uid="{EA354A0C-B758-49E6-9C77-4D6E1277FA08}" keepAlive="1" name="Query - CurrencyConversionList" description="Connection to the 'CurrencyConversionList' query in the workbook." type="5" refreshedVersion="8" background="1" saveData="1">
    <dbPr connection="Provider=Microsoft.Mashup.OleDb.1;Data Source=$Workbook$;Location=CurrencyConversionList;Extended Properties=&quot;&quot;" command="SELECT * FROM [CurrencyConversionList]"/>
  </connection>
  <connection id="3" xr16:uid="{4C7D7E73-530D-4DE5-90A0-88B3712C1B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325420D6-8A96-409A-821F-0793956F1C37}" name="WorksheetConnection_Wealth Tracker 2.0.xlsx!StockTransactionsTable" type="102" refreshedVersion="8" minRefreshableVersion="5">
    <extLst>
      <ext xmlns:x15="http://schemas.microsoft.com/office/spreadsheetml/2010/11/main" uri="{DE250136-89BD-433C-8126-D09CA5730AF9}">
        <x15:connection id="StockTransactionsTable" autoDelete="1">
          <x15:rangePr sourceName="_xlcn.WorksheetConnection_WealthTracker2.0.xlsxStockTransactionsTable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784">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30"/>
        </ext>
      </extLst>
    </bk>
    <bk>
      <extLst>
        <ext uri="{3e2802c4-a4d2-4d8b-9148-e3be6c30e623}">
          <xlrd:rvb i="33"/>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0"/>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6"/>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0"/>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5"/>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0"/>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5"/>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0"/>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4"/>
        </ext>
      </extLst>
    </bk>
    <bk>
      <extLst>
        <ext uri="{3e2802c4-a4d2-4d8b-9148-e3be6c30e623}">
          <xlrd:rvb i="1545"/>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49"/>
        </ext>
      </extLst>
    </bk>
    <bk>
      <extLst>
        <ext uri="{3e2802c4-a4d2-4d8b-9148-e3be6c30e623}">
          <xlrd:rvb i="1550"/>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7"/>
        </ext>
      </extLst>
    </bk>
    <bk>
      <extLst>
        <ext uri="{3e2802c4-a4d2-4d8b-9148-e3be6c30e623}">
          <xlrd:rvb i="1558"/>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2"/>
        </ext>
      </extLst>
    </bk>
    <bk>
      <extLst>
        <ext uri="{3e2802c4-a4d2-4d8b-9148-e3be6c30e623}">
          <xlrd:rvb i="1563"/>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7"/>
        </ext>
      </extLst>
    </bk>
    <bk>
      <extLst>
        <ext uri="{3e2802c4-a4d2-4d8b-9148-e3be6c30e623}">
          <xlrd:rvb i="1568"/>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2"/>
        </ext>
      </extLst>
    </bk>
    <bk>
      <extLst>
        <ext uri="{3e2802c4-a4d2-4d8b-9148-e3be6c30e623}">
          <xlrd:rvb i="1573"/>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7"/>
        </ext>
      </extLst>
    </bk>
    <bk>
      <extLst>
        <ext uri="{3e2802c4-a4d2-4d8b-9148-e3be6c30e623}">
          <xlrd:rvb i="1578"/>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7"/>
        </ext>
      </extLst>
    </bk>
    <bk>
      <extLst>
        <ext uri="{3e2802c4-a4d2-4d8b-9148-e3be6c30e623}">
          <xlrd:rvb i="1588"/>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2"/>
        </ext>
      </extLst>
    </bk>
    <bk>
      <extLst>
        <ext uri="{3e2802c4-a4d2-4d8b-9148-e3be6c30e623}">
          <xlrd:rvb i="1623"/>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28"/>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48"/>
        </ext>
      </extLst>
    </bk>
    <bk>
      <extLst>
        <ext uri="{3e2802c4-a4d2-4d8b-9148-e3be6c30e623}">
          <xlrd:rvb i="1649"/>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5"/>
        </ext>
      </extLst>
    </bk>
    <bk>
      <extLst>
        <ext uri="{3e2802c4-a4d2-4d8b-9148-e3be6c30e623}">
          <xlrd:rvb i="1676"/>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0"/>
        </ext>
      </extLst>
    </bk>
    <bk>
      <extLst>
        <ext uri="{3e2802c4-a4d2-4d8b-9148-e3be6c30e623}">
          <xlrd:rvb i="1691"/>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6"/>
        </ext>
      </extLst>
    </bk>
    <bk>
      <extLst>
        <ext uri="{3e2802c4-a4d2-4d8b-9148-e3be6c30e623}">
          <xlrd:rvb i="1697"/>
        </ext>
      </extLst>
    </bk>
    <bk>
      <extLst>
        <ext uri="{3e2802c4-a4d2-4d8b-9148-e3be6c30e623}">
          <xlrd:rvb i="1698"/>
        </ext>
      </extLst>
    </bk>
    <bk>
      <extLst>
        <ext uri="{3e2802c4-a4d2-4d8b-9148-e3be6c30e623}">
          <xlrd:rvb i="1699"/>
        </ext>
      </extLst>
    </bk>
    <bk>
      <extLst>
        <ext uri="{3e2802c4-a4d2-4d8b-9148-e3be6c30e623}">
          <xlrd:rvb i="1700"/>
        </ext>
      </extLst>
    </bk>
    <bk>
      <extLst>
        <ext uri="{3e2802c4-a4d2-4d8b-9148-e3be6c30e623}">
          <xlrd:rvb i="1701"/>
        </ext>
      </extLst>
    </bk>
    <bk>
      <extLst>
        <ext uri="{3e2802c4-a4d2-4d8b-9148-e3be6c30e623}">
          <xlrd:rvb i="1702"/>
        </ext>
      </extLst>
    </bk>
    <bk>
      <extLst>
        <ext uri="{3e2802c4-a4d2-4d8b-9148-e3be6c30e623}">
          <xlrd:rvb i="1703"/>
        </ext>
      </extLst>
    </bk>
    <bk>
      <extLst>
        <ext uri="{3e2802c4-a4d2-4d8b-9148-e3be6c30e623}">
          <xlrd:rvb i="1704"/>
        </ext>
      </extLst>
    </bk>
    <bk>
      <extLst>
        <ext uri="{3e2802c4-a4d2-4d8b-9148-e3be6c30e623}">
          <xlrd:rvb i="1705"/>
        </ext>
      </extLst>
    </bk>
    <bk>
      <extLst>
        <ext uri="{3e2802c4-a4d2-4d8b-9148-e3be6c30e623}">
          <xlrd:rvb i="1706"/>
        </ext>
      </extLst>
    </bk>
    <bk>
      <extLst>
        <ext uri="{3e2802c4-a4d2-4d8b-9148-e3be6c30e623}">
          <xlrd:rvb i="1707"/>
        </ext>
      </extLst>
    </bk>
    <bk>
      <extLst>
        <ext uri="{3e2802c4-a4d2-4d8b-9148-e3be6c30e623}">
          <xlrd:rvb i="1708"/>
        </ext>
      </extLst>
    </bk>
    <bk>
      <extLst>
        <ext uri="{3e2802c4-a4d2-4d8b-9148-e3be6c30e623}">
          <xlrd:rvb i="1709"/>
        </ext>
      </extLst>
    </bk>
    <bk>
      <extLst>
        <ext uri="{3e2802c4-a4d2-4d8b-9148-e3be6c30e623}">
          <xlrd:rvb i="1710"/>
        </ext>
      </extLst>
    </bk>
    <bk>
      <extLst>
        <ext uri="{3e2802c4-a4d2-4d8b-9148-e3be6c30e623}">
          <xlrd:rvb i="1711"/>
        </ext>
      </extLst>
    </bk>
    <bk>
      <extLst>
        <ext uri="{3e2802c4-a4d2-4d8b-9148-e3be6c30e623}">
          <xlrd:rvb i="1712"/>
        </ext>
      </extLst>
    </bk>
    <bk>
      <extLst>
        <ext uri="{3e2802c4-a4d2-4d8b-9148-e3be6c30e623}">
          <xlrd:rvb i="1713"/>
        </ext>
      </extLst>
    </bk>
    <bk>
      <extLst>
        <ext uri="{3e2802c4-a4d2-4d8b-9148-e3be6c30e623}">
          <xlrd:rvb i="1714"/>
        </ext>
      </extLst>
    </bk>
    <bk>
      <extLst>
        <ext uri="{3e2802c4-a4d2-4d8b-9148-e3be6c30e623}">
          <xlrd:rvb i="1715"/>
        </ext>
      </extLst>
    </bk>
    <bk>
      <extLst>
        <ext uri="{3e2802c4-a4d2-4d8b-9148-e3be6c30e623}">
          <xlrd:rvb i="1716"/>
        </ext>
      </extLst>
    </bk>
    <bk>
      <extLst>
        <ext uri="{3e2802c4-a4d2-4d8b-9148-e3be6c30e623}">
          <xlrd:rvb i="1717"/>
        </ext>
      </extLst>
    </bk>
    <bk>
      <extLst>
        <ext uri="{3e2802c4-a4d2-4d8b-9148-e3be6c30e623}">
          <xlrd:rvb i="1718"/>
        </ext>
      </extLst>
    </bk>
    <bk>
      <extLst>
        <ext uri="{3e2802c4-a4d2-4d8b-9148-e3be6c30e623}">
          <xlrd:rvb i="1719"/>
        </ext>
      </extLst>
    </bk>
    <bk>
      <extLst>
        <ext uri="{3e2802c4-a4d2-4d8b-9148-e3be6c30e623}">
          <xlrd:rvb i="1720"/>
        </ext>
      </extLst>
    </bk>
    <bk>
      <extLst>
        <ext uri="{3e2802c4-a4d2-4d8b-9148-e3be6c30e623}">
          <xlrd:rvb i="1721"/>
        </ext>
      </extLst>
    </bk>
    <bk>
      <extLst>
        <ext uri="{3e2802c4-a4d2-4d8b-9148-e3be6c30e623}">
          <xlrd:rvb i="1722"/>
        </ext>
      </extLst>
    </bk>
    <bk>
      <extLst>
        <ext uri="{3e2802c4-a4d2-4d8b-9148-e3be6c30e623}">
          <xlrd:rvb i="1723"/>
        </ext>
      </extLst>
    </bk>
    <bk>
      <extLst>
        <ext uri="{3e2802c4-a4d2-4d8b-9148-e3be6c30e623}">
          <xlrd:rvb i="1724"/>
        </ext>
      </extLst>
    </bk>
    <bk>
      <extLst>
        <ext uri="{3e2802c4-a4d2-4d8b-9148-e3be6c30e623}">
          <xlrd:rvb i="1725"/>
        </ext>
      </extLst>
    </bk>
    <bk>
      <extLst>
        <ext uri="{3e2802c4-a4d2-4d8b-9148-e3be6c30e623}">
          <xlrd:rvb i="1726"/>
        </ext>
      </extLst>
    </bk>
    <bk>
      <extLst>
        <ext uri="{3e2802c4-a4d2-4d8b-9148-e3be6c30e623}">
          <xlrd:rvb i="1727"/>
        </ext>
      </extLst>
    </bk>
    <bk>
      <extLst>
        <ext uri="{3e2802c4-a4d2-4d8b-9148-e3be6c30e623}">
          <xlrd:rvb i="1728"/>
        </ext>
      </extLst>
    </bk>
    <bk>
      <extLst>
        <ext uri="{3e2802c4-a4d2-4d8b-9148-e3be6c30e623}">
          <xlrd:rvb i="1729"/>
        </ext>
      </extLst>
    </bk>
    <bk>
      <extLst>
        <ext uri="{3e2802c4-a4d2-4d8b-9148-e3be6c30e623}">
          <xlrd:rvb i="1730"/>
        </ext>
      </extLst>
    </bk>
    <bk>
      <extLst>
        <ext uri="{3e2802c4-a4d2-4d8b-9148-e3be6c30e623}">
          <xlrd:rvb i="1731"/>
        </ext>
      </extLst>
    </bk>
    <bk>
      <extLst>
        <ext uri="{3e2802c4-a4d2-4d8b-9148-e3be6c30e623}">
          <xlrd:rvb i="1732"/>
        </ext>
      </extLst>
    </bk>
    <bk>
      <extLst>
        <ext uri="{3e2802c4-a4d2-4d8b-9148-e3be6c30e623}">
          <xlrd:rvb i="1733"/>
        </ext>
      </extLst>
    </bk>
    <bk>
      <extLst>
        <ext uri="{3e2802c4-a4d2-4d8b-9148-e3be6c30e623}">
          <xlrd:rvb i="1734"/>
        </ext>
      </extLst>
    </bk>
    <bk>
      <extLst>
        <ext uri="{3e2802c4-a4d2-4d8b-9148-e3be6c30e623}">
          <xlrd:rvb i="1735"/>
        </ext>
      </extLst>
    </bk>
    <bk>
      <extLst>
        <ext uri="{3e2802c4-a4d2-4d8b-9148-e3be6c30e623}">
          <xlrd:rvb i="1736"/>
        </ext>
      </extLst>
    </bk>
    <bk>
      <extLst>
        <ext uri="{3e2802c4-a4d2-4d8b-9148-e3be6c30e623}">
          <xlrd:rvb i="1737"/>
        </ext>
      </extLst>
    </bk>
    <bk>
      <extLst>
        <ext uri="{3e2802c4-a4d2-4d8b-9148-e3be6c30e623}">
          <xlrd:rvb i="1738"/>
        </ext>
      </extLst>
    </bk>
    <bk>
      <extLst>
        <ext uri="{3e2802c4-a4d2-4d8b-9148-e3be6c30e623}">
          <xlrd:rvb i="1739"/>
        </ext>
      </extLst>
    </bk>
    <bk>
      <extLst>
        <ext uri="{3e2802c4-a4d2-4d8b-9148-e3be6c30e623}">
          <xlrd:rvb i="1740"/>
        </ext>
      </extLst>
    </bk>
    <bk>
      <extLst>
        <ext uri="{3e2802c4-a4d2-4d8b-9148-e3be6c30e623}">
          <xlrd:rvb i="1741"/>
        </ext>
      </extLst>
    </bk>
    <bk>
      <extLst>
        <ext uri="{3e2802c4-a4d2-4d8b-9148-e3be6c30e623}">
          <xlrd:rvb i="1742"/>
        </ext>
      </extLst>
    </bk>
    <bk>
      <extLst>
        <ext uri="{3e2802c4-a4d2-4d8b-9148-e3be6c30e623}">
          <xlrd:rvb i="1743"/>
        </ext>
      </extLst>
    </bk>
    <bk>
      <extLst>
        <ext uri="{3e2802c4-a4d2-4d8b-9148-e3be6c30e623}">
          <xlrd:rvb i="1744"/>
        </ext>
      </extLst>
    </bk>
    <bk>
      <extLst>
        <ext uri="{3e2802c4-a4d2-4d8b-9148-e3be6c30e623}">
          <xlrd:rvb i="1745"/>
        </ext>
      </extLst>
    </bk>
    <bk>
      <extLst>
        <ext uri="{3e2802c4-a4d2-4d8b-9148-e3be6c30e623}">
          <xlrd:rvb i="1746"/>
        </ext>
      </extLst>
    </bk>
    <bk>
      <extLst>
        <ext uri="{3e2802c4-a4d2-4d8b-9148-e3be6c30e623}">
          <xlrd:rvb i="1747"/>
        </ext>
      </extLst>
    </bk>
    <bk>
      <extLst>
        <ext uri="{3e2802c4-a4d2-4d8b-9148-e3be6c30e623}">
          <xlrd:rvb i="1748"/>
        </ext>
      </extLst>
    </bk>
    <bk>
      <extLst>
        <ext uri="{3e2802c4-a4d2-4d8b-9148-e3be6c30e623}">
          <xlrd:rvb i="1749"/>
        </ext>
      </extLst>
    </bk>
    <bk>
      <extLst>
        <ext uri="{3e2802c4-a4d2-4d8b-9148-e3be6c30e623}">
          <xlrd:rvb i="1750"/>
        </ext>
      </extLst>
    </bk>
    <bk>
      <extLst>
        <ext uri="{3e2802c4-a4d2-4d8b-9148-e3be6c30e623}">
          <xlrd:rvb i="1751"/>
        </ext>
      </extLst>
    </bk>
    <bk>
      <extLst>
        <ext uri="{3e2802c4-a4d2-4d8b-9148-e3be6c30e623}">
          <xlrd:rvb i="1752"/>
        </ext>
      </extLst>
    </bk>
    <bk>
      <extLst>
        <ext uri="{3e2802c4-a4d2-4d8b-9148-e3be6c30e623}">
          <xlrd:rvb i="1753"/>
        </ext>
      </extLst>
    </bk>
    <bk>
      <extLst>
        <ext uri="{3e2802c4-a4d2-4d8b-9148-e3be6c30e623}">
          <xlrd:rvb i="1754"/>
        </ext>
      </extLst>
    </bk>
    <bk>
      <extLst>
        <ext uri="{3e2802c4-a4d2-4d8b-9148-e3be6c30e623}">
          <xlrd:rvb i="1755"/>
        </ext>
      </extLst>
    </bk>
    <bk>
      <extLst>
        <ext uri="{3e2802c4-a4d2-4d8b-9148-e3be6c30e623}">
          <xlrd:rvb i="1756"/>
        </ext>
      </extLst>
    </bk>
    <bk>
      <extLst>
        <ext uri="{3e2802c4-a4d2-4d8b-9148-e3be6c30e623}">
          <xlrd:rvb i="1757"/>
        </ext>
      </extLst>
    </bk>
    <bk>
      <extLst>
        <ext uri="{3e2802c4-a4d2-4d8b-9148-e3be6c30e623}">
          <xlrd:rvb i="1758"/>
        </ext>
      </extLst>
    </bk>
    <bk>
      <extLst>
        <ext uri="{3e2802c4-a4d2-4d8b-9148-e3be6c30e623}">
          <xlrd:rvb i="1759"/>
        </ext>
      </extLst>
    </bk>
    <bk>
      <extLst>
        <ext uri="{3e2802c4-a4d2-4d8b-9148-e3be6c30e623}">
          <xlrd:rvb i="1760"/>
        </ext>
      </extLst>
    </bk>
    <bk>
      <extLst>
        <ext uri="{3e2802c4-a4d2-4d8b-9148-e3be6c30e623}">
          <xlrd:rvb i="1761"/>
        </ext>
      </extLst>
    </bk>
    <bk>
      <extLst>
        <ext uri="{3e2802c4-a4d2-4d8b-9148-e3be6c30e623}">
          <xlrd:rvb i="1762"/>
        </ext>
      </extLst>
    </bk>
    <bk>
      <extLst>
        <ext uri="{3e2802c4-a4d2-4d8b-9148-e3be6c30e623}">
          <xlrd:rvb i="1763"/>
        </ext>
      </extLst>
    </bk>
    <bk>
      <extLst>
        <ext uri="{3e2802c4-a4d2-4d8b-9148-e3be6c30e623}">
          <xlrd:rvb i="1764"/>
        </ext>
      </extLst>
    </bk>
    <bk>
      <extLst>
        <ext uri="{3e2802c4-a4d2-4d8b-9148-e3be6c30e623}">
          <xlrd:rvb i="1765"/>
        </ext>
      </extLst>
    </bk>
    <bk>
      <extLst>
        <ext uri="{3e2802c4-a4d2-4d8b-9148-e3be6c30e623}">
          <xlrd:rvb i="1766"/>
        </ext>
      </extLst>
    </bk>
    <bk>
      <extLst>
        <ext uri="{3e2802c4-a4d2-4d8b-9148-e3be6c30e623}">
          <xlrd:rvb i="1767"/>
        </ext>
      </extLst>
    </bk>
    <bk>
      <extLst>
        <ext uri="{3e2802c4-a4d2-4d8b-9148-e3be6c30e623}">
          <xlrd:rvb i="1768"/>
        </ext>
      </extLst>
    </bk>
    <bk>
      <extLst>
        <ext uri="{3e2802c4-a4d2-4d8b-9148-e3be6c30e623}">
          <xlrd:rvb i="1769"/>
        </ext>
      </extLst>
    </bk>
    <bk>
      <extLst>
        <ext uri="{3e2802c4-a4d2-4d8b-9148-e3be6c30e623}">
          <xlrd:rvb i="1770"/>
        </ext>
      </extLst>
    </bk>
    <bk>
      <extLst>
        <ext uri="{3e2802c4-a4d2-4d8b-9148-e3be6c30e623}">
          <xlrd:rvb i="1771"/>
        </ext>
      </extLst>
    </bk>
    <bk>
      <extLst>
        <ext uri="{3e2802c4-a4d2-4d8b-9148-e3be6c30e623}">
          <xlrd:rvb i="1772"/>
        </ext>
      </extLst>
    </bk>
    <bk>
      <extLst>
        <ext uri="{3e2802c4-a4d2-4d8b-9148-e3be6c30e623}">
          <xlrd:rvb i="1773"/>
        </ext>
      </extLst>
    </bk>
    <bk>
      <extLst>
        <ext uri="{3e2802c4-a4d2-4d8b-9148-e3be6c30e623}">
          <xlrd:rvb i="1774"/>
        </ext>
      </extLst>
    </bk>
    <bk>
      <extLst>
        <ext uri="{3e2802c4-a4d2-4d8b-9148-e3be6c30e623}">
          <xlrd:rvb i="1775"/>
        </ext>
      </extLst>
    </bk>
    <bk>
      <extLst>
        <ext uri="{3e2802c4-a4d2-4d8b-9148-e3be6c30e623}">
          <xlrd:rvb i="1776"/>
        </ext>
      </extLst>
    </bk>
    <bk>
      <extLst>
        <ext uri="{3e2802c4-a4d2-4d8b-9148-e3be6c30e623}">
          <xlrd:rvb i="1777"/>
        </ext>
      </extLst>
    </bk>
    <bk>
      <extLst>
        <ext uri="{3e2802c4-a4d2-4d8b-9148-e3be6c30e623}">
          <xlrd:rvb i="1778"/>
        </ext>
      </extLst>
    </bk>
    <bk>
      <extLst>
        <ext uri="{3e2802c4-a4d2-4d8b-9148-e3be6c30e623}">
          <xlrd:rvb i="1779"/>
        </ext>
      </extLst>
    </bk>
    <bk>
      <extLst>
        <ext uri="{3e2802c4-a4d2-4d8b-9148-e3be6c30e623}">
          <xlrd:rvb i="1780"/>
        </ext>
      </extLst>
    </bk>
    <bk>
      <extLst>
        <ext uri="{3e2802c4-a4d2-4d8b-9148-e3be6c30e623}">
          <xlrd:rvb i="1781"/>
        </ext>
      </extLst>
    </bk>
    <bk>
      <extLst>
        <ext uri="{3e2802c4-a4d2-4d8b-9148-e3be6c30e623}">
          <xlrd:rvb i="1782"/>
        </ext>
      </extLst>
    </bk>
    <bk>
      <extLst>
        <ext uri="{3e2802c4-a4d2-4d8b-9148-e3be6c30e623}">
          <xlrd:rvb i="1783"/>
        </ext>
      </extLst>
    </bk>
    <bk>
      <extLst>
        <ext uri="{3e2802c4-a4d2-4d8b-9148-e3be6c30e623}">
          <xlrd:rvb i="1784"/>
        </ext>
      </extLst>
    </bk>
    <bk>
      <extLst>
        <ext uri="{3e2802c4-a4d2-4d8b-9148-e3be6c30e623}">
          <xlrd:rvb i="1785"/>
        </ext>
      </extLst>
    </bk>
    <bk>
      <extLst>
        <ext uri="{3e2802c4-a4d2-4d8b-9148-e3be6c30e623}">
          <xlrd:rvb i="1786"/>
        </ext>
      </extLst>
    </bk>
    <bk>
      <extLst>
        <ext uri="{3e2802c4-a4d2-4d8b-9148-e3be6c30e623}">
          <xlrd:rvb i="1787"/>
        </ext>
      </extLst>
    </bk>
    <bk>
      <extLst>
        <ext uri="{3e2802c4-a4d2-4d8b-9148-e3be6c30e623}">
          <xlrd:rvb i="1788"/>
        </ext>
      </extLst>
    </bk>
    <bk>
      <extLst>
        <ext uri="{3e2802c4-a4d2-4d8b-9148-e3be6c30e623}">
          <xlrd:rvb i="1789"/>
        </ext>
      </extLst>
    </bk>
    <bk>
      <extLst>
        <ext uri="{3e2802c4-a4d2-4d8b-9148-e3be6c30e623}">
          <xlrd:rvb i="1790"/>
        </ext>
      </extLst>
    </bk>
    <bk>
      <extLst>
        <ext uri="{3e2802c4-a4d2-4d8b-9148-e3be6c30e623}">
          <xlrd:rvb i="1791"/>
        </ext>
      </extLst>
    </bk>
    <bk>
      <extLst>
        <ext uri="{3e2802c4-a4d2-4d8b-9148-e3be6c30e623}">
          <xlrd:rvb i="1792"/>
        </ext>
      </extLst>
    </bk>
    <bk>
      <extLst>
        <ext uri="{3e2802c4-a4d2-4d8b-9148-e3be6c30e623}">
          <xlrd:rvb i="1793"/>
        </ext>
      </extLst>
    </bk>
    <bk>
      <extLst>
        <ext uri="{3e2802c4-a4d2-4d8b-9148-e3be6c30e623}">
          <xlrd:rvb i="1794"/>
        </ext>
      </extLst>
    </bk>
    <bk>
      <extLst>
        <ext uri="{3e2802c4-a4d2-4d8b-9148-e3be6c30e623}">
          <xlrd:rvb i="1795"/>
        </ext>
      </extLst>
    </bk>
    <bk>
      <extLst>
        <ext uri="{3e2802c4-a4d2-4d8b-9148-e3be6c30e623}">
          <xlrd:rvb i="1796"/>
        </ext>
      </extLst>
    </bk>
    <bk>
      <extLst>
        <ext uri="{3e2802c4-a4d2-4d8b-9148-e3be6c30e623}">
          <xlrd:rvb i="1797"/>
        </ext>
      </extLst>
    </bk>
    <bk>
      <extLst>
        <ext uri="{3e2802c4-a4d2-4d8b-9148-e3be6c30e623}">
          <xlrd:rvb i="1798"/>
        </ext>
      </extLst>
    </bk>
    <bk>
      <extLst>
        <ext uri="{3e2802c4-a4d2-4d8b-9148-e3be6c30e623}">
          <xlrd:rvb i="1799"/>
        </ext>
      </extLst>
    </bk>
    <bk>
      <extLst>
        <ext uri="{3e2802c4-a4d2-4d8b-9148-e3be6c30e623}">
          <xlrd:rvb i="1800"/>
        </ext>
      </extLst>
    </bk>
    <bk>
      <extLst>
        <ext uri="{3e2802c4-a4d2-4d8b-9148-e3be6c30e623}">
          <xlrd:rvb i="1801"/>
        </ext>
      </extLst>
    </bk>
    <bk>
      <extLst>
        <ext uri="{3e2802c4-a4d2-4d8b-9148-e3be6c30e623}">
          <xlrd:rvb i="1802"/>
        </ext>
      </extLst>
    </bk>
    <bk>
      <extLst>
        <ext uri="{3e2802c4-a4d2-4d8b-9148-e3be6c30e623}">
          <xlrd:rvb i="1803"/>
        </ext>
      </extLst>
    </bk>
    <bk>
      <extLst>
        <ext uri="{3e2802c4-a4d2-4d8b-9148-e3be6c30e623}">
          <xlrd:rvb i="1804"/>
        </ext>
      </extLst>
    </bk>
    <bk>
      <extLst>
        <ext uri="{3e2802c4-a4d2-4d8b-9148-e3be6c30e623}">
          <xlrd:rvb i="1805"/>
        </ext>
      </extLst>
    </bk>
    <bk>
      <extLst>
        <ext uri="{3e2802c4-a4d2-4d8b-9148-e3be6c30e623}">
          <xlrd:rvb i="1806"/>
        </ext>
      </extLst>
    </bk>
    <bk>
      <extLst>
        <ext uri="{3e2802c4-a4d2-4d8b-9148-e3be6c30e623}">
          <xlrd:rvb i="1807"/>
        </ext>
      </extLst>
    </bk>
    <bk>
      <extLst>
        <ext uri="{3e2802c4-a4d2-4d8b-9148-e3be6c30e623}">
          <xlrd:rvb i="1808"/>
        </ext>
      </extLst>
    </bk>
    <bk>
      <extLst>
        <ext uri="{3e2802c4-a4d2-4d8b-9148-e3be6c30e623}">
          <xlrd:rvb i="1809"/>
        </ext>
      </extLst>
    </bk>
    <bk>
      <extLst>
        <ext uri="{3e2802c4-a4d2-4d8b-9148-e3be6c30e623}">
          <xlrd:rvb i="1810"/>
        </ext>
      </extLst>
    </bk>
    <bk>
      <extLst>
        <ext uri="{3e2802c4-a4d2-4d8b-9148-e3be6c30e623}">
          <xlrd:rvb i="1811"/>
        </ext>
      </extLst>
    </bk>
    <bk>
      <extLst>
        <ext uri="{3e2802c4-a4d2-4d8b-9148-e3be6c30e623}">
          <xlrd:rvb i="1812"/>
        </ext>
      </extLst>
    </bk>
    <bk>
      <extLst>
        <ext uri="{3e2802c4-a4d2-4d8b-9148-e3be6c30e623}">
          <xlrd:rvb i="1813"/>
        </ext>
      </extLst>
    </bk>
    <bk>
      <extLst>
        <ext uri="{3e2802c4-a4d2-4d8b-9148-e3be6c30e623}">
          <xlrd:rvb i="1814"/>
        </ext>
      </extLst>
    </bk>
    <bk>
      <extLst>
        <ext uri="{3e2802c4-a4d2-4d8b-9148-e3be6c30e623}">
          <xlrd:rvb i="1815"/>
        </ext>
      </extLst>
    </bk>
    <bk>
      <extLst>
        <ext uri="{3e2802c4-a4d2-4d8b-9148-e3be6c30e623}">
          <xlrd:rvb i="1816"/>
        </ext>
      </extLst>
    </bk>
    <bk>
      <extLst>
        <ext uri="{3e2802c4-a4d2-4d8b-9148-e3be6c30e623}">
          <xlrd:rvb i="1817"/>
        </ext>
      </extLst>
    </bk>
    <bk>
      <extLst>
        <ext uri="{3e2802c4-a4d2-4d8b-9148-e3be6c30e623}">
          <xlrd:rvb i="1818"/>
        </ext>
      </extLst>
    </bk>
    <bk>
      <extLst>
        <ext uri="{3e2802c4-a4d2-4d8b-9148-e3be6c30e623}">
          <xlrd:rvb i="1819"/>
        </ext>
      </extLst>
    </bk>
    <bk>
      <extLst>
        <ext uri="{3e2802c4-a4d2-4d8b-9148-e3be6c30e623}">
          <xlrd:rvb i="1820"/>
        </ext>
      </extLst>
    </bk>
    <bk>
      <extLst>
        <ext uri="{3e2802c4-a4d2-4d8b-9148-e3be6c30e623}">
          <xlrd:rvb i="1821"/>
        </ext>
      </extLst>
    </bk>
    <bk>
      <extLst>
        <ext uri="{3e2802c4-a4d2-4d8b-9148-e3be6c30e623}">
          <xlrd:rvb i="1822"/>
        </ext>
      </extLst>
    </bk>
    <bk>
      <extLst>
        <ext uri="{3e2802c4-a4d2-4d8b-9148-e3be6c30e623}">
          <xlrd:rvb i="1823"/>
        </ext>
      </extLst>
    </bk>
    <bk>
      <extLst>
        <ext uri="{3e2802c4-a4d2-4d8b-9148-e3be6c30e623}">
          <xlrd:rvb i="1824"/>
        </ext>
      </extLst>
    </bk>
    <bk>
      <extLst>
        <ext uri="{3e2802c4-a4d2-4d8b-9148-e3be6c30e623}">
          <xlrd:rvb i="1825"/>
        </ext>
      </extLst>
    </bk>
    <bk>
      <extLst>
        <ext uri="{3e2802c4-a4d2-4d8b-9148-e3be6c30e623}">
          <xlrd:rvb i="1826"/>
        </ext>
      </extLst>
    </bk>
    <bk>
      <extLst>
        <ext uri="{3e2802c4-a4d2-4d8b-9148-e3be6c30e623}">
          <xlrd:rvb i="1827"/>
        </ext>
      </extLst>
    </bk>
    <bk>
      <extLst>
        <ext uri="{3e2802c4-a4d2-4d8b-9148-e3be6c30e623}">
          <xlrd:rvb i="1828"/>
        </ext>
      </extLst>
    </bk>
    <bk>
      <extLst>
        <ext uri="{3e2802c4-a4d2-4d8b-9148-e3be6c30e623}">
          <xlrd:rvb i="1829"/>
        </ext>
      </extLst>
    </bk>
    <bk>
      <extLst>
        <ext uri="{3e2802c4-a4d2-4d8b-9148-e3be6c30e623}">
          <xlrd:rvb i="1830"/>
        </ext>
      </extLst>
    </bk>
    <bk>
      <extLst>
        <ext uri="{3e2802c4-a4d2-4d8b-9148-e3be6c30e623}">
          <xlrd:rvb i="1831"/>
        </ext>
      </extLst>
    </bk>
    <bk>
      <extLst>
        <ext uri="{3e2802c4-a4d2-4d8b-9148-e3be6c30e623}">
          <xlrd:rvb i="1832"/>
        </ext>
      </extLst>
    </bk>
    <bk>
      <extLst>
        <ext uri="{3e2802c4-a4d2-4d8b-9148-e3be6c30e623}">
          <xlrd:rvb i="1833"/>
        </ext>
      </extLst>
    </bk>
    <bk>
      <extLst>
        <ext uri="{3e2802c4-a4d2-4d8b-9148-e3be6c30e623}">
          <xlrd:rvb i="1834"/>
        </ext>
      </extLst>
    </bk>
    <bk>
      <extLst>
        <ext uri="{3e2802c4-a4d2-4d8b-9148-e3be6c30e623}">
          <xlrd:rvb i="1835"/>
        </ext>
      </extLst>
    </bk>
    <bk>
      <extLst>
        <ext uri="{3e2802c4-a4d2-4d8b-9148-e3be6c30e623}">
          <xlrd:rvb i="1836"/>
        </ext>
      </extLst>
    </bk>
    <bk>
      <extLst>
        <ext uri="{3e2802c4-a4d2-4d8b-9148-e3be6c30e623}">
          <xlrd:rvb i="1837"/>
        </ext>
      </extLst>
    </bk>
    <bk>
      <extLst>
        <ext uri="{3e2802c4-a4d2-4d8b-9148-e3be6c30e623}">
          <xlrd:rvb i="1838"/>
        </ext>
      </extLst>
    </bk>
    <bk>
      <extLst>
        <ext uri="{3e2802c4-a4d2-4d8b-9148-e3be6c30e623}">
          <xlrd:rvb i="1839"/>
        </ext>
      </extLst>
    </bk>
    <bk>
      <extLst>
        <ext uri="{3e2802c4-a4d2-4d8b-9148-e3be6c30e623}">
          <xlrd:rvb i="1840"/>
        </ext>
      </extLst>
    </bk>
    <bk>
      <extLst>
        <ext uri="{3e2802c4-a4d2-4d8b-9148-e3be6c30e623}">
          <xlrd:rvb i="1841"/>
        </ext>
      </extLst>
    </bk>
    <bk>
      <extLst>
        <ext uri="{3e2802c4-a4d2-4d8b-9148-e3be6c30e623}">
          <xlrd:rvb i="1842"/>
        </ext>
      </extLst>
    </bk>
    <bk>
      <extLst>
        <ext uri="{3e2802c4-a4d2-4d8b-9148-e3be6c30e623}">
          <xlrd:rvb i="1843"/>
        </ext>
      </extLst>
    </bk>
    <bk>
      <extLst>
        <ext uri="{3e2802c4-a4d2-4d8b-9148-e3be6c30e623}">
          <xlrd:rvb i="1844"/>
        </ext>
      </extLst>
    </bk>
    <bk>
      <extLst>
        <ext uri="{3e2802c4-a4d2-4d8b-9148-e3be6c30e623}">
          <xlrd:rvb i="1845"/>
        </ext>
      </extLst>
    </bk>
    <bk>
      <extLst>
        <ext uri="{3e2802c4-a4d2-4d8b-9148-e3be6c30e623}">
          <xlrd:rvb i="1846"/>
        </ext>
      </extLst>
    </bk>
    <bk>
      <extLst>
        <ext uri="{3e2802c4-a4d2-4d8b-9148-e3be6c30e623}">
          <xlrd:rvb i="1847"/>
        </ext>
      </extLst>
    </bk>
    <bk>
      <extLst>
        <ext uri="{3e2802c4-a4d2-4d8b-9148-e3be6c30e623}">
          <xlrd:rvb i="1848"/>
        </ext>
      </extLst>
    </bk>
    <bk>
      <extLst>
        <ext uri="{3e2802c4-a4d2-4d8b-9148-e3be6c30e623}">
          <xlrd:rvb i="1849"/>
        </ext>
      </extLst>
    </bk>
    <bk>
      <extLst>
        <ext uri="{3e2802c4-a4d2-4d8b-9148-e3be6c30e623}">
          <xlrd:rvb i="1850"/>
        </ext>
      </extLst>
    </bk>
    <bk>
      <extLst>
        <ext uri="{3e2802c4-a4d2-4d8b-9148-e3be6c30e623}">
          <xlrd:rvb i="1851"/>
        </ext>
      </extLst>
    </bk>
    <bk>
      <extLst>
        <ext uri="{3e2802c4-a4d2-4d8b-9148-e3be6c30e623}">
          <xlrd:rvb i="1852"/>
        </ext>
      </extLst>
    </bk>
    <bk>
      <extLst>
        <ext uri="{3e2802c4-a4d2-4d8b-9148-e3be6c30e623}">
          <xlrd:rvb i="1853"/>
        </ext>
      </extLst>
    </bk>
    <bk>
      <extLst>
        <ext uri="{3e2802c4-a4d2-4d8b-9148-e3be6c30e623}">
          <xlrd:rvb i="1854"/>
        </ext>
      </extLst>
    </bk>
    <bk>
      <extLst>
        <ext uri="{3e2802c4-a4d2-4d8b-9148-e3be6c30e623}">
          <xlrd:rvb i="1855"/>
        </ext>
      </extLst>
    </bk>
    <bk>
      <extLst>
        <ext uri="{3e2802c4-a4d2-4d8b-9148-e3be6c30e623}">
          <xlrd:rvb i="1856"/>
        </ext>
      </extLst>
    </bk>
    <bk>
      <extLst>
        <ext uri="{3e2802c4-a4d2-4d8b-9148-e3be6c30e623}">
          <xlrd:rvb i="1857"/>
        </ext>
      </extLst>
    </bk>
    <bk>
      <extLst>
        <ext uri="{3e2802c4-a4d2-4d8b-9148-e3be6c30e623}">
          <xlrd:rvb i="1858"/>
        </ext>
      </extLst>
    </bk>
    <bk>
      <extLst>
        <ext uri="{3e2802c4-a4d2-4d8b-9148-e3be6c30e623}">
          <xlrd:rvb i="1859"/>
        </ext>
      </extLst>
    </bk>
    <bk>
      <extLst>
        <ext uri="{3e2802c4-a4d2-4d8b-9148-e3be6c30e623}">
          <xlrd:rvb i="1860"/>
        </ext>
      </extLst>
    </bk>
    <bk>
      <extLst>
        <ext uri="{3e2802c4-a4d2-4d8b-9148-e3be6c30e623}">
          <xlrd:rvb i="1861"/>
        </ext>
      </extLst>
    </bk>
    <bk>
      <extLst>
        <ext uri="{3e2802c4-a4d2-4d8b-9148-e3be6c30e623}">
          <xlrd:rvb i="1862"/>
        </ext>
      </extLst>
    </bk>
    <bk>
      <extLst>
        <ext uri="{3e2802c4-a4d2-4d8b-9148-e3be6c30e623}">
          <xlrd:rvb i="1863"/>
        </ext>
      </extLst>
    </bk>
    <bk>
      <extLst>
        <ext uri="{3e2802c4-a4d2-4d8b-9148-e3be6c30e623}">
          <xlrd:rvb i="1864"/>
        </ext>
      </extLst>
    </bk>
    <bk>
      <extLst>
        <ext uri="{3e2802c4-a4d2-4d8b-9148-e3be6c30e623}">
          <xlrd:rvb i="1865"/>
        </ext>
      </extLst>
    </bk>
    <bk>
      <extLst>
        <ext uri="{3e2802c4-a4d2-4d8b-9148-e3be6c30e623}">
          <xlrd:rvb i="1866"/>
        </ext>
      </extLst>
    </bk>
    <bk>
      <extLst>
        <ext uri="{3e2802c4-a4d2-4d8b-9148-e3be6c30e623}">
          <xlrd:rvb i="1867"/>
        </ext>
      </extLst>
    </bk>
    <bk>
      <extLst>
        <ext uri="{3e2802c4-a4d2-4d8b-9148-e3be6c30e623}">
          <xlrd:rvb i="1868"/>
        </ext>
      </extLst>
    </bk>
    <bk>
      <extLst>
        <ext uri="{3e2802c4-a4d2-4d8b-9148-e3be6c30e623}">
          <xlrd:rvb i="1869"/>
        </ext>
      </extLst>
    </bk>
    <bk>
      <extLst>
        <ext uri="{3e2802c4-a4d2-4d8b-9148-e3be6c30e623}">
          <xlrd:rvb i="1870"/>
        </ext>
      </extLst>
    </bk>
    <bk>
      <extLst>
        <ext uri="{3e2802c4-a4d2-4d8b-9148-e3be6c30e623}">
          <xlrd:rvb i="1871"/>
        </ext>
      </extLst>
    </bk>
    <bk>
      <extLst>
        <ext uri="{3e2802c4-a4d2-4d8b-9148-e3be6c30e623}">
          <xlrd:rvb i="1872"/>
        </ext>
      </extLst>
    </bk>
    <bk>
      <extLst>
        <ext uri="{3e2802c4-a4d2-4d8b-9148-e3be6c30e623}">
          <xlrd:rvb i="1873"/>
        </ext>
      </extLst>
    </bk>
    <bk>
      <extLst>
        <ext uri="{3e2802c4-a4d2-4d8b-9148-e3be6c30e623}">
          <xlrd:rvb i="1874"/>
        </ext>
      </extLst>
    </bk>
    <bk>
      <extLst>
        <ext uri="{3e2802c4-a4d2-4d8b-9148-e3be6c30e623}">
          <xlrd:rvb i="1875"/>
        </ext>
      </extLst>
    </bk>
    <bk>
      <extLst>
        <ext uri="{3e2802c4-a4d2-4d8b-9148-e3be6c30e623}">
          <xlrd:rvb i="1876"/>
        </ext>
      </extLst>
    </bk>
    <bk>
      <extLst>
        <ext uri="{3e2802c4-a4d2-4d8b-9148-e3be6c30e623}">
          <xlrd:rvb i="1877"/>
        </ext>
      </extLst>
    </bk>
    <bk>
      <extLst>
        <ext uri="{3e2802c4-a4d2-4d8b-9148-e3be6c30e623}">
          <xlrd:rvb i="1878"/>
        </ext>
      </extLst>
    </bk>
    <bk>
      <extLst>
        <ext uri="{3e2802c4-a4d2-4d8b-9148-e3be6c30e623}">
          <xlrd:rvb i="1879"/>
        </ext>
      </extLst>
    </bk>
    <bk>
      <extLst>
        <ext uri="{3e2802c4-a4d2-4d8b-9148-e3be6c30e623}">
          <xlrd:rvb i="1880"/>
        </ext>
      </extLst>
    </bk>
    <bk>
      <extLst>
        <ext uri="{3e2802c4-a4d2-4d8b-9148-e3be6c30e623}">
          <xlrd:rvb i="1881"/>
        </ext>
      </extLst>
    </bk>
    <bk>
      <extLst>
        <ext uri="{3e2802c4-a4d2-4d8b-9148-e3be6c30e623}">
          <xlrd:rvb i="1882"/>
        </ext>
      </extLst>
    </bk>
    <bk>
      <extLst>
        <ext uri="{3e2802c4-a4d2-4d8b-9148-e3be6c30e623}">
          <xlrd:rvb i="1883"/>
        </ext>
      </extLst>
    </bk>
    <bk>
      <extLst>
        <ext uri="{3e2802c4-a4d2-4d8b-9148-e3be6c30e623}">
          <xlrd:rvb i="1884"/>
        </ext>
      </extLst>
    </bk>
    <bk>
      <extLst>
        <ext uri="{3e2802c4-a4d2-4d8b-9148-e3be6c30e623}">
          <xlrd:rvb i="1885"/>
        </ext>
      </extLst>
    </bk>
    <bk>
      <extLst>
        <ext uri="{3e2802c4-a4d2-4d8b-9148-e3be6c30e623}">
          <xlrd:rvb i="1886"/>
        </ext>
      </extLst>
    </bk>
    <bk>
      <extLst>
        <ext uri="{3e2802c4-a4d2-4d8b-9148-e3be6c30e623}">
          <xlrd:rvb i="1887"/>
        </ext>
      </extLst>
    </bk>
    <bk>
      <extLst>
        <ext uri="{3e2802c4-a4d2-4d8b-9148-e3be6c30e623}">
          <xlrd:rvb i="1888"/>
        </ext>
      </extLst>
    </bk>
    <bk>
      <extLst>
        <ext uri="{3e2802c4-a4d2-4d8b-9148-e3be6c30e623}">
          <xlrd:rvb i="1889"/>
        </ext>
      </extLst>
    </bk>
    <bk>
      <extLst>
        <ext uri="{3e2802c4-a4d2-4d8b-9148-e3be6c30e623}">
          <xlrd:rvb i="1890"/>
        </ext>
      </extLst>
    </bk>
    <bk>
      <extLst>
        <ext uri="{3e2802c4-a4d2-4d8b-9148-e3be6c30e623}">
          <xlrd:rvb i="1891"/>
        </ext>
      </extLst>
    </bk>
    <bk>
      <extLst>
        <ext uri="{3e2802c4-a4d2-4d8b-9148-e3be6c30e623}">
          <xlrd:rvb i="1892"/>
        </ext>
      </extLst>
    </bk>
    <bk>
      <extLst>
        <ext uri="{3e2802c4-a4d2-4d8b-9148-e3be6c30e623}">
          <xlrd:rvb i="1893"/>
        </ext>
      </extLst>
    </bk>
    <bk>
      <extLst>
        <ext uri="{3e2802c4-a4d2-4d8b-9148-e3be6c30e623}">
          <xlrd:rvb i="1894"/>
        </ext>
      </extLst>
    </bk>
    <bk>
      <extLst>
        <ext uri="{3e2802c4-a4d2-4d8b-9148-e3be6c30e623}">
          <xlrd:rvb i="1895"/>
        </ext>
      </extLst>
    </bk>
    <bk>
      <extLst>
        <ext uri="{3e2802c4-a4d2-4d8b-9148-e3be6c30e623}">
          <xlrd:rvb i="1896"/>
        </ext>
      </extLst>
    </bk>
    <bk>
      <extLst>
        <ext uri="{3e2802c4-a4d2-4d8b-9148-e3be6c30e623}">
          <xlrd:rvb i="1897"/>
        </ext>
      </extLst>
    </bk>
    <bk>
      <extLst>
        <ext uri="{3e2802c4-a4d2-4d8b-9148-e3be6c30e623}">
          <xlrd:rvb i="1898"/>
        </ext>
      </extLst>
    </bk>
    <bk>
      <extLst>
        <ext uri="{3e2802c4-a4d2-4d8b-9148-e3be6c30e623}">
          <xlrd:rvb i="1899"/>
        </ext>
      </extLst>
    </bk>
    <bk>
      <extLst>
        <ext uri="{3e2802c4-a4d2-4d8b-9148-e3be6c30e623}">
          <xlrd:rvb i="1900"/>
        </ext>
      </extLst>
    </bk>
    <bk>
      <extLst>
        <ext uri="{3e2802c4-a4d2-4d8b-9148-e3be6c30e623}">
          <xlrd:rvb i="1901"/>
        </ext>
      </extLst>
    </bk>
    <bk>
      <extLst>
        <ext uri="{3e2802c4-a4d2-4d8b-9148-e3be6c30e623}">
          <xlrd:rvb i="1902"/>
        </ext>
      </extLst>
    </bk>
    <bk>
      <extLst>
        <ext uri="{3e2802c4-a4d2-4d8b-9148-e3be6c30e623}">
          <xlrd:rvb i="1903"/>
        </ext>
      </extLst>
    </bk>
    <bk>
      <extLst>
        <ext uri="{3e2802c4-a4d2-4d8b-9148-e3be6c30e623}">
          <xlrd:rvb i="1904"/>
        </ext>
      </extLst>
    </bk>
    <bk>
      <extLst>
        <ext uri="{3e2802c4-a4d2-4d8b-9148-e3be6c30e623}">
          <xlrd:rvb i="1905"/>
        </ext>
      </extLst>
    </bk>
    <bk>
      <extLst>
        <ext uri="{3e2802c4-a4d2-4d8b-9148-e3be6c30e623}">
          <xlrd:rvb i="1906"/>
        </ext>
      </extLst>
    </bk>
    <bk>
      <extLst>
        <ext uri="{3e2802c4-a4d2-4d8b-9148-e3be6c30e623}">
          <xlrd:rvb i="1907"/>
        </ext>
      </extLst>
    </bk>
    <bk>
      <extLst>
        <ext uri="{3e2802c4-a4d2-4d8b-9148-e3be6c30e623}">
          <xlrd:rvb i="1908"/>
        </ext>
      </extLst>
    </bk>
    <bk>
      <extLst>
        <ext uri="{3e2802c4-a4d2-4d8b-9148-e3be6c30e623}">
          <xlrd:rvb i="1909"/>
        </ext>
      </extLst>
    </bk>
    <bk>
      <extLst>
        <ext uri="{3e2802c4-a4d2-4d8b-9148-e3be6c30e623}">
          <xlrd:rvb i="1910"/>
        </ext>
      </extLst>
    </bk>
    <bk>
      <extLst>
        <ext uri="{3e2802c4-a4d2-4d8b-9148-e3be6c30e623}">
          <xlrd:rvb i="1911"/>
        </ext>
      </extLst>
    </bk>
    <bk>
      <extLst>
        <ext uri="{3e2802c4-a4d2-4d8b-9148-e3be6c30e623}">
          <xlrd:rvb i="1912"/>
        </ext>
      </extLst>
    </bk>
    <bk>
      <extLst>
        <ext uri="{3e2802c4-a4d2-4d8b-9148-e3be6c30e623}">
          <xlrd:rvb i="1913"/>
        </ext>
      </extLst>
    </bk>
    <bk>
      <extLst>
        <ext uri="{3e2802c4-a4d2-4d8b-9148-e3be6c30e623}">
          <xlrd:rvb i="1914"/>
        </ext>
      </extLst>
    </bk>
    <bk>
      <extLst>
        <ext uri="{3e2802c4-a4d2-4d8b-9148-e3be6c30e623}">
          <xlrd:rvb i="1915"/>
        </ext>
      </extLst>
    </bk>
    <bk>
      <extLst>
        <ext uri="{3e2802c4-a4d2-4d8b-9148-e3be6c30e623}">
          <xlrd:rvb i="1916"/>
        </ext>
      </extLst>
    </bk>
    <bk>
      <extLst>
        <ext uri="{3e2802c4-a4d2-4d8b-9148-e3be6c30e623}">
          <xlrd:rvb i="1917"/>
        </ext>
      </extLst>
    </bk>
    <bk>
      <extLst>
        <ext uri="{3e2802c4-a4d2-4d8b-9148-e3be6c30e623}">
          <xlrd:rvb i="1918"/>
        </ext>
      </extLst>
    </bk>
    <bk>
      <extLst>
        <ext uri="{3e2802c4-a4d2-4d8b-9148-e3be6c30e623}">
          <xlrd:rvb i="1919"/>
        </ext>
      </extLst>
    </bk>
    <bk>
      <extLst>
        <ext uri="{3e2802c4-a4d2-4d8b-9148-e3be6c30e623}">
          <xlrd:rvb i="1920"/>
        </ext>
      </extLst>
    </bk>
    <bk>
      <extLst>
        <ext uri="{3e2802c4-a4d2-4d8b-9148-e3be6c30e623}">
          <xlrd:rvb i="1921"/>
        </ext>
      </extLst>
    </bk>
    <bk>
      <extLst>
        <ext uri="{3e2802c4-a4d2-4d8b-9148-e3be6c30e623}">
          <xlrd:rvb i="1922"/>
        </ext>
      </extLst>
    </bk>
    <bk>
      <extLst>
        <ext uri="{3e2802c4-a4d2-4d8b-9148-e3be6c30e623}">
          <xlrd:rvb i="1923"/>
        </ext>
      </extLst>
    </bk>
    <bk>
      <extLst>
        <ext uri="{3e2802c4-a4d2-4d8b-9148-e3be6c30e623}">
          <xlrd:rvb i="1924"/>
        </ext>
      </extLst>
    </bk>
    <bk>
      <extLst>
        <ext uri="{3e2802c4-a4d2-4d8b-9148-e3be6c30e623}">
          <xlrd:rvb i="1925"/>
        </ext>
      </extLst>
    </bk>
    <bk>
      <extLst>
        <ext uri="{3e2802c4-a4d2-4d8b-9148-e3be6c30e623}">
          <xlrd:rvb i="1926"/>
        </ext>
      </extLst>
    </bk>
    <bk>
      <extLst>
        <ext uri="{3e2802c4-a4d2-4d8b-9148-e3be6c30e623}">
          <xlrd:rvb i="1927"/>
        </ext>
      </extLst>
    </bk>
    <bk>
      <extLst>
        <ext uri="{3e2802c4-a4d2-4d8b-9148-e3be6c30e623}">
          <xlrd:rvb i="1928"/>
        </ext>
      </extLst>
    </bk>
    <bk>
      <extLst>
        <ext uri="{3e2802c4-a4d2-4d8b-9148-e3be6c30e623}">
          <xlrd:rvb i="1929"/>
        </ext>
      </extLst>
    </bk>
    <bk>
      <extLst>
        <ext uri="{3e2802c4-a4d2-4d8b-9148-e3be6c30e623}">
          <xlrd:rvb i="1930"/>
        </ext>
      </extLst>
    </bk>
    <bk>
      <extLst>
        <ext uri="{3e2802c4-a4d2-4d8b-9148-e3be6c30e623}">
          <xlrd:rvb i="1931"/>
        </ext>
      </extLst>
    </bk>
    <bk>
      <extLst>
        <ext uri="{3e2802c4-a4d2-4d8b-9148-e3be6c30e623}">
          <xlrd:rvb i="1932"/>
        </ext>
      </extLst>
    </bk>
    <bk>
      <extLst>
        <ext uri="{3e2802c4-a4d2-4d8b-9148-e3be6c30e623}">
          <xlrd:rvb i="1933"/>
        </ext>
      </extLst>
    </bk>
    <bk>
      <extLst>
        <ext uri="{3e2802c4-a4d2-4d8b-9148-e3be6c30e623}">
          <xlrd:rvb i="1934"/>
        </ext>
      </extLst>
    </bk>
    <bk>
      <extLst>
        <ext uri="{3e2802c4-a4d2-4d8b-9148-e3be6c30e623}">
          <xlrd:rvb i="1935"/>
        </ext>
      </extLst>
    </bk>
    <bk>
      <extLst>
        <ext uri="{3e2802c4-a4d2-4d8b-9148-e3be6c30e623}">
          <xlrd:rvb i="1936"/>
        </ext>
      </extLst>
    </bk>
    <bk>
      <extLst>
        <ext uri="{3e2802c4-a4d2-4d8b-9148-e3be6c30e623}">
          <xlrd:rvb i="1937"/>
        </ext>
      </extLst>
    </bk>
    <bk>
      <extLst>
        <ext uri="{3e2802c4-a4d2-4d8b-9148-e3be6c30e623}">
          <xlrd:rvb i="1938"/>
        </ext>
      </extLst>
    </bk>
    <bk>
      <extLst>
        <ext uri="{3e2802c4-a4d2-4d8b-9148-e3be6c30e623}">
          <xlrd:rvb i="1939"/>
        </ext>
      </extLst>
    </bk>
    <bk>
      <extLst>
        <ext uri="{3e2802c4-a4d2-4d8b-9148-e3be6c30e623}">
          <xlrd:rvb i="1940"/>
        </ext>
      </extLst>
    </bk>
    <bk>
      <extLst>
        <ext uri="{3e2802c4-a4d2-4d8b-9148-e3be6c30e623}">
          <xlrd:rvb i="1941"/>
        </ext>
      </extLst>
    </bk>
    <bk>
      <extLst>
        <ext uri="{3e2802c4-a4d2-4d8b-9148-e3be6c30e623}">
          <xlrd:rvb i="1942"/>
        </ext>
      </extLst>
    </bk>
    <bk>
      <extLst>
        <ext uri="{3e2802c4-a4d2-4d8b-9148-e3be6c30e623}">
          <xlrd:rvb i="1943"/>
        </ext>
      </extLst>
    </bk>
    <bk>
      <extLst>
        <ext uri="{3e2802c4-a4d2-4d8b-9148-e3be6c30e623}">
          <xlrd:rvb i="1944"/>
        </ext>
      </extLst>
    </bk>
    <bk>
      <extLst>
        <ext uri="{3e2802c4-a4d2-4d8b-9148-e3be6c30e623}">
          <xlrd:rvb i="1945"/>
        </ext>
      </extLst>
    </bk>
    <bk>
      <extLst>
        <ext uri="{3e2802c4-a4d2-4d8b-9148-e3be6c30e623}">
          <xlrd:rvb i="1946"/>
        </ext>
      </extLst>
    </bk>
    <bk>
      <extLst>
        <ext uri="{3e2802c4-a4d2-4d8b-9148-e3be6c30e623}">
          <xlrd:rvb i="1947"/>
        </ext>
      </extLst>
    </bk>
    <bk>
      <extLst>
        <ext uri="{3e2802c4-a4d2-4d8b-9148-e3be6c30e623}">
          <xlrd:rvb i="1948"/>
        </ext>
      </extLst>
    </bk>
    <bk>
      <extLst>
        <ext uri="{3e2802c4-a4d2-4d8b-9148-e3be6c30e623}">
          <xlrd:rvb i="1949"/>
        </ext>
      </extLst>
    </bk>
    <bk>
      <extLst>
        <ext uri="{3e2802c4-a4d2-4d8b-9148-e3be6c30e623}">
          <xlrd:rvb i="1950"/>
        </ext>
      </extLst>
    </bk>
    <bk>
      <extLst>
        <ext uri="{3e2802c4-a4d2-4d8b-9148-e3be6c30e623}">
          <xlrd:rvb i="1951"/>
        </ext>
      </extLst>
    </bk>
    <bk>
      <extLst>
        <ext uri="{3e2802c4-a4d2-4d8b-9148-e3be6c30e623}">
          <xlrd:rvb i="1952"/>
        </ext>
      </extLst>
    </bk>
    <bk>
      <extLst>
        <ext uri="{3e2802c4-a4d2-4d8b-9148-e3be6c30e623}">
          <xlrd:rvb i="1953"/>
        </ext>
      </extLst>
    </bk>
    <bk>
      <extLst>
        <ext uri="{3e2802c4-a4d2-4d8b-9148-e3be6c30e623}">
          <xlrd:rvb i="1954"/>
        </ext>
      </extLst>
    </bk>
    <bk>
      <extLst>
        <ext uri="{3e2802c4-a4d2-4d8b-9148-e3be6c30e623}">
          <xlrd:rvb i="1955"/>
        </ext>
      </extLst>
    </bk>
    <bk>
      <extLst>
        <ext uri="{3e2802c4-a4d2-4d8b-9148-e3be6c30e623}">
          <xlrd:rvb i="1956"/>
        </ext>
      </extLst>
    </bk>
    <bk>
      <extLst>
        <ext uri="{3e2802c4-a4d2-4d8b-9148-e3be6c30e623}">
          <xlrd:rvb i="1957"/>
        </ext>
      </extLst>
    </bk>
    <bk>
      <extLst>
        <ext uri="{3e2802c4-a4d2-4d8b-9148-e3be6c30e623}">
          <xlrd:rvb i="1958"/>
        </ext>
      </extLst>
    </bk>
    <bk>
      <extLst>
        <ext uri="{3e2802c4-a4d2-4d8b-9148-e3be6c30e623}">
          <xlrd:rvb i="1959"/>
        </ext>
      </extLst>
    </bk>
    <bk>
      <extLst>
        <ext uri="{3e2802c4-a4d2-4d8b-9148-e3be6c30e623}">
          <xlrd:rvb i="1960"/>
        </ext>
      </extLst>
    </bk>
    <bk>
      <extLst>
        <ext uri="{3e2802c4-a4d2-4d8b-9148-e3be6c30e623}">
          <xlrd:rvb i="1961"/>
        </ext>
      </extLst>
    </bk>
    <bk>
      <extLst>
        <ext uri="{3e2802c4-a4d2-4d8b-9148-e3be6c30e623}">
          <xlrd:rvb i="1962"/>
        </ext>
      </extLst>
    </bk>
    <bk>
      <extLst>
        <ext uri="{3e2802c4-a4d2-4d8b-9148-e3be6c30e623}">
          <xlrd:rvb i="1963"/>
        </ext>
      </extLst>
    </bk>
    <bk>
      <extLst>
        <ext uri="{3e2802c4-a4d2-4d8b-9148-e3be6c30e623}">
          <xlrd:rvb i="1964"/>
        </ext>
      </extLst>
    </bk>
    <bk>
      <extLst>
        <ext uri="{3e2802c4-a4d2-4d8b-9148-e3be6c30e623}">
          <xlrd:rvb i="1965"/>
        </ext>
      </extLst>
    </bk>
    <bk>
      <extLst>
        <ext uri="{3e2802c4-a4d2-4d8b-9148-e3be6c30e623}">
          <xlrd:rvb i="1966"/>
        </ext>
      </extLst>
    </bk>
    <bk>
      <extLst>
        <ext uri="{3e2802c4-a4d2-4d8b-9148-e3be6c30e623}">
          <xlrd:rvb i="1967"/>
        </ext>
      </extLst>
    </bk>
    <bk>
      <extLst>
        <ext uri="{3e2802c4-a4d2-4d8b-9148-e3be6c30e623}">
          <xlrd:rvb i="1968"/>
        </ext>
      </extLst>
    </bk>
    <bk>
      <extLst>
        <ext uri="{3e2802c4-a4d2-4d8b-9148-e3be6c30e623}">
          <xlrd:rvb i="1969"/>
        </ext>
      </extLst>
    </bk>
    <bk>
      <extLst>
        <ext uri="{3e2802c4-a4d2-4d8b-9148-e3be6c30e623}">
          <xlrd:rvb i="1970"/>
        </ext>
      </extLst>
    </bk>
    <bk>
      <extLst>
        <ext uri="{3e2802c4-a4d2-4d8b-9148-e3be6c30e623}">
          <xlrd:rvb i="1971"/>
        </ext>
      </extLst>
    </bk>
    <bk>
      <extLst>
        <ext uri="{3e2802c4-a4d2-4d8b-9148-e3be6c30e623}">
          <xlrd:rvb i="1972"/>
        </ext>
      </extLst>
    </bk>
    <bk>
      <extLst>
        <ext uri="{3e2802c4-a4d2-4d8b-9148-e3be6c30e623}">
          <xlrd:rvb i="1973"/>
        </ext>
      </extLst>
    </bk>
    <bk>
      <extLst>
        <ext uri="{3e2802c4-a4d2-4d8b-9148-e3be6c30e623}">
          <xlrd:rvb i="1974"/>
        </ext>
      </extLst>
    </bk>
    <bk>
      <extLst>
        <ext uri="{3e2802c4-a4d2-4d8b-9148-e3be6c30e623}">
          <xlrd:rvb i="1975"/>
        </ext>
      </extLst>
    </bk>
    <bk>
      <extLst>
        <ext uri="{3e2802c4-a4d2-4d8b-9148-e3be6c30e623}">
          <xlrd:rvb i="1976"/>
        </ext>
      </extLst>
    </bk>
    <bk>
      <extLst>
        <ext uri="{3e2802c4-a4d2-4d8b-9148-e3be6c30e623}">
          <xlrd:rvb i="1977"/>
        </ext>
      </extLst>
    </bk>
    <bk>
      <extLst>
        <ext uri="{3e2802c4-a4d2-4d8b-9148-e3be6c30e623}">
          <xlrd:rvb i="1978"/>
        </ext>
      </extLst>
    </bk>
    <bk>
      <extLst>
        <ext uri="{3e2802c4-a4d2-4d8b-9148-e3be6c30e623}">
          <xlrd:rvb i="1979"/>
        </ext>
      </extLst>
    </bk>
    <bk>
      <extLst>
        <ext uri="{3e2802c4-a4d2-4d8b-9148-e3be6c30e623}">
          <xlrd:rvb i="1980"/>
        </ext>
      </extLst>
    </bk>
    <bk>
      <extLst>
        <ext uri="{3e2802c4-a4d2-4d8b-9148-e3be6c30e623}">
          <xlrd:rvb i="1981"/>
        </ext>
      </extLst>
    </bk>
    <bk>
      <extLst>
        <ext uri="{3e2802c4-a4d2-4d8b-9148-e3be6c30e623}">
          <xlrd:rvb i="1982"/>
        </ext>
      </extLst>
    </bk>
    <bk>
      <extLst>
        <ext uri="{3e2802c4-a4d2-4d8b-9148-e3be6c30e623}">
          <xlrd:rvb i="1983"/>
        </ext>
      </extLst>
    </bk>
    <bk>
      <extLst>
        <ext uri="{3e2802c4-a4d2-4d8b-9148-e3be6c30e623}">
          <xlrd:rvb i="1984"/>
        </ext>
      </extLst>
    </bk>
    <bk>
      <extLst>
        <ext uri="{3e2802c4-a4d2-4d8b-9148-e3be6c30e623}">
          <xlrd:rvb i="1985"/>
        </ext>
      </extLst>
    </bk>
    <bk>
      <extLst>
        <ext uri="{3e2802c4-a4d2-4d8b-9148-e3be6c30e623}">
          <xlrd:rvb i="1986"/>
        </ext>
      </extLst>
    </bk>
    <bk>
      <extLst>
        <ext uri="{3e2802c4-a4d2-4d8b-9148-e3be6c30e623}">
          <xlrd:rvb i="1987"/>
        </ext>
      </extLst>
    </bk>
    <bk>
      <extLst>
        <ext uri="{3e2802c4-a4d2-4d8b-9148-e3be6c30e623}">
          <xlrd:rvb i="1988"/>
        </ext>
      </extLst>
    </bk>
    <bk>
      <extLst>
        <ext uri="{3e2802c4-a4d2-4d8b-9148-e3be6c30e623}">
          <xlrd:rvb i="1989"/>
        </ext>
      </extLst>
    </bk>
    <bk>
      <extLst>
        <ext uri="{3e2802c4-a4d2-4d8b-9148-e3be6c30e623}">
          <xlrd:rvb i="1990"/>
        </ext>
      </extLst>
    </bk>
    <bk>
      <extLst>
        <ext uri="{3e2802c4-a4d2-4d8b-9148-e3be6c30e623}">
          <xlrd:rvb i="1991"/>
        </ext>
      </extLst>
    </bk>
    <bk>
      <extLst>
        <ext uri="{3e2802c4-a4d2-4d8b-9148-e3be6c30e623}">
          <xlrd:rvb i="1992"/>
        </ext>
      </extLst>
    </bk>
    <bk>
      <extLst>
        <ext uri="{3e2802c4-a4d2-4d8b-9148-e3be6c30e623}">
          <xlrd:rvb i="1993"/>
        </ext>
      </extLst>
    </bk>
    <bk>
      <extLst>
        <ext uri="{3e2802c4-a4d2-4d8b-9148-e3be6c30e623}">
          <xlrd:rvb i="1994"/>
        </ext>
      </extLst>
    </bk>
    <bk>
      <extLst>
        <ext uri="{3e2802c4-a4d2-4d8b-9148-e3be6c30e623}">
          <xlrd:rvb i="1995"/>
        </ext>
      </extLst>
    </bk>
    <bk>
      <extLst>
        <ext uri="{3e2802c4-a4d2-4d8b-9148-e3be6c30e623}">
          <xlrd:rvb i="1996"/>
        </ext>
      </extLst>
    </bk>
    <bk>
      <extLst>
        <ext uri="{3e2802c4-a4d2-4d8b-9148-e3be6c30e623}">
          <xlrd:rvb i="1997"/>
        </ext>
      </extLst>
    </bk>
    <bk>
      <extLst>
        <ext uri="{3e2802c4-a4d2-4d8b-9148-e3be6c30e623}">
          <xlrd:rvb i="1998"/>
        </ext>
      </extLst>
    </bk>
    <bk>
      <extLst>
        <ext uri="{3e2802c4-a4d2-4d8b-9148-e3be6c30e623}">
          <xlrd:rvb i="1999"/>
        </ext>
      </extLst>
    </bk>
    <bk>
      <extLst>
        <ext uri="{3e2802c4-a4d2-4d8b-9148-e3be6c30e623}">
          <xlrd:rvb i="2000"/>
        </ext>
      </extLst>
    </bk>
    <bk>
      <extLst>
        <ext uri="{3e2802c4-a4d2-4d8b-9148-e3be6c30e623}">
          <xlrd:rvb i="2001"/>
        </ext>
      </extLst>
    </bk>
    <bk>
      <extLst>
        <ext uri="{3e2802c4-a4d2-4d8b-9148-e3be6c30e623}">
          <xlrd:rvb i="2002"/>
        </ext>
      </extLst>
    </bk>
    <bk>
      <extLst>
        <ext uri="{3e2802c4-a4d2-4d8b-9148-e3be6c30e623}">
          <xlrd:rvb i="2003"/>
        </ext>
      </extLst>
    </bk>
    <bk>
      <extLst>
        <ext uri="{3e2802c4-a4d2-4d8b-9148-e3be6c30e623}">
          <xlrd:rvb i="2004"/>
        </ext>
      </extLst>
    </bk>
    <bk>
      <extLst>
        <ext uri="{3e2802c4-a4d2-4d8b-9148-e3be6c30e623}">
          <xlrd:rvb i="2005"/>
        </ext>
      </extLst>
    </bk>
    <bk>
      <extLst>
        <ext uri="{3e2802c4-a4d2-4d8b-9148-e3be6c30e623}">
          <xlrd:rvb i="2006"/>
        </ext>
      </extLst>
    </bk>
    <bk>
      <extLst>
        <ext uri="{3e2802c4-a4d2-4d8b-9148-e3be6c30e623}">
          <xlrd:rvb i="2007"/>
        </ext>
      </extLst>
    </bk>
    <bk>
      <extLst>
        <ext uri="{3e2802c4-a4d2-4d8b-9148-e3be6c30e623}">
          <xlrd:rvb i="2008"/>
        </ext>
      </extLst>
    </bk>
    <bk>
      <extLst>
        <ext uri="{3e2802c4-a4d2-4d8b-9148-e3be6c30e623}">
          <xlrd:rvb i="2009"/>
        </ext>
      </extLst>
    </bk>
    <bk>
      <extLst>
        <ext uri="{3e2802c4-a4d2-4d8b-9148-e3be6c30e623}">
          <xlrd:rvb i="2010"/>
        </ext>
      </extLst>
    </bk>
    <bk>
      <extLst>
        <ext uri="{3e2802c4-a4d2-4d8b-9148-e3be6c30e623}">
          <xlrd:rvb i="2011"/>
        </ext>
      </extLst>
    </bk>
    <bk>
      <extLst>
        <ext uri="{3e2802c4-a4d2-4d8b-9148-e3be6c30e623}">
          <xlrd:rvb i="2012"/>
        </ext>
      </extLst>
    </bk>
    <bk>
      <extLst>
        <ext uri="{3e2802c4-a4d2-4d8b-9148-e3be6c30e623}">
          <xlrd:rvb i="2013"/>
        </ext>
      </extLst>
    </bk>
    <bk>
      <extLst>
        <ext uri="{3e2802c4-a4d2-4d8b-9148-e3be6c30e623}">
          <xlrd:rvb i="2014"/>
        </ext>
      </extLst>
    </bk>
    <bk>
      <extLst>
        <ext uri="{3e2802c4-a4d2-4d8b-9148-e3be6c30e623}">
          <xlrd:rvb i="2015"/>
        </ext>
      </extLst>
    </bk>
    <bk>
      <extLst>
        <ext uri="{3e2802c4-a4d2-4d8b-9148-e3be6c30e623}">
          <xlrd:rvb i="2016"/>
        </ext>
      </extLst>
    </bk>
    <bk>
      <extLst>
        <ext uri="{3e2802c4-a4d2-4d8b-9148-e3be6c30e623}">
          <xlrd:rvb i="2017"/>
        </ext>
      </extLst>
    </bk>
    <bk>
      <extLst>
        <ext uri="{3e2802c4-a4d2-4d8b-9148-e3be6c30e623}">
          <xlrd:rvb i="2018"/>
        </ext>
      </extLst>
    </bk>
    <bk>
      <extLst>
        <ext uri="{3e2802c4-a4d2-4d8b-9148-e3be6c30e623}">
          <xlrd:rvb i="2019"/>
        </ext>
      </extLst>
    </bk>
    <bk>
      <extLst>
        <ext uri="{3e2802c4-a4d2-4d8b-9148-e3be6c30e623}">
          <xlrd:rvb i="2020"/>
        </ext>
      </extLst>
    </bk>
    <bk>
      <extLst>
        <ext uri="{3e2802c4-a4d2-4d8b-9148-e3be6c30e623}">
          <xlrd:rvb i="2021"/>
        </ext>
      </extLst>
    </bk>
    <bk>
      <extLst>
        <ext uri="{3e2802c4-a4d2-4d8b-9148-e3be6c30e623}">
          <xlrd:rvb i="2022"/>
        </ext>
      </extLst>
    </bk>
    <bk>
      <extLst>
        <ext uri="{3e2802c4-a4d2-4d8b-9148-e3be6c30e623}">
          <xlrd:rvb i="2023"/>
        </ext>
      </extLst>
    </bk>
    <bk>
      <extLst>
        <ext uri="{3e2802c4-a4d2-4d8b-9148-e3be6c30e623}">
          <xlrd:rvb i="2024"/>
        </ext>
      </extLst>
    </bk>
    <bk>
      <extLst>
        <ext uri="{3e2802c4-a4d2-4d8b-9148-e3be6c30e623}">
          <xlrd:rvb i="2025"/>
        </ext>
      </extLst>
    </bk>
    <bk>
      <extLst>
        <ext uri="{3e2802c4-a4d2-4d8b-9148-e3be6c30e623}">
          <xlrd:rvb i="2026"/>
        </ext>
      </extLst>
    </bk>
    <bk>
      <extLst>
        <ext uri="{3e2802c4-a4d2-4d8b-9148-e3be6c30e623}">
          <xlrd:rvb i="2027"/>
        </ext>
      </extLst>
    </bk>
    <bk>
      <extLst>
        <ext uri="{3e2802c4-a4d2-4d8b-9148-e3be6c30e623}">
          <xlrd:rvb i="2028"/>
        </ext>
      </extLst>
    </bk>
    <bk>
      <extLst>
        <ext uri="{3e2802c4-a4d2-4d8b-9148-e3be6c30e623}">
          <xlrd:rvb i="2029"/>
        </ext>
      </extLst>
    </bk>
    <bk>
      <extLst>
        <ext uri="{3e2802c4-a4d2-4d8b-9148-e3be6c30e623}">
          <xlrd:rvb i="2030"/>
        </ext>
      </extLst>
    </bk>
    <bk>
      <extLst>
        <ext uri="{3e2802c4-a4d2-4d8b-9148-e3be6c30e623}">
          <xlrd:rvb i="2031"/>
        </ext>
      </extLst>
    </bk>
    <bk>
      <extLst>
        <ext uri="{3e2802c4-a4d2-4d8b-9148-e3be6c30e623}">
          <xlrd:rvb i="2032"/>
        </ext>
      </extLst>
    </bk>
    <bk>
      <extLst>
        <ext uri="{3e2802c4-a4d2-4d8b-9148-e3be6c30e623}">
          <xlrd:rvb i="2033"/>
        </ext>
      </extLst>
    </bk>
    <bk>
      <extLst>
        <ext uri="{3e2802c4-a4d2-4d8b-9148-e3be6c30e623}">
          <xlrd:rvb i="2034"/>
        </ext>
      </extLst>
    </bk>
    <bk>
      <extLst>
        <ext uri="{3e2802c4-a4d2-4d8b-9148-e3be6c30e623}">
          <xlrd:rvb i="2035"/>
        </ext>
      </extLst>
    </bk>
    <bk>
      <extLst>
        <ext uri="{3e2802c4-a4d2-4d8b-9148-e3be6c30e623}">
          <xlrd:rvb i="2036"/>
        </ext>
      </extLst>
    </bk>
    <bk>
      <extLst>
        <ext uri="{3e2802c4-a4d2-4d8b-9148-e3be6c30e623}">
          <xlrd:rvb i="2037"/>
        </ext>
      </extLst>
    </bk>
    <bk>
      <extLst>
        <ext uri="{3e2802c4-a4d2-4d8b-9148-e3be6c30e623}">
          <xlrd:rvb i="2038"/>
        </ext>
      </extLst>
    </bk>
    <bk>
      <extLst>
        <ext uri="{3e2802c4-a4d2-4d8b-9148-e3be6c30e623}">
          <xlrd:rvb i="2039"/>
        </ext>
      </extLst>
    </bk>
    <bk>
      <extLst>
        <ext uri="{3e2802c4-a4d2-4d8b-9148-e3be6c30e623}">
          <xlrd:rvb i="2040"/>
        </ext>
      </extLst>
    </bk>
    <bk>
      <extLst>
        <ext uri="{3e2802c4-a4d2-4d8b-9148-e3be6c30e623}">
          <xlrd:rvb i="2041"/>
        </ext>
      </extLst>
    </bk>
    <bk>
      <extLst>
        <ext uri="{3e2802c4-a4d2-4d8b-9148-e3be6c30e623}">
          <xlrd:rvb i="2042"/>
        </ext>
      </extLst>
    </bk>
    <bk>
      <extLst>
        <ext uri="{3e2802c4-a4d2-4d8b-9148-e3be6c30e623}">
          <xlrd:rvb i="2043"/>
        </ext>
      </extLst>
    </bk>
    <bk>
      <extLst>
        <ext uri="{3e2802c4-a4d2-4d8b-9148-e3be6c30e623}">
          <xlrd:rvb i="2044"/>
        </ext>
      </extLst>
    </bk>
    <bk>
      <extLst>
        <ext uri="{3e2802c4-a4d2-4d8b-9148-e3be6c30e623}">
          <xlrd:rvb i="2045"/>
        </ext>
      </extLst>
    </bk>
    <bk>
      <extLst>
        <ext uri="{3e2802c4-a4d2-4d8b-9148-e3be6c30e623}">
          <xlrd:rvb i="2046"/>
        </ext>
      </extLst>
    </bk>
    <bk>
      <extLst>
        <ext uri="{3e2802c4-a4d2-4d8b-9148-e3be6c30e623}">
          <xlrd:rvb i="2047"/>
        </ext>
      </extLst>
    </bk>
    <bk>
      <extLst>
        <ext uri="{3e2802c4-a4d2-4d8b-9148-e3be6c30e623}">
          <xlrd:rvb i="2048"/>
        </ext>
      </extLst>
    </bk>
    <bk>
      <extLst>
        <ext uri="{3e2802c4-a4d2-4d8b-9148-e3be6c30e623}">
          <xlrd:rvb i="2049"/>
        </ext>
      </extLst>
    </bk>
    <bk>
      <extLst>
        <ext uri="{3e2802c4-a4d2-4d8b-9148-e3be6c30e623}">
          <xlrd:rvb i="2050"/>
        </ext>
      </extLst>
    </bk>
    <bk>
      <extLst>
        <ext uri="{3e2802c4-a4d2-4d8b-9148-e3be6c30e623}">
          <xlrd:rvb i="2051"/>
        </ext>
      </extLst>
    </bk>
    <bk>
      <extLst>
        <ext uri="{3e2802c4-a4d2-4d8b-9148-e3be6c30e623}">
          <xlrd:rvb i="2052"/>
        </ext>
      </extLst>
    </bk>
    <bk>
      <extLst>
        <ext uri="{3e2802c4-a4d2-4d8b-9148-e3be6c30e623}">
          <xlrd:rvb i="2053"/>
        </ext>
      </extLst>
    </bk>
    <bk>
      <extLst>
        <ext uri="{3e2802c4-a4d2-4d8b-9148-e3be6c30e623}">
          <xlrd:rvb i="2054"/>
        </ext>
      </extLst>
    </bk>
    <bk>
      <extLst>
        <ext uri="{3e2802c4-a4d2-4d8b-9148-e3be6c30e623}">
          <xlrd:rvb i="2055"/>
        </ext>
      </extLst>
    </bk>
    <bk>
      <extLst>
        <ext uri="{3e2802c4-a4d2-4d8b-9148-e3be6c30e623}">
          <xlrd:rvb i="2056"/>
        </ext>
      </extLst>
    </bk>
    <bk>
      <extLst>
        <ext uri="{3e2802c4-a4d2-4d8b-9148-e3be6c30e623}">
          <xlrd:rvb i="2057"/>
        </ext>
      </extLst>
    </bk>
    <bk>
      <extLst>
        <ext uri="{3e2802c4-a4d2-4d8b-9148-e3be6c30e623}">
          <xlrd:rvb i="2058"/>
        </ext>
      </extLst>
    </bk>
    <bk>
      <extLst>
        <ext uri="{3e2802c4-a4d2-4d8b-9148-e3be6c30e623}">
          <xlrd:rvb i="2059"/>
        </ext>
      </extLst>
    </bk>
    <bk>
      <extLst>
        <ext uri="{3e2802c4-a4d2-4d8b-9148-e3be6c30e623}">
          <xlrd:rvb i="2060"/>
        </ext>
      </extLst>
    </bk>
    <bk>
      <extLst>
        <ext uri="{3e2802c4-a4d2-4d8b-9148-e3be6c30e623}">
          <xlrd:rvb i="2061"/>
        </ext>
      </extLst>
    </bk>
    <bk>
      <extLst>
        <ext uri="{3e2802c4-a4d2-4d8b-9148-e3be6c30e623}">
          <xlrd:rvb i="2062"/>
        </ext>
      </extLst>
    </bk>
    <bk>
      <extLst>
        <ext uri="{3e2802c4-a4d2-4d8b-9148-e3be6c30e623}">
          <xlrd:rvb i="2063"/>
        </ext>
      </extLst>
    </bk>
    <bk>
      <extLst>
        <ext uri="{3e2802c4-a4d2-4d8b-9148-e3be6c30e623}">
          <xlrd:rvb i="2064"/>
        </ext>
      </extLst>
    </bk>
    <bk>
      <extLst>
        <ext uri="{3e2802c4-a4d2-4d8b-9148-e3be6c30e623}">
          <xlrd:rvb i="2065"/>
        </ext>
      </extLst>
    </bk>
    <bk>
      <extLst>
        <ext uri="{3e2802c4-a4d2-4d8b-9148-e3be6c30e623}">
          <xlrd:rvb i="2066"/>
        </ext>
      </extLst>
    </bk>
    <bk>
      <extLst>
        <ext uri="{3e2802c4-a4d2-4d8b-9148-e3be6c30e623}">
          <xlrd:rvb i="2067"/>
        </ext>
      </extLst>
    </bk>
    <bk>
      <extLst>
        <ext uri="{3e2802c4-a4d2-4d8b-9148-e3be6c30e623}">
          <xlrd:rvb i="2068"/>
        </ext>
      </extLst>
    </bk>
    <bk>
      <extLst>
        <ext uri="{3e2802c4-a4d2-4d8b-9148-e3be6c30e623}">
          <xlrd:rvb i="2069"/>
        </ext>
      </extLst>
    </bk>
    <bk>
      <extLst>
        <ext uri="{3e2802c4-a4d2-4d8b-9148-e3be6c30e623}">
          <xlrd:rvb i="2070"/>
        </ext>
      </extLst>
    </bk>
    <bk>
      <extLst>
        <ext uri="{3e2802c4-a4d2-4d8b-9148-e3be6c30e623}">
          <xlrd:rvb i="2071"/>
        </ext>
      </extLst>
    </bk>
    <bk>
      <extLst>
        <ext uri="{3e2802c4-a4d2-4d8b-9148-e3be6c30e623}">
          <xlrd:rvb i="2072"/>
        </ext>
      </extLst>
    </bk>
    <bk>
      <extLst>
        <ext uri="{3e2802c4-a4d2-4d8b-9148-e3be6c30e623}">
          <xlrd:rvb i="2073"/>
        </ext>
      </extLst>
    </bk>
    <bk>
      <extLst>
        <ext uri="{3e2802c4-a4d2-4d8b-9148-e3be6c30e623}">
          <xlrd:rvb i="2074"/>
        </ext>
      </extLst>
    </bk>
    <bk>
      <extLst>
        <ext uri="{3e2802c4-a4d2-4d8b-9148-e3be6c30e623}">
          <xlrd:rvb i="2075"/>
        </ext>
      </extLst>
    </bk>
    <bk>
      <extLst>
        <ext uri="{3e2802c4-a4d2-4d8b-9148-e3be6c30e623}">
          <xlrd:rvb i="2076"/>
        </ext>
      </extLst>
    </bk>
    <bk>
      <extLst>
        <ext uri="{3e2802c4-a4d2-4d8b-9148-e3be6c30e623}">
          <xlrd:rvb i="2077"/>
        </ext>
      </extLst>
    </bk>
    <bk>
      <extLst>
        <ext uri="{3e2802c4-a4d2-4d8b-9148-e3be6c30e623}">
          <xlrd:rvb i="2078"/>
        </ext>
      </extLst>
    </bk>
    <bk>
      <extLst>
        <ext uri="{3e2802c4-a4d2-4d8b-9148-e3be6c30e623}">
          <xlrd:rvb i="2079"/>
        </ext>
      </extLst>
    </bk>
    <bk>
      <extLst>
        <ext uri="{3e2802c4-a4d2-4d8b-9148-e3be6c30e623}">
          <xlrd:rvb i="2080"/>
        </ext>
      </extLst>
    </bk>
    <bk>
      <extLst>
        <ext uri="{3e2802c4-a4d2-4d8b-9148-e3be6c30e623}">
          <xlrd:rvb i="2081"/>
        </ext>
      </extLst>
    </bk>
    <bk>
      <extLst>
        <ext uri="{3e2802c4-a4d2-4d8b-9148-e3be6c30e623}">
          <xlrd:rvb i="2082"/>
        </ext>
      </extLst>
    </bk>
    <bk>
      <extLst>
        <ext uri="{3e2802c4-a4d2-4d8b-9148-e3be6c30e623}">
          <xlrd:rvb i="2083"/>
        </ext>
      </extLst>
    </bk>
    <bk>
      <extLst>
        <ext uri="{3e2802c4-a4d2-4d8b-9148-e3be6c30e623}">
          <xlrd:rvb i="2084"/>
        </ext>
      </extLst>
    </bk>
    <bk>
      <extLst>
        <ext uri="{3e2802c4-a4d2-4d8b-9148-e3be6c30e623}">
          <xlrd:rvb i="2085"/>
        </ext>
      </extLst>
    </bk>
    <bk>
      <extLst>
        <ext uri="{3e2802c4-a4d2-4d8b-9148-e3be6c30e623}">
          <xlrd:rvb i="2086"/>
        </ext>
      </extLst>
    </bk>
    <bk>
      <extLst>
        <ext uri="{3e2802c4-a4d2-4d8b-9148-e3be6c30e623}">
          <xlrd:rvb i="2087"/>
        </ext>
      </extLst>
    </bk>
    <bk>
      <extLst>
        <ext uri="{3e2802c4-a4d2-4d8b-9148-e3be6c30e623}">
          <xlrd:rvb i="2088"/>
        </ext>
      </extLst>
    </bk>
    <bk>
      <extLst>
        <ext uri="{3e2802c4-a4d2-4d8b-9148-e3be6c30e623}">
          <xlrd:rvb i="2089"/>
        </ext>
      </extLst>
    </bk>
    <bk>
      <extLst>
        <ext uri="{3e2802c4-a4d2-4d8b-9148-e3be6c30e623}">
          <xlrd:rvb i="2090"/>
        </ext>
      </extLst>
    </bk>
    <bk>
      <extLst>
        <ext uri="{3e2802c4-a4d2-4d8b-9148-e3be6c30e623}">
          <xlrd:rvb i="2091"/>
        </ext>
      </extLst>
    </bk>
    <bk>
      <extLst>
        <ext uri="{3e2802c4-a4d2-4d8b-9148-e3be6c30e623}">
          <xlrd:rvb i="2092"/>
        </ext>
      </extLst>
    </bk>
    <bk>
      <extLst>
        <ext uri="{3e2802c4-a4d2-4d8b-9148-e3be6c30e623}">
          <xlrd:rvb i="2093"/>
        </ext>
      </extLst>
    </bk>
    <bk>
      <extLst>
        <ext uri="{3e2802c4-a4d2-4d8b-9148-e3be6c30e623}">
          <xlrd:rvb i="2094"/>
        </ext>
      </extLst>
    </bk>
    <bk>
      <extLst>
        <ext uri="{3e2802c4-a4d2-4d8b-9148-e3be6c30e623}">
          <xlrd:rvb i="2095"/>
        </ext>
      </extLst>
    </bk>
    <bk>
      <extLst>
        <ext uri="{3e2802c4-a4d2-4d8b-9148-e3be6c30e623}">
          <xlrd:rvb i="2096"/>
        </ext>
      </extLst>
    </bk>
    <bk>
      <extLst>
        <ext uri="{3e2802c4-a4d2-4d8b-9148-e3be6c30e623}">
          <xlrd:rvb i="2097"/>
        </ext>
      </extLst>
    </bk>
    <bk>
      <extLst>
        <ext uri="{3e2802c4-a4d2-4d8b-9148-e3be6c30e623}">
          <xlrd:rvb i="2098"/>
        </ext>
      </extLst>
    </bk>
    <bk>
      <extLst>
        <ext uri="{3e2802c4-a4d2-4d8b-9148-e3be6c30e623}">
          <xlrd:rvb i="2099"/>
        </ext>
      </extLst>
    </bk>
    <bk>
      <extLst>
        <ext uri="{3e2802c4-a4d2-4d8b-9148-e3be6c30e623}">
          <xlrd:rvb i="2100"/>
        </ext>
      </extLst>
    </bk>
    <bk>
      <extLst>
        <ext uri="{3e2802c4-a4d2-4d8b-9148-e3be6c30e623}">
          <xlrd:rvb i="2101"/>
        </ext>
      </extLst>
    </bk>
    <bk>
      <extLst>
        <ext uri="{3e2802c4-a4d2-4d8b-9148-e3be6c30e623}">
          <xlrd:rvb i="2102"/>
        </ext>
      </extLst>
    </bk>
    <bk>
      <extLst>
        <ext uri="{3e2802c4-a4d2-4d8b-9148-e3be6c30e623}">
          <xlrd:rvb i="2103"/>
        </ext>
      </extLst>
    </bk>
    <bk>
      <extLst>
        <ext uri="{3e2802c4-a4d2-4d8b-9148-e3be6c30e623}">
          <xlrd:rvb i="2104"/>
        </ext>
      </extLst>
    </bk>
    <bk>
      <extLst>
        <ext uri="{3e2802c4-a4d2-4d8b-9148-e3be6c30e623}">
          <xlrd:rvb i="2105"/>
        </ext>
      </extLst>
    </bk>
    <bk>
      <extLst>
        <ext uri="{3e2802c4-a4d2-4d8b-9148-e3be6c30e623}">
          <xlrd:rvb i="2106"/>
        </ext>
      </extLst>
    </bk>
    <bk>
      <extLst>
        <ext uri="{3e2802c4-a4d2-4d8b-9148-e3be6c30e623}">
          <xlrd:rvb i="2107"/>
        </ext>
      </extLst>
    </bk>
    <bk>
      <extLst>
        <ext uri="{3e2802c4-a4d2-4d8b-9148-e3be6c30e623}">
          <xlrd:rvb i="2108"/>
        </ext>
      </extLst>
    </bk>
    <bk>
      <extLst>
        <ext uri="{3e2802c4-a4d2-4d8b-9148-e3be6c30e623}">
          <xlrd:rvb i="2109"/>
        </ext>
      </extLst>
    </bk>
    <bk>
      <extLst>
        <ext uri="{3e2802c4-a4d2-4d8b-9148-e3be6c30e623}">
          <xlrd:rvb i="2110"/>
        </ext>
      </extLst>
    </bk>
    <bk>
      <extLst>
        <ext uri="{3e2802c4-a4d2-4d8b-9148-e3be6c30e623}">
          <xlrd:rvb i="2111"/>
        </ext>
      </extLst>
    </bk>
    <bk>
      <extLst>
        <ext uri="{3e2802c4-a4d2-4d8b-9148-e3be6c30e623}">
          <xlrd:rvb i="2112"/>
        </ext>
      </extLst>
    </bk>
    <bk>
      <extLst>
        <ext uri="{3e2802c4-a4d2-4d8b-9148-e3be6c30e623}">
          <xlrd:rvb i="2113"/>
        </ext>
      </extLst>
    </bk>
    <bk>
      <extLst>
        <ext uri="{3e2802c4-a4d2-4d8b-9148-e3be6c30e623}">
          <xlrd:rvb i="2114"/>
        </ext>
      </extLst>
    </bk>
    <bk>
      <extLst>
        <ext uri="{3e2802c4-a4d2-4d8b-9148-e3be6c30e623}">
          <xlrd:rvb i="2115"/>
        </ext>
      </extLst>
    </bk>
    <bk>
      <extLst>
        <ext uri="{3e2802c4-a4d2-4d8b-9148-e3be6c30e623}">
          <xlrd:rvb i="2116"/>
        </ext>
      </extLst>
    </bk>
    <bk>
      <extLst>
        <ext uri="{3e2802c4-a4d2-4d8b-9148-e3be6c30e623}">
          <xlrd:rvb i="2117"/>
        </ext>
      </extLst>
    </bk>
    <bk>
      <extLst>
        <ext uri="{3e2802c4-a4d2-4d8b-9148-e3be6c30e623}">
          <xlrd:rvb i="2118"/>
        </ext>
      </extLst>
    </bk>
    <bk>
      <extLst>
        <ext uri="{3e2802c4-a4d2-4d8b-9148-e3be6c30e623}">
          <xlrd:rvb i="2119"/>
        </ext>
      </extLst>
    </bk>
    <bk>
      <extLst>
        <ext uri="{3e2802c4-a4d2-4d8b-9148-e3be6c30e623}">
          <xlrd:rvb i="2120"/>
        </ext>
      </extLst>
    </bk>
    <bk>
      <extLst>
        <ext uri="{3e2802c4-a4d2-4d8b-9148-e3be6c30e623}">
          <xlrd:rvb i="2121"/>
        </ext>
      </extLst>
    </bk>
    <bk>
      <extLst>
        <ext uri="{3e2802c4-a4d2-4d8b-9148-e3be6c30e623}">
          <xlrd:rvb i="2122"/>
        </ext>
      </extLst>
    </bk>
    <bk>
      <extLst>
        <ext uri="{3e2802c4-a4d2-4d8b-9148-e3be6c30e623}">
          <xlrd:rvb i="2123"/>
        </ext>
      </extLst>
    </bk>
    <bk>
      <extLst>
        <ext uri="{3e2802c4-a4d2-4d8b-9148-e3be6c30e623}">
          <xlrd:rvb i="2124"/>
        </ext>
      </extLst>
    </bk>
    <bk>
      <extLst>
        <ext uri="{3e2802c4-a4d2-4d8b-9148-e3be6c30e623}">
          <xlrd:rvb i="2125"/>
        </ext>
      </extLst>
    </bk>
    <bk>
      <extLst>
        <ext uri="{3e2802c4-a4d2-4d8b-9148-e3be6c30e623}">
          <xlrd:rvb i="2126"/>
        </ext>
      </extLst>
    </bk>
    <bk>
      <extLst>
        <ext uri="{3e2802c4-a4d2-4d8b-9148-e3be6c30e623}">
          <xlrd:rvb i="2127"/>
        </ext>
      </extLst>
    </bk>
    <bk>
      <extLst>
        <ext uri="{3e2802c4-a4d2-4d8b-9148-e3be6c30e623}">
          <xlrd:rvb i="2128"/>
        </ext>
      </extLst>
    </bk>
    <bk>
      <extLst>
        <ext uri="{3e2802c4-a4d2-4d8b-9148-e3be6c30e623}">
          <xlrd:rvb i="2129"/>
        </ext>
      </extLst>
    </bk>
    <bk>
      <extLst>
        <ext uri="{3e2802c4-a4d2-4d8b-9148-e3be6c30e623}">
          <xlrd:rvb i="2130"/>
        </ext>
      </extLst>
    </bk>
    <bk>
      <extLst>
        <ext uri="{3e2802c4-a4d2-4d8b-9148-e3be6c30e623}">
          <xlrd:rvb i="2131"/>
        </ext>
      </extLst>
    </bk>
    <bk>
      <extLst>
        <ext uri="{3e2802c4-a4d2-4d8b-9148-e3be6c30e623}">
          <xlrd:rvb i="2132"/>
        </ext>
      </extLst>
    </bk>
    <bk>
      <extLst>
        <ext uri="{3e2802c4-a4d2-4d8b-9148-e3be6c30e623}">
          <xlrd:rvb i="2133"/>
        </ext>
      </extLst>
    </bk>
    <bk>
      <extLst>
        <ext uri="{3e2802c4-a4d2-4d8b-9148-e3be6c30e623}">
          <xlrd:rvb i="2134"/>
        </ext>
      </extLst>
    </bk>
    <bk>
      <extLst>
        <ext uri="{3e2802c4-a4d2-4d8b-9148-e3be6c30e623}">
          <xlrd:rvb i="2135"/>
        </ext>
      </extLst>
    </bk>
    <bk>
      <extLst>
        <ext uri="{3e2802c4-a4d2-4d8b-9148-e3be6c30e623}">
          <xlrd:rvb i="2136"/>
        </ext>
      </extLst>
    </bk>
    <bk>
      <extLst>
        <ext uri="{3e2802c4-a4d2-4d8b-9148-e3be6c30e623}">
          <xlrd:rvb i="2137"/>
        </ext>
      </extLst>
    </bk>
    <bk>
      <extLst>
        <ext uri="{3e2802c4-a4d2-4d8b-9148-e3be6c30e623}">
          <xlrd:rvb i="2138"/>
        </ext>
      </extLst>
    </bk>
    <bk>
      <extLst>
        <ext uri="{3e2802c4-a4d2-4d8b-9148-e3be6c30e623}">
          <xlrd:rvb i="2139"/>
        </ext>
      </extLst>
    </bk>
    <bk>
      <extLst>
        <ext uri="{3e2802c4-a4d2-4d8b-9148-e3be6c30e623}">
          <xlrd:rvb i="2140"/>
        </ext>
      </extLst>
    </bk>
    <bk>
      <extLst>
        <ext uri="{3e2802c4-a4d2-4d8b-9148-e3be6c30e623}">
          <xlrd:rvb i="2141"/>
        </ext>
      </extLst>
    </bk>
    <bk>
      <extLst>
        <ext uri="{3e2802c4-a4d2-4d8b-9148-e3be6c30e623}">
          <xlrd:rvb i="2142"/>
        </ext>
      </extLst>
    </bk>
    <bk>
      <extLst>
        <ext uri="{3e2802c4-a4d2-4d8b-9148-e3be6c30e623}">
          <xlrd:rvb i="2143"/>
        </ext>
      </extLst>
    </bk>
    <bk>
      <extLst>
        <ext uri="{3e2802c4-a4d2-4d8b-9148-e3be6c30e623}">
          <xlrd:rvb i="2144"/>
        </ext>
      </extLst>
    </bk>
    <bk>
      <extLst>
        <ext uri="{3e2802c4-a4d2-4d8b-9148-e3be6c30e623}">
          <xlrd:rvb i="2145"/>
        </ext>
      </extLst>
    </bk>
    <bk>
      <extLst>
        <ext uri="{3e2802c4-a4d2-4d8b-9148-e3be6c30e623}">
          <xlrd:rvb i="2146"/>
        </ext>
      </extLst>
    </bk>
    <bk>
      <extLst>
        <ext uri="{3e2802c4-a4d2-4d8b-9148-e3be6c30e623}">
          <xlrd:rvb i="2147"/>
        </ext>
      </extLst>
    </bk>
    <bk>
      <extLst>
        <ext uri="{3e2802c4-a4d2-4d8b-9148-e3be6c30e623}">
          <xlrd:rvb i="2148"/>
        </ext>
      </extLst>
    </bk>
    <bk>
      <extLst>
        <ext uri="{3e2802c4-a4d2-4d8b-9148-e3be6c30e623}">
          <xlrd:rvb i="2149"/>
        </ext>
      </extLst>
    </bk>
    <bk>
      <extLst>
        <ext uri="{3e2802c4-a4d2-4d8b-9148-e3be6c30e623}">
          <xlrd:rvb i="2150"/>
        </ext>
      </extLst>
    </bk>
    <bk>
      <extLst>
        <ext uri="{3e2802c4-a4d2-4d8b-9148-e3be6c30e623}">
          <xlrd:rvb i="2151"/>
        </ext>
      </extLst>
    </bk>
    <bk>
      <extLst>
        <ext uri="{3e2802c4-a4d2-4d8b-9148-e3be6c30e623}">
          <xlrd:rvb i="2152"/>
        </ext>
      </extLst>
    </bk>
    <bk>
      <extLst>
        <ext uri="{3e2802c4-a4d2-4d8b-9148-e3be6c30e623}">
          <xlrd:rvb i="2153"/>
        </ext>
      </extLst>
    </bk>
    <bk>
      <extLst>
        <ext uri="{3e2802c4-a4d2-4d8b-9148-e3be6c30e623}">
          <xlrd:rvb i="2154"/>
        </ext>
      </extLst>
    </bk>
    <bk>
      <extLst>
        <ext uri="{3e2802c4-a4d2-4d8b-9148-e3be6c30e623}">
          <xlrd:rvb i="2155"/>
        </ext>
      </extLst>
    </bk>
    <bk>
      <extLst>
        <ext uri="{3e2802c4-a4d2-4d8b-9148-e3be6c30e623}">
          <xlrd:rvb i="2156"/>
        </ext>
      </extLst>
    </bk>
    <bk>
      <extLst>
        <ext uri="{3e2802c4-a4d2-4d8b-9148-e3be6c30e623}">
          <xlrd:rvb i="2157"/>
        </ext>
      </extLst>
    </bk>
    <bk>
      <extLst>
        <ext uri="{3e2802c4-a4d2-4d8b-9148-e3be6c30e623}">
          <xlrd:rvb i="2158"/>
        </ext>
      </extLst>
    </bk>
    <bk>
      <extLst>
        <ext uri="{3e2802c4-a4d2-4d8b-9148-e3be6c30e623}">
          <xlrd:rvb i="2159"/>
        </ext>
      </extLst>
    </bk>
    <bk>
      <extLst>
        <ext uri="{3e2802c4-a4d2-4d8b-9148-e3be6c30e623}">
          <xlrd:rvb i="2160"/>
        </ext>
      </extLst>
    </bk>
    <bk>
      <extLst>
        <ext uri="{3e2802c4-a4d2-4d8b-9148-e3be6c30e623}">
          <xlrd:rvb i="2161"/>
        </ext>
      </extLst>
    </bk>
    <bk>
      <extLst>
        <ext uri="{3e2802c4-a4d2-4d8b-9148-e3be6c30e623}">
          <xlrd:rvb i="2162"/>
        </ext>
      </extLst>
    </bk>
    <bk>
      <extLst>
        <ext uri="{3e2802c4-a4d2-4d8b-9148-e3be6c30e623}">
          <xlrd:rvb i="2163"/>
        </ext>
      </extLst>
    </bk>
    <bk>
      <extLst>
        <ext uri="{3e2802c4-a4d2-4d8b-9148-e3be6c30e623}">
          <xlrd:rvb i="2164"/>
        </ext>
      </extLst>
    </bk>
    <bk>
      <extLst>
        <ext uri="{3e2802c4-a4d2-4d8b-9148-e3be6c30e623}">
          <xlrd:rvb i="2165"/>
        </ext>
      </extLst>
    </bk>
    <bk>
      <extLst>
        <ext uri="{3e2802c4-a4d2-4d8b-9148-e3be6c30e623}">
          <xlrd:rvb i="2166"/>
        </ext>
      </extLst>
    </bk>
    <bk>
      <extLst>
        <ext uri="{3e2802c4-a4d2-4d8b-9148-e3be6c30e623}">
          <xlrd:rvb i="2167"/>
        </ext>
      </extLst>
    </bk>
    <bk>
      <extLst>
        <ext uri="{3e2802c4-a4d2-4d8b-9148-e3be6c30e623}">
          <xlrd:rvb i="2168"/>
        </ext>
      </extLst>
    </bk>
    <bk>
      <extLst>
        <ext uri="{3e2802c4-a4d2-4d8b-9148-e3be6c30e623}">
          <xlrd:rvb i="2169"/>
        </ext>
      </extLst>
    </bk>
    <bk>
      <extLst>
        <ext uri="{3e2802c4-a4d2-4d8b-9148-e3be6c30e623}">
          <xlrd:rvb i="2170"/>
        </ext>
      </extLst>
    </bk>
    <bk>
      <extLst>
        <ext uri="{3e2802c4-a4d2-4d8b-9148-e3be6c30e623}">
          <xlrd:rvb i="2171"/>
        </ext>
      </extLst>
    </bk>
    <bk>
      <extLst>
        <ext uri="{3e2802c4-a4d2-4d8b-9148-e3be6c30e623}">
          <xlrd:rvb i="2172"/>
        </ext>
      </extLst>
    </bk>
    <bk>
      <extLst>
        <ext uri="{3e2802c4-a4d2-4d8b-9148-e3be6c30e623}">
          <xlrd:rvb i="2173"/>
        </ext>
      </extLst>
    </bk>
    <bk>
      <extLst>
        <ext uri="{3e2802c4-a4d2-4d8b-9148-e3be6c30e623}">
          <xlrd:rvb i="2174"/>
        </ext>
      </extLst>
    </bk>
    <bk>
      <extLst>
        <ext uri="{3e2802c4-a4d2-4d8b-9148-e3be6c30e623}">
          <xlrd:rvb i="2175"/>
        </ext>
      </extLst>
    </bk>
    <bk>
      <extLst>
        <ext uri="{3e2802c4-a4d2-4d8b-9148-e3be6c30e623}">
          <xlrd:rvb i="2176"/>
        </ext>
      </extLst>
    </bk>
    <bk>
      <extLst>
        <ext uri="{3e2802c4-a4d2-4d8b-9148-e3be6c30e623}">
          <xlrd:rvb i="2177"/>
        </ext>
      </extLst>
    </bk>
    <bk>
      <extLst>
        <ext uri="{3e2802c4-a4d2-4d8b-9148-e3be6c30e623}">
          <xlrd:rvb i="2178"/>
        </ext>
      </extLst>
    </bk>
    <bk>
      <extLst>
        <ext uri="{3e2802c4-a4d2-4d8b-9148-e3be6c30e623}">
          <xlrd:rvb i="2179"/>
        </ext>
      </extLst>
    </bk>
    <bk>
      <extLst>
        <ext uri="{3e2802c4-a4d2-4d8b-9148-e3be6c30e623}">
          <xlrd:rvb i="2180"/>
        </ext>
      </extLst>
    </bk>
    <bk>
      <extLst>
        <ext uri="{3e2802c4-a4d2-4d8b-9148-e3be6c30e623}">
          <xlrd:rvb i="2181"/>
        </ext>
      </extLst>
    </bk>
    <bk>
      <extLst>
        <ext uri="{3e2802c4-a4d2-4d8b-9148-e3be6c30e623}">
          <xlrd:rvb i="2182"/>
        </ext>
      </extLst>
    </bk>
    <bk>
      <extLst>
        <ext uri="{3e2802c4-a4d2-4d8b-9148-e3be6c30e623}">
          <xlrd:rvb i="2183"/>
        </ext>
      </extLst>
    </bk>
    <bk>
      <extLst>
        <ext uri="{3e2802c4-a4d2-4d8b-9148-e3be6c30e623}">
          <xlrd:rvb i="2184"/>
        </ext>
      </extLst>
    </bk>
    <bk>
      <extLst>
        <ext uri="{3e2802c4-a4d2-4d8b-9148-e3be6c30e623}">
          <xlrd:rvb i="2185"/>
        </ext>
      </extLst>
    </bk>
    <bk>
      <extLst>
        <ext uri="{3e2802c4-a4d2-4d8b-9148-e3be6c30e623}">
          <xlrd:rvb i="2186"/>
        </ext>
      </extLst>
    </bk>
    <bk>
      <extLst>
        <ext uri="{3e2802c4-a4d2-4d8b-9148-e3be6c30e623}">
          <xlrd:rvb i="2187"/>
        </ext>
      </extLst>
    </bk>
    <bk>
      <extLst>
        <ext uri="{3e2802c4-a4d2-4d8b-9148-e3be6c30e623}">
          <xlrd:rvb i="2188"/>
        </ext>
      </extLst>
    </bk>
    <bk>
      <extLst>
        <ext uri="{3e2802c4-a4d2-4d8b-9148-e3be6c30e623}">
          <xlrd:rvb i="2189"/>
        </ext>
      </extLst>
    </bk>
    <bk>
      <extLst>
        <ext uri="{3e2802c4-a4d2-4d8b-9148-e3be6c30e623}">
          <xlrd:rvb i="2190"/>
        </ext>
      </extLst>
    </bk>
    <bk>
      <extLst>
        <ext uri="{3e2802c4-a4d2-4d8b-9148-e3be6c30e623}">
          <xlrd:rvb i="2191"/>
        </ext>
      </extLst>
    </bk>
    <bk>
      <extLst>
        <ext uri="{3e2802c4-a4d2-4d8b-9148-e3be6c30e623}">
          <xlrd:rvb i="2192"/>
        </ext>
      </extLst>
    </bk>
    <bk>
      <extLst>
        <ext uri="{3e2802c4-a4d2-4d8b-9148-e3be6c30e623}">
          <xlrd:rvb i="2193"/>
        </ext>
      </extLst>
    </bk>
    <bk>
      <extLst>
        <ext uri="{3e2802c4-a4d2-4d8b-9148-e3be6c30e623}">
          <xlrd:rvb i="2194"/>
        </ext>
      </extLst>
    </bk>
    <bk>
      <extLst>
        <ext uri="{3e2802c4-a4d2-4d8b-9148-e3be6c30e623}">
          <xlrd:rvb i="2195"/>
        </ext>
      </extLst>
    </bk>
    <bk>
      <extLst>
        <ext uri="{3e2802c4-a4d2-4d8b-9148-e3be6c30e623}">
          <xlrd:rvb i="2196"/>
        </ext>
      </extLst>
    </bk>
    <bk>
      <extLst>
        <ext uri="{3e2802c4-a4d2-4d8b-9148-e3be6c30e623}">
          <xlrd:rvb i="2197"/>
        </ext>
      </extLst>
    </bk>
    <bk>
      <extLst>
        <ext uri="{3e2802c4-a4d2-4d8b-9148-e3be6c30e623}">
          <xlrd:rvb i="2198"/>
        </ext>
      </extLst>
    </bk>
    <bk>
      <extLst>
        <ext uri="{3e2802c4-a4d2-4d8b-9148-e3be6c30e623}">
          <xlrd:rvb i="2199"/>
        </ext>
      </extLst>
    </bk>
    <bk>
      <extLst>
        <ext uri="{3e2802c4-a4d2-4d8b-9148-e3be6c30e623}">
          <xlrd:rvb i="2200"/>
        </ext>
      </extLst>
    </bk>
    <bk>
      <extLst>
        <ext uri="{3e2802c4-a4d2-4d8b-9148-e3be6c30e623}">
          <xlrd:rvb i="2201"/>
        </ext>
      </extLst>
    </bk>
    <bk>
      <extLst>
        <ext uri="{3e2802c4-a4d2-4d8b-9148-e3be6c30e623}">
          <xlrd:rvb i="2202"/>
        </ext>
      </extLst>
    </bk>
    <bk>
      <extLst>
        <ext uri="{3e2802c4-a4d2-4d8b-9148-e3be6c30e623}">
          <xlrd:rvb i="2203"/>
        </ext>
      </extLst>
    </bk>
    <bk>
      <extLst>
        <ext uri="{3e2802c4-a4d2-4d8b-9148-e3be6c30e623}">
          <xlrd:rvb i="2204"/>
        </ext>
      </extLst>
    </bk>
    <bk>
      <extLst>
        <ext uri="{3e2802c4-a4d2-4d8b-9148-e3be6c30e623}">
          <xlrd:rvb i="2205"/>
        </ext>
      </extLst>
    </bk>
    <bk>
      <extLst>
        <ext uri="{3e2802c4-a4d2-4d8b-9148-e3be6c30e623}">
          <xlrd:rvb i="2206"/>
        </ext>
      </extLst>
    </bk>
    <bk>
      <extLst>
        <ext uri="{3e2802c4-a4d2-4d8b-9148-e3be6c30e623}">
          <xlrd:rvb i="2207"/>
        </ext>
      </extLst>
    </bk>
    <bk>
      <extLst>
        <ext uri="{3e2802c4-a4d2-4d8b-9148-e3be6c30e623}">
          <xlrd:rvb i="2208"/>
        </ext>
      </extLst>
    </bk>
    <bk>
      <extLst>
        <ext uri="{3e2802c4-a4d2-4d8b-9148-e3be6c30e623}">
          <xlrd:rvb i="2209"/>
        </ext>
      </extLst>
    </bk>
    <bk>
      <extLst>
        <ext uri="{3e2802c4-a4d2-4d8b-9148-e3be6c30e623}">
          <xlrd:rvb i="2210"/>
        </ext>
      </extLst>
    </bk>
    <bk>
      <extLst>
        <ext uri="{3e2802c4-a4d2-4d8b-9148-e3be6c30e623}">
          <xlrd:rvb i="2211"/>
        </ext>
      </extLst>
    </bk>
    <bk>
      <extLst>
        <ext uri="{3e2802c4-a4d2-4d8b-9148-e3be6c30e623}">
          <xlrd:rvb i="2212"/>
        </ext>
      </extLst>
    </bk>
    <bk>
      <extLst>
        <ext uri="{3e2802c4-a4d2-4d8b-9148-e3be6c30e623}">
          <xlrd:rvb i="2213"/>
        </ext>
      </extLst>
    </bk>
    <bk>
      <extLst>
        <ext uri="{3e2802c4-a4d2-4d8b-9148-e3be6c30e623}">
          <xlrd:rvb i="2214"/>
        </ext>
      </extLst>
    </bk>
    <bk>
      <extLst>
        <ext uri="{3e2802c4-a4d2-4d8b-9148-e3be6c30e623}">
          <xlrd:rvb i="2215"/>
        </ext>
      </extLst>
    </bk>
    <bk>
      <extLst>
        <ext uri="{3e2802c4-a4d2-4d8b-9148-e3be6c30e623}">
          <xlrd:rvb i="2216"/>
        </ext>
      </extLst>
    </bk>
    <bk>
      <extLst>
        <ext uri="{3e2802c4-a4d2-4d8b-9148-e3be6c30e623}">
          <xlrd:rvb i="2217"/>
        </ext>
      </extLst>
    </bk>
    <bk>
      <extLst>
        <ext uri="{3e2802c4-a4d2-4d8b-9148-e3be6c30e623}">
          <xlrd:rvb i="2218"/>
        </ext>
      </extLst>
    </bk>
    <bk>
      <extLst>
        <ext uri="{3e2802c4-a4d2-4d8b-9148-e3be6c30e623}">
          <xlrd:rvb i="2219"/>
        </ext>
      </extLst>
    </bk>
    <bk>
      <extLst>
        <ext uri="{3e2802c4-a4d2-4d8b-9148-e3be6c30e623}">
          <xlrd:rvb i="2220"/>
        </ext>
      </extLst>
    </bk>
    <bk>
      <extLst>
        <ext uri="{3e2802c4-a4d2-4d8b-9148-e3be6c30e623}">
          <xlrd:rvb i="2221"/>
        </ext>
      </extLst>
    </bk>
    <bk>
      <extLst>
        <ext uri="{3e2802c4-a4d2-4d8b-9148-e3be6c30e623}">
          <xlrd:rvb i="2222"/>
        </ext>
      </extLst>
    </bk>
    <bk>
      <extLst>
        <ext uri="{3e2802c4-a4d2-4d8b-9148-e3be6c30e623}">
          <xlrd:rvb i="2223"/>
        </ext>
      </extLst>
    </bk>
    <bk>
      <extLst>
        <ext uri="{3e2802c4-a4d2-4d8b-9148-e3be6c30e623}">
          <xlrd:rvb i="2224"/>
        </ext>
      </extLst>
    </bk>
    <bk>
      <extLst>
        <ext uri="{3e2802c4-a4d2-4d8b-9148-e3be6c30e623}">
          <xlrd:rvb i="2225"/>
        </ext>
      </extLst>
    </bk>
    <bk>
      <extLst>
        <ext uri="{3e2802c4-a4d2-4d8b-9148-e3be6c30e623}">
          <xlrd:rvb i="2226"/>
        </ext>
      </extLst>
    </bk>
    <bk>
      <extLst>
        <ext uri="{3e2802c4-a4d2-4d8b-9148-e3be6c30e623}">
          <xlrd:rvb i="2227"/>
        </ext>
      </extLst>
    </bk>
    <bk>
      <extLst>
        <ext uri="{3e2802c4-a4d2-4d8b-9148-e3be6c30e623}">
          <xlrd:rvb i="2228"/>
        </ext>
      </extLst>
    </bk>
    <bk>
      <extLst>
        <ext uri="{3e2802c4-a4d2-4d8b-9148-e3be6c30e623}">
          <xlrd:rvb i="2229"/>
        </ext>
      </extLst>
    </bk>
    <bk>
      <extLst>
        <ext uri="{3e2802c4-a4d2-4d8b-9148-e3be6c30e623}">
          <xlrd:rvb i="2230"/>
        </ext>
      </extLst>
    </bk>
    <bk>
      <extLst>
        <ext uri="{3e2802c4-a4d2-4d8b-9148-e3be6c30e623}">
          <xlrd:rvb i="2231"/>
        </ext>
      </extLst>
    </bk>
    <bk>
      <extLst>
        <ext uri="{3e2802c4-a4d2-4d8b-9148-e3be6c30e623}">
          <xlrd:rvb i="2232"/>
        </ext>
      </extLst>
    </bk>
    <bk>
      <extLst>
        <ext uri="{3e2802c4-a4d2-4d8b-9148-e3be6c30e623}">
          <xlrd:rvb i="2233"/>
        </ext>
      </extLst>
    </bk>
    <bk>
      <extLst>
        <ext uri="{3e2802c4-a4d2-4d8b-9148-e3be6c30e623}">
          <xlrd:rvb i="2234"/>
        </ext>
      </extLst>
    </bk>
    <bk>
      <extLst>
        <ext uri="{3e2802c4-a4d2-4d8b-9148-e3be6c30e623}">
          <xlrd:rvb i="2235"/>
        </ext>
      </extLst>
    </bk>
    <bk>
      <extLst>
        <ext uri="{3e2802c4-a4d2-4d8b-9148-e3be6c30e623}">
          <xlrd:rvb i="2236"/>
        </ext>
      </extLst>
    </bk>
    <bk>
      <extLst>
        <ext uri="{3e2802c4-a4d2-4d8b-9148-e3be6c30e623}">
          <xlrd:rvb i="2237"/>
        </ext>
      </extLst>
    </bk>
    <bk>
      <extLst>
        <ext uri="{3e2802c4-a4d2-4d8b-9148-e3be6c30e623}">
          <xlrd:rvb i="2238"/>
        </ext>
      </extLst>
    </bk>
    <bk>
      <extLst>
        <ext uri="{3e2802c4-a4d2-4d8b-9148-e3be6c30e623}">
          <xlrd:rvb i="2239"/>
        </ext>
      </extLst>
    </bk>
    <bk>
      <extLst>
        <ext uri="{3e2802c4-a4d2-4d8b-9148-e3be6c30e623}">
          <xlrd:rvb i="2240"/>
        </ext>
      </extLst>
    </bk>
    <bk>
      <extLst>
        <ext uri="{3e2802c4-a4d2-4d8b-9148-e3be6c30e623}">
          <xlrd:rvb i="2241"/>
        </ext>
      </extLst>
    </bk>
    <bk>
      <extLst>
        <ext uri="{3e2802c4-a4d2-4d8b-9148-e3be6c30e623}">
          <xlrd:rvb i="2242"/>
        </ext>
      </extLst>
    </bk>
    <bk>
      <extLst>
        <ext uri="{3e2802c4-a4d2-4d8b-9148-e3be6c30e623}">
          <xlrd:rvb i="2243"/>
        </ext>
      </extLst>
    </bk>
    <bk>
      <extLst>
        <ext uri="{3e2802c4-a4d2-4d8b-9148-e3be6c30e623}">
          <xlrd:rvb i="2244"/>
        </ext>
      </extLst>
    </bk>
    <bk>
      <extLst>
        <ext uri="{3e2802c4-a4d2-4d8b-9148-e3be6c30e623}">
          <xlrd:rvb i="2245"/>
        </ext>
      </extLst>
    </bk>
    <bk>
      <extLst>
        <ext uri="{3e2802c4-a4d2-4d8b-9148-e3be6c30e623}">
          <xlrd:rvb i="2246"/>
        </ext>
      </extLst>
    </bk>
    <bk>
      <extLst>
        <ext uri="{3e2802c4-a4d2-4d8b-9148-e3be6c30e623}">
          <xlrd:rvb i="2247"/>
        </ext>
      </extLst>
    </bk>
    <bk>
      <extLst>
        <ext uri="{3e2802c4-a4d2-4d8b-9148-e3be6c30e623}">
          <xlrd:rvb i="2248"/>
        </ext>
      </extLst>
    </bk>
    <bk>
      <extLst>
        <ext uri="{3e2802c4-a4d2-4d8b-9148-e3be6c30e623}">
          <xlrd:rvb i="2249"/>
        </ext>
      </extLst>
    </bk>
    <bk>
      <extLst>
        <ext uri="{3e2802c4-a4d2-4d8b-9148-e3be6c30e623}">
          <xlrd:rvb i="2250"/>
        </ext>
      </extLst>
    </bk>
    <bk>
      <extLst>
        <ext uri="{3e2802c4-a4d2-4d8b-9148-e3be6c30e623}">
          <xlrd:rvb i="2251"/>
        </ext>
      </extLst>
    </bk>
    <bk>
      <extLst>
        <ext uri="{3e2802c4-a4d2-4d8b-9148-e3be6c30e623}">
          <xlrd:rvb i="2252"/>
        </ext>
      </extLst>
    </bk>
    <bk>
      <extLst>
        <ext uri="{3e2802c4-a4d2-4d8b-9148-e3be6c30e623}">
          <xlrd:rvb i="2253"/>
        </ext>
      </extLst>
    </bk>
    <bk>
      <extLst>
        <ext uri="{3e2802c4-a4d2-4d8b-9148-e3be6c30e623}">
          <xlrd:rvb i="2254"/>
        </ext>
      </extLst>
    </bk>
    <bk>
      <extLst>
        <ext uri="{3e2802c4-a4d2-4d8b-9148-e3be6c30e623}">
          <xlrd:rvb i="2255"/>
        </ext>
      </extLst>
    </bk>
    <bk>
      <extLst>
        <ext uri="{3e2802c4-a4d2-4d8b-9148-e3be6c30e623}">
          <xlrd:rvb i="2256"/>
        </ext>
      </extLst>
    </bk>
    <bk>
      <extLst>
        <ext uri="{3e2802c4-a4d2-4d8b-9148-e3be6c30e623}">
          <xlrd:rvb i="2257"/>
        </ext>
      </extLst>
    </bk>
    <bk>
      <extLst>
        <ext uri="{3e2802c4-a4d2-4d8b-9148-e3be6c30e623}">
          <xlrd:rvb i="2258"/>
        </ext>
      </extLst>
    </bk>
    <bk>
      <extLst>
        <ext uri="{3e2802c4-a4d2-4d8b-9148-e3be6c30e623}">
          <xlrd:rvb i="2259"/>
        </ext>
      </extLst>
    </bk>
    <bk>
      <extLst>
        <ext uri="{3e2802c4-a4d2-4d8b-9148-e3be6c30e623}">
          <xlrd:rvb i="2260"/>
        </ext>
      </extLst>
    </bk>
    <bk>
      <extLst>
        <ext uri="{3e2802c4-a4d2-4d8b-9148-e3be6c30e623}">
          <xlrd:rvb i="2261"/>
        </ext>
      </extLst>
    </bk>
    <bk>
      <extLst>
        <ext uri="{3e2802c4-a4d2-4d8b-9148-e3be6c30e623}">
          <xlrd:rvb i="2262"/>
        </ext>
      </extLst>
    </bk>
    <bk>
      <extLst>
        <ext uri="{3e2802c4-a4d2-4d8b-9148-e3be6c30e623}">
          <xlrd:rvb i="2263"/>
        </ext>
      </extLst>
    </bk>
    <bk>
      <extLst>
        <ext uri="{3e2802c4-a4d2-4d8b-9148-e3be6c30e623}">
          <xlrd:rvb i="2264"/>
        </ext>
      </extLst>
    </bk>
    <bk>
      <extLst>
        <ext uri="{3e2802c4-a4d2-4d8b-9148-e3be6c30e623}">
          <xlrd:rvb i="2265"/>
        </ext>
      </extLst>
    </bk>
    <bk>
      <extLst>
        <ext uri="{3e2802c4-a4d2-4d8b-9148-e3be6c30e623}">
          <xlrd:rvb i="2266"/>
        </ext>
      </extLst>
    </bk>
    <bk>
      <extLst>
        <ext uri="{3e2802c4-a4d2-4d8b-9148-e3be6c30e623}">
          <xlrd:rvb i="2267"/>
        </ext>
      </extLst>
    </bk>
    <bk>
      <extLst>
        <ext uri="{3e2802c4-a4d2-4d8b-9148-e3be6c30e623}">
          <xlrd:rvb i="2268"/>
        </ext>
      </extLst>
    </bk>
    <bk>
      <extLst>
        <ext uri="{3e2802c4-a4d2-4d8b-9148-e3be6c30e623}">
          <xlrd:rvb i="2269"/>
        </ext>
      </extLst>
    </bk>
    <bk>
      <extLst>
        <ext uri="{3e2802c4-a4d2-4d8b-9148-e3be6c30e623}">
          <xlrd:rvb i="2270"/>
        </ext>
      </extLst>
    </bk>
    <bk>
      <extLst>
        <ext uri="{3e2802c4-a4d2-4d8b-9148-e3be6c30e623}">
          <xlrd:rvb i="2271"/>
        </ext>
      </extLst>
    </bk>
    <bk>
      <extLst>
        <ext uri="{3e2802c4-a4d2-4d8b-9148-e3be6c30e623}">
          <xlrd:rvb i="2272"/>
        </ext>
      </extLst>
    </bk>
    <bk>
      <extLst>
        <ext uri="{3e2802c4-a4d2-4d8b-9148-e3be6c30e623}">
          <xlrd:rvb i="2273"/>
        </ext>
      </extLst>
    </bk>
    <bk>
      <extLst>
        <ext uri="{3e2802c4-a4d2-4d8b-9148-e3be6c30e623}">
          <xlrd:rvb i="2274"/>
        </ext>
      </extLst>
    </bk>
    <bk>
      <extLst>
        <ext uri="{3e2802c4-a4d2-4d8b-9148-e3be6c30e623}">
          <xlrd:rvb i="2275"/>
        </ext>
      </extLst>
    </bk>
    <bk>
      <extLst>
        <ext uri="{3e2802c4-a4d2-4d8b-9148-e3be6c30e623}">
          <xlrd:rvb i="2276"/>
        </ext>
      </extLst>
    </bk>
    <bk>
      <extLst>
        <ext uri="{3e2802c4-a4d2-4d8b-9148-e3be6c30e623}">
          <xlrd:rvb i="2277"/>
        </ext>
      </extLst>
    </bk>
    <bk>
      <extLst>
        <ext uri="{3e2802c4-a4d2-4d8b-9148-e3be6c30e623}">
          <xlrd:rvb i="2278"/>
        </ext>
      </extLst>
    </bk>
    <bk>
      <extLst>
        <ext uri="{3e2802c4-a4d2-4d8b-9148-e3be6c30e623}">
          <xlrd:rvb i="2279"/>
        </ext>
      </extLst>
    </bk>
    <bk>
      <extLst>
        <ext uri="{3e2802c4-a4d2-4d8b-9148-e3be6c30e623}">
          <xlrd:rvb i="2280"/>
        </ext>
      </extLst>
    </bk>
    <bk>
      <extLst>
        <ext uri="{3e2802c4-a4d2-4d8b-9148-e3be6c30e623}">
          <xlrd:rvb i="2281"/>
        </ext>
      </extLst>
    </bk>
    <bk>
      <extLst>
        <ext uri="{3e2802c4-a4d2-4d8b-9148-e3be6c30e623}">
          <xlrd:rvb i="2282"/>
        </ext>
      </extLst>
    </bk>
    <bk>
      <extLst>
        <ext uri="{3e2802c4-a4d2-4d8b-9148-e3be6c30e623}">
          <xlrd:rvb i="2283"/>
        </ext>
      </extLst>
    </bk>
    <bk>
      <extLst>
        <ext uri="{3e2802c4-a4d2-4d8b-9148-e3be6c30e623}">
          <xlrd:rvb i="2284"/>
        </ext>
      </extLst>
    </bk>
    <bk>
      <extLst>
        <ext uri="{3e2802c4-a4d2-4d8b-9148-e3be6c30e623}">
          <xlrd:rvb i="2285"/>
        </ext>
      </extLst>
    </bk>
    <bk>
      <extLst>
        <ext uri="{3e2802c4-a4d2-4d8b-9148-e3be6c30e623}">
          <xlrd:rvb i="2286"/>
        </ext>
      </extLst>
    </bk>
    <bk>
      <extLst>
        <ext uri="{3e2802c4-a4d2-4d8b-9148-e3be6c30e623}">
          <xlrd:rvb i="2287"/>
        </ext>
      </extLst>
    </bk>
    <bk>
      <extLst>
        <ext uri="{3e2802c4-a4d2-4d8b-9148-e3be6c30e623}">
          <xlrd:rvb i="2288"/>
        </ext>
      </extLst>
    </bk>
    <bk>
      <extLst>
        <ext uri="{3e2802c4-a4d2-4d8b-9148-e3be6c30e623}">
          <xlrd:rvb i="2289"/>
        </ext>
      </extLst>
    </bk>
    <bk>
      <extLst>
        <ext uri="{3e2802c4-a4d2-4d8b-9148-e3be6c30e623}">
          <xlrd:rvb i="2290"/>
        </ext>
      </extLst>
    </bk>
    <bk>
      <extLst>
        <ext uri="{3e2802c4-a4d2-4d8b-9148-e3be6c30e623}">
          <xlrd:rvb i="2291"/>
        </ext>
      </extLst>
    </bk>
    <bk>
      <extLst>
        <ext uri="{3e2802c4-a4d2-4d8b-9148-e3be6c30e623}">
          <xlrd:rvb i="2292"/>
        </ext>
      </extLst>
    </bk>
    <bk>
      <extLst>
        <ext uri="{3e2802c4-a4d2-4d8b-9148-e3be6c30e623}">
          <xlrd:rvb i="2293"/>
        </ext>
      </extLst>
    </bk>
    <bk>
      <extLst>
        <ext uri="{3e2802c4-a4d2-4d8b-9148-e3be6c30e623}">
          <xlrd:rvb i="2294"/>
        </ext>
      </extLst>
    </bk>
    <bk>
      <extLst>
        <ext uri="{3e2802c4-a4d2-4d8b-9148-e3be6c30e623}">
          <xlrd:rvb i="2295"/>
        </ext>
      </extLst>
    </bk>
    <bk>
      <extLst>
        <ext uri="{3e2802c4-a4d2-4d8b-9148-e3be6c30e623}">
          <xlrd:rvb i="2296"/>
        </ext>
      </extLst>
    </bk>
    <bk>
      <extLst>
        <ext uri="{3e2802c4-a4d2-4d8b-9148-e3be6c30e623}">
          <xlrd:rvb i="2297"/>
        </ext>
      </extLst>
    </bk>
    <bk>
      <extLst>
        <ext uri="{3e2802c4-a4d2-4d8b-9148-e3be6c30e623}">
          <xlrd:rvb i="2298"/>
        </ext>
      </extLst>
    </bk>
    <bk>
      <extLst>
        <ext uri="{3e2802c4-a4d2-4d8b-9148-e3be6c30e623}">
          <xlrd:rvb i="2299"/>
        </ext>
      </extLst>
    </bk>
    <bk>
      <extLst>
        <ext uri="{3e2802c4-a4d2-4d8b-9148-e3be6c30e623}">
          <xlrd:rvb i="2300"/>
        </ext>
      </extLst>
    </bk>
    <bk>
      <extLst>
        <ext uri="{3e2802c4-a4d2-4d8b-9148-e3be6c30e623}">
          <xlrd:rvb i="2301"/>
        </ext>
      </extLst>
    </bk>
    <bk>
      <extLst>
        <ext uri="{3e2802c4-a4d2-4d8b-9148-e3be6c30e623}">
          <xlrd:rvb i="2302"/>
        </ext>
      </extLst>
    </bk>
    <bk>
      <extLst>
        <ext uri="{3e2802c4-a4d2-4d8b-9148-e3be6c30e623}">
          <xlrd:rvb i="2303"/>
        </ext>
      </extLst>
    </bk>
    <bk>
      <extLst>
        <ext uri="{3e2802c4-a4d2-4d8b-9148-e3be6c30e623}">
          <xlrd:rvb i="2304"/>
        </ext>
      </extLst>
    </bk>
    <bk>
      <extLst>
        <ext uri="{3e2802c4-a4d2-4d8b-9148-e3be6c30e623}">
          <xlrd:rvb i="2305"/>
        </ext>
      </extLst>
    </bk>
    <bk>
      <extLst>
        <ext uri="{3e2802c4-a4d2-4d8b-9148-e3be6c30e623}">
          <xlrd:rvb i="2306"/>
        </ext>
      </extLst>
    </bk>
    <bk>
      <extLst>
        <ext uri="{3e2802c4-a4d2-4d8b-9148-e3be6c30e623}">
          <xlrd:rvb i="2307"/>
        </ext>
      </extLst>
    </bk>
    <bk>
      <extLst>
        <ext uri="{3e2802c4-a4d2-4d8b-9148-e3be6c30e623}">
          <xlrd:rvb i="2308"/>
        </ext>
      </extLst>
    </bk>
    <bk>
      <extLst>
        <ext uri="{3e2802c4-a4d2-4d8b-9148-e3be6c30e623}">
          <xlrd:rvb i="2309"/>
        </ext>
      </extLst>
    </bk>
    <bk>
      <extLst>
        <ext uri="{3e2802c4-a4d2-4d8b-9148-e3be6c30e623}">
          <xlrd:rvb i="2310"/>
        </ext>
      </extLst>
    </bk>
    <bk>
      <extLst>
        <ext uri="{3e2802c4-a4d2-4d8b-9148-e3be6c30e623}">
          <xlrd:rvb i="2311"/>
        </ext>
      </extLst>
    </bk>
    <bk>
      <extLst>
        <ext uri="{3e2802c4-a4d2-4d8b-9148-e3be6c30e623}">
          <xlrd:rvb i="2312"/>
        </ext>
      </extLst>
    </bk>
    <bk>
      <extLst>
        <ext uri="{3e2802c4-a4d2-4d8b-9148-e3be6c30e623}">
          <xlrd:rvb i="2313"/>
        </ext>
      </extLst>
    </bk>
    <bk>
      <extLst>
        <ext uri="{3e2802c4-a4d2-4d8b-9148-e3be6c30e623}">
          <xlrd:rvb i="2314"/>
        </ext>
      </extLst>
    </bk>
    <bk>
      <extLst>
        <ext uri="{3e2802c4-a4d2-4d8b-9148-e3be6c30e623}">
          <xlrd:rvb i="2315"/>
        </ext>
      </extLst>
    </bk>
    <bk>
      <extLst>
        <ext uri="{3e2802c4-a4d2-4d8b-9148-e3be6c30e623}">
          <xlrd:rvb i="2316"/>
        </ext>
      </extLst>
    </bk>
    <bk>
      <extLst>
        <ext uri="{3e2802c4-a4d2-4d8b-9148-e3be6c30e623}">
          <xlrd:rvb i="2317"/>
        </ext>
      </extLst>
    </bk>
    <bk>
      <extLst>
        <ext uri="{3e2802c4-a4d2-4d8b-9148-e3be6c30e623}">
          <xlrd:rvb i="2318"/>
        </ext>
      </extLst>
    </bk>
    <bk>
      <extLst>
        <ext uri="{3e2802c4-a4d2-4d8b-9148-e3be6c30e623}">
          <xlrd:rvb i="2319"/>
        </ext>
      </extLst>
    </bk>
    <bk>
      <extLst>
        <ext uri="{3e2802c4-a4d2-4d8b-9148-e3be6c30e623}">
          <xlrd:rvb i="2320"/>
        </ext>
      </extLst>
    </bk>
    <bk>
      <extLst>
        <ext uri="{3e2802c4-a4d2-4d8b-9148-e3be6c30e623}">
          <xlrd:rvb i="2321"/>
        </ext>
      </extLst>
    </bk>
    <bk>
      <extLst>
        <ext uri="{3e2802c4-a4d2-4d8b-9148-e3be6c30e623}">
          <xlrd:rvb i="2322"/>
        </ext>
      </extLst>
    </bk>
    <bk>
      <extLst>
        <ext uri="{3e2802c4-a4d2-4d8b-9148-e3be6c30e623}">
          <xlrd:rvb i="2323"/>
        </ext>
      </extLst>
    </bk>
    <bk>
      <extLst>
        <ext uri="{3e2802c4-a4d2-4d8b-9148-e3be6c30e623}">
          <xlrd:rvb i="2324"/>
        </ext>
      </extLst>
    </bk>
    <bk>
      <extLst>
        <ext uri="{3e2802c4-a4d2-4d8b-9148-e3be6c30e623}">
          <xlrd:rvb i="2325"/>
        </ext>
      </extLst>
    </bk>
    <bk>
      <extLst>
        <ext uri="{3e2802c4-a4d2-4d8b-9148-e3be6c30e623}">
          <xlrd:rvb i="2326"/>
        </ext>
      </extLst>
    </bk>
    <bk>
      <extLst>
        <ext uri="{3e2802c4-a4d2-4d8b-9148-e3be6c30e623}">
          <xlrd:rvb i="2327"/>
        </ext>
      </extLst>
    </bk>
    <bk>
      <extLst>
        <ext uri="{3e2802c4-a4d2-4d8b-9148-e3be6c30e623}">
          <xlrd:rvb i="2328"/>
        </ext>
      </extLst>
    </bk>
    <bk>
      <extLst>
        <ext uri="{3e2802c4-a4d2-4d8b-9148-e3be6c30e623}">
          <xlrd:rvb i="2329"/>
        </ext>
      </extLst>
    </bk>
    <bk>
      <extLst>
        <ext uri="{3e2802c4-a4d2-4d8b-9148-e3be6c30e623}">
          <xlrd:rvb i="2330"/>
        </ext>
      </extLst>
    </bk>
    <bk>
      <extLst>
        <ext uri="{3e2802c4-a4d2-4d8b-9148-e3be6c30e623}">
          <xlrd:rvb i="2331"/>
        </ext>
      </extLst>
    </bk>
    <bk>
      <extLst>
        <ext uri="{3e2802c4-a4d2-4d8b-9148-e3be6c30e623}">
          <xlrd:rvb i="2332"/>
        </ext>
      </extLst>
    </bk>
    <bk>
      <extLst>
        <ext uri="{3e2802c4-a4d2-4d8b-9148-e3be6c30e623}">
          <xlrd:rvb i="2333"/>
        </ext>
      </extLst>
    </bk>
    <bk>
      <extLst>
        <ext uri="{3e2802c4-a4d2-4d8b-9148-e3be6c30e623}">
          <xlrd:rvb i="2334"/>
        </ext>
      </extLst>
    </bk>
    <bk>
      <extLst>
        <ext uri="{3e2802c4-a4d2-4d8b-9148-e3be6c30e623}">
          <xlrd:rvb i="2335"/>
        </ext>
      </extLst>
    </bk>
    <bk>
      <extLst>
        <ext uri="{3e2802c4-a4d2-4d8b-9148-e3be6c30e623}">
          <xlrd:rvb i="2336"/>
        </ext>
      </extLst>
    </bk>
    <bk>
      <extLst>
        <ext uri="{3e2802c4-a4d2-4d8b-9148-e3be6c30e623}">
          <xlrd:rvb i="2337"/>
        </ext>
      </extLst>
    </bk>
    <bk>
      <extLst>
        <ext uri="{3e2802c4-a4d2-4d8b-9148-e3be6c30e623}">
          <xlrd:rvb i="2338"/>
        </ext>
      </extLst>
    </bk>
    <bk>
      <extLst>
        <ext uri="{3e2802c4-a4d2-4d8b-9148-e3be6c30e623}">
          <xlrd:rvb i="2339"/>
        </ext>
      </extLst>
    </bk>
    <bk>
      <extLst>
        <ext uri="{3e2802c4-a4d2-4d8b-9148-e3be6c30e623}">
          <xlrd:rvb i="2340"/>
        </ext>
      </extLst>
    </bk>
    <bk>
      <extLst>
        <ext uri="{3e2802c4-a4d2-4d8b-9148-e3be6c30e623}">
          <xlrd:rvb i="2341"/>
        </ext>
      </extLst>
    </bk>
    <bk>
      <extLst>
        <ext uri="{3e2802c4-a4d2-4d8b-9148-e3be6c30e623}">
          <xlrd:rvb i="2342"/>
        </ext>
      </extLst>
    </bk>
    <bk>
      <extLst>
        <ext uri="{3e2802c4-a4d2-4d8b-9148-e3be6c30e623}">
          <xlrd:rvb i="2343"/>
        </ext>
      </extLst>
    </bk>
    <bk>
      <extLst>
        <ext uri="{3e2802c4-a4d2-4d8b-9148-e3be6c30e623}">
          <xlrd:rvb i="2344"/>
        </ext>
      </extLst>
    </bk>
    <bk>
      <extLst>
        <ext uri="{3e2802c4-a4d2-4d8b-9148-e3be6c30e623}">
          <xlrd:rvb i="2345"/>
        </ext>
      </extLst>
    </bk>
    <bk>
      <extLst>
        <ext uri="{3e2802c4-a4d2-4d8b-9148-e3be6c30e623}">
          <xlrd:rvb i="2346"/>
        </ext>
      </extLst>
    </bk>
    <bk>
      <extLst>
        <ext uri="{3e2802c4-a4d2-4d8b-9148-e3be6c30e623}">
          <xlrd:rvb i="2347"/>
        </ext>
      </extLst>
    </bk>
    <bk>
      <extLst>
        <ext uri="{3e2802c4-a4d2-4d8b-9148-e3be6c30e623}">
          <xlrd:rvb i="2348"/>
        </ext>
      </extLst>
    </bk>
    <bk>
      <extLst>
        <ext uri="{3e2802c4-a4d2-4d8b-9148-e3be6c30e623}">
          <xlrd:rvb i="2349"/>
        </ext>
      </extLst>
    </bk>
    <bk>
      <extLst>
        <ext uri="{3e2802c4-a4d2-4d8b-9148-e3be6c30e623}">
          <xlrd:rvb i="2350"/>
        </ext>
      </extLst>
    </bk>
    <bk>
      <extLst>
        <ext uri="{3e2802c4-a4d2-4d8b-9148-e3be6c30e623}">
          <xlrd:rvb i="2351"/>
        </ext>
      </extLst>
    </bk>
    <bk>
      <extLst>
        <ext uri="{3e2802c4-a4d2-4d8b-9148-e3be6c30e623}">
          <xlrd:rvb i="2352"/>
        </ext>
      </extLst>
    </bk>
    <bk>
      <extLst>
        <ext uri="{3e2802c4-a4d2-4d8b-9148-e3be6c30e623}">
          <xlrd:rvb i="2353"/>
        </ext>
      </extLst>
    </bk>
    <bk>
      <extLst>
        <ext uri="{3e2802c4-a4d2-4d8b-9148-e3be6c30e623}">
          <xlrd:rvb i="2354"/>
        </ext>
      </extLst>
    </bk>
    <bk>
      <extLst>
        <ext uri="{3e2802c4-a4d2-4d8b-9148-e3be6c30e623}">
          <xlrd:rvb i="2355"/>
        </ext>
      </extLst>
    </bk>
    <bk>
      <extLst>
        <ext uri="{3e2802c4-a4d2-4d8b-9148-e3be6c30e623}">
          <xlrd:rvb i="2356"/>
        </ext>
      </extLst>
    </bk>
    <bk>
      <extLst>
        <ext uri="{3e2802c4-a4d2-4d8b-9148-e3be6c30e623}">
          <xlrd:rvb i="2357"/>
        </ext>
      </extLst>
    </bk>
    <bk>
      <extLst>
        <ext uri="{3e2802c4-a4d2-4d8b-9148-e3be6c30e623}">
          <xlrd:rvb i="2358"/>
        </ext>
      </extLst>
    </bk>
    <bk>
      <extLst>
        <ext uri="{3e2802c4-a4d2-4d8b-9148-e3be6c30e623}">
          <xlrd:rvb i="2359"/>
        </ext>
      </extLst>
    </bk>
    <bk>
      <extLst>
        <ext uri="{3e2802c4-a4d2-4d8b-9148-e3be6c30e623}">
          <xlrd:rvb i="2360"/>
        </ext>
      </extLst>
    </bk>
    <bk>
      <extLst>
        <ext uri="{3e2802c4-a4d2-4d8b-9148-e3be6c30e623}">
          <xlrd:rvb i="2361"/>
        </ext>
      </extLst>
    </bk>
    <bk>
      <extLst>
        <ext uri="{3e2802c4-a4d2-4d8b-9148-e3be6c30e623}">
          <xlrd:rvb i="2362"/>
        </ext>
      </extLst>
    </bk>
    <bk>
      <extLst>
        <ext uri="{3e2802c4-a4d2-4d8b-9148-e3be6c30e623}">
          <xlrd:rvb i="2363"/>
        </ext>
      </extLst>
    </bk>
    <bk>
      <extLst>
        <ext uri="{3e2802c4-a4d2-4d8b-9148-e3be6c30e623}">
          <xlrd:rvb i="2364"/>
        </ext>
      </extLst>
    </bk>
    <bk>
      <extLst>
        <ext uri="{3e2802c4-a4d2-4d8b-9148-e3be6c30e623}">
          <xlrd:rvb i="2365"/>
        </ext>
      </extLst>
    </bk>
    <bk>
      <extLst>
        <ext uri="{3e2802c4-a4d2-4d8b-9148-e3be6c30e623}">
          <xlrd:rvb i="2366"/>
        </ext>
      </extLst>
    </bk>
    <bk>
      <extLst>
        <ext uri="{3e2802c4-a4d2-4d8b-9148-e3be6c30e623}">
          <xlrd:rvb i="2367"/>
        </ext>
      </extLst>
    </bk>
    <bk>
      <extLst>
        <ext uri="{3e2802c4-a4d2-4d8b-9148-e3be6c30e623}">
          <xlrd:rvb i="2368"/>
        </ext>
      </extLst>
    </bk>
    <bk>
      <extLst>
        <ext uri="{3e2802c4-a4d2-4d8b-9148-e3be6c30e623}">
          <xlrd:rvb i="2369"/>
        </ext>
      </extLst>
    </bk>
    <bk>
      <extLst>
        <ext uri="{3e2802c4-a4d2-4d8b-9148-e3be6c30e623}">
          <xlrd:rvb i="2370"/>
        </ext>
      </extLst>
    </bk>
    <bk>
      <extLst>
        <ext uri="{3e2802c4-a4d2-4d8b-9148-e3be6c30e623}">
          <xlrd:rvb i="2371"/>
        </ext>
      </extLst>
    </bk>
    <bk>
      <extLst>
        <ext uri="{3e2802c4-a4d2-4d8b-9148-e3be6c30e623}">
          <xlrd:rvb i="2372"/>
        </ext>
      </extLst>
    </bk>
    <bk>
      <extLst>
        <ext uri="{3e2802c4-a4d2-4d8b-9148-e3be6c30e623}">
          <xlrd:rvb i="2373"/>
        </ext>
      </extLst>
    </bk>
    <bk>
      <extLst>
        <ext uri="{3e2802c4-a4d2-4d8b-9148-e3be6c30e623}">
          <xlrd:rvb i="2374"/>
        </ext>
      </extLst>
    </bk>
    <bk>
      <extLst>
        <ext uri="{3e2802c4-a4d2-4d8b-9148-e3be6c30e623}">
          <xlrd:rvb i="2375"/>
        </ext>
      </extLst>
    </bk>
    <bk>
      <extLst>
        <ext uri="{3e2802c4-a4d2-4d8b-9148-e3be6c30e623}">
          <xlrd:rvb i="2376"/>
        </ext>
      </extLst>
    </bk>
    <bk>
      <extLst>
        <ext uri="{3e2802c4-a4d2-4d8b-9148-e3be6c30e623}">
          <xlrd:rvb i="2377"/>
        </ext>
      </extLst>
    </bk>
    <bk>
      <extLst>
        <ext uri="{3e2802c4-a4d2-4d8b-9148-e3be6c30e623}">
          <xlrd:rvb i="2378"/>
        </ext>
      </extLst>
    </bk>
    <bk>
      <extLst>
        <ext uri="{3e2802c4-a4d2-4d8b-9148-e3be6c30e623}">
          <xlrd:rvb i="2379"/>
        </ext>
      </extLst>
    </bk>
    <bk>
      <extLst>
        <ext uri="{3e2802c4-a4d2-4d8b-9148-e3be6c30e623}">
          <xlrd:rvb i="2380"/>
        </ext>
      </extLst>
    </bk>
    <bk>
      <extLst>
        <ext uri="{3e2802c4-a4d2-4d8b-9148-e3be6c30e623}">
          <xlrd:rvb i="2381"/>
        </ext>
      </extLst>
    </bk>
    <bk>
      <extLst>
        <ext uri="{3e2802c4-a4d2-4d8b-9148-e3be6c30e623}">
          <xlrd:rvb i="2382"/>
        </ext>
      </extLst>
    </bk>
    <bk>
      <extLst>
        <ext uri="{3e2802c4-a4d2-4d8b-9148-e3be6c30e623}">
          <xlrd:rvb i="2383"/>
        </ext>
      </extLst>
    </bk>
    <bk>
      <extLst>
        <ext uri="{3e2802c4-a4d2-4d8b-9148-e3be6c30e623}">
          <xlrd:rvb i="2384"/>
        </ext>
      </extLst>
    </bk>
    <bk>
      <extLst>
        <ext uri="{3e2802c4-a4d2-4d8b-9148-e3be6c30e623}">
          <xlrd:rvb i="2385"/>
        </ext>
      </extLst>
    </bk>
    <bk>
      <extLst>
        <ext uri="{3e2802c4-a4d2-4d8b-9148-e3be6c30e623}">
          <xlrd:rvb i="2386"/>
        </ext>
      </extLst>
    </bk>
    <bk>
      <extLst>
        <ext uri="{3e2802c4-a4d2-4d8b-9148-e3be6c30e623}">
          <xlrd:rvb i="2387"/>
        </ext>
      </extLst>
    </bk>
    <bk>
      <extLst>
        <ext uri="{3e2802c4-a4d2-4d8b-9148-e3be6c30e623}">
          <xlrd:rvb i="2388"/>
        </ext>
      </extLst>
    </bk>
    <bk>
      <extLst>
        <ext uri="{3e2802c4-a4d2-4d8b-9148-e3be6c30e623}">
          <xlrd:rvb i="2389"/>
        </ext>
      </extLst>
    </bk>
    <bk>
      <extLst>
        <ext uri="{3e2802c4-a4d2-4d8b-9148-e3be6c30e623}">
          <xlrd:rvb i="2390"/>
        </ext>
      </extLst>
    </bk>
    <bk>
      <extLst>
        <ext uri="{3e2802c4-a4d2-4d8b-9148-e3be6c30e623}">
          <xlrd:rvb i="2391"/>
        </ext>
      </extLst>
    </bk>
    <bk>
      <extLst>
        <ext uri="{3e2802c4-a4d2-4d8b-9148-e3be6c30e623}">
          <xlrd:rvb i="2392"/>
        </ext>
      </extLst>
    </bk>
    <bk>
      <extLst>
        <ext uri="{3e2802c4-a4d2-4d8b-9148-e3be6c30e623}">
          <xlrd:rvb i="2393"/>
        </ext>
      </extLst>
    </bk>
    <bk>
      <extLst>
        <ext uri="{3e2802c4-a4d2-4d8b-9148-e3be6c30e623}">
          <xlrd:rvb i="2394"/>
        </ext>
      </extLst>
    </bk>
    <bk>
      <extLst>
        <ext uri="{3e2802c4-a4d2-4d8b-9148-e3be6c30e623}">
          <xlrd:rvb i="2395"/>
        </ext>
      </extLst>
    </bk>
    <bk>
      <extLst>
        <ext uri="{3e2802c4-a4d2-4d8b-9148-e3be6c30e623}">
          <xlrd:rvb i="2396"/>
        </ext>
      </extLst>
    </bk>
    <bk>
      <extLst>
        <ext uri="{3e2802c4-a4d2-4d8b-9148-e3be6c30e623}">
          <xlrd:rvb i="2397"/>
        </ext>
      </extLst>
    </bk>
    <bk>
      <extLst>
        <ext uri="{3e2802c4-a4d2-4d8b-9148-e3be6c30e623}">
          <xlrd:rvb i="2398"/>
        </ext>
      </extLst>
    </bk>
    <bk>
      <extLst>
        <ext uri="{3e2802c4-a4d2-4d8b-9148-e3be6c30e623}">
          <xlrd:rvb i="2399"/>
        </ext>
      </extLst>
    </bk>
    <bk>
      <extLst>
        <ext uri="{3e2802c4-a4d2-4d8b-9148-e3be6c30e623}">
          <xlrd:rvb i="2400"/>
        </ext>
      </extLst>
    </bk>
    <bk>
      <extLst>
        <ext uri="{3e2802c4-a4d2-4d8b-9148-e3be6c30e623}">
          <xlrd:rvb i="2401"/>
        </ext>
      </extLst>
    </bk>
    <bk>
      <extLst>
        <ext uri="{3e2802c4-a4d2-4d8b-9148-e3be6c30e623}">
          <xlrd:rvb i="2402"/>
        </ext>
      </extLst>
    </bk>
    <bk>
      <extLst>
        <ext uri="{3e2802c4-a4d2-4d8b-9148-e3be6c30e623}">
          <xlrd:rvb i="2403"/>
        </ext>
      </extLst>
    </bk>
    <bk>
      <extLst>
        <ext uri="{3e2802c4-a4d2-4d8b-9148-e3be6c30e623}">
          <xlrd:rvb i="2404"/>
        </ext>
      </extLst>
    </bk>
    <bk>
      <extLst>
        <ext uri="{3e2802c4-a4d2-4d8b-9148-e3be6c30e623}">
          <xlrd:rvb i="2405"/>
        </ext>
      </extLst>
    </bk>
    <bk>
      <extLst>
        <ext uri="{3e2802c4-a4d2-4d8b-9148-e3be6c30e623}">
          <xlrd:rvb i="2406"/>
        </ext>
      </extLst>
    </bk>
    <bk>
      <extLst>
        <ext uri="{3e2802c4-a4d2-4d8b-9148-e3be6c30e623}">
          <xlrd:rvb i="2407"/>
        </ext>
      </extLst>
    </bk>
    <bk>
      <extLst>
        <ext uri="{3e2802c4-a4d2-4d8b-9148-e3be6c30e623}">
          <xlrd:rvb i="2408"/>
        </ext>
      </extLst>
    </bk>
    <bk>
      <extLst>
        <ext uri="{3e2802c4-a4d2-4d8b-9148-e3be6c30e623}">
          <xlrd:rvb i="2409"/>
        </ext>
      </extLst>
    </bk>
    <bk>
      <extLst>
        <ext uri="{3e2802c4-a4d2-4d8b-9148-e3be6c30e623}">
          <xlrd:rvb i="2410"/>
        </ext>
      </extLst>
    </bk>
    <bk>
      <extLst>
        <ext uri="{3e2802c4-a4d2-4d8b-9148-e3be6c30e623}">
          <xlrd:rvb i="2411"/>
        </ext>
      </extLst>
    </bk>
    <bk>
      <extLst>
        <ext uri="{3e2802c4-a4d2-4d8b-9148-e3be6c30e623}">
          <xlrd:rvb i="2412"/>
        </ext>
      </extLst>
    </bk>
    <bk>
      <extLst>
        <ext uri="{3e2802c4-a4d2-4d8b-9148-e3be6c30e623}">
          <xlrd:rvb i="2413"/>
        </ext>
      </extLst>
    </bk>
    <bk>
      <extLst>
        <ext uri="{3e2802c4-a4d2-4d8b-9148-e3be6c30e623}">
          <xlrd:rvb i="2414"/>
        </ext>
      </extLst>
    </bk>
    <bk>
      <extLst>
        <ext uri="{3e2802c4-a4d2-4d8b-9148-e3be6c30e623}">
          <xlrd:rvb i="2415"/>
        </ext>
      </extLst>
    </bk>
    <bk>
      <extLst>
        <ext uri="{3e2802c4-a4d2-4d8b-9148-e3be6c30e623}">
          <xlrd:rvb i="2416"/>
        </ext>
      </extLst>
    </bk>
    <bk>
      <extLst>
        <ext uri="{3e2802c4-a4d2-4d8b-9148-e3be6c30e623}">
          <xlrd:rvb i="2417"/>
        </ext>
      </extLst>
    </bk>
    <bk>
      <extLst>
        <ext uri="{3e2802c4-a4d2-4d8b-9148-e3be6c30e623}">
          <xlrd:rvb i="2418"/>
        </ext>
      </extLst>
    </bk>
    <bk>
      <extLst>
        <ext uri="{3e2802c4-a4d2-4d8b-9148-e3be6c30e623}">
          <xlrd:rvb i="2419"/>
        </ext>
      </extLst>
    </bk>
    <bk>
      <extLst>
        <ext uri="{3e2802c4-a4d2-4d8b-9148-e3be6c30e623}">
          <xlrd:rvb i="2420"/>
        </ext>
      </extLst>
    </bk>
    <bk>
      <extLst>
        <ext uri="{3e2802c4-a4d2-4d8b-9148-e3be6c30e623}">
          <xlrd:rvb i="2421"/>
        </ext>
      </extLst>
    </bk>
    <bk>
      <extLst>
        <ext uri="{3e2802c4-a4d2-4d8b-9148-e3be6c30e623}">
          <xlrd:rvb i="2422"/>
        </ext>
      </extLst>
    </bk>
    <bk>
      <extLst>
        <ext uri="{3e2802c4-a4d2-4d8b-9148-e3be6c30e623}">
          <xlrd:rvb i="2423"/>
        </ext>
      </extLst>
    </bk>
    <bk>
      <extLst>
        <ext uri="{3e2802c4-a4d2-4d8b-9148-e3be6c30e623}">
          <xlrd:rvb i="2424"/>
        </ext>
      </extLst>
    </bk>
    <bk>
      <extLst>
        <ext uri="{3e2802c4-a4d2-4d8b-9148-e3be6c30e623}">
          <xlrd:rvb i="2425"/>
        </ext>
      </extLst>
    </bk>
    <bk>
      <extLst>
        <ext uri="{3e2802c4-a4d2-4d8b-9148-e3be6c30e623}">
          <xlrd:rvb i="2426"/>
        </ext>
      </extLst>
    </bk>
    <bk>
      <extLst>
        <ext uri="{3e2802c4-a4d2-4d8b-9148-e3be6c30e623}">
          <xlrd:rvb i="2427"/>
        </ext>
      </extLst>
    </bk>
    <bk>
      <extLst>
        <ext uri="{3e2802c4-a4d2-4d8b-9148-e3be6c30e623}">
          <xlrd:rvb i="2428"/>
        </ext>
      </extLst>
    </bk>
    <bk>
      <extLst>
        <ext uri="{3e2802c4-a4d2-4d8b-9148-e3be6c30e623}">
          <xlrd:rvb i="2429"/>
        </ext>
      </extLst>
    </bk>
    <bk>
      <extLst>
        <ext uri="{3e2802c4-a4d2-4d8b-9148-e3be6c30e623}">
          <xlrd:rvb i="2430"/>
        </ext>
      </extLst>
    </bk>
    <bk>
      <extLst>
        <ext uri="{3e2802c4-a4d2-4d8b-9148-e3be6c30e623}">
          <xlrd:rvb i="2431"/>
        </ext>
      </extLst>
    </bk>
    <bk>
      <extLst>
        <ext uri="{3e2802c4-a4d2-4d8b-9148-e3be6c30e623}">
          <xlrd:rvb i="2432"/>
        </ext>
      </extLst>
    </bk>
    <bk>
      <extLst>
        <ext uri="{3e2802c4-a4d2-4d8b-9148-e3be6c30e623}">
          <xlrd:rvb i="2433"/>
        </ext>
      </extLst>
    </bk>
    <bk>
      <extLst>
        <ext uri="{3e2802c4-a4d2-4d8b-9148-e3be6c30e623}">
          <xlrd:rvb i="2434"/>
        </ext>
      </extLst>
    </bk>
    <bk>
      <extLst>
        <ext uri="{3e2802c4-a4d2-4d8b-9148-e3be6c30e623}">
          <xlrd:rvb i="2435"/>
        </ext>
      </extLst>
    </bk>
    <bk>
      <extLst>
        <ext uri="{3e2802c4-a4d2-4d8b-9148-e3be6c30e623}">
          <xlrd:rvb i="2436"/>
        </ext>
      </extLst>
    </bk>
    <bk>
      <extLst>
        <ext uri="{3e2802c4-a4d2-4d8b-9148-e3be6c30e623}">
          <xlrd:rvb i="2437"/>
        </ext>
      </extLst>
    </bk>
    <bk>
      <extLst>
        <ext uri="{3e2802c4-a4d2-4d8b-9148-e3be6c30e623}">
          <xlrd:rvb i="2438"/>
        </ext>
      </extLst>
    </bk>
    <bk>
      <extLst>
        <ext uri="{3e2802c4-a4d2-4d8b-9148-e3be6c30e623}">
          <xlrd:rvb i="2439"/>
        </ext>
      </extLst>
    </bk>
    <bk>
      <extLst>
        <ext uri="{3e2802c4-a4d2-4d8b-9148-e3be6c30e623}">
          <xlrd:rvb i="2440"/>
        </ext>
      </extLst>
    </bk>
    <bk>
      <extLst>
        <ext uri="{3e2802c4-a4d2-4d8b-9148-e3be6c30e623}">
          <xlrd:rvb i="2441"/>
        </ext>
      </extLst>
    </bk>
    <bk>
      <extLst>
        <ext uri="{3e2802c4-a4d2-4d8b-9148-e3be6c30e623}">
          <xlrd:rvb i="2442"/>
        </ext>
      </extLst>
    </bk>
    <bk>
      <extLst>
        <ext uri="{3e2802c4-a4d2-4d8b-9148-e3be6c30e623}">
          <xlrd:rvb i="2443"/>
        </ext>
      </extLst>
    </bk>
    <bk>
      <extLst>
        <ext uri="{3e2802c4-a4d2-4d8b-9148-e3be6c30e623}">
          <xlrd:rvb i="2444"/>
        </ext>
      </extLst>
    </bk>
    <bk>
      <extLst>
        <ext uri="{3e2802c4-a4d2-4d8b-9148-e3be6c30e623}">
          <xlrd:rvb i="2445"/>
        </ext>
      </extLst>
    </bk>
    <bk>
      <extLst>
        <ext uri="{3e2802c4-a4d2-4d8b-9148-e3be6c30e623}">
          <xlrd:rvb i="2446"/>
        </ext>
      </extLst>
    </bk>
    <bk>
      <extLst>
        <ext uri="{3e2802c4-a4d2-4d8b-9148-e3be6c30e623}">
          <xlrd:rvb i="2447"/>
        </ext>
      </extLst>
    </bk>
    <bk>
      <extLst>
        <ext uri="{3e2802c4-a4d2-4d8b-9148-e3be6c30e623}">
          <xlrd:rvb i="2448"/>
        </ext>
      </extLst>
    </bk>
    <bk>
      <extLst>
        <ext uri="{3e2802c4-a4d2-4d8b-9148-e3be6c30e623}">
          <xlrd:rvb i="2449"/>
        </ext>
      </extLst>
    </bk>
    <bk>
      <extLst>
        <ext uri="{3e2802c4-a4d2-4d8b-9148-e3be6c30e623}">
          <xlrd:rvb i="2450"/>
        </ext>
      </extLst>
    </bk>
    <bk>
      <extLst>
        <ext uri="{3e2802c4-a4d2-4d8b-9148-e3be6c30e623}">
          <xlrd:rvb i="2451"/>
        </ext>
      </extLst>
    </bk>
    <bk>
      <extLst>
        <ext uri="{3e2802c4-a4d2-4d8b-9148-e3be6c30e623}">
          <xlrd:rvb i="2452"/>
        </ext>
      </extLst>
    </bk>
    <bk>
      <extLst>
        <ext uri="{3e2802c4-a4d2-4d8b-9148-e3be6c30e623}">
          <xlrd:rvb i="2453"/>
        </ext>
      </extLst>
    </bk>
    <bk>
      <extLst>
        <ext uri="{3e2802c4-a4d2-4d8b-9148-e3be6c30e623}">
          <xlrd:rvb i="2454"/>
        </ext>
      </extLst>
    </bk>
    <bk>
      <extLst>
        <ext uri="{3e2802c4-a4d2-4d8b-9148-e3be6c30e623}">
          <xlrd:rvb i="2455"/>
        </ext>
      </extLst>
    </bk>
    <bk>
      <extLst>
        <ext uri="{3e2802c4-a4d2-4d8b-9148-e3be6c30e623}">
          <xlrd:rvb i="2456"/>
        </ext>
      </extLst>
    </bk>
    <bk>
      <extLst>
        <ext uri="{3e2802c4-a4d2-4d8b-9148-e3be6c30e623}">
          <xlrd:rvb i="2457"/>
        </ext>
      </extLst>
    </bk>
    <bk>
      <extLst>
        <ext uri="{3e2802c4-a4d2-4d8b-9148-e3be6c30e623}">
          <xlrd:rvb i="2458"/>
        </ext>
      </extLst>
    </bk>
    <bk>
      <extLst>
        <ext uri="{3e2802c4-a4d2-4d8b-9148-e3be6c30e623}">
          <xlrd:rvb i="2459"/>
        </ext>
      </extLst>
    </bk>
    <bk>
      <extLst>
        <ext uri="{3e2802c4-a4d2-4d8b-9148-e3be6c30e623}">
          <xlrd:rvb i="2460"/>
        </ext>
      </extLst>
    </bk>
    <bk>
      <extLst>
        <ext uri="{3e2802c4-a4d2-4d8b-9148-e3be6c30e623}">
          <xlrd:rvb i="2461"/>
        </ext>
      </extLst>
    </bk>
    <bk>
      <extLst>
        <ext uri="{3e2802c4-a4d2-4d8b-9148-e3be6c30e623}">
          <xlrd:rvb i="2462"/>
        </ext>
      </extLst>
    </bk>
    <bk>
      <extLst>
        <ext uri="{3e2802c4-a4d2-4d8b-9148-e3be6c30e623}">
          <xlrd:rvb i="2463"/>
        </ext>
      </extLst>
    </bk>
    <bk>
      <extLst>
        <ext uri="{3e2802c4-a4d2-4d8b-9148-e3be6c30e623}">
          <xlrd:rvb i="2464"/>
        </ext>
      </extLst>
    </bk>
    <bk>
      <extLst>
        <ext uri="{3e2802c4-a4d2-4d8b-9148-e3be6c30e623}">
          <xlrd:rvb i="2465"/>
        </ext>
      </extLst>
    </bk>
    <bk>
      <extLst>
        <ext uri="{3e2802c4-a4d2-4d8b-9148-e3be6c30e623}">
          <xlrd:rvb i="2466"/>
        </ext>
      </extLst>
    </bk>
    <bk>
      <extLst>
        <ext uri="{3e2802c4-a4d2-4d8b-9148-e3be6c30e623}">
          <xlrd:rvb i="2467"/>
        </ext>
      </extLst>
    </bk>
    <bk>
      <extLst>
        <ext uri="{3e2802c4-a4d2-4d8b-9148-e3be6c30e623}">
          <xlrd:rvb i="2468"/>
        </ext>
      </extLst>
    </bk>
    <bk>
      <extLst>
        <ext uri="{3e2802c4-a4d2-4d8b-9148-e3be6c30e623}">
          <xlrd:rvb i="2469"/>
        </ext>
      </extLst>
    </bk>
    <bk>
      <extLst>
        <ext uri="{3e2802c4-a4d2-4d8b-9148-e3be6c30e623}">
          <xlrd:rvb i="2470"/>
        </ext>
      </extLst>
    </bk>
    <bk>
      <extLst>
        <ext uri="{3e2802c4-a4d2-4d8b-9148-e3be6c30e623}">
          <xlrd:rvb i="2471"/>
        </ext>
      </extLst>
    </bk>
    <bk>
      <extLst>
        <ext uri="{3e2802c4-a4d2-4d8b-9148-e3be6c30e623}">
          <xlrd:rvb i="2472"/>
        </ext>
      </extLst>
    </bk>
    <bk>
      <extLst>
        <ext uri="{3e2802c4-a4d2-4d8b-9148-e3be6c30e623}">
          <xlrd:rvb i="2473"/>
        </ext>
      </extLst>
    </bk>
    <bk>
      <extLst>
        <ext uri="{3e2802c4-a4d2-4d8b-9148-e3be6c30e623}">
          <xlrd:rvb i="2474"/>
        </ext>
      </extLst>
    </bk>
    <bk>
      <extLst>
        <ext uri="{3e2802c4-a4d2-4d8b-9148-e3be6c30e623}">
          <xlrd:rvb i="2475"/>
        </ext>
      </extLst>
    </bk>
    <bk>
      <extLst>
        <ext uri="{3e2802c4-a4d2-4d8b-9148-e3be6c30e623}">
          <xlrd:rvb i="2476"/>
        </ext>
      </extLst>
    </bk>
    <bk>
      <extLst>
        <ext uri="{3e2802c4-a4d2-4d8b-9148-e3be6c30e623}">
          <xlrd:rvb i="2477"/>
        </ext>
      </extLst>
    </bk>
    <bk>
      <extLst>
        <ext uri="{3e2802c4-a4d2-4d8b-9148-e3be6c30e623}">
          <xlrd:rvb i="2478"/>
        </ext>
      </extLst>
    </bk>
    <bk>
      <extLst>
        <ext uri="{3e2802c4-a4d2-4d8b-9148-e3be6c30e623}">
          <xlrd:rvb i="2479"/>
        </ext>
      </extLst>
    </bk>
    <bk>
      <extLst>
        <ext uri="{3e2802c4-a4d2-4d8b-9148-e3be6c30e623}">
          <xlrd:rvb i="2480"/>
        </ext>
      </extLst>
    </bk>
    <bk>
      <extLst>
        <ext uri="{3e2802c4-a4d2-4d8b-9148-e3be6c30e623}">
          <xlrd:rvb i="2481"/>
        </ext>
      </extLst>
    </bk>
    <bk>
      <extLst>
        <ext uri="{3e2802c4-a4d2-4d8b-9148-e3be6c30e623}">
          <xlrd:rvb i="2482"/>
        </ext>
      </extLst>
    </bk>
    <bk>
      <extLst>
        <ext uri="{3e2802c4-a4d2-4d8b-9148-e3be6c30e623}">
          <xlrd:rvb i="2483"/>
        </ext>
      </extLst>
    </bk>
    <bk>
      <extLst>
        <ext uri="{3e2802c4-a4d2-4d8b-9148-e3be6c30e623}">
          <xlrd:rvb i="2484"/>
        </ext>
      </extLst>
    </bk>
    <bk>
      <extLst>
        <ext uri="{3e2802c4-a4d2-4d8b-9148-e3be6c30e623}">
          <xlrd:rvb i="2485"/>
        </ext>
      </extLst>
    </bk>
    <bk>
      <extLst>
        <ext uri="{3e2802c4-a4d2-4d8b-9148-e3be6c30e623}">
          <xlrd:rvb i="2486"/>
        </ext>
      </extLst>
    </bk>
    <bk>
      <extLst>
        <ext uri="{3e2802c4-a4d2-4d8b-9148-e3be6c30e623}">
          <xlrd:rvb i="2487"/>
        </ext>
      </extLst>
    </bk>
    <bk>
      <extLst>
        <ext uri="{3e2802c4-a4d2-4d8b-9148-e3be6c30e623}">
          <xlrd:rvb i="2488"/>
        </ext>
      </extLst>
    </bk>
    <bk>
      <extLst>
        <ext uri="{3e2802c4-a4d2-4d8b-9148-e3be6c30e623}">
          <xlrd:rvb i="2489"/>
        </ext>
      </extLst>
    </bk>
    <bk>
      <extLst>
        <ext uri="{3e2802c4-a4d2-4d8b-9148-e3be6c30e623}">
          <xlrd:rvb i="2490"/>
        </ext>
      </extLst>
    </bk>
    <bk>
      <extLst>
        <ext uri="{3e2802c4-a4d2-4d8b-9148-e3be6c30e623}">
          <xlrd:rvb i="2491"/>
        </ext>
      </extLst>
    </bk>
    <bk>
      <extLst>
        <ext uri="{3e2802c4-a4d2-4d8b-9148-e3be6c30e623}">
          <xlrd:rvb i="2492"/>
        </ext>
      </extLst>
    </bk>
    <bk>
      <extLst>
        <ext uri="{3e2802c4-a4d2-4d8b-9148-e3be6c30e623}">
          <xlrd:rvb i="2493"/>
        </ext>
      </extLst>
    </bk>
    <bk>
      <extLst>
        <ext uri="{3e2802c4-a4d2-4d8b-9148-e3be6c30e623}">
          <xlrd:rvb i="2494"/>
        </ext>
      </extLst>
    </bk>
    <bk>
      <extLst>
        <ext uri="{3e2802c4-a4d2-4d8b-9148-e3be6c30e623}">
          <xlrd:rvb i="2495"/>
        </ext>
      </extLst>
    </bk>
    <bk>
      <extLst>
        <ext uri="{3e2802c4-a4d2-4d8b-9148-e3be6c30e623}">
          <xlrd:rvb i="2496"/>
        </ext>
      </extLst>
    </bk>
    <bk>
      <extLst>
        <ext uri="{3e2802c4-a4d2-4d8b-9148-e3be6c30e623}">
          <xlrd:rvb i="2497"/>
        </ext>
      </extLst>
    </bk>
    <bk>
      <extLst>
        <ext uri="{3e2802c4-a4d2-4d8b-9148-e3be6c30e623}">
          <xlrd:rvb i="2498"/>
        </ext>
      </extLst>
    </bk>
    <bk>
      <extLst>
        <ext uri="{3e2802c4-a4d2-4d8b-9148-e3be6c30e623}">
          <xlrd:rvb i="2499"/>
        </ext>
      </extLst>
    </bk>
    <bk>
      <extLst>
        <ext uri="{3e2802c4-a4d2-4d8b-9148-e3be6c30e623}">
          <xlrd:rvb i="2500"/>
        </ext>
      </extLst>
    </bk>
    <bk>
      <extLst>
        <ext uri="{3e2802c4-a4d2-4d8b-9148-e3be6c30e623}">
          <xlrd:rvb i="2501"/>
        </ext>
      </extLst>
    </bk>
    <bk>
      <extLst>
        <ext uri="{3e2802c4-a4d2-4d8b-9148-e3be6c30e623}">
          <xlrd:rvb i="2502"/>
        </ext>
      </extLst>
    </bk>
    <bk>
      <extLst>
        <ext uri="{3e2802c4-a4d2-4d8b-9148-e3be6c30e623}">
          <xlrd:rvb i="2503"/>
        </ext>
      </extLst>
    </bk>
    <bk>
      <extLst>
        <ext uri="{3e2802c4-a4d2-4d8b-9148-e3be6c30e623}">
          <xlrd:rvb i="2504"/>
        </ext>
      </extLst>
    </bk>
    <bk>
      <extLst>
        <ext uri="{3e2802c4-a4d2-4d8b-9148-e3be6c30e623}">
          <xlrd:rvb i="2505"/>
        </ext>
      </extLst>
    </bk>
    <bk>
      <extLst>
        <ext uri="{3e2802c4-a4d2-4d8b-9148-e3be6c30e623}">
          <xlrd:rvb i="2506"/>
        </ext>
      </extLst>
    </bk>
    <bk>
      <extLst>
        <ext uri="{3e2802c4-a4d2-4d8b-9148-e3be6c30e623}">
          <xlrd:rvb i="2507"/>
        </ext>
      </extLst>
    </bk>
    <bk>
      <extLst>
        <ext uri="{3e2802c4-a4d2-4d8b-9148-e3be6c30e623}">
          <xlrd:rvb i="2508"/>
        </ext>
      </extLst>
    </bk>
    <bk>
      <extLst>
        <ext uri="{3e2802c4-a4d2-4d8b-9148-e3be6c30e623}">
          <xlrd:rvb i="2509"/>
        </ext>
      </extLst>
    </bk>
    <bk>
      <extLst>
        <ext uri="{3e2802c4-a4d2-4d8b-9148-e3be6c30e623}">
          <xlrd:rvb i="2510"/>
        </ext>
      </extLst>
    </bk>
    <bk>
      <extLst>
        <ext uri="{3e2802c4-a4d2-4d8b-9148-e3be6c30e623}">
          <xlrd:rvb i="2511"/>
        </ext>
      </extLst>
    </bk>
    <bk>
      <extLst>
        <ext uri="{3e2802c4-a4d2-4d8b-9148-e3be6c30e623}">
          <xlrd:rvb i="2512"/>
        </ext>
      </extLst>
    </bk>
    <bk>
      <extLst>
        <ext uri="{3e2802c4-a4d2-4d8b-9148-e3be6c30e623}">
          <xlrd:rvb i="2513"/>
        </ext>
      </extLst>
    </bk>
    <bk>
      <extLst>
        <ext uri="{3e2802c4-a4d2-4d8b-9148-e3be6c30e623}">
          <xlrd:rvb i="2514"/>
        </ext>
      </extLst>
    </bk>
    <bk>
      <extLst>
        <ext uri="{3e2802c4-a4d2-4d8b-9148-e3be6c30e623}">
          <xlrd:rvb i="2515"/>
        </ext>
      </extLst>
    </bk>
    <bk>
      <extLst>
        <ext uri="{3e2802c4-a4d2-4d8b-9148-e3be6c30e623}">
          <xlrd:rvb i="2516"/>
        </ext>
      </extLst>
    </bk>
    <bk>
      <extLst>
        <ext uri="{3e2802c4-a4d2-4d8b-9148-e3be6c30e623}">
          <xlrd:rvb i="2517"/>
        </ext>
      </extLst>
    </bk>
    <bk>
      <extLst>
        <ext uri="{3e2802c4-a4d2-4d8b-9148-e3be6c30e623}">
          <xlrd:rvb i="2518"/>
        </ext>
      </extLst>
    </bk>
    <bk>
      <extLst>
        <ext uri="{3e2802c4-a4d2-4d8b-9148-e3be6c30e623}">
          <xlrd:rvb i="2519"/>
        </ext>
      </extLst>
    </bk>
    <bk>
      <extLst>
        <ext uri="{3e2802c4-a4d2-4d8b-9148-e3be6c30e623}">
          <xlrd:rvb i="2520"/>
        </ext>
      </extLst>
    </bk>
    <bk>
      <extLst>
        <ext uri="{3e2802c4-a4d2-4d8b-9148-e3be6c30e623}">
          <xlrd:rvb i="2521"/>
        </ext>
      </extLst>
    </bk>
    <bk>
      <extLst>
        <ext uri="{3e2802c4-a4d2-4d8b-9148-e3be6c30e623}">
          <xlrd:rvb i="2522"/>
        </ext>
      </extLst>
    </bk>
    <bk>
      <extLst>
        <ext uri="{3e2802c4-a4d2-4d8b-9148-e3be6c30e623}">
          <xlrd:rvb i="2523"/>
        </ext>
      </extLst>
    </bk>
    <bk>
      <extLst>
        <ext uri="{3e2802c4-a4d2-4d8b-9148-e3be6c30e623}">
          <xlrd:rvb i="2524"/>
        </ext>
      </extLst>
    </bk>
    <bk>
      <extLst>
        <ext uri="{3e2802c4-a4d2-4d8b-9148-e3be6c30e623}">
          <xlrd:rvb i="2525"/>
        </ext>
      </extLst>
    </bk>
    <bk>
      <extLst>
        <ext uri="{3e2802c4-a4d2-4d8b-9148-e3be6c30e623}">
          <xlrd:rvb i="2526"/>
        </ext>
      </extLst>
    </bk>
    <bk>
      <extLst>
        <ext uri="{3e2802c4-a4d2-4d8b-9148-e3be6c30e623}">
          <xlrd:rvb i="2527"/>
        </ext>
      </extLst>
    </bk>
    <bk>
      <extLst>
        <ext uri="{3e2802c4-a4d2-4d8b-9148-e3be6c30e623}">
          <xlrd:rvb i="2528"/>
        </ext>
      </extLst>
    </bk>
    <bk>
      <extLst>
        <ext uri="{3e2802c4-a4d2-4d8b-9148-e3be6c30e623}">
          <xlrd:rvb i="2529"/>
        </ext>
      </extLst>
    </bk>
    <bk>
      <extLst>
        <ext uri="{3e2802c4-a4d2-4d8b-9148-e3be6c30e623}">
          <xlrd:rvb i="2530"/>
        </ext>
      </extLst>
    </bk>
    <bk>
      <extLst>
        <ext uri="{3e2802c4-a4d2-4d8b-9148-e3be6c30e623}">
          <xlrd:rvb i="2531"/>
        </ext>
      </extLst>
    </bk>
    <bk>
      <extLst>
        <ext uri="{3e2802c4-a4d2-4d8b-9148-e3be6c30e623}">
          <xlrd:rvb i="2532"/>
        </ext>
      </extLst>
    </bk>
    <bk>
      <extLst>
        <ext uri="{3e2802c4-a4d2-4d8b-9148-e3be6c30e623}">
          <xlrd:rvb i="2533"/>
        </ext>
      </extLst>
    </bk>
    <bk>
      <extLst>
        <ext uri="{3e2802c4-a4d2-4d8b-9148-e3be6c30e623}">
          <xlrd:rvb i="2534"/>
        </ext>
      </extLst>
    </bk>
    <bk>
      <extLst>
        <ext uri="{3e2802c4-a4d2-4d8b-9148-e3be6c30e623}">
          <xlrd:rvb i="2535"/>
        </ext>
      </extLst>
    </bk>
    <bk>
      <extLst>
        <ext uri="{3e2802c4-a4d2-4d8b-9148-e3be6c30e623}">
          <xlrd:rvb i="2536"/>
        </ext>
      </extLst>
    </bk>
    <bk>
      <extLst>
        <ext uri="{3e2802c4-a4d2-4d8b-9148-e3be6c30e623}">
          <xlrd:rvb i="2537"/>
        </ext>
      </extLst>
    </bk>
    <bk>
      <extLst>
        <ext uri="{3e2802c4-a4d2-4d8b-9148-e3be6c30e623}">
          <xlrd:rvb i="2538"/>
        </ext>
      </extLst>
    </bk>
    <bk>
      <extLst>
        <ext uri="{3e2802c4-a4d2-4d8b-9148-e3be6c30e623}">
          <xlrd:rvb i="2539"/>
        </ext>
      </extLst>
    </bk>
    <bk>
      <extLst>
        <ext uri="{3e2802c4-a4d2-4d8b-9148-e3be6c30e623}">
          <xlrd:rvb i="2540"/>
        </ext>
      </extLst>
    </bk>
    <bk>
      <extLst>
        <ext uri="{3e2802c4-a4d2-4d8b-9148-e3be6c30e623}">
          <xlrd:rvb i="2541"/>
        </ext>
      </extLst>
    </bk>
    <bk>
      <extLst>
        <ext uri="{3e2802c4-a4d2-4d8b-9148-e3be6c30e623}">
          <xlrd:rvb i="2542"/>
        </ext>
      </extLst>
    </bk>
    <bk>
      <extLst>
        <ext uri="{3e2802c4-a4d2-4d8b-9148-e3be6c30e623}">
          <xlrd:rvb i="2543"/>
        </ext>
      </extLst>
    </bk>
    <bk>
      <extLst>
        <ext uri="{3e2802c4-a4d2-4d8b-9148-e3be6c30e623}">
          <xlrd:rvb i="2544"/>
        </ext>
      </extLst>
    </bk>
    <bk>
      <extLst>
        <ext uri="{3e2802c4-a4d2-4d8b-9148-e3be6c30e623}">
          <xlrd:rvb i="2545"/>
        </ext>
      </extLst>
    </bk>
    <bk>
      <extLst>
        <ext uri="{3e2802c4-a4d2-4d8b-9148-e3be6c30e623}">
          <xlrd:rvb i="2546"/>
        </ext>
      </extLst>
    </bk>
    <bk>
      <extLst>
        <ext uri="{3e2802c4-a4d2-4d8b-9148-e3be6c30e623}">
          <xlrd:rvb i="2547"/>
        </ext>
      </extLst>
    </bk>
    <bk>
      <extLst>
        <ext uri="{3e2802c4-a4d2-4d8b-9148-e3be6c30e623}">
          <xlrd:rvb i="2548"/>
        </ext>
      </extLst>
    </bk>
    <bk>
      <extLst>
        <ext uri="{3e2802c4-a4d2-4d8b-9148-e3be6c30e623}">
          <xlrd:rvb i="2549"/>
        </ext>
      </extLst>
    </bk>
    <bk>
      <extLst>
        <ext uri="{3e2802c4-a4d2-4d8b-9148-e3be6c30e623}">
          <xlrd:rvb i="2550"/>
        </ext>
      </extLst>
    </bk>
    <bk>
      <extLst>
        <ext uri="{3e2802c4-a4d2-4d8b-9148-e3be6c30e623}">
          <xlrd:rvb i="2551"/>
        </ext>
      </extLst>
    </bk>
    <bk>
      <extLst>
        <ext uri="{3e2802c4-a4d2-4d8b-9148-e3be6c30e623}">
          <xlrd:rvb i="2552"/>
        </ext>
      </extLst>
    </bk>
    <bk>
      <extLst>
        <ext uri="{3e2802c4-a4d2-4d8b-9148-e3be6c30e623}">
          <xlrd:rvb i="2553"/>
        </ext>
      </extLst>
    </bk>
    <bk>
      <extLst>
        <ext uri="{3e2802c4-a4d2-4d8b-9148-e3be6c30e623}">
          <xlrd:rvb i="2554"/>
        </ext>
      </extLst>
    </bk>
    <bk>
      <extLst>
        <ext uri="{3e2802c4-a4d2-4d8b-9148-e3be6c30e623}">
          <xlrd:rvb i="2555"/>
        </ext>
      </extLst>
    </bk>
    <bk>
      <extLst>
        <ext uri="{3e2802c4-a4d2-4d8b-9148-e3be6c30e623}">
          <xlrd:rvb i="2556"/>
        </ext>
      </extLst>
    </bk>
    <bk>
      <extLst>
        <ext uri="{3e2802c4-a4d2-4d8b-9148-e3be6c30e623}">
          <xlrd:rvb i="2557"/>
        </ext>
      </extLst>
    </bk>
    <bk>
      <extLst>
        <ext uri="{3e2802c4-a4d2-4d8b-9148-e3be6c30e623}">
          <xlrd:rvb i="2558"/>
        </ext>
      </extLst>
    </bk>
    <bk>
      <extLst>
        <ext uri="{3e2802c4-a4d2-4d8b-9148-e3be6c30e623}">
          <xlrd:rvb i="2559"/>
        </ext>
      </extLst>
    </bk>
    <bk>
      <extLst>
        <ext uri="{3e2802c4-a4d2-4d8b-9148-e3be6c30e623}">
          <xlrd:rvb i="2560"/>
        </ext>
      </extLst>
    </bk>
    <bk>
      <extLst>
        <ext uri="{3e2802c4-a4d2-4d8b-9148-e3be6c30e623}">
          <xlrd:rvb i="2561"/>
        </ext>
      </extLst>
    </bk>
    <bk>
      <extLst>
        <ext uri="{3e2802c4-a4d2-4d8b-9148-e3be6c30e623}">
          <xlrd:rvb i="2562"/>
        </ext>
      </extLst>
    </bk>
    <bk>
      <extLst>
        <ext uri="{3e2802c4-a4d2-4d8b-9148-e3be6c30e623}">
          <xlrd:rvb i="2563"/>
        </ext>
      </extLst>
    </bk>
    <bk>
      <extLst>
        <ext uri="{3e2802c4-a4d2-4d8b-9148-e3be6c30e623}">
          <xlrd:rvb i="2564"/>
        </ext>
      </extLst>
    </bk>
    <bk>
      <extLst>
        <ext uri="{3e2802c4-a4d2-4d8b-9148-e3be6c30e623}">
          <xlrd:rvb i="2565"/>
        </ext>
      </extLst>
    </bk>
    <bk>
      <extLst>
        <ext uri="{3e2802c4-a4d2-4d8b-9148-e3be6c30e623}">
          <xlrd:rvb i="2566"/>
        </ext>
      </extLst>
    </bk>
    <bk>
      <extLst>
        <ext uri="{3e2802c4-a4d2-4d8b-9148-e3be6c30e623}">
          <xlrd:rvb i="2567"/>
        </ext>
      </extLst>
    </bk>
    <bk>
      <extLst>
        <ext uri="{3e2802c4-a4d2-4d8b-9148-e3be6c30e623}">
          <xlrd:rvb i="2568"/>
        </ext>
      </extLst>
    </bk>
    <bk>
      <extLst>
        <ext uri="{3e2802c4-a4d2-4d8b-9148-e3be6c30e623}">
          <xlrd:rvb i="2569"/>
        </ext>
      </extLst>
    </bk>
    <bk>
      <extLst>
        <ext uri="{3e2802c4-a4d2-4d8b-9148-e3be6c30e623}">
          <xlrd:rvb i="2570"/>
        </ext>
      </extLst>
    </bk>
    <bk>
      <extLst>
        <ext uri="{3e2802c4-a4d2-4d8b-9148-e3be6c30e623}">
          <xlrd:rvb i="2571"/>
        </ext>
      </extLst>
    </bk>
    <bk>
      <extLst>
        <ext uri="{3e2802c4-a4d2-4d8b-9148-e3be6c30e623}">
          <xlrd:rvb i="2572"/>
        </ext>
      </extLst>
    </bk>
    <bk>
      <extLst>
        <ext uri="{3e2802c4-a4d2-4d8b-9148-e3be6c30e623}">
          <xlrd:rvb i="2573"/>
        </ext>
      </extLst>
    </bk>
    <bk>
      <extLst>
        <ext uri="{3e2802c4-a4d2-4d8b-9148-e3be6c30e623}">
          <xlrd:rvb i="2574"/>
        </ext>
      </extLst>
    </bk>
    <bk>
      <extLst>
        <ext uri="{3e2802c4-a4d2-4d8b-9148-e3be6c30e623}">
          <xlrd:rvb i="2575"/>
        </ext>
      </extLst>
    </bk>
    <bk>
      <extLst>
        <ext uri="{3e2802c4-a4d2-4d8b-9148-e3be6c30e623}">
          <xlrd:rvb i="2576"/>
        </ext>
      </extLst>
    </bk>
    <bk>
      <extLst>
        <ext uri="{3e2802c4-a4d2-4d8b-9148-e3be6c30e623}">
          <xlrd:rvb i="2577"/>
        </ext>
      </extLst>
    </bk>
    <bk>
      <extLst>
        <ext uri="{3e2802c4-a4d2-4d8b-9148-e3be6c30e623}">
          <xlrd:rvb i="2578"/>
        </ext>
      </extLst>
    </bk>
    <bk>
      <extLst>
        <ext uri="{3e2802c4-a4d2-4d8b-9148-e3be6c30e623}">
          <xlrd:rvb i="2579"/>
        </ext>
      </extLst>
    </bk>
    <bk>
      <extLst>
        <ext uri="{3e2802c4-a4d2-4d8b-9148-e3be6c30e623}">
          <xlrd:rvb i="2580"/>
        </ext>
      </extLst>
    </bk>
    <bk>
      <extLst>
        <ext uri="{3e2802c4-a4d2-4d8b-9148-e3be6c30e623}">
          <xlrd:rvb i="2581"/>
        </ext>
      </extLst>
    </bk>
    <bk>
      <extLst>
        <ext uri="{3e2802c4-a4d2-4d8b-9148-e3be6c30e623}">
          <xlrd:rvb i="2582"/>
        </ext>
      </extLst>
    </bk>
    <bk>
      <extLst>
        <ext uri="{3e2802c4-a4d2-4d8b-9148-e3be6c30e623}">
          <xlrd:rvb i="2583"/>
        </ext>
      </extLst>
    </bk>
    <bk>
      <extLst>
        <ext uri="{3e2802c4-a4d2-4d8b-9148-e3be6c30e623}">
          <xlrd:rvb i="2584"/>
        </ext>
      </extLst>
    </bk>
    <bk>
      <extLst>
        <ext uri="{3e2802c4-a4d2-4d8b-9148-e3be6c30e623}">
          <xlrd:rvb i="2585"/>
        </ext>
      </extLst>
    </bk>
    <bk>
      <extLst>
        <ext uri="{3e2802c4-a4d2-4d8b-9148-e3be6c30e623}">
          <xlrd:rvb i="2586"/>
        </ext>
      </extLst>
    </bk>
    <bk>
      <extLst>
        <ext uri="{3e2802c4-a4d2-4d8b-9148-e3be6c30e623}">
          <xlrd:rvb i="2587"/>
        </ext>
      </extLst>
    </bk>
    <bk>
      <extLst>
        <ext uri="{3e2802c4-a4d2-4d8b-9148-e3be6c30e623}">
          <xlrd:rvb i="2588"/>
        </ext>
      </extLst>
    </bk>
    <bk>
      <extLst>
        <ext uri="{3e2802c4-a4d2-4d8b-9148-e3be6c30e623}">
          <xlrd:rvb i="2589"/>
        </ext>
      </extLst>
    </bk>
    <bk>
      <extLst>
        <ext uri="{3e2802c4-a4d2-4d8b-9148-e3be6c30e623}">
          <xlrd:rvb i="2590"/>
        </ext>
      </extLst>
    </bk>
    <bk>
      <extLst>
        <ext uri="{3e2802c4-a4d2-4d8b-9148-e3be6c30e623}">
          <xlrd:rvb i="2591"/>
        </ext>
      </extLst>
    </bk>
    <bk>
      <extLst>
        <ext uri="{3e2802c4-a4d2-4d8b-9148-e3be6c30e623}">
          <xlrd:rvb i="2592"/>
        </ext>
      </extLst>
    </bk>
    <bk>
      <extLst>
        <ext uri="{3e2802c4-a4d2-4d8b-9148-e3be6c30e623}">
          <xlrd:rvb i="2593"/>
        </ext>
      </extLst>
    </bk>
    <bk>
      <extLst>
        <ext uri="{3e2802c4-a4d2-4d8b-9148-e3be6c30e623}">
          <xlrd:rvb i="2594"/>
        </ext>
      </extLst>
    </bk>
    <bk>
      <extLst>
        <ext uri="{3e2802c4-a4d2-4d8b-9148-e3be6c30e623}">
          <xlrd:rvb i="2595"/>
        </ext>
      </extLst>
    </bk>
    <bk>
      <extLst>
        <ext uri="{3e2802c4-a4d2-4d8b-9148-e3be6c30e623}">
          <xlrd:rvb i="2596"/>
        </ext>
      </extLst>
    </bk>
    <bk>
      <extLst>
        <ext uri="{3e2802c4-a4d2-4d8b-9148-e3be6c30e623}">
          <xlrd:rvb i="2597"/>
        </ext>
      </extLst>
    </bk>
    <bk>
      <extLst>
        <ext uri="{3e2802c4-a4d2-4d8b-9148-e3be6c30e623}">
          <xlrd:rvb i="2598"/>
        </ext>
      </extLst>
    </bk>
    <bk>
      <extLst>
        <ext uri="{3e2802c4-a4d2-4d8b-9148-e3be6c30e623}">
          <xlrd:rvb i="2599"/>
        </ext>
      </extLst>
    </bk>
    <bk>
      <extLst>
        <ext uri="{3e2802c4-a4d2-4d8b-9148-e3be6c30e623}">
          <xlrd:rvb i="2600"/>
        </ext>
      </extLst>
    </bk>
    <bk>
      <extLst>
        <ext uri="{3e2802c4-a4d2-4d8b-9148-e3be6c30e623}">
          <xlrd:rvb i="2601"/>
        </ext>
      </extLst>
    </bk>
    <bk>
      <extLst>
        <ext uri="{3e2802c4-a4d2-4d8b-9148-e3be6c30e623}">
          <xlrd:rvb i="2602"/>
        </ext>
      </extLst>
    </bk>
    <bk>
      <extLst>
        <ext uri="{3e2802c4-a4d2-4d8b-9148-e3be6c30e623}">
          <xlrd:rvb i="2603"/>
        </ext>
      </extLst>
    </bk>
    <bk>
      <extLst>
        <ext uri="{3e2802c4-a4d2-4d8b-9148-e3be6c30e623}">
          <xlrd:rvb i="2604"/>
        </ext>
      </extLst>
    </bk>
    <bk>
      <extLst>
        <ext uri="{3e2802c4-a4d2-4d8b-9148-e3be6c30e623}">
          <xlrd:rvb i="2605"/>
        </ext>
      </extLst>
    </bk>
    <bk>
      <extLst>
        <ext uri="{3e2802c4-a4d2-4d8b-9148-e3be6c30e623}">
          <xlrd:rvb i="2606"/>
        </ext>
      </extLst>
    </bk>
    <bk>
      <extLst>
        <ext uri="{3e2802c4-a4d2-4d8b-9148-e3be6c30e623}">
          <xlrd:rvb i="2607"/>
        </ext>
      </extLst>
    </bk>
    <bk>
      <extLst>
        <ext uri="{3e2802c4-a4d2-4d8b-9148-e3be6c30e623}">
          <xlrd:rvb i="2608"/>
        </ext>
      </extLst>
    </bk>
    <bk>
      <extLst>
        <ext uri="{3e2802c4-a4d2-4d8b-9148-e3be6c30e623}">
          <xlrd:rvb i="2609"/>
        </ext>
      </extLst>
    </bk>
    <bk>
      <extLst>
        <ext uri="{3e2802c4-a4d2-4d8b-9148-e3be6c30e623}">
          <xlrd:rvb i="2610"/>
        </ext>
      </extLst>
    </bk>
    <bk>
      <extLst>
        <ext uri="{3e2802c4-a4d2-4d8b-9148-e3be6c30e623}">
          <xlrd:rvb i="2611"/>
        </ext>
      </extLst>
    </bk>
    <bk>
      <extLst>
        <ext uri="{3e2802c4-a4d2-4d8b-9148-e3be6c30e623}">
          <xlrd:rvb i="2612"/>
        </ext>
      </extLst>
    </bk>
    <bk>
      <extLst>
        <ext uri="{3e2802c4-a4d2-4d8b-9148-e3be6c30e623}">
          <xlrd:rvb i="2613"/>
        </ext>
      </extLst>
    </bk>
    <bk>
      <extLst>
        <ext uri="{3e2802c4-a4d2-4d8b-9148-e3be6c30e623}">
          <xlrd:rvb i="2614"/>
        </ext>
      </extLst>
    </bk>
    <bk>
      <extLst>
        <ext uri="{3e2802c4-a4d2-4d8b-9148-e3be6c30e623}">
          <xlrd:rvb i="2615"/>
        </ext>
      </extLst>
    </bk>
    <bk>
      <extLst>
        <ext uri="{3e2802c4-a4d2-4d8b-9148-e3be6c30e623}">
          <xlrd:rvb i="2616"/>
        </ext>
      </extLst>
    </bk>
    <bk>
      <extLst>
        <ext uri="{3e2802c4-a4d2-4d8b-9148-e3be6c30e623}">
          <xlrd:rvb i="2617"/>
        </ext>
      </extLst>
    </bk>
    <bk>
      <extLst>
        <ext uri="{3e2802c4-a4d2-4d8b-9148-e3be6c30e623}">
          <xlrd:rvb i="2618"/>
        </ext>
      </extLst>
    </bk>
    <bk>
      <extLst>
        <ext uri="{3e2802c4-a4d2-4d8b-9148-e3be6c30e623}">
          <xlrd:rvb i="2619"/>
        </ext>
      </extLst>
    </bk>
    <bk>
      <extLst>
        <ext uri="{3e2802c4-a4d2-4d8b-9148-e3be6c30e623}">
          <xlrd:rvb i="2620"/>
        </ext>
      </extLst>
    </bk>
    <bk>
      <extLst>
        <ext uri="{3e2802c4-a4d2-4d8b-9148-e3be6c30e623}">
          <xlrd:rvb i="2621"/>
        </ext>
      </extLst>
    </bk>
    <bk>
      <extLst>
        <ext uri="{3e2802c4-a4d2-4d8b-9148-e3be6c30e623}">
          <xlrd:rvb i="2622"/>
        </ext>
      </extLst>
    </bk>
    <bk>
      <extLst>
        <ext uri="{3e2802c4-a4d2-4d8b-9148-e3be6c30e623}">
          <xlrd:rvb i="2623"/>
        </ext>
      </extLst>
    </bk>
    <bk>
      <extLst>
        <ext uri="{3e2802c4-a4d2-4d8b-9148-e3be6c30e623}">
          <xlrd:rvb i="2624"/>
        </ext>
      </extLst>
    </bk>
    <bk>
      <extLst>
        <ext uri="{3e2802c4-a4d2-4d8b-9148-e3be6c30e623}">
          <xlrd:rvb i="2625"/>
        </ext>
      </extLst>
    </bk>
    <bk>
      <extLst>
        <ext uri="{3e2802c4-a4d2-4d8b-9148-e3be6c30e623}">
          <xlrd:rvb i="2626"/>
        </ext>
      </extLst>
    </bk>
    <bk>
      <extLst>
        <ext uri="{3e2802c4-a4d2-4d8b-9148-e3be6c30e623}">
          <xlrd:rvb i="2627"/>
        </ext>
      </extLst>
    </bk>
    <bk>
      <extLst>
        <ext uri="{3e2802c4-a4d2-4d8b-9148-e3be6c30e623}">
          <xlrd:rvb i="2628"/>
        </ext>
      </extLst>
    </bk>
    <bk>
      <extLst>
        <ext uri="{3e2802c4-a4d2-4d8b-9148-e3be6c30e623}">
          <xlrd:rvb i="2629"/>
        </ext>
      </extLst>
    </bk>
    <bk>
      <extLst>
        <ext uri="{3e2802c4-a4d2-4d8b-9148-e3be6c30e623}">
          <xlrd:rvb i="2630"/>
        </ext>
      </extLst>
    </bk>
    <bk>
      <extLst>
        <ext uri="{3e2802c4-a4d2-4d8b-9148-e3be6c30e623}">
          <xlrd:rvb i="2631"/>
        </ext>
      </extLst>
    </bk>
    <bk>
      <extLst>
        <ext uri="{3e2802c4-a4d2-4d8b-9148-e3be6c30e623}">
          <xlrd:rvb i="2632"/>
        </ext>
      </extLst>
    </bk>
    <bk>
      <extLst>
        <ext uri="{3e2802c4-a4d2-4d8b-9148-e3be6c30e623}">
          <xlrd:rvb i="2633"/>
        </ext>
      </extLst>
    </bk>
    <bk>
      <extLst>
        <ext uri="{3e2802c4-a4d2-4d8b-9148-e3be6c30e623}">
          <xlrd:rvb i="2634"/>
        </ext>
      </extLst>
    </bk>
    <bk>
      <extLst>
        <ext uri="{3e2802c4-a4d2-4d8b-9148-e3be6c30e623}">
          <xlrd:rvb i="2635"/>
        </ext>
      </extLst>
    </bk>
    <bk>
      <extLst>
        <ext uri="{3e2802c4-a4d2-4d8b-9148-e3be6c30e623}">
          <xlrd:rvb i="2636"/>
        </ext>
      </extLst>
    </bk>
    <bk>
      <extLst>
        <ext uri="{3e2802c4-a4d2-4d8b-9148-e3be6c30e623}">
          <xlrd:rvb i="2637"/>
        </ext>
      </extLst>
    </bk>
    <bk>
      <extLst>
        <ext uri="{3e2802c4-a4d2-4d8b-9148-e3be6c30e623}">
          <xlrd:rvb i="2638"/>
        </ext>
      </extLst>
    </bk>
    <bk>
      <extLst>
        <ext uri="{3e2802c4-a4d2-4d8b-9148-e3be6c30e623}">
          <xlrd:rvb i="2639"/>
        </ext>
      </extLst>
    </bk>
    <bk>
      <extLst>
        <ext uri="{3e2802c4-a4d2-4d8b-9148-e3be6c30e623}">
          <xlrd:rvb i="2640"/>
        </ext>
      </extLst>
    </bk>
    <bk>
      <extLst>
        <ext uri="{3e2802c4-a4d2-4d8b-9148-e3be6c30e623}">
          <xlrd:rvb i="2641"/>
        </ext>
      </extLst>
    </bk>
    <bk>
      <extLst>
        <ext uri="{3e2802c4-a4d2-4d8b-9148-e3be6c30e623}">
          <xlrd:rvb i="2642"/>
        </ext>
      </extLst>
    </bk>
    <bk>
      <extLst>
        <ext uri="{3e2802c4-a4d2-4d8b-9148-e3be6c30e623}">
          <xlrd:rvb i="2643"/>
        </ext>
      </extLst>
    </bk>
    <bk>
      <extLst>
        <ext uri="{3e2802c4-a4d2-4d8b-9148-e3be6c30e623}">
          <xlrd:rvb i="2644"/>
        </ext>
      </extLst>
    </bk>
    <bk>
      <extLst>
        <ext uri="{3e2802c4-a4d2-4d8b-9148-e3be6c30e623}">
          <xlrd:rvb i="2645"/>
        </ext>
      </extLst>
    </bk>
    <bk>
      <extLst>
        <ext uri="{3e2802c4-a4d2-4d8b-9148-e3be6c30e623}">
          <xlrd:rvb i="2646"/>
        </ext>
      </extLst>
    </bk>
    <bk>
      <extLst>
        <ext uri="{3e2802c4-a4d2-4d8b-9148-e3be6c30e623}">
          <xlrd:rvb i="2647"/>
        </ext>
      </extLst>
    </bk>
    <bk>
      <extLst>
        <ext uri="{3e2802c4-a4d2-4d8b-9148-e3be6c30e623}">
          <xlrd:rvb i="2648"/>
        </ext>
      </extLst>
    </bk>
    <bk>
      <extLst>
        <ext uri="{3e2802c4-a4d2-4d8b-9148-e3be6c30e623}">
          <xlrd:rvb i="2649"/>
        </ext>
      </extLst>
    </bk>
    <bk>
      <extLst>
        <ext uri="{3e2802c4-a4d2-4d8b-9148-e3be6c30e623}">
          <xlrd:rvb i="2650"/>
        </ext>
      </extLst>
    </bk>
    <bk>
      <extLst>
        <ext uri="{3e2802c4-a4d2-4d8b-9148-e3be6c30e623}">
          <xlrd:rvb i="2651"/>
        </ext>
      </extLst>
    </bk>
    <bk>
      <extLst>
        <ext uri="{3e2802c4-a4d2-4d8b-9148-e3be6c30e623}">
          <xlrd:rvb i="2652"/>
        </ext>
      </extLst>
    </bk>
    <bk>
      <extLst>
        <ext uri="{3e2802c4-a4d2-4d8b-9148-e3be6c30e623}">
          <xlrd:rvb i="2653"/>
        </ext>
      </extLst>
    </bk>
    <bk>
      <extLst>
        <ext uri="{3e2802c4-a4d2-4d8b-9148-e3be6c30e623}">
          <xlrd:rvb i="2654"/>
        </ext>
      </extLst>
    </bk>
    <bk>
      <extLst>
        <ext uri="{3e2802c4-a4d2-4d8b-9148-e3be6c30e623}">
          <xlrd:rvb i="2655"/>
        </ext>
      </extLst>
    </bk>
    <bk>
      <extLst>
        <ext uri="{3e2802c4-a4d2-4d8b-9148-e3be6c30e623}">
          <xlrd:rvb i="2656"/>
        </ext>
      </extLst>
    </bk>
    <bk>
      <extLst>
        <ext uri="{3e2802c4-a4d2-4d8b-9148-e3be6c30e623}">
          <xlrd:rvb i="2657"/>
        </ext>
      </extLst>
    </bk>
    <bk>
      <extLst>
        <ext uri="{3e2802c4-a4d2-4d8b-9148-e3be6c30e623}">
          <xlrd:rvb i="2658"/>
        </ext>
      </extLst>
    </bk>
    <bk>
      <extLst>
        <ext uri="{3e2802c4-a4d2-4d8b-9148-e3be6c30e623}">
          <xlrd:rvb i="2659"/>
        </ext>
      </extLst>
    </bk>
    <bk>
      <extLst>
        <ext uri="{3e2802c4-a4d2-4d8b-9148-e3be6c30e623}">
          <xlrd:rvb i="2660"/>
        </ext>
      </extLst>
    </bk>
    <bk>
      <extLst>
        <ext uri="{3e2802c4-a4d2-4d8b-9148-e3be6c30e623}">
          <xlrd:rvb i="2661"/>
        </ext>
      </extLst>
    </bk>
    <bk>
      <extLst>
        <ext uri="{3e2802c4-a4d2-4d8b-9148-e3be6c30e623}">
          <xlrd:rvb i="2662"/>
        </ext>
      </extLst>
    </bk>
    <bk>
      <extLst>
        <ext uri="{3e2802c4-a4d2-4d8b-9148-e3be6c30e623}">
          <xlrd:rvb i="2663"/>
        </ext>
      </extLst>
    </bk>
    <bk>
      <extLst>
        <ext uri="{3e2802c4-a4d2-4d8b-9148-e3be6c30e623}">
          <xlrd:rvb i="2664"/>
        </ext>
      </extLst>
    </bk>
    <bk>
      <extLst>
        <ext uri="{3e2802c4-a4d2-4d8b-9148-e3be6c30e623}">
          <xlrd:rvb i="2665"/>
        </ext>
      </extLst>
    </bk>
    <bk>
      <extLst>
        <ext uri="{3e2802c4-a4d2-4d8b-9148-e3be6c30e623}">
          <xlrd:rvb i="2666"/>
        </ext>
      </extLst>
    </bk>
    <bk>
      <extLst>
        <ext uri="{3e2802c4-a4d2-4d8b-9148-e3be6c30e623}">
          <xlrd:rvb i="2667"/>
        </ext>
      </extLst>
    </bk>
    <bk>
      <extLst>
        <ext uri="{3e2802c4-a4d2-4d8b-9148-e3be6c30e623}">
          <xlrd:rvb i="2668"/>
        </ext>
      </extLst>
    </bk>
    <bk>
      <extLst>
        <ext uri="{3e2802c4-a4d2-4d8b-9148-e3be6c30e623}">
          <xlrd:rvb i="2669"/>
        </ext>
      </extLst>
    </bk>
    <bk>
      <extLst>
        <ext uri="{3e2802c4-a4d2-4d8b-9148-e3be6c30e623}">
          <xlrd:rvb i="2670"/>
        </ext>
      </extLst>
    </bk>
    <bk>
      <extLst>
        <ext uri="{3e2802c4-a4d2-4d8b-9148-e3be6c30e623}">
          <xlrd:rvb i="2671"/>
        </ext>
      </extLst>
    </bk>
    <bk>
      <extLst>
        <ext uri="{3e2802c4-a4d2-4d8b-9148-e3be6c30e623}">
          <xlrd:rvb i="2672"/>
        </ext>
      </extLst>
    </bk>
    <bk>
      <extLst>
        <ext uri="{3e2802c4-a4d2-4d8b-9148-e3be6c30e623}">
          <xlrd:rvb i="2673"/>
        </ext>
      </extLst>
    </bk>
    <bk>
      <extLst>
        <ext uri="{3e2802c4-a4d2-4d8b-9148-e3be6c30e623}">
          <xlrd:rvb i="2674"/>
        </ext>
      </extLst>
    </bk>
    <bk>
      <extLst>
        <ext uri="{3e2802c4-a4d2-4d8b-9148-e3be6c30e623}">
          <xlrd:rvb i="2675"/>
        </ext>
      </extLst>
    </bk>
    <bk>
      <extLst>
        <ext uri="{3e2802c4-a4d2-4d8b-9148-e3be6c30e623}">
          <xlrd:rvb i="2676"/>
        </ext>
      </extLst>
    </bk>
    <bk>
      <extLst>
        <ext uri="{3e2802c4-a4d2-4d8b-9148-e3be6c30e623}">
          <xlrd:rvb i="2677"/>
        </ext>
      </extLst>
    </bk>
    <bk>
      <extLst>
        <ext uri="{3e2802c4-a4d2-4d8b-9148-e3be6c30e623}">
          <xlrd:rvb i="2678"/>
        </ext>
      </extLst>
    </bk>
    <bk>
      <extLst>
        <ext uri="{3e2802c4-a4d2-4d8b-9148-e3be6c30e623}">
          <xlrd:rvb i="2679"/>
        </ext>
      </extLst>
    </bk>
    <bk>
      <extLst>
        <ext uri="{3e2802c4-a4d2-4d8b-9148-e3be6c30e623}">
          <xlrd:rvb i="2680"/>
        </ext>
      </extLst>
    </bk>
    <bk>
      <extLst>
        <ext uri="{3e2802c4-a4d2-4d8b-9148-e3be6c30e623}">
          <xlrd:rvb i="2681"/>
        </ext>
      </extLst>
    </bk>
    <bk>
      <extLst>
        <ext uri="{3e2802c4-a4d2-4d8b-9148-e3be6c30e623}">
          <xlrd:rvb i="2682"/>
        </ext>
      </extLst>
    </bk>
    <bk>
      <extLst>
        <ext uri="{3e2802c4-a4d2-4d8b-9148-e3be6c30e623}">
          <xlrd:rvb i="2683"/>
        </ext>
      </extLst>
    </bk>
    <bk>
      <extLst>
        <ext uri="{3e2802c4-a4d2-4d8b-9148-e3be6c30e623}">
          <xlrd:rvb i="2684"/>
        </ext>
      </extLst>
    </bk>
    <bk>
      <extLst>
        <ext uri="{3e2802c4-a4d2-4d8b-9148-e3be6c30e623}">
          <xlrd:rvb i="2685"/>
        </ext>
      </extLst>
    </bk>
    <bk>
      <extLst>
        <ext uri="{3e2802c4-a4d2-4d8b-9148-e3be6c30e623}">
          <xlrd:rvb i="2686"/>
        </ext>
      </extLst>
    </bk>
    <bk>
      <extLst>
        <ext uri="{3e2802c4-a4d2-4d8b-9148-e3be6c30e623}">
          <xlrd:rvb i="2687"/>
        </ext>
      </extLst>
    </bk>
    <bk>
      <extLst>
        <ext uri="{3e2802c4-a4d2-4d8b-9148-e3be6c30e623}">
          <xlrd:rvb i="2688"/>
        </ext>
      </extLst>
    </bk>
    <bk>
      <extLst>
        <ext uri="{3e2802c4-a4d2-4d8b-9148-e3be6c30e623}">
          <xlrd:rvb i="2689"/>
        </ext>
      </extLst>
    </bk>
    <bk>
      <extLst>
        <ext uri="{3e2802c4-a4d2-4d8b-9148-e3be6c30e623}">
          <xlrd:rvb i="2690"/>
        </ext>
      </extLst>
    </bk>
    <bk>
      <extLst>
        <ext uri="{3e2802c4-a4d2-4d8b-9148-e3be6c30e623}">
          <xlrd:rvb i="2691"/>
        </ext>
      </extLst>
    </bk>
    <bk>
      <extLst>
        <ext uri="{3e2802c4-a4d2-4d8b-9148-e3be6c30e623}">
          <xlrd:rvb i="2692"/>
        </ext>
      </extLst>
    </bk>
    <bk>
      <extLst>
        <ext uri="{3e2802c4-a4d2-4d8b-9148-e3be6c30e623}">
          <xlrd:rvb i="2693"/>
        </ext>
      </extLst>
    </bk>
    <bk>
      <extLst>
        <ext uri="{3e2802c4-a4d2-4d8b-9148-e3be6c30e623}">
          <xlrd:rvb i="2694"/>
        </ext>
      </extLst>
    </bk>
    <bk>
      <extLst>
        <ext uri="{3e2802c4-a4d2-4d8b-9148-e3be6c30e623}">
          <xlrd:rvb i="2695"/>
        </ext>
      </extLst>
    </bk>
    <bk>
      <extLst>
        <ext uri="{3e2802c4-a4d2-4d8b-9148-e3be6c30e623}">
          <xlrd:rvb i="2696"/>
        </ext>
      </extLst>
    </bk>
    <bk>
      <extLst>
        <ext uri="{3e2802c4-a4d2-4d8b-9148-e3be6c30e623}">
          <xlrd:rvb i="2697"/>
        </ext>
      </extLst>
    </bk>
    <bk>
      <extLst>
        <ext uri="{3e2802c4-a4d2-4d8b-9148-e3be6c30e623}">
          <xlrd:rvb i="2698"/>
        </ext>
      </extLst>
    </bk>
    <bk>
      <extLst>
        <ext uri="{3e2802c4-a4d2-4d8b-9148-e3be6c30e623}">
          <xlrd:rvb i="2699"/>
        </ext>
      </extLst>
    </bk>
    <bk>
      <extLst>
        <ext uri="{3e2802c4-a4d2-4d8b-9148-e3be6c30e623}">
          <xlrd:rvb i="2700"/>
        </ext>
      </extLst>
    </bk>
    <bk>
      <extLst>
        <ext uri="{3e2802c4-a4d2-4d8b-9148-e3be6c30e623}">
          <xlrd:rvb i="2701"/>
        </ext>
      </extLst>
    </bk>
    <bk>
      <extLst>
        <ext uri="{3e2802c4-a4d2-4d8b-9148-e3be6c30e623}">
          <xlrd:rvb i="2702"/>
        </ext>
      </extLst>
    </bk>
    <bk>
      <extLst>
        <ext uri="{3e2802c4-a4d2-4d8b-9148-e3be6c30e623}">
          <xlrd:rvb i="2703"/>
        </ext>
      </extLst>
    </bk>
    <bk>
      <extLst>
        <ext uri="{3e2802c4-a4d2-4d8b-9148-e3be6c30e623}">
          <xlrd:rvb i="2704"/>
        </ext>
      </extLst>
    </bk>
    <bk>
      <extLst>
        <ext uri="{3e2802c4-a4d2-4d8b-9148-e3be6c30e623}">
          <xlrd:rvb i="2705"/>
        </ext>
      </extLst>
    </bk>
    <bk>
      <extLst>
        <ext uri="{3e2802c4-a4d2-4d8b-9148-e3be6c30e623}">
          <xlrd:rvb i="2706"/>
        </ext>
      </extLst>
    </bk>
    <bk>
      <extLst>
        <ext uri="{3e2802c4-a4d2-4d8b-9148-e3be6c30e623}">
          <xlrd:rvb i="2707"/>
        </ext>
      </extLst>
    </bk>
    <bk>
      <extLst>
        <ext uri="{3e2802c4-a4d2-4d8b-9148-e3be6c30e623}">
          <xlrd:rvb i="2708"/>
        </ext>
      </extLst>
    </bk>
    <bk>
      <extLst>
        <ext uri="{3e2802c4-a4d2-4d8b-9148-e3be6c30e623}">
          <xlrd:rvb i="2709"/>
        </ext>
      </extLst>
    </bk>
    <bk>
      <extLst>
        <ext uri="{3e2802c4-a4d2-4d8b-9148-e3be6c30e623}">
          <xlrd:rvb i="2710"/>
        </ext>
      </extLst>
    </bk>
    <bk>
      <extLst>
        <ext uri="{3e2802c4-a4d2-4d8b-9148-e3be6c30e623}">
          <xlrd:rvb i="2711"/>
        </ext>
      </extLst>
    </bk>
    <bk>
      <extLst>
        <ext uri="{3e2802c4-a4d2-4d8b-9148-e3be6c30e623}">
          <xlrd:rvb i="2712"/>
        </ext>
      </extLst>
    </bk>
    <bk>
      <extLst>
        <ext uri="{3e2802c4-a4d2-4d8b-9148-e3be6c30e623}">
          <xlrd:rvb i="2713"/>
        </ext>
      </extLst>
    </bk>
    <bk>
      <extLst>
        <ext uri="{3e2802c4-a4d2-4d8b-9148-e3be6c30e623}">
          <xlrd:rvb i="2714"/>
        </ext>
      </extLst>
    </bk>
    <bk>
      <extLst>
        <ext uri="{3e2802c4-a4d2-4d8b-9148-e3be6c30e623}">
          <xlrd:rvb i="2715"/>
        </ext>
      </extLst>
    </bk>
    <bk>
      <extLst>
        <ext uri="{3e2802c4-a4d2-4d8b-9148-e3be6c30e623}">
          <xlrd:rvb i="2716"/>
        </ext>
      </extLst>
    </bk>
    <bk>
      <extLst>
        <ext uri="{3e2802c4-a4d2-4d8b-9148-e3be6c30e623}">
          <xlrd:rvb i="2717"/>
        </ext>
      </extLst>
    </bk>
    <bk>
      <extLst>
        <ext uri="{3e2802c4-a4d2-4d8b-9148-e3be6c30e623}">
          <xlrd:rvb i="2718"/>
        </ext>
      </extLst>
    </bk>
    <bk>
      <extLst>
        <ext uri="{3e2802c4-a4d2-4d8b-9148-e3be6c30e623}">
          <xlrd:rvb i="2719"/>
        </ext>
      </extLst>
    </bk>
    <bk>
      <extLst>
        <ext uri="{3e2802c4-a4d2-4d8b-9148-e3be6c30e623}">
          <xlrd:rvb i="2720"/>
        </ext>
      </extLst>
    </bk>
    <bk>
      <extLst>
        <ext uri="{3e2802c4-a4d2-4d8b-9148-e3be6c30e623}">
          <xlrd:rvb i="2721"/>
        </ext>
      </extLst>
    </bk>
    <bk>
      <extLst>
        <ext uri="{3e2802c4-a4d2-4d8b-9148-e3be6c30e623}">
          <xlrd:rvb i="2722"/>
        </ext>
      </extLst>
    </bk>
    <bk>
      <extLst>
        <ext uri="{3e2802c4-a4d2-4d8b-9148-e3be6c30e623}">
          <xlrd:rvb i="2723"/>
        </ext>
      </extLst>
    </bk>
    <bk>
      <extLst>
        <ext uri="{3e2802c4-a4d2-4d8b-9148-e3be6c30e623}">
          <xlrd:rvb i="2724"/>
        </ext>
      </extLst>
    </bk>
    <bk>
      <extLst>
        <ext uri="{3e2802c4-a4d2-4d8b-9148-e3be6c30e623}">
          <xlrd:rvb i="2725"/>
        </ext>
      </extLst>
    </bk>
    <bk>
      <extLst>
        <ext uri="{3e2802c4-a4d2-4d8b-9148-e3be6c30e623}">
          <xlrd:rvb i="2726"/>
        </ext>
      </extLst>
    </bk>
    <bk>
      <extLst>
        <ext uri="{3e2802c4-a4d2-4d8b-9148-e3be6c30e623}">
          <xlrd:rvb i="2727"/>
        </ext>
      </extLst>
    </bk>
    <bk>
      <extLst>
        <ext uri="{3e2802c4-a4d2-4d8b-9148-e3be6c30e623}">
          <xlrd:rvb i="2728"/>
        </ext>
      </extLst>
    </bk>
    <bk>
      <extLst>
        <ext uri="{3e2802c4-a4d2-4d8b-9148-e3be6c30e623}">
          <xlrd:rvb i="2729"/>
        </ext>
      </extLst>
    </bk>
    <bk>
      <extLst>
        <ext uri="{3e2802c4-a4d2-4d8b-9148-e3be6c30e623}">
          <xlrd:rvb i="2730"/>
        </ext>
      </extLst>
    </bk>
    <bk>
      <extLst>
        <ext uri="{3e2802c4-a4d2-4d8b-9148-e3be6c30e623}">
          <xlrd:rvb i="2731"/>
        </ext>
      </extLst>
    </bk>
    <bk>
      <extLst>
        <ext uri="{3e2802c4-a4d2-4d8b-9148-e3be6c30e623}">
          <xlrd:rvb i="2732"/>
        </ext>
      </extLst>
    </bk>
    <bk>
      <extLst>
        <ext uri="{3e2802c4-a4d2-4d8b-9148-e3be6c30e623}">
          <xlrd:rvb i="2733"/>
        </ext>
      </extLst>
    </bk>
    <bk>
      <extLst>
        <ext uri="{3e2802c4-a4d2-4d8b-9148-e3be6c30e623}">
          <xlrd:rvb i="2734"/>
        </ext>
      </extLst>
    </bk>
    <bk>
      <extLst>
        <ext uri="{3e2802c4-a4d2-4d8b-9148-e3be6c30e623}">
          <xlrd:rvb i="2735"/>
        </ext>
      </extLst>
    </bk>
    <bk>
      <extLst>
        <ext uri="{3e2802c4-a4d2-4d8b-9148-e3be6c30e623}">
          <xlrd:rvb i="2736"/>
        </ext>
      </extLst>
    </bk>
    <bk>
      <extLst>
        <ext uri="{3e2802c4-a4d2-4d8b-9148-e3be6c30e623}">
          <xlrd:rvb i="2737"/>
        </ext>
      </extLst>
    </bk>
    <bk>
      <extLst>
        <ext uri="{3e2802c4-a4d2-4d8b-9148-e3be6c30e623}">
          <xlrd:rvb i="2738"/>
        </ext>
      </extLst>
    </bk>
    <bk>
      <extLst>
        <ext uri="{3e2802c4-a4d2-4d8b-9148-e3be6c30e623}">
          <xlrd:rvb i="2739"/>
        </ext>
      </extLst>
    </bk>
    <bk>
      <extLst>
        <ext uri="{3e2802c4-a4d2-4d8b-9148-e3be6c30e623}">
          <xlrd:rvb i="2740"/>
        </ext>
      </extLst>
    </bk>
    <bk>
      <extLst>
        <ext uri="{3e2802c4-a4d2-4d8b-9148-e3be6c30e623}">
          <xlrd:rvb i="2741"/>
        </ext>
      </extLst>
    </bk>
    <bk>
      <extLst>
        <ext uri="{3e2802c4-a4d2-4d8b-9148-e3be6c30e623}">
          <xlrd:rvb i="2742"/>
        </ext>
      </extLst>
    </bk>
    <bk>
      <extLst>
        <ext uri="{3e2802c4-a4d2-4d8b-9148-e3be6c30e623}">
          <xlrd:rvb i="2743"/>
        </ext>
      </extLst>
    </bk>
    <bk>
      <extLst>
        <ext uri="{3e2802c4-a4d2-4d8b-9148-e3be6c30e623}">
          <xlrd:rvb i="2744"/>
        </ext>
      </extLst>
    </bk>
    <bk>
      <extLst>
        <ext uri="{3e2802c4-a4d2-4d8b-9148-e3be6c30e623}">
          <xlrd:rvb i="2745"/>
        </ext>
      </extLst>
    </bk>
    <bk>
      <extLst>
        <ext uri="{3e2802c4-a4d2-4d8b-9148-e3be6c30e623}">
          <xlrd:rvb i="2746"/>
        </ext>
      </extLst>
    </bk>
    <bk>
      <extLst>
        <ext uri="{3e2802c4-a4d2-4d8b-9148-e3be6c30e623}">
          <xlrd:rvb i="2747"/>
        </ext>
      </extLst>
    </bk>
    <bk>
      <extLst>
        <ext uri="{3e2802c4-a4d2-4d8b-9148-e3be6c30e623}">
          <xlrd:rvb i="2748"/>
        </ext>
      </extLst>
    </bk>
    <bk>
      <extLst>
        <ext uri="{3e2802c4-a4d2-4d8b-9148-e3be6c30e623}">
          <xlrd:rvb i="2749"/>
        </ext>
      </extLst>
    </bk>
    <bk>
      <extLst>
        <ext uri="{3e2802c4-a4d2-4d8b-9148-e3be6c30e623}">
          <xlrd:rvb i="2750"/>
        </ext>
      </extLst>
    </bk>
    <bk>
      <extLst>
        <ext uri="{3e2802c4-a4d2-4d8b-9148-e3be6c30e623}">
          <xlrd:rvb i="2751"/>
        </ext>
      </extLst>
    </bk>
    <bk>
      <extLst>
        <ext uri="{3e2802c4-a4d2-4d8b-9148-e3be6c30e623}">
          <xlrd:rvb i="2752"/>
        </ext>
      </extLst>
    </bk>
    <bk>
      <extLst>
        <ext uri="{3e2802c4-a4d2-4d8b-9148-e3be6c30e623}">
          <xlrd:rvb i="2753"/>
        </ext>
      </extLst>
    </bk>
    <bk>
      <extLst>
        <ext uri="{3e2802c4-a4d2-4d8b-9148-e3be6c30e623}">
          <xlrd:rvb i="2754"/>
        </ext>
      </extLst>
    </bk>
    <bk>
      <extLst>
        <ext uri="{3e2802c4-a4d2-4d8b-9148-e3be6c30e623}">
          <xlrd:rvb i="2755"/>
        </ext>
      </extLst>
    </bk>
    <bk>
      <extLst>
        <ext uri="{3e2802c4-a4d2-4d8b-9148-e3be6c30e623}">
          <xlrd:rvb i="2756"/>
        </ext>
      </extLst>
    </bk>
    <bk>
      <extLst>
        <ext uri="{3e2802c4-a4d2-4d8b-9148-e3be6c30e623}">
          <xlrd:rvb i="2757"/>
        </ext>
      </extLst>
    </bk>
    <bk>
      <extLst>
        <ext uri="{3e2802c4-a4d2-4d8b-9148-e3be6c30e623}">
          <xlrd:rvb i="2758"/>
        </ext>
      </extLst>
    </bk>
    <bk>
      <extLst>
        <ext uri="{3e2802c4-a4d2-4d8b-9148-e3be6c30e623}">
          <xlrd:rvb i="2759"/>
        </ext>
      </extLst>
    </bk>
    <bk>
      <extLst>
        <ext uri="{3e2802c4-a4d2-4d8b-9148-e3be6c30e623}">
          <xlrd:rvb i="2760"/>
        </ext>
      </extLst>
    </bk>
    <bk>
      <extLst>
        <ext uri="{3e2802c4-a4d2-4d8b-9148-e3be6c30e623}">
          <xlrd:rvb i="2761"/>
        </ext>
      </extLst>
    </bk>
    <bk>
      <extLst>
        <ext uri="{3e2802c4-a4d2-4d8b-9148-e3be6c30e623}">
          <xlrd:rvb i="2762"/>
        </ext>
      </extLst>
    </bk>
    <bk>
      <extLst>
        <ext uri="{3e2802c4-a4d2-4d8b-9148-e3be6c30e623}">
          <xlrd:rvb i="2763"/>
        </ext>
      </extLst>
    </bk>
    <bk>
      <extLst>
        <ext uri="{3e2802c4-a4d2-4d8b-9148-e3be6c30e623}">
          <xlrd:rvb i="2764"/>
        </ext>
      </extLst>
    </bk>
    <bk>
      <extLst>
        <ext uri="{3e2802c4-a4d2-4d8b-9148-e3be6c30e623}">
          <xlrd:rvb i="2765"/>
        </ext>
      </extLst>
    </bk>
    <bk>
      <extLst>
        <ext uri="{3e2802c4-a4d2-4d8b-9148-e3be6c30e623}">
          <xlrd:rvb i="2766"/>
        </ext>
      </extLst>
    </bk>
    <bk>
      <extLst>
        <ext uri="{3e2802c4-a4d2-4d8b-9148-e3be6c30e623}">
          <xlrd:rvb i="2767"/>
        </ext>
      </extLst>
    </bk>
    <bk>
      <extLst>
        <ext uri="{3e2802c4-a4d2-4d8b-9148-e3be6c30e623}">
          <xlrd:rvb i="2768"/>
        </ext>
      </extLst>
    </bk>
    <bk>
      <extLst>
        <ext uri="{3e2802c4-a4d2-4d8b-9148-e3be6c30e623}">
          <xlrd:rvb i="2769"/>
        </ext>
      </extLst>
    </bk>
    <bk>
      <extLst>
        <ext uri="{3e2802c4-a4d2-4d8b-9148-e3be6c30e623}">
          <xlrd:rvb i="2770"/>
        </ext>
      </extLst>
    </bk>
    <bk>
      <extLst>
        <ext uri="{3e2802c4-a4d2-4d8b-9148-e3be6c30e623}">
          <xlrd:rvb i="2771"/>
        </ext>
      </extLst>
    </bk>
    <bk>
      <extLst>
        <ext uri="{3e2802c4-a4d2-4d8b-9148-e3be6c30e623}">
          <xlrd:rvb i="2772"/>
        </ext>
      </extLst>
    </bk>
    <bk>
      <extLst>
        <ext uri="{3e2802c4-a4d2-4d8b-9148-e3be6c30e623}">
          <xlrd:rvb i="2773"/>
        </ext>
      </extLst>
    </bk>
    <bk>
      <extLst>
        <ext uri="{3e2802c4-a4d2-4d8b-9148-e3be6c30e623}">
          <xlrd:rvb i="2774"/>
        </ext>
      </extLst>
    </bk>
    <bk>
      <extLst>
        <ext uri="{3e2802c4-a4d2-4d8b-9148-e3be6c30e623}">
          <xlrd:rvb i="2775"/>
        </ext>
      </extLst>
    </bk>
    <bk>
      <extLst>
        <ext uri="{3e2802c4-a4d2-4d8b-9148-e3be6c30e623}">
          <xlrd:rvb i="2776"/>
        </ext>
      </extLst>
    </bk>
    <bk>
      <extLst>
        <ext uri="{3e2802c4-a4d2-4d8b-9148-e3be6c30e623}">
          <xlrd:rvb i="2777"/>
        </ext>
      </extLst>
    </bk>
    <bk>
      <extLst>
        <ext uri="{3e2802c4-a4d2-4d8b-9148-e3be6c30e623}">
          <xlrd:rvb i="2778"/>
        </ext>
      </extLst>
    </bk>
    <bk>
      <extLst>
        <ext uri="{3e2802c4-a4d2-4d8b-9148-e3be6c30e623}">
          <xlrd:rvb i="2779"/>
        </ext>
      </extLst>
    </bk>
    <bk>
      <extLst>
        <ext uri="{3e2802c4-a4d2-4d8b-9148-e3be6c30e623}">
          <xlrd:rvb i="2780"/>
        </ext>
      </extLst>
    </bk>
    <bk>
      <extLst>
        <ext uri="{3e2802c4-a4d2-4d8b-9148-e3be6c30e623}">
          <xlrd:rvb i="2781"/>
        </ext>
      </extLst>
    </bk>
    <bk>
      <extLst>
        <ext uri="{3e2802c4-a4d2-4d8b-9148-e3be6c30e623}">
          <xlrd:rvb i="2782"/>
        </ext>
      </extLst>
    </bk>
    <bk>
      <extLst>
        <ext uri="{3e2802c4-a4d2-4d8b-9148-e3be6c30e623}">
          <xlrd:rvb i="2783"/>
        </ext>
      </extLst>
    </bk>
    <bk>
      <extLst>
        <ext uri="{3e2802c4-a4d2-4d8b-9148-e3be6c30e623}">
          <xlrd:rvb i="2784"/>
        </ext>
      </extLst>
    </bk>
    <bk>
      <extLst>
        <ext uri="{3e2802c4-a4d2-4d8b-9148-e3be6c30e623}">
          <xlrd:rvb i="2785"/>
        </ext>
      </extLst>
    </bk>
    <bk>
      <extLst>
        <ext uri="{3e2802c4-a4d2-4d8b-9148-e3be6c30e623}">
          <xlrd:rvb i="2786"/>
        </ext>
      </extLst>
    </bk>
    <bk>
      <extLst>
        <ext uri="{3e2802c4-a4d2-4d8b-9148-e3be6c30e623}">
          <xlrd:rvb i="2787"/>
        </ext>
      </extLst>
    </bk>
    <bk>
      <extLst>
        <ext uri="{3e2802c4-a4d2-4d8b-9148-e3be6c30e623}">
          <xlrd:rvb i="2788"/>
        </ext>
      </extLst>
    </bk>
    <bk>
      <extLst>
        <ext uri="{3e2802c4-a4d2-4d8b-9148-e3be6c30e623}">
          <xlrd:rvb i="2789"/>
        </ext>
      </extLst>
    </bk>
    <bk>
      <extLst>
        <ext uri="{3e2802c4-a4d2-4d8b-9148-e3be6c30e623}">
          <xlrd:rvb i="2790"/>
        </ext>
      </extLst>
    </bk>
    <bk>
      <extLst>
        <ext uri="{3e2802c4-a4d2-4d8b-9148-e3be6c30e623}">
          <xlrd:rvb i="2791"/>
        </ext>
      </extLst>
    </bk>
    <bk>
      <extLst>
        <ext uri="{3e2802c4-a4d2-4d8b-9148-e3be6c30e623}">
          <xlrd:rvb i="2792"/>
        </ext>
      </extLst>
    </bk>
    <bk>
      <extLst>
        <ext uri="{3e2802c4-a4d2-4d8b-9148-e3be6c30e623}">
          <xlrd:rvb i="2793"/>
        </ext>
      </extLst>
    </bk>
    <bk>
      <extLst>
        <ext uri="{3e2802c4-a4d2-4d8b-9148-e3be6c30e623}">
          <xlrd:rvb i="2794"/>
        </ext>
      </extLst>
    </bk>
    <bk>
      <extLst>
        <ext uri="{3e2802c4-a4d2-4d8b-9148-e3be6c30e623}">
          <xlrd:rvb i="2795"/>
        </ext>
      </extLst>
    </bk>
    <bk>
      <extLst>
        <ext uri="{3e2802c4-a4d2-4d8b-9148-e3be6c30e623}">
          <xlrd:rvb i="2796"/>
        </ext>
      </extLst>
    </bk>
    <bk>
      <extLst>
        <ext uri="{3e2802c4-a4d2-4d8b-9148-e3be6c30e623}">
          <xlrd:rvb i="2797"/>
        </ext>
      </extLst>
    </bk>
    <bk>
      <extLst>
        <ext uri="{3e2802c4-a4d2-4d8b-9148-e3be6c30e623}">
          <xlrd:rvb i="2798"/>
        </ext>
      </extLst>
    </bk>
    <bk>
      <extLst>
        <ext uri="{3e2802c4-a4d2-4d8b-9148-e3be6c30e623}">
          <xlrd:rvb i="2799"/>
        </ext>
      </extLst>
    </bk>
    <bk>
      <extLst>
        <ext uri="{3e2802c4-a4d2-4d8b-9148-e3be6c30e623}">
          <xlrd:rvb i="2800"/>
        </ext>
      </extLst>
    </bk>
    <bk>
      <extLst>
        <ext uri="{3e2802c4-a4d2-4d8b-9148-e3be6c30e623}">
          <xlrd:rvb i="2801"/>
        </ext>
      </extLst>
    </bk>
    <bk>
      <extLst>
        <ext uri="{3e2802c4-a4d2-4d8b-9148-e3be6c30e623}">
          <xlrd:rvb i="2802"/>
        </ext>
      </extLst>
    </bk>
    <bk>
      <extLst>
        <ext uri="{3e2802c4-a4d2-4d8b-9148-e3be6c30e623}">
          <xlrd:rvb i="2803"/>
        </ext>
      </extLst>
    </bk>
    <bk>
      <extLst>
        <ext uri="{3e2802c4-a4d2-4d8b-9148-e3be6c30e623}">
          <xlrd:rvb i="2804"/>
        </ext>
      </extLst>
    </bk>
    <bk>
      <extLst>
        <ext uri="{3e2802c4-a4d2-4d8b-9148-e3be6c30e623}">
          <xlrd:rvb i="2805"/>
        </ext>
      </extLst>
    </bk>
    <bk>
      <extLst>
        <ext uri="{3e2802c4-a4d2-4d8b-9148-e3be6c30e623}">
          <xlrd:rvb i="2806"/>
        </ext>
      </extLst>
    </bk>
    <bk>
      <extLst>
        <ext uri="{3e2802c4-a4d2-4d8b-9148-e3be6c30e623}">
          <xlrd:rvb i="2807"/>
        </ext>
      </extLst>
    </bk>
    <bk>
      <extLst>
        <ext uri="{3e2802c4-a4d2-4d8b-9148-e3be6c30e623}">
          <xlrd:rvb i="2808"/>
        </ext>
      </extLst>
    </bk>
    <bk>
      <extLst>
        <ext uri="{3e2802c4-a4d2-4d8b-9148-e3be6c30e623}">
          <xlrd:rvb i="2809"/>
        </ext>
      </extLst>
    </bk>
    <bk>
      <extLst>
        <ext uri="{3e2802c4-a4d2-4d8b-9148-e3be6c30e623}">
          <xlrd:rvb i="2810"/>
        </ext>
      </extLst>
    </bk>
    <bk>
      <extLst>
        <ext uri="{3e2802c4-a4d2-4d8b-9148-e3be6c30e623}">
          <xlrd:rvb i="2811"/>
        </ext>
      </extLst>
    </bk>
    <bk>
      <extLst>
        <ext uri="{3e2802c4-a4d2-4d8b-9148-e3be6c30e623}">
          <xlrd:rvb i="2812"/>
        </ext>
      </extLst>
    </bk>
    <bk>
      <extLst>
        <ext uri="{3e2802c4-a4d2-4d8b-9148-e3be6c30e623}">
          <xlrd:rvb i="2813"/>
        </ext>
      </extLst>
    </bk>
    <bk>
      <extLst>
        <ext uri="{3e2802c4-a4d2-4d8b-9148-e3be6c30e623}">
          <xlrd:rvb i="2814"/>
        </ext>
      </extLst>
    </bk>
    <bk>
      <extLst>
        <ext uri="{3e2802c4-a4d2-4d8b-9148-e3be6c30e623}">
          <xlrd:rvb i="2815"/>
        </ext>
      </extLst>
    </bk>
    <bk>
      <extLst>
        <ext uri="{3e2802c4-a4d2-4d8b-9148-e3be6c30e623}">
          <xlrd:rvb i="2816"/>
        </ext>
      </extLst>
    </bk>
    <bk>
      <extLst>
        <ext uri="{3e2802c4-a4d2-4d8b-9148-e3be6c30e623}">
          <xlrd:rvb i="2817"/>
        </ext>
      </extLst>
    </bk>
    <bk>
      <extLst>
        <ext uri="{3e2802c4-a4d2-4d8b-9148-e3be6c30e623}">
          <xlrd:rvb i="2818"/>
        </ext>
      </extLst>
    </bk>
    <bk>
      <extLst>
        <ext uri="{3e2802c4-a4d2-4d8b-9148-e3be6c30e623}">
          <xlrd:rvb i="2819"/>
        </ext>
      </extLst>
    </bk>
    <bk>
      <extLst>
        <ext uri="{3e2802c4-a4d2-4d8b-9148-e3be6c30e623}">
          <xlrd:rvb i="2820"/>
        </ext>
      </extLst>
    </bk>
    <bk>
      <extLst>
        <ext uri="{3e2802c4-a4d2-4d8b-9148-e3be6c30e623}">
          <xlrd:rvb i="2821"/>
        </ext>
      </extLst>
    </bk>
    <bk>
      <extLst>
        <ext uri="{3e2802c4-a4d2-4d8b-9148-e3be6c30e623}">
          <xlrd:rvb i="2822"/>
        </ext>
      </extLst>
    </bk>
    <bk>
      <extLst>
        <ext uri="{3e2802c4-a4d2-4d8b-9148-e3be6c30e623}">
          <xlrd:rvb i="2823"/>
        </ext>
      </extLst>
    </bk>
    <bk>
      <extLst>
        <ext uri="{3e2802c4-a4d2-4d8b-9148-e3be6c30e623}">
          <xlrd:rvb i="2824"/>
        </ext>
      </extLst>
    </bk>
    <bk>
      <extLst>
        <ext uri="{3e2802c4-a4d2-4d8b-9148-e3be6c30e623}">
          <xlrd:rvb i="2825"/>
        </ext>
      </extLst>
    </bk>
    <bk>
      <extLst>
        <ext uri="{3e2802c4-a4d2-4d8b-9148-e3be6c30e623}">
          <xlrd:rvb i="2826"/>
        </ext>
      </extLst>
    </bk>
    <bk>
      <extLst>
        <ext uri="{3e2802c4-a4d2-4d8b-9148-e3be6c30e623}">
          <xlrd:rvb i="2827"/>
        </ext>
      </extLst>
    </bk>
    <bk>
      <extLst>
        <ext uri="{3e2802c4-a4d2-4d8b-9148-e3be6c30e623}">
          <xlrd:rvb i="2828"/>
        </ext>
      </extLst>
    </bk>
    <bk>
      <extLst>
        <ext uri="{3e2802c4-a4d2-4d8b-9148-e3be6c30e623}">
          <xlrd:rvb i="2829"/>
        </ext>
      </extLst>
    </bk>
    <bk>
      <extLst>
        <ext uri="{3e2802c4-a4d2-4d8b-9148-e3be6c30e623}">
          <xlrd:rvb i="2830"/>
        </ext>
      </extLst>
    </bk>
    <bk>
      <extLst>
        <ext uri="{3e2802c4-a4d2-4d8b-9148-e3be6c30e623}">
          <xlrd:rvb i="2831"/>
        </ext>
      </extLst>
    </bk>
    <bk>
      <extLst>
        <ext uri="{3e2802c4-a4d2-4d8b-9148-e3be6c30e623}">
          <xlrd:rvb i="2832"/>
        </ext>
      </extLst>
    </bk>
    <bk>
      <extLst>
        <ext uri="{3e2802c4-a4d2-4d8b-9148-e3be6c30e623}">
          <xlrd:rvb i="2833"/>
        </ext>
      </extLst>
    </bk>
  </futureMetadata>
  <cellMetadata count="1">
    <bk>
      <rc t="1" v="0"/>
    </bk>
  </cellMetadata>
  <valueMetadata count="278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bk>
      <rc t="2" v="1524"/>
    </bk>
    <bk>
      <rc t="2" v="1525"/>
    </bk>
    <bk>
      <rc t="2" v="1526"/>
    </bk>
    <bk>
      <rc t="2" v="1527"/>
    </bk>
    <bk>
      <rc t="2" v="1528"/>
    </bk>
    <bk>
      <rc t="2" v="1529"/>
    </bk>
    <bk>
      <rc t="2" v="1530"/>
    </bk>
    <bk>
      <rc t="2" v="1531"/>
    </bk>
    <bk>
      <rc t="2" v="1532"/>
    </bk>
    <bk>
      <rc t="2" v="1533"/>
    </bk>
    <bk>
      <rc t="2" v="1534"/>
    </bk>
    <bk>
      <rc t="2" v="1535"/>
    </bk>
    <bk>
      <rc t="2" v="1536"/>
    </bk>
    <bk>
      <rc t="2" v="1537"/>
    </bk>
    <bk>
      <rc t="2" v="1538"/>
    </bk>
    <bk>
      <rc t="2" v="1539"/>
    </bk>
    <bk>
      <rc t="2" v="1540"/>
    </bk>
    <bk>
      <rc t="2" v="1541"/>
    </bk>
    <bk>
      <rc t="2" v="1542"/>
    </bk>
    <bk>
      <rc t="2" v="1543"/>
    </bk>
    <bk>
      <rc t="2" v="1544"/>
    </bk>
    <bk>
      <rc t="2" v="1545"/>
    </bk>
    <bk>
      <rc t="2" v="1546"/>
    </bk>
    <bk>
      <rc t="2" v="1547"/>
    </bk>
    <bk>
      <rc t="2" v="1548"/>
    </bk>
    <bk>
      <rc t="2" v="1549"/>
    </bk>
    <bk>
      <rc t="2" v="1550"/>
    </bk>
    <bk>
      <rc t="2" v="1551"/>
    </bk>
    <bk>
      <rc t="2" v="1552"/>
    </bk>
    <bk>
      <rc t="2" v="1553"/>
    </bk>
    <bk>
      <rc t="2" v="1554"/>
    </bk>
    <bk>
      <rc t="2" v="1555"/>
    </bk>
    <bk>
      <rc t="2" v="1556"/>
    </bk>
    <bk>
      <rc t="2" v="1557"/>
    </bk>
    <bk>
      <rc t="2" v="1558"/>
    </bk>
    <bk>
      <rc t="2" v="1559"/>
    </bk>
    <bk>
      <rc t="2" v="1560"/>
    </bk>
    <bk>
      <rc t="2" v="1561"/>
    </bk>
    <bk>
      <rc t="2" v="1562"/>
    </bk>
    <bk>
      <rc t="2" v="1563"/>
    </bk>
    <bk>
      <rc t="2" v="1564"/>
    </bk>
    <bk>
      <rc t="2" v="1565"/>
    </bk>
    <bk>
      <rc t="2" v="1566"/>
    </bk>
    <bk>
      <rc t="2" v="1567"/>
    </bk>
    <bk>
      <rc t="2" v="1568"/>
    </bk>
    <bk>
      <rc t="2" v="1569"/>
    </bk>
    <bk>
      <rc t="2" v="1570"/>
    </bk>
    <bk>
      <rc t="2" v="1571"/>
    </bk>
    <bk>
      <rc t="2" v="1572"/>
    </bk>
    <bk>
      <rc t="2" v="1573"/>
    </bk>
    <bk>
      <rc t="2" v="1574"/>
    </bk>
    <bk>
      <rc t="2" v="1575"/>
    </bk>
    <bk>
      <rc t="2" v="1576"/>
    </bk>
    <bk>
      <rc t="2" v="1577"/>
    </bk>
    <bk>
      <rc t="2" v="1578"/>
    </bk>
    <bk>
      <rc t="2" v="1579"/>
    </bk>
    <bk>
      <rc t="2" v="1580"/>
    </bk>
    <bk>
      <rc t="2" v="1581"/>
    </bk>
    <bk>
      <rc t="2" v="1582"/>
    </bk>
    <bk>
      <rc t="2" v="1583"/>
    </bk>
    <bk>
      <rc t="2" v="1584"/>
    </bk>
    <bk>
      <rc t="2" v="1585"/>
    </bk>
    <bk>
      <rc t="2" v="1586"/>
    </bk>
    <bk>
      <rc t="2" v="1587"/>
    </bk>
    <bk>
      <rc t="2" v="1588"/>
    </bk>
    <bk>
      <rc t="2" v="1589"/>
    </bk>
    <bk>
      <rc t="2" v="1590"/>
    </bk>
    <bk>
      <rc t="2" v="1591"/>
    </bk>
    <bk>
      <rc t="2" v="1592"/>
    </bk>
    <bk>
      <rc t="2" v="1593"/>
    </bk>
    <bk>
      <rc t="2" v="1594"/>
    </bk>
    <bk>
      <rc t="2" v="1595"/>
    </bk>
    <bk>
      <rc t="2" v="1596"/>
    </bk>
    <bk>
      <rc t="2" v="1597"/>
    </bk>
    <bk>
      <rc t="2" v="1598"/>
    </bk>
    <bk>
      <rc t="2" v="1599"/>
    </bk>
    <bk>
      <rc t="2" v="1600"/>
    </bk>
    <bk>
      <rc t="2" v="1601"/>
    </bk>
    <bk>
      <rc t="2" v="1602"/>
    </bk>
    <bk>
      <rc t="2" v="1603"/>
    </bk>
    <bk>
      <rc t="2" v="1604"/>
    </bk>
    <bk>
      <rc t="2" v="1605"/>
    </bk>
    <bk>
      <rc t="2" v="1606"/>
    </bk>
    <bk>
      <rc t="2" v="1607"/>
    </bk>
    <bk>
      <rc t="2" v="1608"/>
    </bk>
    <bk>
      <rc t="2" v="1609"/>
    </bk>
    <bk>
      <rc t="2" v="1610"/>
    </bk>
    <bk>
      <rc t="2" v="1611"/>
    </bk>
    <bk>
      <rc t="2" v="1612"/>
    </bk>
    <bk>
      <rc t="2" v="1613"/>
    </bk>
    <bk>
      <rc t="2" v="1614"/>
    </bk>
    <bk>
      <rc t="2" v="1615"/>
    </bk>
    <bk>
      <rc t="2" v="1616"/>
    </bk>
    <bk>
      <rc t="2" v="1617"/>
    </bk>
    <bk>
      <rc t="2" v="1618"/>
    </bk>
    <bk>
      <rc t="2" v="1619"/>
    </bk>
    <bk>
      <rc t="2" v="1620"/>
    </bk>
    <bk>
      <rc t="2" v="1621"/>
    </bk>
    <bk>
      <rc t="2" v="1622"/>
    </bk>
    <bk>
      <rc t="2" v="1623"/>
    </bk>
    <bk>
      <rc t="2" v="1624"/>
    </bk>
    <bk>
      <rc t="2" v="1625"/>
    </bk>
    <bk>
      <rc t="2" v="1626"/>
    </bk>
    <bk>
      <rc t="2" v="1627"/>
    </bk>
    <bk>
      <rc t="2" v="1628"/>
    </bk>
    <bk>
      <rc t="2" v="1629"/>
    </bk>
    <bk>
      <rc t="2" v="1630"/>
    </bk>
    <bk>
      <rc t="2" v="1631"/>
    </bk>
    <bk>
      <rc t="2" v="1632"/>
    </bk>
    <bk>
      <rc t="2" v="1633"/>
    </bk>
    <bk>
      <rc t="2" v="1634"/>
    </bk>
    <bk>
      <rc t="2" v="1635"/>
    </bk>
    <bk>
      <rc t="2" v="1636"/>
    </bk>
    <bk>
      <rc t="2" v="1637"/>
    </bk>
    <bk>
      <rc t="2" v="1638"/>
    </bk>
    <bk>
      <rc t="2" v="1639"/>
    </bk>
    <bk>
      <rc t="2" v="1640"/>
    </bk>
    <bk>
      <rc t="2" v="1641"/>
    </bk>
    <bk>
      <rc t="2" v="1642"/>
    </bk>
    <bk>
      <rc t="2" v="1643"/>
    </bk>
    <bk>
      <rc t="2" v="1644"/>
    </bk>
    <bk>
      <rc t="2" v="1645"/>
    </bk>
    <bk>
      <rc t="2" v="1646"/>
    </bk>
    <bk>
      <rc t="2" v="1647"/>
    </bk>
    <bk>
      <rc t="2" v="1648"/>
    </bk>
    <bk>
      <rc t="2" v="1649"/>
    </bk>
    <bk>
      <rc t="2" v="1650"/>
    </bk>
    <bk>
      <rc t="2" v="1651"/>
    </bk>
    <bk>
      <rc t="2" v="1652"/>
    </bk>
    <bk>
      <rc t="2" v="1653"/>
    </bk>
    <bk>
      <rc t="2" v="1654"/>
    </bk>
    <bk>
      <rc t="2" v="1655"/>
    </bk>
    <bk>
      <rc t="2" v="1656"/>
    </bk>
    <bk>
      <rc t="2" v="1657"/>
    </bk>
    <bk>
      <rc t="2" v="1658"/>
    </bk>
    <bk>
      <rc t="2" v="1659"/>
    </bk>
    <bk>
      <rc t="2" v="1660"/>
    </bk>
    <bk>
      <rc t="2" v="1661"/>
    </bk>
    <bk>
      <rc t="2" v="1662"/>
    </bk>
    <bk>
      <rc t="2" v="1663"/>
    </bk>
    <bk>
      <rc t="2" v="1664"/>
    </bk>
    <bk>
      <rc t="2" v="1665"/>
    </bk>
    <bk>
      <rc t="2" v="1666"/>
    </bk>
    <bk>
      <rc t="2" v="1667"/>
    </bk>
    <bk>
      <rc t="2" v="1668"/>
    </bk>
    <bk>
      <rc t="2" v="1669"/>
    </bk>
    <bk>
      <rc t="2" v="1670"/>
    </bk>
    <bk>
      <rc t="2" v="1671"/>
    </bk>
    <bk>
      <rc t="2" v="1672"/>
    </bk>
    <bk>
      <rc t="2" v="1673"/>
    </bk>
    <bk>
      <rc t="2" v="1674"/>
    </bk>
    <bk>
      <rc t="2" v="1675"/>
    </bk>
    <bk>
      <rc t="2" v="1676"/>
    </bk>
    <bk>
      <rc t="2" v="1677"/>
    </bk>
    <bk>
      <rc t="2" v="1678"/>
    </bk>
    <bk>
      <rc t="2" v="1679"/>
    </bk>
    <bk>
      <rc t="2" v="1680"/>
    </bk>
    <bk>
      <rc t="2" v="1681"/>
    </bk>
    <bk>
      <rc t="2" v="1682"/>
    </bk>
    <bk>
      <rc t="2" v="1683"/>
    </bk>
    <bk>
      <rc t="2" v="1684"/>
    </bk>
    <bk>
      <rc t="2" v="1685"/>
    </bk>
    <bk>
      <rc t="2" v="1686"/>
    </bk>
    <bk>
      <rc t="2" v="1687"/>
    </bk>
    <bk>
      <rc t="2" v="1688"/>
    </bk>
    <bk>
      <rc t="2" v="1689"/>
    </bk>
    <bk>
      <rc t="2" v="1690"/>
    </bk>
    <bk>
      <rc t="2" v="1691"/>
    </bk>
    <bk>
      <rc t="2" v="1692"/>
    </bk>
    <bk>
      <rc t="2" v="1693"/>
    </bk>
    <bk>
      <rc t="2" v="1694"/>
    </bk>
    <bk>
      <rc t="2" v="1695"/>
    </bk>
    <bk>
      <rc t="2" v="1696"/>
    </bk>
    <bk>
      <rc t="2" v="1697"/>
    </bk>
    <bk>
      <rc t="2" v="1698"/>
    </bk>
    <bk>
      <rc t="2" v="1699"/>
    </bk>
    <bk>
      <rc t="2" v="1700"/>
    </bk>
    <bk>
      <rc t="2" v="1701"/>
    </bk>
    <bk>
      <rc t="2" v="1702"/>
    </bk>
    <bk>
      <rc t="2" v="1703"/>
    </bk>
    <bk>
      <rc t="2" v="1704"/>
    </bk>
    <bk>
      <rc t="2" v="1705"/>
    </bk>
    <bk>
      <rc t="2" v="1706"/>
    </bk>
    <bk>
      <rc t="2" v="1707"/>
    </bk>
    <bk>
      <rc t="2" v="1708"/>
    </bk>
    <bk>
      <rc t="2" v="1709"/>
    </bk>
    <bk>
      <rc t="2" v="1710"/>
    </bk>
    <bk>
      <rc t="2" v="1711"/>
    </bk>
    <bk>
      <rc t="2" v="1712"/>
    </bk>
    <bk>
      <rc t="2" v="1713"/>
    </bk>
    <bk>
      <rc t="2" v="1714"/>
    </bk>
    <bk>
      <rc t="2" v="1715"/>
    </bk>
    <bk>
      <rc t="2" v="1716"/>
    </bk>
    <bk>
      <rc t="2" v="1717"/>
    </bk>
    <bk>
      <rc t="2" v="1718"/>
    </bk>
    <bk>
      <rc t="2" v="1719"/>
    </bk>
    <bk>
      <rc t="2" v="1720"/>
    </bk>
    <bk>
      <rc t="2" v="1721"/>
    </bk>
    <bk>
      <rc t="2" v="1722"/>
    </bk>
    <bk>
      <rc t="2" v="1723"/>
    </bk>
    <bk>
      <rc t="2" v="1724"/>
    </bk>
    <bk>
      <rc t="2" v="1725"/>
    </bk>
    <bk>
      <rc t="2" v="1726"/>
    </bk>
    <bk>
      <rc t="2" v="1727"/>
    </bk>
    <bk>
      <rc t="2" v="1728"/>
    </bk>
    <bk>
      <rc t="2" v="1729"/>
    </bk>
    <bk>
      <rc t="2" v="1730"/>
    </bk>
    <bk>
      <rc t="2" v="1731"/>
    </bk>
    <bk>
      <rc t="2" v="1732"/>
    </bk>
    <bk>
      <rc t="2" v="1733"/>
    </bk>
    <bk>
      <rc t="2" v="1734"/>
    </bk>
    <bk>
      <rc t="2" v="1735"/>
    </bk>
    <bk>
      <rc t="2" v="1736"/>
    </bk>
    <bk>
      <rc t="2" v="1737"/>
    </bk>
    <bk>
      <rc t="2" v="1738"/>
    </bk>
    <bk>
      <rc t="2" v="1739"/>
    </bk>
    <bk>
      <rc t="2" v="1740"/>
    </bk>
    <bk>
      <rc t="2" v="1741"/>
    </bk>
    <bk>
      <rc t="2" v="1742"/>
    </bk>
    <bk>
      <rc t="2" v="1743"/>
    </bk>
    <bk>
      <rc t="2" v="1744"/>
    </bk>
    <bk>
      <rc t="2" v="1745"/>
    </bk>
    <bk>
      <rc t="2" v="1746"/>
    </bk>
    <bk>
      <rc t="2" v="1747"/>
    </bk>
    <bk>
      <rc t="2" v="1748"/>
    </bk>
    <bk>
      <rc t="2" v="1749"/>
    </bk>
    <bk>
      <rc t="2" v="1750"/>
    </bk>
    <bk>
      <rc t="2" v="1751"/>
    </bk>
    <bk>
      <rc t="2" v="1752"/>
    </bk>
    <bk>
      <rc t="2" v="1753"/>
    </bk>
    <bk>
      <rc t="2" v="1754"/>
    </bk>
    <bk>
      <rc t="2" v="1755"/>
    </bk>
    <bk>
      <rc t="2" v="1756"/>
    </bk>
    <bk>
      <rc t="2" v="1757"/>
    </bk>
    <bk>
      <rc t="2" v="1758"/>
    </bk>
    <bk>
      <rc t="2" v="1759"/>
    </bk>
    <bk>
      <rc t="2" v="1760"/>
    </bk>
    <bk>
      <rc t="2" v="1761"/>
    </bk>
    <bk>
      <rc t="2" v="1762"/>
    </bk>
    <bk>
      <rc t="2" v="1763"/>
    </bk>
    <bk>
      <rc t="2" v="1764"/>
    </bk>
    <bk>
      <rc t="2" v="1765"/>
    </bk>
    <bk>
      <rc t="2" v="1766"/>
    </bk>
    <bk>
      <rc t="2" v="1767"/>
    </bk>
    <bk>
      <rc t="2" v="1768"/>
    </bk>
    <bk>
      <rc t="2" v="1769"/>
    </bk>
    <bk>
      <rc t="2" v="1770"/>
    </bk>
    <bk>
      <rc t="2" v="1771"/>
    </bk>
    <bk>
      <rc t="2" v="1772"/>
    </bk>
    <bk>
      <rc t="2" v="1773"/>
    </bk>
    <bk>
      <rc t="2" v="1774"/>
    </bk>
    <bk>
      <rc t="2" v="1775"/>
    </bk>
    <bk>
      <rc t="2" v="1776"/>
    </bk>
    <bk>
      <rc t="2" v="1777"/>
    </bk>
    <bk>
      <rc t="2" v="1778"/>
    </bk>
    <bk>
      <rc t="2" v="1779"/>
    </bk>
    <bk>
      <rc t="2" v="1780"/>
    </bk>
    <bk>
      <rc t="2" v="1781"/>
    </bk>
    <bk>
      <rc t="2" v="1782"/>
    </bk>
    <bk>
      <rc t="2" v="1783"/>
    </bk>
    <bk>
      <rc t="2" v="1784"/>
    </bk>
    <bk>
      <rc t="2" v="1785"/>
    </bk>
    <bk>
      <rc t="2" v="1786"/>
    </bk>
    <bk>
      <rc t="2" v="1787"/>
    </bk>
    <bk>
      <rc t="2" v="1788"/>
    </bk>
    <bk>
      <rc t="2" v="1789"/>
    </bk>
    <bk>
      <rc t="2" v="1790"/>
    </bk>
    <bk>
      <rc t="2" v="1791"/>
    </bk>
    <bk>
      <rc t="2" v="1792"/>
    </bk>
    <bk>
      <rc t="2" v="1793"/>
    </bk>
    <bk>
      <rc t="2" v="1794"/>
    </bk>
    <bk>
      <rc t="2" v="1795"/>
    </bk>
    <bk>
      <rc t="2" v="1796"/>
    </bk>
    <bk>
      <rc t="2" v="1797"/>
    </bk>
    <bk>
      <rc t="2" v="1798"/>
    </bk>
    <bk>
      <rc t="2" v="1799"/>
    </bk>
    <bk>
      <rc t="2" v="1800"/>
    </bk>
    <bk>
      <rc t="2" v="1801"/>
    </bk>
    <bk>
      <rc t="2" v="1802"/>
    </bk>
    <bk>
      <rc t="2" v="1803"/>
    </bk>
    <bk>
      <rc t="2" v="1804"/>
    </bk>
    <bk>
      <rc t="2" v="1805"/>
    </bk>
    <bk>
      <rc t="2" v="1806"/>
    </bk>
    <bk>
      <rc t="2" v="1807"/>
    </bk>
    <bk>
      <rc t="2" v="1808"/>
    </bk>
    <bk>
      <rc t="2" v="1809"/>
    </bk>
    <bk>
      <rc t="2" v="1810"/>
    </bk>
    <bk>
      <rc t="2" v="1811"/>
    </bk>
    <bk>
      <rc t="2" v="1812"/>
    </bk>
    <bk>
      <rc t="2" v="1813"/>
    </bk>
    <bk>
      <rc t="2" v="1814"/>
    </bk>
    <bk>
      <rc t="2" v="1815"/>
    </bk>
    <bk>
      <rc t="2" v="1816"/>
    </bk>
    <bk>
      <rc t="2" v="1817"/>
    </bk>
    <bk>
      <rc t="2" v="1818"/>
    </bk>
    <bk>
      <rc t="2" v="1819"/>
    </bk>
    <bk>
      <rc t="2" v="1820"/>
    </bk>
    <bk>
      <rc t="2" v="1821"/>
    </bk>
    <bk>
      <rc t="2" v="1822"/>
    </bk>
    <bk>
      <rc t="2" v="1823"/>
    </bk>
    <bk>
      <rc t="2" v="1824"/>
    </bk>
    <bk>
      <rc t="2" v="1825"/>
    </bk>
    <bk>
      <rc t="2" v="1826"/>
    </bk>
    <bk>
      <rc t="2" v="1827"/>
    </bk>
    <bk>
      <rc t="2" v="1828"/>
    </bk>
    <bk>
      <rc t="2" v="1829"/>
    </bk>
    <bk>
      <rc t="2" v="1830"/>
    </bk>
    <bk>
      <rc t="2" v="1831"/>
    </bk>
    <bk>
      <rc t="2" v="1832"/>
    </bk>
    <bk>
      <rc t="2" v="1833"/>
    </bk>
    <bk>
      <rc t="2" v="1834"/>
    </bk>
    <bk>
      <rc t="2" v="1835"/>
    </bk>
    <bk>
      <rc t="2" v="1836"/>
    </bk>
    <bk>
      <rc t="2" v="1837"/>
    </bk>
    <bk>
      <rc t="2" v="1838"/>
    </bk>
    <bk>
      <rc t="2" v="1839"/>
    </bk>
    <bk>
      <rc t="2" v="1840"/>
    </bk>
    <bk>
      <rc t="2" v="1841"/>
    </bk>
    <bk>
      <rc t="2" v="1842"/>
    </bk>
    <bk>
      <rc t="2" v="1843"/>
    </bk>
    <bk>
      <rc t="2" v="1844"/>
    </bk>
    <bk>
      <rc t="2" v="1845"/>
    </bk>
    <bk>
      <rc t="2" v="1846"/>
    </bk>
    <bk>
      <rc t="2" v="1847"/>
    </bk>
    <bk>
      <rc t="2" v="1848"/>
    </bk>
    <bk>
      <rc t="2" v="1849"/>
    </bk>
    <bk>
      <rc t="2" v="1850"/>
    </bk>
    <bk>
      <rc t="2" v="1851"/>
    </bk>
    <bk>
      <rc t="2" v="1852"/>
    </bk>
    <bk>
      <rc t="2" v="1853"/>
    </bk>
    <bk>
      <rc t="2" v="1854"/>
    </bk>
    <bk>
      <rc t="2" v="1855"/>
    </bk>
    <bk>
      <rc t="2" v="1856"/>
    </bk>
    <bk>
      <rc t="2" v="1857"/>
    </bk>
    <bk>
      <rc t="2" v="1858"/>
    </bk>
    <bk>
      <rc t="2" v="1859"/>
    </bk>
    <bk>
      <rc t="2" v="1860"/>
    </bk>
    <bk>
      <rc t="2" v="1861"/>
    </bk>
    <bk>
      <rc t="2" v="1862"/>
    </bk>
    <bk>
      <rc t="2" v="1863"/>
    </bk>
    <bk>
      <rc t="2" v="1864"/>
    </bk>
    <bk>
      <rc t="2" v="1865"/>
    </bk>
    <bk>
      <rc t="2" v="1866"/>
    </bk>
    <bk>
      <rc t="2" v="1867"/>
    </bk>
    <bk>
      <rc t="2" v="1868"/>
    </bk>
    <bk>
      <rc t="2" v="1869"/>
    </bk>
    <bk>
      <rc t="2" v="1870"/>
    </bk>
    <bk>
      <rc t="2" v="1871"/>
    </bk>
    <bk>
      <rc t="2" v="1872"/>
    </bk>
    <bk>
      <rc t="2" v="1873"/>
    </bk>
    <bk>
      <rc t="2" v="1874"/>
    </bk>
    <bk>
      <rc t="2" v="1875"/>
    </bk>
    <bk>
      <rc t="2" v="1876"/>
    </bk>
    <bk>
      <rc t="2" v="1877"/>
    </bk>
    <bk>
      <rc t="2" v="1878"/>
    </bk>
    <bk>
      <rc t="2" v="1879"/>
    </bk>
    <bk>
      <rc t="2" v="1880"/>
    </bk>
    <bk>
      <rc t="2" v="1881"/>
    </bk>
    <bk>
      <rc t="2" v="1882"/>
    </bk>
    <bk>
      <rc t="2" v="1883"/>
    </bk>
    <bk>
      <rc t="2" v="1884"/>
    </bk>
    <bk>
      <rc t="2" v="1885"/>
    </bk>
    <bk>
      <rc t="2" v="1886"/>
    </bk>
    <bk>
      <rc t="2" v="1887"/>
    </bk>
    <bk>
      <rc t="2" v="1888"/>
    </bk>
    <bk>
      <rc t="2" v="1889"/>
    </bk>
    <bk>
      <rc t="2" v="1890"/>
    </bk>
    <bk>
      <rc t="2" v="1891"/>
    </bk>
    <bk>
      <rc t="2" v="1892"/>
    </bk>
    <bk>
      <rc t="2" v="1893"/>
    </bk>
    <bk>
      <rc t="2" v="1894"/>
    </bk>
    <bk>
      <rc t="2" v="1895"/>
    </bk>
    <bk>
      <rc t="2" v="1896"/>
    </bk>
    <bk>
      <rc t="2" v="1897"/>
    </bk>
    <bk>
      <rc t="2" v="1898"/>
    </bk>
    <bk>
      <rc t="2" v="1899"/>
    </bk>
    <bk>
      <rc t="2" v="1900"/>
    </bk>
    <bk>
      <rc t="2" v="1901"/>
    </bk>
    <bk>
      <rc t="2" v="1902"/>
    </bk>
    <bk>
      <rc t="2" v="1903"/>
    </bk>
    <bk>
      <rc t="2" v="1904"/>
    </bk>
    <bk>
      <rc t="2" v="1905"/>
    </bk>
    <bk>
      <rc t="2" v="1906"/>
    </bk>
    <bk>
      <rc t="2" v="1907"/>
    </bk>
    <bk>
      <rc t="2" v="1908"/>
    </bk>
    <bk>
      <rc t="2" v="1909"/>
    </bk>
    <bk>
      <rc t="2" v="1910"/>
    </bk>
    <bk>
      <rc t="2" v="1911"/>
    </bk>
    <bk>
      <rc t="2" v="1912"/>
    </bk>
    <bk>
      <rc t="2" v="1913"/>
    </bk>
    <bk>
      <rc t="2" v="1914"/>
    </bk>
    <bk>
      <rc t="2" v="1915"/>
    </bk>
    <bk>
      <rc t="2" v="1916"/>
    </bk>
    <bk>
      <rc t="2" v="1917"/>
    </bk>
    <bk>
      <rc t="2" v="1918"/>
    </bk>
    <bk>
      <rc t="2" v="1919"/>
    </bk>
    <bk>
      <rc t="2" v="1920"/>
    </bk>
    <bk>
      <rc t="2" v="1921"/>
    </bk>
    <bk>
      <rc t="2" v="1922"/>
    </bk>
    <bk>
      <rc t="2" v="1923"/>
    </bk>
    <bk>
      <rc t="2" v="1924"/>
    </bk>
    <bk>
      <rc t="2" v="1925"/>
    </bk>
    <bk>
      <rc t="2" v="1926"/>
    </bk>
    <bk>
      <rc t="2" v="1927"/>
    </bk>
    <bk>
      <rc t="2" v="1928"/>
    </bk>
    <bk>
      <rc t="2" v="1929"/>
    </bk>
    <bk>
      <rc t="2" v="1930"/>
    </bk>
    <bk>
      <rc t="2" v="1931"/>
    </bk>
    <bk>
      <rc t="2" v="1932"/>
    </bk>
    <bk>
      <rc t="2" v="1933"/>
    </bk>
    <bk>
      <rc t="2" v="1934"/>
    </bk>
    <bk>
      <rc t="2" v="1935"/>
    </bk>
    <bk>
      <rc t="2" v="1936"/>
    </bk>
    <bk>
      <rc t="2" v="1937"/>
    </bk>
    <bk>
      <rc t="2" v="1938"/>
    </bk>
    <bk>
      <rc t="2" v="1939"/>
    </bk>
    <bk>
      <rc t="2" v="1940"/>
    </bk>
    <bk>
      <rc t="2" v="1941"/>
    </bk>
    <bk>
      <rc t="2" v="1942"/>
    </bk>
    <bk>
      <rc t="2" v="1943"/>
    </bk>
    <bk>
      <rc t="2" v="1944"/>
    </bk>
    <bk>
      <rc t="2" v="1945"/>
    </bk>
    <bk>
      <rc t="2" v="1946"/>
    </bk>
    <bk>
      <rc t="2" v="1947"/>
    </bk>
    <bk>
      <rc t="2" v="1948"/>
    </bk>
    <bk>
      <rc t="2" v="1949"/>
    </bk>
    <bk>
      <rc t="2" v="1950"/>
    </bk>
    <bk>
      <rc t="2" v="1951"/>
    </bk>
    <bk>
      <rc t="2" v="1952"/>
    </bk>
    <bk>
      <rc t="2" v="1953"/>
    </bk>
    <bk>
      <rc t="2" v="1954"/>
    </bk>
    <bk>
      <rc t="2" v="1955"/>
    </bk>
    <bk>
      <rc t="2" v="1956"/>
    </bk>
    <bk>
      <rc t="2" v="1957"/>
    </bk>
    <bk>
      <rc t="2" v="1958"/>
    </bk>
    <bk>
      <rc t="2" v="1959"/>
    </bk>
    <bk>
      <rc t="2" v="1960"/>
    </bk>
    <bk>
      <rc t="2" v="1961"/>
    </bk>
    <bk>
      <rc t="2" v="1962"/>
    </bk>
    <bk>
      <rc t="2" v="1963"/>
    </bk>
    <bk>
      <rc t="2" v="1964"/>
    </bk>
    <bk>
      <rc t="2" v="1965"/>
    </bk>
    <bk>
      <rc t="2" v="1966"/>
    </bk>
    <bk>
      <rc t="2" v="1967"/>
    </bk>
    <bk>
      <rc t="2" v="1968"/>
    </bk>
    <bk>
      <rc t="2" v="1969"/>
    </bk>
    <bk>
      <rc t="2" v="1970"/>
    </bk>
    <bk>
      <rc t="2" v="1971"/>
    </bk>
    <bk>
      <rc t="2" v="1972"/>
    </bk>
    <bk>
      <rc t="2" v="1973"/>
    </bk>
    <bk>
      <rc t="2" v="1974"/>
    </bk>
    <bk>
      <rc t="2" v="1975"/>
    </bk>
    <bk>
      <rc t="2" v="1976"/>
    </bk>
    <bk>
      <rc t="2" v="1977"/>
    </bk>
    <bk>
      <rc t="2" v="1978"/>
    </bk>
    <bk>
      <rc t="2" v="1979"/>
    </bk>
    <bk>
      <rc t="2" v="1980"/>
    </bk>
    <bk>
      <rc t="2" v="1981"/>
    </bk>
    <bk>
      <rc t="2" v="1982"/>
    </bk>
    <bk>
      <rc t="2" v="1983"/>
    </bk>
    <bk>
      <rc t="2" v="1984"/>
    </bk>
    <bk>
      <rc t="2" v="1985"/>
    </bk>
    <bk>
      <rc t="2" v="1986"/>
    </bk>
    <bk>
      <rc t="2" v="1987"/>
    </bk>
    <bk>
      <rc t="2" v="1988"/>
    </bk>
    <bk>
      <rc t="2" v="1989"/>
    </bk>
    <bk>
      <rc t="2" v="1990"/>
    </bk>
    <bk>
      <rc t="2" v="1991"/>
    </bk>
    <bk>
      <rc t="2" v="1992"/>
    </bk>
    <bk>
      <rc t="2" v="1993"/>
    </bk>
    <bk>
      <rc t="2" v="1994"/>
    </bk>
    <bk>
      <rc t="2" v="1995"/>
    </bk>
    <bk>
      <rc t="2" v="1996"/>
    </bk>
    <bk>
      <rc t="2" v="1997"/>
    </bk>
    <bk>
      <rc t="2" v="1998"/>
    </bk>
    <bk>
      <rc t="2" v="1999"/>
    </bk>
    <bk>
      <rc t="2" v="2000"/>
    </bk>
    <bk>
      <rc t="2" v="2001"/>
    </bk>
    <bk>
      <rc t="2" v="2002"/>
    </bk>
    <bk>
      <rc t="2" v="2003"/>
    </bk>
    <bk>
      <rc t="2" v="2004"/>
    </bk>
    <bk>
      <rc t="2" v="2005"/>
    </bk>
    <bk>
      <rc t="2" v="2006"/>
    </bk>
    <bk>
      <rc t="2" v="2007"/>
    </bk>
    <bk>
      <rc t="2" v="2008"/>
    </bk>
    <bk>
      <rc t="2" v="2009"/>
    </bk>
    <bk>
      <rc t="2" v="2010"/>
    </bk>
    <bk>
      <rc t="2" v="2011"/>
    </bk>
    <bk>
      <rc t="2" v="2012"/>
    </bk>
    <bk>
      <rc t="2" v="2013"/>
    </bk>
    <bk>
      <rc t="2" v="2014"/>
    </bk>
    <bk>
      <rc t="2" v="2015"/>
    </bk>
    <bk>
      <rc t="2" v="2016"/>
    </bk>
    <bk>
      <rc t="2" v="2017"/>
    </bk>
    <bk>
      <rc t="2" v="2018"/>
    </bk>
    <bk>
      <rc t="2" v="2019"/>
    </bk>
    <bk>
      <rc t="2" v="2020"/>
    </bk>
    <bk>
      <rc t="2" v="2021"/>
    </bk>
    <bk>
      <rc t="2" v="2022"/>
    </bk>
    <bk>
      <rc t="2" v="2023"/>
    </bk>
    <bk>
      <rc t="2" v="2024"/>
    </bk>
    <bk>
      <rc t="2" v="2025"/>
    </bk>
    <bk>
      <rc t="2" v="2026"/>
    </bk>
    <bk>
      <rc t="2" v="2027"/>
    </bk>
    <bk>
      <rc t="2" v="2028"/>
    </bk>
    <bk>
      <rc t="2" v="2029"/>
    </bk>
    <bk>
      <rc t="2" v="2030"/>
    </bk>
    <bk>
      <rc t="2" v="2031"/>
    </bk>
    <bk>
      <rc t="2" v="2032"/>
    </bk>
    <bk>
      <rc t="2" v="2033"/>
    </bk>
    <bk>
      <rc t="2" v="2034"/>
    </bk>
    <bk>
      <rc t="2" v="2035"/>
    </bk>
    <bk>
      <rc t="2" v="2036"/>
    </bk>
    <bk>
      <rc t="2" v="2037"/>
    </bk>
    <bk>
      <rc t="2" v="2038"/>
    </bk>
    <bk>
      <rc t="2" v="2039"/>
    </bk>
    <bk>
      <rc t="2" v="2040"/>
    </bk>
    <bk>
      <rc t="2" v="2041"/>
    </bk>
    <bk>
      <rc t="2" v="2042"/>
    </bk>
    <bk>
      <rc t="2" v="2043"/>
    </bk>
    <bk>
      <rc t="2" v="2044"/>
    </bk>
    <bk>
      <rc t="2" v="2045"/>
    </bk>
    <bk>
      <rc t="2" v="2046"/>
    </bk>
    <bk>
      <rc t="2" v="2047"/>
    </bk>
    <bk>
      <rc t="2" v="2048"/>
    </bk>
    <bk>
      <rc t="2" v="2049"/>
    </bk>
    <bk>
      <rc t="2" v="2050"/>
    </bk>
    <bk>
      <rc t="2" v="2051"/>
    </bk>
    <bk>
      <rc t="2" v="2052"/>
    </bk>
    <bk>
      <rc t="2" v="2053"/>
    </bk>
    <bk>
      <rc t="2" v="2054"/>
    </bk>
    <bk>
      <rc t="2" v="2055"/>
    </bk>
    <bk>
      <rc t="2" v="2056"/>
    </bk>
    <bk>
      <rc t="2" v="2057"/>
    </bk>
    <bk>
      <rc t="2" v="2058"/>
    </bk>
    <bk>
      <rc t="2" v="2059"/>
    </bk>
    <bk>
      <rc t="2" v="2060"/>
    </bk>
    <bk>
      <rc t="2" v="2061"/>
    </bk>
    <bk>
      <rc t="2" v="2062"/>
    </bk>
    <bk>
      <rc t="2" v="2063"/>
    </bk>
    <bk>
      <rc t="2" v="2064"/>
    </bk>
    <bk>
      <rc t="2" v="2065"/>
    </bk>
    <bk>
      <rc t="2" v="2066"/>
    </bk>
    <bk>
      <rc t="2" v="2067"/>
    </bk>
    <bk>
      <rc t="2" v="2068"/>
    </bk>
    <bk>
      <rc t="2" v="2069"/>
    </bk>
    <bk>
      <rc t="2" v="2070"/>
    </bk>
    <bk>
      <rc t="2" v="2071"/>
    </bk>
    <bk>
      <rc t="2" v="2072"/>
    </bk>
    <bk>
      <rc t="2" v="2073"/>
    </bk>
    <bk>
      <rc t="2" v="2074"/>
    </bk>
    <bk>
      <rc t="2" v="2075"/>
    </bk>
    <bk>
      <rc t="2" v="2076"/>
    </bk>
    <bk>
      <rc t="2" v="2077"/>
    </bk>
    <bk>
      <rc t="2" v="2078"/>
    </bk>
    <bk>
      <rc t="2" v="2079"/>
    </bk>
    <bk>
      <rc t="2" v="2080"/>
    </bk>
    <bk>
      <rc t="2" v="2081"/>
    </bk>
    <bk>
      <rc t="2" v="2082"/>
    </bk>
    <bk>
      <rc t="2" v="2083"/>
    </bk>
    <bk>
      <rc t="2" v="2084"/>
    </bk>
    <bk>
      <rc t="2" v="2085"/>
    </bk>
    <bk>
      <rc t="2" v="2086"/>
    </bk>
    <bk>
      <rc t="2" v="2087"/>
    </bk>
    <bk>
      <rc t="2" v="2088"/>
    </bk>
    <bk>
      <rc t="2" v="2089"/>
    </bk>
    <bk>
      <rc t="2" v="2090"/>
    </bk>
    <bk>
      <rc t="2" v="2091"/>
    </bk>
    <bk>
      <rc t="2" v="2092"/>
    </bk>
    <bk>
      <rc t="2" v="2093"/>
    </bk>
    <bk>
      <rc t="2" v="2094"/>
    </bk>
    <bk>
      <rc t="2" v="2095"/>
    </bk>
    <bk>
      <rc t="2" v="2096"/>
    </bk>
    <bk>
      <rc t="2" v="2097"/>
    </bk>
    <bk>
      <rc t="2" v="2098"/>
    </bk>
    <bk>
      <rc t="2" v="2099"/>
    </bk>
    <bk>
      <rc t="2" v="2100"/>
    </bk>
    <bk>
      <rc t="2" v="2101"/>
    </bk>
    <bk>
      <rc t="2" v="2102"/>
    </bk>
    <bk>
      <rc t="2" v="2103"/>
    </bk>
    <bk>
      <rc t="2" v="2104"/>
    </bk>
    <bk>
      <rc t="2" v="2105"/>
    </bk>
    <bk>
      <rc t="2" v="2106"/>
    </bk>
    <bk>
      <rc t="2" v="2107"/>
    </bk>
    <bk>
      <rc t="2" v="2108"/>
    </bk>
    <bk>
      <rc t="2" v="2109"/>
    </bk>
    <bk>
      <rc t="2" v="2110"/>
    </bk>
    <bk>
      <rc t="2" v="2111"/>
    </bk>
    <bk>
      <rc t="2" v="2112"/>
    </bk>
    <bk>
      <rc t="2" v="2113"/>
    </bk>
    <bk>
      <rc t="2" v="2114"/>
    </bk>
    <bk>
      <rc t="2" v="2115"/>
    </bk>
    <bk>
      <rc t="2" v="2116"/>
    </bk>
    <bk>
      <rc t="2" v="2117"/>
    </bk>
    <bk>
      <rc t="2" v="2118"/>
    </bk>
    <bk>
      <rc t="2" v="2119"/>
    </bk>
    <bk>
      <rc t="2" v="2120"/>
    </bk>
    <bk>
      <rc t="2" v="2121"/>
    </bk>
    <bk>
      <rc t="2" v="2122"/>
    </bk>
    <bk>
      <rc t="2" v="2123"/>
    </bk>
    <bk>
      <rc t="2" v="2124"/>
    </bk>
    <bk>
      <rc t="2" v="2125"/>
    </bk>
    <bk>
      <rc t="2" v="2126"/>
    </bk>
    <bk>
      <rc t="2" v="2127"/>
    </bk>
    <bk>
      <rc t="2" v="2128"/>
    </bk>
    <bk>
      <rc t="2" v="2129"/>
    </bk>
    <bk>
      <rc t="2" v="2130"/>
    </bk>
    <bk>
      <rc t="2" v="2131"/>
    </bk>
    <bk>
      <rc t="2" v="2132"/>
    </bk>
    <bk>
      <rc t="2" v="2133"/>
    </bk>
    <bk>
      <rc t="2" v="2134"/>
    </bk>
    <bk>
      <rc t="2" v="2135"/>
    </bk>
    <bk>
      <rc t="2" v="2136"/>
    </bk>
    <bk>
      <rc t="2" v="2137"/>
    </bk>
    <bk>
      <rc t="2" v="2138"/>
    </bk>
    <bk>
      <rc t="2" v="2139"/>
    </bk>
    <bk>
      <rc t="2" v="2140"/>
    </bk>
    <bk>
      <rc t="2" v="2141"/>
    </bk>
    <bk>
      <rc t="2" v="2142"/>
    </bk>
    <bk>
      <rc t="2" v="2143"/>
    </bk>
    <bk>
      <rc t="2" v="2144"/>
    </bk>
    <bk>
      <rc t="2" v="2145"/>
    </bk>
    <bk>
      <rc t="2" v="2146"/>
    </bk>
    <bk>
      <rc t="2" v="2147"/>
    </bk>
    <bk>
      <rc t="2" v="2148"/>
    </bk>
    <bk>
      <rc t="2" v="2149"/>
    </bk>
    <bk>
      <rc t="2" v="2150"/>
    </bk>
    <bk>
      <rc t="2" v="2151"/>
    </bk>
    <bk>
      <rc t="2" v="2152"/>
    </bk>
    <bk>
      <rc t="2" v="2153"/>
    </bk>
    <bk>
      <rc t="2" v="2154"/>
    </bk>
    <bk>
      <rc t="2" v="2155"/>
    </bk>
    <bk>
      <rc t="2" v="2156"/>
    </bk>
    <bk>
      <rc t="2" v="2157"/>
    </bk>
    <bk>
      <rc t="2" v="2158"/>
    </bk>
    <bk>
      <rc t="2" v="2159"/>
    </bk>
    <bk>
      <rc t="2" v="2160"/>
    </bk>
    <bk>
      <rc t="2" v="2161"/>
    </bk>
    <bk>
      <rc t="2" v="2162"/>
    </bk>
    <bk>
      <rc t="2" v="2163"/>
    </bk>
    <bk>
      <rc t="2" v="2164"/>
    </bk>
    <bk>
      <rc t="2" v="2165"/>
    </bk>
    <bk>
      <rc t="2" v="2166"/>
    </bk>
    <bk>
      <rc t="2" v="2167"/>
    </bk>
    <bk>
      <rc t="2" v="2168"/>
    </bk>
    <bk>
      <rc t="2" v="2169"/>
    </bk>
    <bk>
      <rc t="2" v="2170"/>
    </bk>
    <bk>
      <rc t="2" v="2171"/>
    </bk>
    <bk>
      <rc t="2" v="2172"/>
    </bk>
    <bk>
      <rc t="2" v="2173"/>
    </bk>
    <bk>
      <rc t="2" v="2174"/>
    </bk>
    <bk>
      <rc t="2" v="2175"/>
    </bk>
    <bk>
      <rc t="2" v="2176"/>
    </bk>
    <bk>
      <rc t="2" v="2177"/>
    </bk>
    <bk>
      <rc t="2" v="2178"/>
    </bk>
    <bk>
      <rc t="2" v="2179"/>
    </bk>
    <bk>
      <rc t="2" v="2180"/>
    </bk>
    <bk>
      <rc t="2" v="2181"/>
    </bk>
    <bk>
      <rc t="2" v="2182"/>
    </bk>
    <bk>
      <rc t="2" v="2183"/>
    </bk>
    <bk>
      <rc t="2" v="2184"/>
    </bk>
    <bk>
      <rc t="2" v="2185"/>
    </bk>
    <bk>
      <rc t="2" v="2186"/>
    </bk>
    <bk>
      <rc t="2" v="2187"/>
    </bk>
    <bk>
      <rc t="2" v="2188"/>
    </bk>
    <bk>
      <rc t="2" v="2189"/>
    </bk>
    <bk>
      <rc t="2" v="2190"/>
    </bk>
    <bk>
      <rc t="2" v="2191"/>
    </bk>
    <bk>
      <rc t="2" v="2192"/>
    </bk>
    <bk>
      <rc t="2" v="2193"/>
    </bk>
    <bk>
      <rc t="2" v="2194"/>
    </bk>
    <bk>
      <rc t="2" v="2195"/>
    </bk>
    <bk>
      <rc t="2" v="2196"/>
    </bk>
    <bk>
      <rc t="2" v="2197"/>
    </bk>
    <bk>
      <rc t="2" v="2198"/>
    </bk>
    <bk>
      <rc t="2" v="2199"/>
    </bk>
    <bk>
      <rc t="2" v="2200"/>
    </bk>
    <bk>
      <rc t="2" v="2201"/>
    </bk>
    <bk>
      <rc t="2" v="2202"/>
    </bk>
    <bk>
      <rc t="2" v="2203"/>
    </bk>
    <bk>
      <rc t="2" v="2204"/>
    </bk>
    <bk>
      <rc t="2" v="2205"/>
    </bk>
    <bk>
      <rc t="2" v="2206"/>
    </bk>
    <bk>
      <rc t="2" v="2207"/>
    </bk>
    <bk>
      <rc t="2" v="2208"/>
    </bk>
    <bk>
      <rc t="2" v="2209"/>
    </bk>
    <bk>
      <rc t="2" v="2210"/>
    </bk>
    <bk>
      <rc t="2" v="2211"/>
    </bk>
    <bk>
      <rc t="2" v="2212"/>
    </bk>
    <bk>
      <rc t="2" v="2213"/>
    </bk>
    <bk>
      <rc t="2" v="2214"/>
    </bk>
    <bk>
      <rc t="2" v="2215"/>
    </bk>
    <bk>
      <rc t="2" v="2216"/>
    </bk>
    <bk>
      <rc t="2" v="2217"/>
    </bk>
    <bk>
      <rc t="2" v="2218"/>
    </bk>
    <bk>
      <rc t="2" v="2219"/>
    </bk>
    <bk>
      <rc t="2" v="2220"/>
    </bk>
    <bk>
      <rc t="2" v="2221"/>
    </bk>
    <bk>
      <rc t="2" v="2222"/>
    </bk>
    <bk>
      <rc t="2" v="2223"/>
    </bk>
    <bk>
      <rc t="2" v="2224"/>
    </bk>
    <bk>
      <rc t="2" v="2225"/>
    </bk>
    <bk>
      <rc t="2" v="2226"/>
    </bk>
    <bk>
      <rc t="2" v="2227"/>
    </bk>
    <bk>
      <rc t="2" v="2228"/>
    </bk>
    <bk>
      <rc t="2" v="2229"/>
    </bk>
    <bk>
      <rc t="2" v="2230"/>
    </bk>
    <bk>
      <rc t="2" v="2231"/>
    </bk>
    <bk>
      <rc t="2" v="2232"/>
    </bk>
    <bk>
      <rc t="2" v="2233"/>
    </bk>
    <bk>
      <rc t="2" v="2234"/>
    </bk>
    <bk>
      <rc t="2" v="2235"/>
    </bk>
    <bk>
      <rc t="2" v="2236"/>
    </bk>
    <bk>
      <rc t="2" v="2237"/>
    </bk>
    <bk>
      <rc t="2" v="2238"/>
    </bk>
    <bk>
      <rc t="2" v="2239"/>
    </bk>
    <bk>
      <rc t="2" v="2240"/>
    </bk>
    <bk>
      <rc t="2" v="2241"/>
    </bk>
    <bk>
      <rc t="2" v="2242"/>
    </bk>
    <bk>
      <rc t="2" v="2243"/>
    </bk>
    <bk>
      <rc t="2" v="2244"/>
    </bk>
    <bk>
      <rc t="2" v="2245"/>
    </bk>
    <bk>
      <rc t="2" v="2246"/>
    </bk>
    <bk>
      <rc t="2" v="2247"/>
    </bk>
    <bk>
      <rc t="2" v="2248"/>
    </bk>
    <bk>
      <rc t="2" v="2249"/>
    </bk>
    <bk>
      <rc t="2" v="2250"/>
    </bk>
    <bk>
      <rc t="2" v="2251"/>
    </bk>
    <bk>
      <rc t="2" v="2252"/>
    </bk>
    <bk>
      <rc t="2" v="2253"/>
    </bk>
    <bk>
      <rc t="2" v="2254"/>
    </bk>
    <bk>
      <rc t="2" v="2255"/>
    </bk>
    <bk>
      <rc t="2" v="2256"/>
    </bk>
    <bk>
      <rc t="2" v="2257"/>
    </bk>
    <bk>
      <rc t="2" v="2258"/>
    </bk>
    <bk>
      <rc t="2" v="2259"/>
    </bk>
    <bk>
      <rc t="2" v="2260"/>
    </bk>
    <bk>
      <rc t="2" v="2261"/>
    </bk>
    <bk>
      <rc t="2" v="2262"/>
    </bk>
    <bk>
      <rc t="2" v="2263"/>
    </bk>
    <bk>
      <rc t="2" v="2264"/>
    </bk>
    <bk>
      <rc t="2" v="2265"/>
    </bk>
    <bk>
      <rc t="2" v="2266"/>
    </bk>
    <bk>
      <rc t="2" v="2267"/>
    </bk>
    <bk>
      <rc t="2" v="2268"/>
    </bk>
    <bk>
      <rc t="2" v="2269"/>
    </bk>
    <bk>
      <rc t="2" v="2270"/>
    </bk>
    <bk>
      <rc t="2" v="2271"/>
    </bk>
    <bk>
      <rc t="2" v="2272"/>
    </bk>
    <bk>
      <rc t="2" v="2273"/>
    </bk>
    <bk>
      <rc t="2" v="2274"/>
    </bk>
    <bk>
      <rc t="2" v="2275"/>
    </bk>
    <bk>
      <rc t="2" v="2276"/>
    </bk>
    <bk>
      <rc t="2" v="2277"/>
    </bk>
    <bk>
      <rc t="2" v="2278"/>
    </bk>
    <bk>
      <rc t="2" v="2279"/>
    </bk>
    <bk>
      <rc t="2" v="2280"/>
    </bk>
    <bk>
      <rc t="2" v="2281"/>
    </bk>
    <bk>
      <rc t="2" v="2282"/>
    </bk>
    <bk>
      <rc t="2" v="2283"/>
    </bk>
    <bk>
      <rc t="2" v="2284"/>
    </bk>
    <bk>
      <rc t="2" v="2285"/>
    </bk>
    <bk>
      <rc t="2" v="2286"/>
    </bk>
    <bk>
      <rc t="2" v="2287"/>
    </bk>
    <bk>
      <rc t="2" v="2288"/>
    </bk>
    <bk>
      <rc t="2" v="2289"/>
    </bk>
    <bk>
      <rc t="2" v="2290"/>
    </bk>
    <bk>
      <rc t="2" v="2291"/>
    </bk>
    <bk>
      <rc t="2" v="2292"/>
    </bk>
    <bk>
      <rc t="2" v="2293"/>
    </bk>
    <bk>
      <rc t="2" v="2294"/>
    </bk>
    <bk>
      <rc t="2" v="2295"/>
    </bk>
    <bk>
      <rc t="2" v="2296"/>
    </bk>
    <bk>
      <rc t="2" v="2297"/>
    </bk>
    <bk>
      <rc t="2" v="2298"/>
    </bk>
    <bk>
      <rc t="2" v="2299"/>
    </bk>
    <bk>
      <rc t="2" v="2300"/>
    </bk>
    <bk>
      <rc t="2" v="2301"/>
    </bk>
    <bk>
      <rc t="2" v="2302"/>
    </bk>
    <bk>
      <rc t="2" v="2303"/>
    </bk>
    <bk>
      <rc t="2" v="2304"/>
    </bk>
    <bk>
      <rc t="2" v="2305"/>
    </bk>
    <bk>
      <rc t="2" v="2306"/>
    </bk>
    <bk>
      <rc t="2" v="2307"/>
    </bk>
    <bk>
      <rc t="2" v="2308"/>
    </bk>
    <bk>
      <rc t="2" v="2309"/>
    </bk>
    <bk>
      <rc t="2" v="2310"/>
    </bk>
    <bk>
      <rc t="2" v="2311"/>
    </bk>
    <bk>
      <rc t="2" v="2312"/>
    </bk>
    <bk>
      <rc t="2" v="2313"/>
    </bk>
    <bk>
      <rc t="2" v="2314"/>
    </bk>
    <bk>
      <rc t="2" v="2315"/>
    </bk>
    <bk>
      <rc t="2" v="2316"/>
    </bk>
    <bk>
      <rc t="2" v="2317"/>
    </bk>
    <bk>
      <rc t="2" v="2318"/>
    </bk>
    <bk>
      <rc t="2" v="2319"/>
    </bk>
    <bk>
      <rc t="2" v="2320"/>
    </bk>
    <bk>
      <rc t="2" v="2321"/>
    </bk>
    <bk>
      <rc t="2" v="2322"/>
    </bk>
    <bk>
      <rc t="2" v="2323"/>
    </bk>
    <bk>
      <rc t="2" v="2324"/>
    </bk>
    <bk>
      <rc t="2" v="2325"/>
    </bk>
    <bk>
      <rc t="2" v="2326"/>
    </bk>
    <bk>
      <rc t="2" v="2327"/>
    </bk>
    <bk>
      <rc t="2" v="2328"/>
    </bk>
    <bk>
      <rc t="2" v="2329"/>
    </bk>
    <bk>
      <rc t="2" v="2330"/>
    </bk>
    <bk>
      <rc t="2" v="2331"/>
    </bk>
    <bk>
      <rc t="2" v="2332"/>
    </bk>
    <bk>
      <rc t="2" v="2333"/>
    </bk>
    <bk>
      <rc t="2" v="2334"/>
    </bk>
    <bk>
      <rc t="2" v="2335"/>
    </bk>
    <bk>
      <rc t="2" v="2336"/>
    </bk>
    <bk>
      <rc t="2" v="2337"/>
    </bk>
    <bk>
      <rc t="2" v="2338"/>
    </bk>
    <bk>
      <rc t="2" v="2339"/>
    </bk>
    <bk>
      <rc t="2" v="2340"/>
    </bk>
    <bk>
      <rc t="2" v="2341"/>
    </bk>
    <bk>
      <rc t="2" v="2342"/>
    </bk>
    <bk>
      <rc t="2" v="2343"/>
    </bk>
    <bk>
      <rc t="2" v="2344"/>
    </bk>
    <bk>
      <rc t="2" v="2345"/>
    </bk>
    <bk>
      <rc t="2" v="2346"/>
    </bk>
    <bk>
      <rc t="2" v="2347"/>
    </bk>
    <bk>
      <rc t="2" v="2348"/>
    </bk>
    <bk>
      <rc t="2" v="2349"/>
    </bk>
    <bk>
      <rc t="2" v="2350"/>
    </bk>
    <bk>
      <rc t="2" v="2351"/>
    </bk>
    <bk>
      <rc t="2" v="2352"/>
    </bk>
    <bk>
      <rc t="2" v="2353"/>
    </bk>
    <bk>
      <rc t="2" v="2354"/>
    </bk>
    <bk>
      <rc t="2" v="2355"/>
    </bk>
    <bk>
      <rc t="2" v="2356"/>
    </bk>
    <bk>
      <rc t="2" v="2357"/>
    </bk>
    <bk>
      <rc t="2" v="2358"/>
    </bk>
    <bk>
      <rc t="2" v="2359"/>
    </bk>
    <bk>
      <rc t="2" v="2360"/>
    </bk>
    <bk>
      <rc t="2" v="2361"/>
    </bk>
    <bk>
      <rc t="2" v="2362"/>
    </bk>
    <bk>
      <rc t="2" v="2363"/>
    </bk>
    <bk>
      <rc t="2" v="2364"/>
    </bk>
    <bk>
      <rc t="2" v="2365"/>
    </bk>
    <bk>
      <rc t="2" v="2366"/>
    </bk>
    <bk>
      <rc t="2" v="2367"/>
    </bk>
    <bk>
      <rc t="2" v="2368"/>
    </bk>
    <bk>
      <rc t="2" v="2369"/>
    </bk>
    <bk>
      <rc t="2" v="2370"/>
    </bk>
    <bk>
      <rc t="2" v="2371"/>
    </bk>
    <bk>
      <rc t="2" v="2372"/>
    </bk>
    <bk>
      <rc t="2" v="2373"/>
    </bk>
    <bk>
      <rc t="2" v="2374"/>
    </bk>
    <bk>
      <rc t="2" v="2375"/>
    </bk>
    <bk>
      <rc t="2" v="2376"/>
    </bk>
    <bk>
      <rc t="2" v="2377"/>
    </bk>
    <bk>
      <rc t="2" v="2378"/>
    </bk>
    <bk>
      <rc t="2" v="2379"/>
    </bk>
    <bk>
      <rc t="2" v="2380"/>
    </bk>
    <bk>
      <rc t="2" v="2381"/>
    </bk>
    <bk>
      <rc t="2" v="2382"/>
    </bk>
    <bk>
      <rc t="2" v="2383"/>
    </bk>
    <bk>
      <rc t="2" v="2384"/>
    </bk>
    <bk>
      <rc t="2" v="2385"/>
    </bk>
    <bk>
      <rc t="2" v="2386"/>
    </bk>
    <bk>
      <rc t="2" v="2387"/>
    </bk>
    <bk>
      <rc t="2" v="2388"/>
    </bk>
    <bk>
      <rc t="2" v="2389"/>
    </bk>
    <bk>
      <rc t="2" v="2390"/>
    </bk>
    <bk>
      <rc t="2" v="2391"/>
    </bk>
    <bk>
      <rc t="2" v="2392"/>
    </bk>
    <bk>
      <rc t="2" v="2393"/>
    </bk>
    <bk>
      <rc t="2" v="2394"/>
    </bk>
    <bk>
      <rc t="2" v="2395"/>
    </bk>
    <bk>
      <rc t="2" v="2396"/>
    </bk>
    <bk>
      <rc t="2" v="2397"/>
    </bk>
    <bk>
      <rc t="2" v="2398"/>
    </bk>
    <bk>
      <rc t="2" v="2399"/>
    </bk>
    <bk>
      <rc t="2" v="2400"/>
    </bk>
    <bk>
      <rc t="2" v="2401"/>
    </bk>
    <bk>
      <rc t="2" v="2402"/>
    </bk>
    <bk>
      <rc t="2" v="2403"/>
    </bk>
    <bk>
      <rc t="2" v="2404"/>
    </bk>
    <bk>
      <rc t="2" v="2405"/>
    </bk>
    <bk>
      <rc t="2" v="2406"/>
    </bk>
    <bk>
      <rc t="2" v="2407"/>
    </bk>
    <bk>
      <rc t="2" v="2408"/>
    </bk>
    <bk>
      <rc t="2" v="2409"/>
    </bk>
    <bk>
      <rc t="2" v="2410"/>
    </bk>
    <bk>
      <rc t="2" v="2411"/>
    </bk>
    <bk>
      <rc t="2" v="2412"/>
    </bk>
    <bk>
      <rc t="2" v="2413"/>
    </bk>
    <bk>
      <rc t="2" v="2414"/>
    </bk>
    <bk>
      <rc t="2" v="2415"/>
    </bk>
    <bk>
      <rc t="2" v="2416"/>
    </bk>
    <bk>
      <rc t="2" v="2417"/>
    </bk>
    <bk>
      <rc t="2" v="2418"/>
    </bk>
    <bk>
      <rc t="2" v="2419"/>
    </bk>
    <bk>
      <rc t="2" v="2420"/>
    </bk>
    <bk>
      <rc t="2" v="2421"/>
    </bk>
    <bk>
      <rc t="2" v="2422"/>
    </bk>
    <bk>
      <rc t="2" v="2423"/>
    </bk>
    <bk>
      <rc t="2" v="2424"/>
    </bk>
    <bk>
      <rc t="2" v="2425"/>
    </bk>
    <bk>
      <rc t="2" v="2426"/>
    </bk>
    <bk>
      <rc t="2" v="2427"/>
    </bk>
    <bk>
      <rc t="2" v="2428"/>
    </bk>
    <bk>
      <rc t="2" v="2429"/>
    </bk>
    <bk>
      <rc t="2" v="2430"/>
    </bk>
    <bk>
      <rc t="2" v="2431"/>
    </bk>
    <bk>
      <rc t="2" v="2432"/>
    </bk>
    <bk>
      <rc t="2" v="2433"/>
    </bk>
    <bk>
      <rc t="2" v="2434"/>
    </bk>
    <bk>
      <rc t="2" v="2435"/>
    </bk>
    <bk>
      <rc t="2" v="2436"/>
    </bk>
    <bk>
      <rc t="2" v="2437"/>
    </bk>
    <bk>
      <rc t="2" v="2438"/>
    </bk>
    <bk>
      <rc t="2" v="2439"/>
    </bk>
    <bk>
      <rc t="2" v="2440"/>
    </bk>
    <bk>
      <rc t="2" v="2441"/>
    </bk>
    <bk>
      <rc t="2" v="2442"/>
    </bk>
    <bk>
      <rc t="2" v="2443"/>
    </bk>
    <bk>
      <rc t="2" v="2444"/>
    </bk>
    <bk>
      <rc t="2" v="2445"/>
    </bk>
    <bk>
      <rc t="2" v="2446"/>
    </bk>
    <bk>
      <rc t="2" v="2447"/>
    </bk>
    <bk>
      <rc t="2" v="2448"/>
    </bk>
    <bk>
      <rc t="2" v="2449"/>
    </bk>
    <bk>
      <rc t="2" v="2450"/>
    </bk>
    <bk>
      <rc t="2" v="2451"/>
    </bk>
    <bk>
      <rc t="2" v="2452"/>
    </bk>
    <bk>
      <rc t="2" v="2453"/>
    </bk>
    <bk>
      <rc t="2" v="2454"/>
    </bk>
    <bk>
      <rc t="2" v="2455"/>
    </bk>
    <bk>
      <rc t="2" v="2456"/>
    </bk>
    <bk>
      <rc t="2" v="2457"/>
    </bk>
    <bk>
      <rc t="2" v="2458"/>
    </bk>
    <bk>
      <rc t="2" v="2459"/>
    </bk>
    <bk>
      <rc t="2" v="2460"/>
    </bk>
    <bk>
      <rc t="2" v="2461"/>
    </bk>
    <bk>
      <rc t="2" v="2462"/>
    </bk>
    <bk>
      <rc t="2" v="2463"/>
    </bk>
    <bk>
      <rc t="2" v="2464"/>
    </bk>
    <bk>
      <rc t="2" v="2465"/>
    </bk>
    <bk>
      <rc t="2" v="2466"/>
    </bk>
    <bk>
      <rc t="2" v="2467"/>
    </bk>
    <bk>
      <rc t="2" v="2468"/>
    </bk>
    <bk>
      <rc t="2" v="2469"/>
    </bk>
    <bk>
      <rc t="2" v="2470"/>
    </bk>
    <bk>
      <rc t="2" v="2471"/>
    </bk>
    <bk>
      <rc t="2" v="2472"/>
    </bk>
    <bk>
      <rc t="2" v="2473"/>
    </bk>
    <bk>
      <rc t="2" v="2474"/>
    </bk>
    <bk>
      <rc t="2" v="2475"/>
    </bk>
    <bk>
      <rc t="2" v="2476"/>
    </bk>
    <bk>
      <rc t="2" v="2477"/>
    </bk>
    <bk>
      <rc t="2" v="2478"/>
    </bk>
    <bk>
      <rc t="2" v="2479"/>
    </bk>
    <bk>
      <rc t="2" v="2480"/>
    </bk>
    <bk>
      <rc t="2" v="2481"/>
    </bk>
    <bk>
      <rc t="2" v="2482"/>
    </bk>
    <bk>
      <rc t="2" v="2483"/>
    </bk>
    <bk>
      <rc t="2" v="2484"/>
    </bk>
    <bk>
      <rc t="2" v="2485"/>
    </bk>
    <bk>
      <rc t="2" v="2486"/>
    </bk>
    <bk>
      <rc t="2" v="2487"/>
    </bk>
    <bk>
      <rc t="2" v="2488"/>
    </bk>
    <bk>
      <rc t="2" v="2489"/>
    </bk>
    <bk>
      <rc t="2" v="2490"/>
    </bk>
    <bk>
      <rc t="2" v="2491"/>
    </bk>
    <bk>
      <rc t="2" v="2492"/>
    </bk>
    <bk>
      <rc t="2" v="2493"/>
    </bk>
    <bk>
      <rc t="2" v="2494"/>
    </bk>
    <bk>
      <rc t="2" v="2495"/>
    </bk>
    <bk>
      <rc t="2" v="2496"/>
    </bk>
    <bk>
      <rc t="2" v="2497"/>
    </bk>
    <bk>
      <rc t="2" v="2498"/>
    </bk>
    <bk>
      <rc t="2" v="2499"/>
    </bk>
    <bk>
      <rc t="2" v="2500"/>
    </bk>
    <bk>
      <rc t="2" v="2501"/>
    </bk>
    <bk>
      <rc t="2" v="2502"/>
    </bk>
    <bk>
      <rc t="2" v="2503"/>
    </bk>
    <bk>
      <rc t="2" v="2504"/>
    </bk>
    <bk>
      <rc t="2" v="2505"/>
    </bk>
    <bk>
      <rc t="2" v="2506"/>
    </bk>
    <bk>
      <rc t="2" v="2507"/>
    </bk>
    <bk>
      <rc t="2" v="2508"/>
    </bk>
    <bk>
      <rc t="2" v="2509"/>
    </bk>
    <bk>
      <rc t="2" v="2510"/>
    </bk>
    <bk>
      <rc t="2" v="2511"/>
    </bk>
    <bk>
      <rc t="2" v="2512"/>
    </bk>
    <bk>
      <rc t="2" v="2513"/>
    </bk>
    <bk>
      <rc t="2" v="2514"/>
    </bk>
    <bk>
      <rc t="2" v="2515"/>
    </bk>
    <bk>
      <rc t="2" v="2516"/>
    </bk>
    <bk>
      <rc t="2" v="2517"/>
    </bk>
    <bk>
      <rc t="2" v="2518"/>
    </bk>
    <bk>
      <rc t="2" v="2519"/>
    </bk>
    <bk>
      <rc t="2" v="2520"/>
    </bk>
    <bk>
      <rc t="2" v="2521"/>
    </bk>
    <bk>
      <rc t="2" v="2522"/>
    </bk>
    <bk>
      <rc t="2" v="2523"/>
    </bk>
    <bk>
      <rc t="2" v="2524"/>
    </bk>
    <bk>
      <rc t="2" v="2525"/>
    </bk>
    <bk>
      <rc t="2" v="2526"/>
    </bk>
    <bk>
      <rc t="2" v="2527"/>
    </bk>
    <bk>
      <rc t="2" v="2528"/>
    </bk>
    <bk>
      <rc t="2" v="2529"/>
    </bk>
    <bk>
      <rc t="2" v="2530"/>
    </bk>
    <bk>
      <rc t="2" v="2531"/>
    </bk>
    <bk>
      <rc t="2" v="2532"/>
    </bk>
    <bk>
      <rc t="2" v="2533"/>
    </bk>
    <bk>
      <rc t="2" v="2534"/>
    </bk>
    <bk>
      <rc t="2" v="2535"/>
    </bk>
    <bk>
      <rc t="2" v="2536"/>
    </bk>
    <bk>
      <rc t="2" v="2537"/>
    </bk>
    <bk>
      <rc t="2" v="2538"/>
    </bk>
    <bk>
      <rc t="2" v="2539"/>
    </bk>
    <bk>
      <rc t="2" v="2540"/>
    </bk>
    <bk>
      <rc t="2" v="2541"/>
    </bk>
    <bk>
      <rc t="2" v="2542"/>
    </bk>
    <bk>
      <rc t="2" v="2543"/>
    </bk>
    <bk>
      <rc t="2" v="2544"/>
    </bk>
    <bk>
      <rc t="2" v="2545"/>
    </bk>
    <bk>
      <rc t="2" v="2546"/>
    </bk>
    <bk>
      <rc t="2" v="2547"/>
    </bk>
    <bk>
      <rc t="2" v="2548"/>
    </bk>
    <bk>
      <rc t="2" v="2549"/>
    </bk>
    <bk>
      <rc t="2" v="2550"/>
    </bk>
    <bk>
      <rc t="2" v="2551"/>
    </bk>
    <bk>
      <rc t="2" v="2552"/>
    </bk>
    <bk>
      <rc t="2" v="2553"/>
    </bk>
    <bk>
      <rc t="2" v="2554"/>
    </bk>
    <bk>
      <rc t="2" v="2555"/>
    </bk>
    <bk>
      <rc t="2" v="2556"/>
    </bk>
    <bk>
      <rc t="2" v="2557"/>
    </bk>
    <bk>
      <rc t="2" v="2558"/>
    </bk>
    <bk>
      <rc t="2" v="2559"/>
    </bk>
    <bk>
      <rc t="2" v="2560"/>
    </bk>
    <bk>
      <rc t="2" v="2561"/>
    </bk>
    <bk>
      <rc t="2" v="2562"/>
    </bk>
    <bk>
      <rc t="2" v="2563"/>
    </bk>
    <bk>
      <rc t="2" v="2564"/>
    </bk>
    <bk>
      <rc t="2" v="2565"/>
    </bk>
    <bk>
      <rc t="2" v="2566"/>
    </bk>
    <bk>
      <rc t="2" v="2567"/>
    </bk>
    <bk>
      <rc t="2" v="2568"/>
    </bk>
    <bk>
      <rc t="2" v="2569"/>
    </bk>
    <bk>
      <rc t="2" v="2570"/>
    </bk>
    <bk>
      <rc t="2" v="2571"/>
    </bk>
    <bk>
      <rc t="2" v="2572"/>
    </bk>
    <bk>
      <rc t="2" v="2573"/>
    </bk>
    <bk>
      <rc t="2" v="2574"/>
    </bk>
    <bk>
      <rc t="2" v="2575"/>
    </bk>
    <bk>
      <rc t="2" v="2576"/>
    </bk>
    <bk>
      <rc t="2" v="2577"/>
    </bk>
    <bk>
      <rc t="2" v="2578"/>
    </bk>
    <bk>
      <rc t="2" v="2579"/>
    </bk>
    <bk>
      <rc t="2" v="2580"/>
    </bk>
    <bk>
      <rc t="2" v="2581"/>
    </bk>
    <bk>
      <rc t="2" v="2582"/>
    </bk>
    <bk>
      <rc t="2" v="2583"/>
    </bk>
    <bk>
      <rc t="2" v="2584"/>
    </bk>
    <bk>
      <rc t="2" v="2585"/>
    </bk>
    <bk>
      <rc t="2" v="2586"/>
    </bk>
    <bk>
      <rc t="2" v="2587"/>
    </bk>
    <bk>
      <rc t="2" v="2588"/>
    </bk>
    <bk>
      <rc t="2" v="2589"/>
    </bk>
    <bk>
      <rc t="2" v="2590"/>
    </bk>
    <bk>
      <rc t="2" v="2591"/>
    </bk>
    <bk>
      <rc t="2" v="2592"/>
    </bk>
    <bk>
      <rc t="2" v="2593"/>
    </bk>
    <bk>
      <rc t="2" v="2594"/>
    </bk>
    <bk>
      <rc t="2" v="2595"/>
    </bk>
    <bk>
      <rc t="2" v="2596"/>
    </bk>
    <bk>
      <rc t="2" v="2597"/>
    </bk>
    <bk>
      <rc t="2" v="2598"/>
    </bk>
    <bk>
      <rc t="2" v="2599"/>
    </bk>
    <bk>
      <rc t="2" v="2600"/>
    </bk>
    <bk>
      <rc t="2" v="2601"/>
    </bk>
    <bk>
      <rc t="2" v="2602"/>
    </bk>
    <bk>
      <rc t="2" v="2603"/>
    </bk>
    <bk>
      <rc t="2" v="2604"/>
    </bk>
    <bk>
      <rc t="2" v="2605"/>
    </bk>
    <bk>
      <rc t="2" v="2606"/>
    </bk>
    <bk>
      <rc t="2" v="2607"/>
    </bk>
    <bk>
      <rc t="2" v="2608"/>
    </bk>
    <bk>
      <rc t="2" v="2609"/>
    </bk>
    <bk>
      <rc t="2" v="2610"/>
    </bk>
    <bk>
      <rc t="2" v="2611"/>
    </bk>
    <bk>
      <rc t="2" v="2612"/>
    </bk>
    <bk>
      <rc t="2" v="2613"/>
    </bk>
    <bk>
      <rc t="2" v="2614"/>
    </bk>
    <bk>
      <rc t="2" v="2615"/>
    </bk>
    <bk>
      <rc t="2" v="2616"/>
    </bk>
    <bk>
      <rc t="2" v="2617"/>
    </bk>
    <bk>
      <rc t="2" v="2618"/>
    </bk>
    <bk>
      <rc t="2" v="2619"/>
    </bk>
    <bk>
      <rc t="2" v="2620"/>
    </bk>
    <bk>
      <rc t="2" v="2621"/>
    </bk>
    <bk>
      <rc t="2" v="2622"/>
    </bk>
    <bk>
      <rc t="2" v="2623"/>
    </bk>
    <bk>
      <rc t="2" v="2624"/>
    </bk>
    <bk>
      <rc t="2" v="2625"/>
    </bk>
    <bk>
      <rc t="2" v="2626"/>
    </bk>
    <bk>
      <rc t="2" v="2627"/>
    </bk>
    <bk>
      <rc t="2" v="2628"/>
    </bk>
    <bk>
      <rc t="2" v="2629"/>
    </bk>
    <bk>
      <rc t="2" v="2630"/>
    </bk>
    <bk>
      <rc t="2" v="2631"/>
    </bk>
    <bk>
      <rc t="2" v="2632"/>
    </bk>
    <bk>
      <rc t="2" v="2633"/>
    </bk>
    <bk>
      <rc t="2" v="2634"/>
    </bk>
    <bk>
      <rc t="2" v="2635"/>
    </bk>
    <bk>
      <rc t="2" v="2636"/>
    </bk>
    <bk>
      <rc t="2" v="2637"/>
    </bk>
    <bk>
      <rc t="2" v="2638"/>
    </bk>
    <bk>
      <rc t="2" v="2639"/>
    </bk>
    <bk>
      <rc t="2" v="2640"/>
    </bk>
    <bk>
      <rc t="2" v="2641"/>
    </bk>
    <bk>
      <rc t="2" v="2642"/>
    </bk>
    <bk>
      <rc t="2" v="2643"/>
    </bk>
    <bk>
      <rc t="2" v="2644"/>
    </bk>
    <bk>
      <rc t="2" v="2645"/>
    </bk>
    <bk>
      <rc t="2" v="2646"/>
    </bk>
    <bk>
      <rc t="2" v="2647"/>
    </bk>
    <bk>
      <rc t="2" v="2648"/>
    </bk>
    <bk>
      <rc t="2" v="2649"/>
    </bk>
    <bk>
      <rc t="2" v="2650"/>
    </bk>
    <bk>
      <rc t="2" v="2651"/>
    </bk>
    <bk>
      <rc t="2" v="2652"/>
    </bk>
    <bk>
      <rc t="2" v="2653"/>
    </bk>
    <bk>
      <rc t="2" v="2654"/>
    </bk>
    <bk>
      <rc t="2" v="2655"/>
    </bk>
    <bk>
      <rc t="2" v="2656"/>
    </bk>
    <bk>
      <rc t="2" v="2657"/>
    </bk>
    <bk>
      <rc t="2" v="2658"/>
    </bk>
    <bk>
      <rc t="2" v="2659"/>
    </bk>
    <bk>
      <rc t="2" v="2660"/>
    </bk>
    <bk>
      <rc t="2" v="2661"/>
    </bk>
    <bk>
      <rc t="2" v="2662"/>
    </bk>
    <bk>
      <rc t="2" v="2663"/>
    </bk>
    <bk>
      <rc t="2" v="2664"/>
    </bk>
    <bk>
      <rc t="2" v="2665"/>
    </bk>
    <bk>
      <rc t="2" v="2666"/>
    </bk>
    <bk>
      <rc t="2" v="2667"/>
    </bk>
    <bk>
      <rc t="2" v="2668"/>
    </bk>
    <bk>
      <rc t="2" v="2669"/>
    </bk>
    <bk>
      <rc t="2" v="2670"/>
    </bk>
    <bk>
      <rc t="2" v="2671"/>
    </bk>
    <bk>
      <rc t="2" v="2672"/>
    </bk>
    <bk>
      <rc t="2" v="2673"/>
    </bk>
    <bk>
      <rc t="2" v="2674"/>
    </bk>
    <bk>
      <rc t="2" v="2675"/>
    </bk>
    <bk>
      <rc t="2" v="2676"/>
    </bk>
    <bk>
      <rc t="2" v="2677"/>
    </bk>
    <bk>
      <rc t="2" v="2678"/>
    </bk>
    <bk>
      <rc t="2" v="2679"/>
    </bk>
    <bk>
      <rc t="2" v="2680"/>
    </bk>
    <bk>
      <rc t="2" v="2681"/>
    </bk>
    <bk>
      <rc t="2" v="2682"/>
    </bk>
    <bk>
      <rc t="2" v="2683"/>
    </bk>
    <bk>
      <rc t="2" v="2684"/>
    </bk>
    <bk>
      <rc t="2" v="2685"/>
    </bk>
    <bk>
      <rc t="2" v="2686"/>
    </bk>
    <bk>
      <rc t="2" v="2687"/>
    </bk>
    <bk>
      <rc t="2" v="2688"/>
    </bk>
    <bk>
      <rc t="2" v="2689"/>
    </bk>
    <bk>
      <rc t="2" v="2690"/>
    </bk>
    <bk>
      <rc t="2" v="2691"/>
    </bk>
    <bk>
      <rc t="2" v="2692"/>
    </bk>
    <bk>
      <rc t="2" v="2693"/>
    </bk>
    <bk>
      <rc t="2" v="2694"/>
    </bk>
    <bk>
      <rc t="2" v="2695"/>
    </bk>
    <bk>
      <rc t="2" v="2696"/>
    </bk>
    <bk>
      <rc t="2" v="2697"/>
    </bk>
    <bk>
      <rc t="2" v="2698"/>
    </bk>
    <bk>
      <rc t="2" v="2699"/>
    </bk>
    <bk>
      <rc t="2" v="2700"/>
    </bk>
    <bk>
      <rc t="2" v="2701"/>
    </bk>
    <bk>
      <rc t="2" v="2702"/>
    </bk>
    <bk>
      <rc t="2" v="2703"/>
    </bk>
    <bk>
      <rc t="2" v="2704"/>
    </bk>
    <bk>
      <rc t="2" v="2705"/>
    </bk>
    <bk>
      <rc t="2" v="2706"/>
    </bk>
    <bk>
      <rc t="2" v="2707"/>
    </bk>
    <bk>
      <rc t="2" v="2708"/>
    </bk>
    <bk>
      <rc t="2" v="2709"/>
    </bk>
    <bk>
      <rc t="2" v="2710"/>
    </bk>
    <bk>
      <rc t="2" v="2711"/>
    </bk>
    <bk>
      <rc t="2" v="2712"/>
    </bk>
    <bk>
      <rc t="2" v="2713"/>
    </bk>
    <bk>
      <rc t="2" v="2714"/>
    </bk>
    <bk>
      <rc t="2" v="2715"/>
    </bk>
    <bk>
      <rc t="2" v="2716"/>
    </bk>
    <bk>
      <rc t="2" v="2717"/>
    </bk>
    <bk>
      <rc t="2" v="2718"/>
    </bk>
    <bk>
      <rc t="2" v="2719"/>
    </bk>
    <bk>
      <rc t="2" v="2720"/>
    </bk>
    <bk>
      <rc t="2" v="2721"/>
    </bk>
    <bk>
      <rc t="2" v="2722"/>
    </bk>
    <bk>
      <rc t="2" v="2723"/>
    </bk>
    <bk>
      <rc t="2" v="2724"/>
    </bk>
    <bk>
      <rc t="2" v="2725"/>
    </bk>
    <bk>
      <rc t="2" v="2726"/>
    </bk>
    <bk>
      <rc t="2" v="2727"/>
    </bk>
    <bk>
      <rc t="2" v="2728"/>
    </bk>
    <bk>
      <rc t="2" v="2729"/>
    </bk>
    <bk>
      <rc t="2" v="2730"/>
    </bk>
    <bk>
      <rc t="2" v="2731"/>
    </bk>
    <bk>
      <rc t="2" v="2732"/>
    </bk>
    <bk>
      <rc t="2" v="2733"/>
    </bk>
    <bk>
      <rc t="2" v="2734"/>
    </bk>
    <bk>
      <rc t="2" v="2735"/>
    </bk>
    <bk>
      <rc t="2" v="2736"/>
    </bk>
    <bk>
      <rc t="2" v="2737"/>
    </bk>
    <bk>
      <rc t="2" v="2738"/>
    </bk>
    <bk>
      <rc t="2" v="2739"/>
    </bk>
    <bk>
      <rc t="2" v="2740"/>
    </bk>
    <bk>
      <rc t="2" v="2741"/>
    </bk>
    <bk>
      <rc t="2" v="2742"/>
    </bk>
    <bk>
      <rc t="2" v="2743"/>
    </bk>
    <bk>
      <rc t="2" v="2744"/>
    </bk>
    <bk>
      <rc t="2" v="2745"/>
    </bk>
    <bk>
      <rc t="2" v="2746"/>
    </bk>
    <bk>
      <rc t="2" v="2747"/>
    </bk>
    <bk>
      <rc t="2" v="2748"/>
    </bk>
    <bk>
      <rc t="2" v="2749"/>
    </bk>
    <bk>
      <rc t="2" v="2750"/>
    </bk>
    <bk>
      <rc t="2" v="2751"/>
    </bk>
    <bk>
      <rc t="2" v="2752"/>
    </bk>
    <bk>
      <rc t="2" v="2753"/>
    </bk>
    <bk>
      <rc t="2" v="2754"/>
    </bk>
    <bk>
      <rc t="2" v="2755"/>
    </bk>
    <bk>
      <rc t="2" v="2756"/>
    </bk>
    <bk>
      <rc t="2" v="2757"/>
    </bk>
    <bk>
      <rc t="2" v="2758"/>
    </bk>
    <bk>
      <rc t="2" v="2759"/>
    </bk>
    <bk>
      <rc t="2" v="2760"/>
    </bk>
    <bk>
      <rc t="2" v="2761"/>
    </bk>
    <bk>
      <rc t="2" v="2762"/>
    </bk>
    <bk>
      <rc t="2" v="2763"/>
    </bk>
    <bk>
      <rc t="2" v="2764"/>
    </bk>
    <bk>
      <rc t="2" v="2765"/>
    </bk>
    <bk>
      <rc t="2" v="2766"/>
    </bk>
    <bk>
      <rc t="2" v="2767"/>
    </bk>
    <bk>
      <rc t="2" v="2768"/>
    </bk>
    <bk>
      <rc t="2" v="2769"/>
    </bk>
    <bk>
      <rc t="2" v="2770"/>
    </bk>
    <bk>
      <rc t="2" v="2771"/>
    </bk>
    <bk>
      <rc t="2" v="2772"/>
    </bk>
    <bk>
      <rc t="2" v="2773"/>
    </bk>
    <bk>
      <rc t="2" v="2774"/>
    </bk>
    <bk>
      <rc t="2" v="2775"/>
    </bk>
    <bk>
      <rc t="2" v="2776"/>
    </bk>
    <bk>
      <rc t="2" v="2777"/>
    </bk>
    <bk>
      <rc t="2" v="2778"/>
    </bk>
    <bk>
      <rc t="2" v="2779"/>
    </bk>
    <bk>
      <rc t="2" v="2780"/>
    </bk>
    <bk>
      <rc t="2" v="2781"/>
    </bk>
    <bk>
      <rc t="2" v="2782"/>
    </bk>
    <bk>
      <rc t="2" v="2783"/>
    </bk>
  </valueMetadata>
</metadata>
</file>

<file path=xl/sharedStrings.xml><?xml version="1.0" encoding="utf-8"?>
<sst xmlns="http://schemas.openxmlformats.org/spreadsheetml/2006/main" count="4494" uniqueCount="135">
  <si>
    <t>Date</t>
  </si>
  <si>
    <t>Stock Transactions</t>
  </si>
  <si>
    <t>Transaction Type</t>
  </si>
  <si>
    <t>Shares No.</t>
  </si>
  <si>
    <t>Total Amount</t>
  </si>
  <si>
    <t>Amount per Share</t>
  </si>
  <si>
    <t>Fee</t>
  </si>
  <si>
    <t>Total Amount with Fee</t>
  </si>
  <si>
    <t>Fee %</t>
  </si>
  <si>
    <t>Company Ticker</t>
  </si>
  <si>
    <t>Official Name</t>
  </si>
  <si>
    <t>Name</t>
  </si>
  <si>
    <t>O</t>
  </si>
  <si>
    <t>PFE</t>
  </si>
  <si>
    <t>CWEN</t>
  </si>
  <si>
    <t>T</t>
  </si>
  <si>
    <t>XOM</t>
  </si>
  <si>
    <t>IBM</t>
  </si>
  <si>
    <t>PEP</t>
  </si>
  <si>
    <t>CLX</t>
  </si>
  <si>
    <t>JPM</t>
  </si>
  <si>
    <t>PG</t>
  </si>
  <si>
    <t>CAT</t>
  </si>
  <si>
    <t>KO</t>
  </si>
  <si>
    <t>Sector</t>
  </si>
  <si>
    <t>HQ</t>
  </si>
  <si>
    <t>United States</t>
  </si>
  <si>
    <t>Ownership</t>
  </si>
  <si>
    <t>Ticker</t>
  </si>
  <si>
    <t>Buy</t>
  </si>
  <si>
    <t>Dividend</t>
  </si>
  <si>
    <t>Sell</t>
  </si>
  <si>
    <t>Shares Owned</t>
  </si>
  <si>
    <t>Change Today (%)</t>
  </si>
  <si>
    <t>Change Today</t>
  </si>
  <si>
    <t>Annual Dividend per Share</t>
  </si>
  <si>
    <t>Average Cost</t>
  </si>
  <si>
    <t>Total Cost</t>
  </si>
  <si>
    <t>Price</t>
  </si>
  <si>
    <t>Profit &amp; Loss per Share</t>
  </si>
  <si>
    <t>Profit &amp; Loss Total</t>
  </si>
  <si>
    <t>Profit &amp; Loss %</t>
  </si>
  <si>
    <t>EUR</t>
  </si>
  <si>
    <t>USD</t>
  </si>
  <si>
    <t>HUF</t>
  </si>
  <si>
    <t>Full Company Name</t>
  </si>
  <si>
    <t>No. of Shares</t>
  </si>
  <si>
    <t>Cost of Shares</t>
  </si>
  <si>
    <t>Price of Shares</t>
  </si>
  <si>
    <t>Total Price of Shares</t>
  </si>
  <si>
    <t>Total Price</t>
  </si>
  <si>
    <t>RON</t>
  </si>
  <si>
    <t>Currency Conversion compared to USD</t>
  </si>
  <si>
    <t>Change Today Total</t>
  </si>
  <si>
    <t>Total Profit &amp; Loss</t>
  </si>
  <si>
    <t>Price Segmental</t>
  </si>
  <si>
    <t>Accumulated cost buy basis</t>
  </si>
  <si>
    <t>Profit &amp; Loss for Sales</t>
  </si>
  <si>
    <t>Financials</t>
  </si>
  <si>
    <t>Consumer Staples</t>
  </si>
  <si>
    <t>Health Care</t>
  </si>
  <si>
    <t>Real Estate</t>
  </si>
  <si>
    <t>Energy</t>
  </si>
  <si>
    <t>Materials</t>
  </si>
  <si>
    <t>Consumer Discretionary</t>
  </si>
  <si>
    <t>Industrials</t>
  </si>
  <si>
    <t>Total Annual Dividend Before Tax</t>
  </si>
  <si>
    <t>Total Annual Dividend</t>
  </si>
  <si>
    <t>Avg Cost of Share per Stock</t>
  </si>
  <si>
    <t>52 week high</t>
  </si>
  <si>
    <t>HQ Address</t>
  </si>
  <si>
    <t>MONTH</t>
  </si>
  <si>
    <t>YearValue</t>
  </si>
  <si>
    <t>Utilities</t>
  </si>
  <si>
    <t>MonthValue</t>
  </si>
  <si>
    <t>52 week low</t>
  </si>
  <si>
    <t>Position Closed</t>
  </si>
  <si>
    <t>Position Opened</t>
  </si>
  <si>
    <t>11995 El Camino Real, San Diego, CA 92130, US</t>
  </si>
  <si>
    <t>300 Carnegie Center, Suite 300, Princeton, NJ 08540, US</t>
  </si>
  <si>
    <t>1221 Broadway, Oakland, CA 94612-1888, US</t>
  </si>
  <si>
    <t>One Coca-Cola Plaza, Atlanta, GA 30313, US</t>
  </si>
  <si>
    <t>700 Anderson Hill Road, Purchase, NY 10577, US</t>
  </si>
  <si>
    <t>One Procter &amp; Gamble Plaza, Cincinnati, OH 45202, US</t>
  </si>
  <si>
    <t>JNJ</t>
  </si>
  <si>
    <t>One Johnson &amp; Johnson Plaza, New Brunswick, NJ 08933, US</t>
  </si>
  <si>
    <t>ABBV</t>
  </si>
  <si>
    <t>1 North Waukegan Road, North Chicago, IL 60064-6400, US</t>
  </si>
  <si>
    <t>MCD</t>
  </si>
  <si>
    <t>110 N. Carpenter St., Chicago, IL 60607, US</t>
  </si>
  <si>
    <t>5205 N. O’Connor Blvd., Suite 100, Irving, TX 75039, US</t>
  </si>
  <si>
    <t>MSFT</t>
  </si>
  <si>
    <t>Information Technology</t>
  </si>
  <si>
    <t>One Microsoft Way, Redmond, WA 98052-6399, US</t>
  </si>
  <si>
    <t>22777 Springwoods Village Parkway, Spring, TX 77389-1425, US</t>
  </si>
  <si>
    <t>HD</t>
  </si>
  <si>
    <t>2455 Paces Ferry Road, Atlanta, GA 30339-4024, US</t>
  </si>
  <si>
    <t>1 New Orchard Road, Armonk, NY 10504-1722, US</t>
  </si>
  <si>
    <t>NEE</t>
  </si>
  <si>
    <t>700 Universe Blvd., Juno Beach, FL 33408, US</t>
  </si>
  <si>
    <t>DUK</t>
  </si>
  <si>
    <t>525 South Tryon Street, Charlotte, NC 28202, US</t>
  </si>
  <si>
    <t>Communication Services</t>
  </si>
  <si>
    <t>208 S. Akard Street, Dallas, TX 75202, US</t>
  </si>
  <si>
    <t>66 Hudson Boulevard East, New York, NY 10001-2192, US</t>
  </si>
  <si>
    <t>270 Park Avenue, New York, NY 10017, US</t>
  </si>
  <si>
    <t>PPG</t>
  </si>
  <si>
    <t>One PPG Place, Pittsburgh, PA 15272, US</t>
  </si>
  <si>
    <t>Exchange Tracker</t>
  </si>
  <si>
    <t>Historical Portfolio Value</t>
  </si>
  <si>
    <t>Stock Details</t>
  </si>
  <si>
    <t>-&gt; Stock Details</t>
  </si>
  <si>
    <t>-&gt; Stock Transactions</t>
  </si>
  <si>
    <t>-&gt; Historical Portfolio Value</t>
  </si>
  <si>
    <t>-&gt; Exchange Tracker</t>
  </si>
  <si>
    <t>☰ Menu</t>
  </si>
  <si>
    <t>Realty Income</t>
  </si>
  <si>
    <t>Clearway Energy</t>
  </si>
  <si>
    <t>Clorox Company</t>
  </si>
  <si>
    <t>Coca Cola</t>
  </si>
  <si>
    <t>Pepsico</t>
  </si>
  <si>
    <t>Procter &amp; Gamle</t>
  </si>
  <si>
    <t>Johnson &amp; Johnson</t>
  </si>
  <si>
    <t>Abbvie</t>
  </si>
  <si>
    <t>McDonald's</t>
  </si>
  <si>
    <t>Caterpillar</t>
  </si>
  <si>
    <t>Microsoft</t>
  </si>
  <si>
    <t>Exxonmobil</t>
  </si>
  <si>
    <t>Home Depot</t>
  </si>
  <si>
    <t>Nextera Energy</t>
  </si>
  <si>
    <t>Duke Energy</t>
  </si>
  <si>
    <t>AT&amp;T</t>
  </si>
  <si>
    <t>Pfizer</t>
  </si>
  <si>
    <t>JPMorgan</t>
  </si>
  <si>
    <t>PPG Industries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</si>
</sst>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8" formatCode="&quot;$&quot;#,##0.00_);[Red]\(&quot;$&quot;#,##0.00\)"/>
    <numFmt numFmtId="43" formatCode="_(* #,##0.00_);_(* \(#,##0.00\);_(* &quot;-&quot;??_);_(@_)"/>
    <numFmt numFmtId="164" formatCode="_(* #,##0_);_(* \(#,##0\);_(* &quot;-&quot;??_);_(@_)"/>
    <numFmt numFmtId="165" formatCode="_([$$-409]* #,##0.00_);_([$$-409]* \(#,##0.00\);_([$$-409]* &quot;-&quot;??_);_(@_)"/>
    <numFmt numFmtId="166" formatCode="_(* #,##0.0_);_(* \(#,##0.0\);_(* &quot;-&quot;?_);_(@_)"/>
    <numFmt numFmtId="167" formatCode="_(* #,##0.0000_);_(* \(#,##0.0000\);_(* &quot;-&quot;??_);_(@_)"/>
    <numFmt numFmtId="168" formatCode="_(* #,##0.00000_);_(* \(#,##0.00000\);_(* &quot;-&quot;??_);_(@_)"/>
  </numFmts>
  <fonts count="11">
    <font>
      <sz val="11"/>
      <color theme="1"/>
      <name val="Calibri"/>
      <family val="2"/>
      <scheme val="minor"/>
    </font>
    <font>
      <sz val="11"/>
      <color theme="1"/>
      <name val="Calibri"/>
      <family val="2"/>
      <scheme val="minor"/>
    </font>
    <font>
      <u/>
      <sz val="11"/>
      <color theme="10"/>
      <name val="Calibri"/>
      <family val="2"/>
      <scheme val="minor"/>
    </font>
    <font>
      <sz val="11"/>
      <color theme="0"/>
      <name val="Calibri"/>
      <family val="2"/>
      <scheme val="minor"/>
    </font>
    <font>
      <sz val="8"/>
      <name val="Calibri"/>
      <family val="2"/>
      <scheme val="minor"/>
    </font>
    <font>
      <sz val="10"/>
      <color theme="1"/>
      <name val="Arial Unicode MS"/>
    </font>
    <font>
      <sz val="11"/>
      <name val="Calibri"/>
      <family val="2"/>
      <scheme val="minor"/>
    </font>
    <font>
      <b/>
      <sz val="11"/>
      <name val="Calibri"/>
      <family val="2"/>
      <scheme val="minor"/>
    </font>
    <font>
      <b/>
      <sz val="11"/>
      <color theme="0" tint="-0.499984740745262"/>
      <name val="Calibri"/>
      <family val="2"/>
      <scheme val="minor"/>
    </font>
    <font>
      <sz val="24"/>
      <name val="Calibri"/>
      <family val="2"/>
      <scheme val="minor"/>
    </font>
    <font>
      <b/>
      <sz val="24"/>
      <name val="Calibri"/>
      <family val="2"/>
      <scheme val="minor"/>
    </font>
  </fonts>
  <fills count="3">
    <fill>
      <patternFill patternType="none"/>
    </fill>
    <fill>
      <patternFill patternType="gray125"/>
    </fill>
    <fill>
      <patternFill patternType="solid">
        <fgColor theme="0" tint="-4.9989318521683403E-2"/>
        <bgColor indexed="64"/>
      </patternFill>
    </fill>
  </fills>
  <borders count="5">
    <border>
      <left/>
      <right/>
      <top/>
      <bottom/>
      <diagonal/>
    </border>
    <border>
      <left/>
      <right/>
      <top style="thin">
        <color theme="0" tint="-0.499984740745262"/>
      </top>
      <bottom style="thin">
        <color theme="0" tint="-0.499984740745262"/>
      </bottom>
      <diagonal/>
    </border>
    <border>
      <left style="thick">
        <color theme="0"/>
      </left>
      <right style="thick">
        <color theme="0"/>
      </right>
      <top style="thick">
        <color theme="0"/>
      </top>
      <bottom style="thick">
        <color theme="0"/>
      </bottom>
      <diagonal/>
    </border>
    <border>
      <left/>
      <right style="thin">
        <color indexed="64"/>
      </right>
      <top style="thin">
        <color theme="0" tint="-0.499984740745262"/>
      </top>
      <bottom style="thin">
        <color theme="0" tint="-0.499984740745262"/>
      </bottom>
      <diagonal/>
    </border>
    <border>
      <left style="thick">
        <color theme="0"/>
      </left>
      <right style="thick">
        <color theme="0"/>
      </right>
      <top style="thick">
        <color theme="0"/>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cellStyleXfs>
  <cellXfs count="35">
    <xf numFmtId="0" fontId="0" fillId="0" borderId="0" xfId="0"/>
    <xf numFmtId="14" fontId="0" fillId="0" borderId="0" xfId="0" applyNumberFormat="1"/>
    <xf numFmtId="0" fontId="0" fillId="0" borderId="0" xfId="0" applyAlignment="1">
      <alignment horizontal="center" vertical="center"/>
    </xf>
    <xf numFmtId="14" fontId="0" fillId="0" borderId="0" xfId="0" applyNumberFormat="1" applyAlignment="1">
      <alignment horizontal="left" vertical="center"/>
    </xf>
    <xf numFmtId="0" fontId="0" fillId="0" borderId="0" xfId="0" applyAlignment="1">
      <alignment horizontal="left" vertical="center"/>
    </xf>
    <xf numFmtId="43" fontId="0" fillId="0" borderId="0" xfId="1" applyFont="1" applyAlignment="1">
      <alignment horizontal="left" vertical="center"/>
    </xf>
    <xf numFmtId="164" fontId="0" fillId="0" borderId="0" xfId="1" applyNumberFormat="1" applyFont="1" applyAlignment="1">
      <alignment horizontal="left" vertical="center"/>
    </xf>
    <xf numFmtId="0" fontId="0" fillId="0" borderId="0" xfId="0" applyAlignment="1">
      <alignment horizontal="left" vertical="top" wrapText="1"/>
    </xf>
    <xf numFmtId="164" fontId="0" fillId="0" borderId="0" xfId="0" applyNumberFormat="1" applyAlignment="1">
      <alignment horizontal="left" vertical="top" wrapText="1"/>
    </xf>
    <xf numFmtId="10" fontId="0" fillId="0" borderId="0" xfId="0" applyNumberFormat="1" applyAlignment="1">
      <alignment horizontal="left" vertical="top" wrapText="1"/>
    </xf>
    <xf numFmtId="165" fontId="0" fillId="0" borderId="0" xfId="0" applyNumberFormat="1" applyAlignment="1">
      <alignment horizontal="left" vertical="top" wrapText="1"/>
    </xf>
    <xf numFmtId="0" fontId="0" fillId="0" borderId="0" xfId="0" applyAlignment="1">
      <alignment horizontal="center" vertical="center" wrapText="1"/>
    </xf>
    <xf numFmtId="166" fontId="0" fillId="0" borderId="0" xfId="0" applyNumberFormat="1" applyAlignment="1">
      <alignment horizontal="left" vertical="top" wrapText="1"/>
    </xf>
    <xf numFmtId="164" fontId="0" fillId="0" borderId="0" xfId="1" applyNumberFormat="1" applyFont="1" applyAlignment="1">
      <alignment horizontal="left" vertical="top" wrapText="1"/>
    </xf>
    <xf numFmtId="9" fontId="0" fillId="0" borderId="0" xfId="2" applyFont="1" applyAlignment="1">
      <alignment horizontal="left" vertical="top" wrapText="1"/>
    </xf>
    <xf numFmtId="14" fontId="0" fillId="0" borderId="0" xfId="0" applyNumberFormat="1" applyAlignment="1">
      <alignment vertical="top" wrapText="1"/>
    </xf>
    <xf numFmtId="43" fontId="0" fillId="0" borderId="0" xfId="1" applyFont="1" applyAlignment="1">
      <alignment vertical="top" wrapText="1"/>
    </xf>
    <xf numFmtId="164" fontId="0" fillId="0" borderId="0" xfId="1" applyNumberFormat="1" applyFont="1" applyAlignment="1">
      <alignment vertical="top" wrapText="1"/>
    </xf>
    <xf numFmtId="43" fontId="0" fillId="0" borderId="0" xfId="1" applyFont="1"/>
    <xf numFmtId="9" fontId="0" fillId="0" borderId="0" xfId="2" applyFont="1" applyAlignment="1">
      <alignment horizontal="left" vertical="center"/>
    </xf>
    <xf numFmtId="0" fontId="3" fillId="0" borderId="0" xfId="0" applyFont="1" applyAlignment="1">
      <alignment horizontal="center" vertical="center" wrapText="1"/>
    </xf>
    <xf numFmtId="167" fontId="0" fillId="0" borderId="0" xfId="1" applyNumberFormat="1" applyFont="1"/>
    <xf numFmtId="168" fontId="0" fillId="0" borderId="0" xfId="1" applyNumberFormat="1" applyFont="1"/>
    <xf numFmtId="14" fontId="0" fillId="0" borderId="0" xfId="0" applyNumberFormat="1" applyAlignment="1">
      <alignment horizontal="left" vertical="top" wrapText="1"/>
    </xf>
    <xf numFmtId="0" fontId="5" fillId="0" borderId="0" xfId="0" applyFont="1" applyAlignment="1">
      <alignment horizontal="left" vertical="top" wrapText="1"/>
    </xf>
    <xf numFmtId="0" fontId="0" fillId="0" borderId="1" xfId="0" applyBorder="1"/>
    <xf numFmtId="0" fontId="6" fillId="0" borderId="0" xfId="0" applyFont="1"/>
    <xf numFmtId="0" fontId="7" fillId="0" borderId="0" xfId="0" applyFont="1"/>
    <xf numFmtId="0" fontId="8" fillId="0" borderId="0" xfId="0" applyFont="1"/>
    <xf numFmtId="0" fontId="9" fillId="2" borderId="2" xfId="3" quotePrefix="1" applyFont="1" applyFill="1" applyBorder="1"/>
    <xf numFmtId="0" fontId="7" fillId="0" borderId="3" xfId="3" applyFont="1" applyBorder="1" applyAlignment="1">
      <alignment horizontal="center" vertical="center"/>
    </xf>
    <xf numFmtId="0" fontId="8" fillId="0" borderId="1" xfId="0" applyFont="1" applyBorder="1" applyAlignment="1">
      <alignment horizontal="left" vertical="center" indent="1"/>
    </xf>
    <xf numFmtId="0" fontId="10" fillId="0" borderId="4" xfId="3" quotePrefix="1" applyFont="1" applyFill="1" applyBorder="1"/>
    <xf numFmtId="8" fontId="0" fillId="0" borderId="0" xfId="0" applyNumberFormat="1"/>
    <xf numFmtId="0" fontId="0" fillId="0" borderId="0" xfId="0" applyAlignment="1">
      <alignment vertical="top" wrapText="1"/>
    </xf>
  </cellXfs>
  <cellStyles count="4">
    <cellStyle name="Comma" xfId="1" builtinId="3"/>
    <cellStyle name="Hyperlink" xfId="3" builtinId="8"/>
    <cellStyle name="Normal" xfId="0" builtinId="0"/>
    <cellStyle name="Percent" xfId="2" builtinId="5"/>
  </cellStyles>
  <dxfs count="82">
    <dxf>
      <fill>
        <patternFill>
          <bgColor theme="5" tint="0.79998168889431442"/>
        </patternFill>
      </fill>
    </dxf>
    <dxf>
      <fill>
        <patternFill>
          <bgColor theme="6" tint="0.79998168889431442"/>
        </patternFill>
      </fill>
    </dxf>
    <dxf>
      <fill>
        <patternFill>
          <bgColor rgb="FFFFF7F7"/>
        </patternFill>
      </fill>
    </dxf>
    <dxf>
      <font>
        <b val="0"/>
        <i/>
        <color theme="0" tint="-0.34998626667073579"/>
      </font>
      <fill>
        <patternFill>
          <bgColor theme="0" tint="-4.9989318521683403E-2"/>
        </patternFill>
      </fill>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_(* \(#,##0.00\);_(* &quot;-&quot;??_);_(@_)"/>
      <alignment horizontal="left" vertical="center" textRotation="0" wrapText="0" indent="0" justifyLastLine="0" shrinkToFit="0" readingOrder="0"/>
    </dxf>
    <dxf>
      <numFmt numFmtId="35" formatCode="_(* #,##0.00_);_(* \(#,##0.00\);_(* &quot;-&quot;??_);_(@_)"/>
      <alignment horizontal="left" vertical="center" textRotation="0" wrapText="0" indent="0" justifyLastLine="0" shrinkToFit="0" readingOrder="0"/>
    </dxf>
    <dxf>
      <numFmt numFmtId="35" formatCode="_(* #,##0.00_);_(* \(#,##0.00\);_(* &quot;-&quot;??_);_(@_)"/>
      <alignment horizontal="left" vertical="center" textRotation="0" wrapText="0" indent="0" justifyLastLine="0" shrinkToFit="0" readingOrder="0"/>
    </dxf>
    <dxf>
      <numFmt numFmtId="35" formatCode="_(* #,##0.00_);_(* \(#,##0.00\);_(* &quot;-&quot;??_);_(@_)"/>
      <alignment horizontal="left" vertical="center" textRotation="0" wrapText="0" indent="0" justifyLastLine="0" shrinkToFit="0" readingOrder="0"/>
    </dxf>
    <dxf>
      <numFmt numFmtId="164" formatCode="_(* #,##0_);_(* \(#,##0\);_(* &quot;-&quot;??_);_(@_)"/>
      <alignment horizontal="left" vertical="center" textRotation="0" wrapText="0" indent="0" justifyLastLine="0" shrinkToFit="0" readingOrder="0"/>
    </dxf>
    <dxf>
      <numFmt numFmtId="164" formatCode="_(* #,##0_);_(* \(#,##0\);_(* &quot;-&quot;??_);_(@_)"/>
      <alignment horizontal="left" vertical="center" textRotation="0" wrapText="0" indent="0" justifyLastLine="0" shrinkToFit="0" readingOrder="0"/>
    </dxf>
    <dxf>
      <numFmt numFmtId="19" formatCode="m/d/yyyy"/>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numFmt numFmtId="167" formatCode="_(* #,##0.0000_);_(* \(#,##0.0000\);_(* &quot;-&quot;??_);_(@_)"/>
    </dxf>
    <dxf>
      <numFmt numFmtId="168" formatCode="_(* #,##0.00000_);_(* \(#,##0.00000\);_(* &quot;-&quot;??_);_(@_)"/>
    </dxf>
    <dxf>
      <numFmt numFmtId="35" formatCode="_(* #,##0.00_);_(* \(#,##0.00\);_(* &quot;-&quot;??_);_(@_)"/>
    </dxf>
    <dxf>
      <numFmt numFmtId="19" formatCode="m/d/yyyy"/>
    </dxf>
    <dxf>
      <numFmt numFmtId="19" formatCode="m/d/yyyy"/>
    </dxf>
    <dxf>
      <alignment horizontal="center" vertical="center" textRotation="0" wrapText="0" indent="0" justifyLastLine="0" shrinkToFit="0" readingOrder="0"/>
    </dxf>
    <dxf>
      <numFmt numFmtId="164" formatCode="_(* #,##0_);_(* \(#,##0\);_(* &quot;-&quot;??_);_(@_)"/>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alignment horizontal="left" vertical="top" textRotation="0" wrapText="1" indent="0" justifyLastLine="0" shrinkToFit="0" readingOrder="0"/>
    </dxf>
    <dxf>
      <alignment horizontal="left" vertical="top" textRotation="0" wrapText="1" indent="0" justifyLastLine="0" shrinkToFit="0" readingOrder="0"/>
    </dxf>
    <dxf>
      <numFmt numFmtId="164" formatCode="_(* #,##0_);_(* \(#,##0\);_(* &quot;-&quot;??_);_(@_)"/>
      <alignment horizontal="left" vertical="top" textRotation="0" wrapText="1" indent="0" justifyLastLine="0" shrinkToFit="0" readingOrder="0"/>
    </dxf>
    <dxf>
      <numFmt numFmtId="164" formatCode="_(* #,##0_);_(* \(#,##0\);_(* &quot;-&quot;??_);_(@_)"/>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alignment horizontal="left" vertical="top" textRotation="0" wrapText="1" indent="0" justifyLastLine="0" shrinkToFit="0" readingOrder="0"/>
    </dxf>
    <dxf>
      <numFmt numFmtId="164" formatCode="_(* #,##0_);_(* \(#,##0\);_(* &quot;-&quot;??_);_(@_)"/>
      <alignment horizontal="left" vertical="top" textRotation="0" wrapText="1" indent="0" justifyLastLine="0" shrinkToFit="0" readingOrder="0"/>
    </dxf>
    <dxf>
      <numFmt numFmtId="164" formatCode="_(* #,##0_);_(* \(#,##0\);_(* &quot;-&quot;??_);_(@_)"/>
      <alignment horizontal="left" vertical="top" textRotation="0" wrapText="1" indent="0" justifyLastLine="0" shrinkToFit="0" readingOrder="0"/>
    </dxf>
    <dxf>
      <numFmt numFmtId="164" formatCode="_(* #,##0_);_(* \(#,##0\);_(* &quot;-&quot;??_);_(@_)"/>
      <alignment horizontal="left" vertical="top" textRotation="0" wrapText="1" indent="0" justifyLastLine="0" shrinkToFit="0" readingOrder="0"/>
    </dxf>
    <dxf>
      <numFmt numFmtId="166" formatCode="_(* #,##0.0_);_(* \(#,##0.0\);_(* &quot;-&quot;?_);_(@_)"/>
      <alignment horizontal="left" vertical="top" textRotation="0" wrapText="1" indent="0" justifyLastLine="0" shrinkToFit="0" readingOrder="0"/>
    </dxf>
    <dxf>
      <numFmt numFmtId="164" formatCode="_(* #,##0_);_(* \(#,##0\);_(* &quot;-&quot;??_);_(@_)"/>
      <alignment horizontal="left" vertical="top" textRotation="0" wrapText="1" indent="0" justifyLastLine="0" shrinkToFit="0" readingOrder="0"/>
    </dxf>
    <dxf>
      <numFmt numFmtId="165" formatCode="_([$$-409]* #,##0.00_);_([$$-409]* \(#,##0.00\);_([$$-409]* &quot;-&quot;??_);_(@_)"/>
      <alignment horizontal="left" vertical="top" textRotation="0" wrapText="1" indent="0" justifyLastLine="0" shrinkToFit="0" readingOrder="0"/>
    </dxf>
    <dxf>
      <numFmt numFmtId="165" formatCode="_([$$-409]* #,##0.00_);_([$$-409]* \(#,##0.00\);_([$$-409]* &quot;-&quot;??_);_(@_)"/>
      <alignment horizontal="left" vertical="top" textRotation="0" wrapText="1" indent="0" justifyLastLine="0" shrinkToFit="0" readingOrder="0"/>
    </dxf>
    <dxf>
      <numFmt numFmtId="14" formatCode="0.00%"/>
      <alignment horizontal="left" vertical="top" textRotation="0" wrapText="1" indent="0" justifyLastLine="0" shrinkToFit="0" readingOrder="0"/>
    </dxf>
    <dxf>
      <numFmt numFmtId="19" formatCode="m/d/yyyy"/>
      <alignment horizontal="left" vertical="top" textRotation="0" wrapText="1" indent="0" justifyLastLine="0" shrinkToFit="0" readingOrder="0"/>
    </dxf>
    <dxf>
      <numFmt numFmtId="19" formatCode="m/d/yyyy"/>
      <alignment horizontal="left" vertical="top" textRotation="0" wrapText="1" indent="0" justifyLastLine="0" shrinkToFit="0" readingOrder="0"/>
    </dxf>
    <dxf>
      <numFmt numFmtId="164" formatCode="_(* #,##0_);_(* \(#,##0\);_(* &quot;-&quot;??_);_(@_)"/>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strike val="0"/>
        <outline val="0"/>
        <shadow val="0"/>
        <u val="none"/>
        <vertAlign val="baseline"/>
        <sz val="11"/>
        <color theme="0"/>
        <name val="Calibri"/>
        <family val="2"/>
        <scheme val="minor"/>
      </font>
      <alignment horizontal="center" vertical="center"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164" formatCode="_(* #,##0_);_(* \(#,##0\);_(* &quot;-&quot;??_);_(@_)"/>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35" formatCode="_(* #,##0.00_);_(* \(#,##0.00\);_(* &quot;-&quot;??_);_(@_)"/>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4" formatCode="_(* #,##0_);_(* \(#,##0\);_(* &quot;-&quot;??_);_(@_)"/>
      <alignment horizontal="general" vertical="top" textRotation="0" wrapText="1" indent="0" justifyLastLine="0" shrinkToFit="0" readingOrder="0"/>
    </dxf>
    <dxf>
      <numFmt numFmtId="164" formatCode="_(* #,##0_);_(* \(#,##0\);_(* &quot;-&quot;??_);_(@_)"/>
      <alignment horizontal="general" vertical="top" textRotation="0" wrapText="1" indent="0" justifyLastLine="0" shrinkToFit="0" readingOrder="0"/>
    </dxf>
    <dxf>
      <numFmt numFmtId="164" formatCode="_(* #,##0_);_(* \(#,##0\);_(* &quot;-&quot;??_);_(@_)"/>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0" formatCode="General"/>
      <alignment horizontal="general" vertical="top" textRotation="0" wrapText="1" indent="0" justifyLastLine="0" shrinkToFit="0" readingOrder="0"/>
    </dxf>
    <dxf>
      <numFmt numFmtId="19" formatCode="m/d/yyyy"/>
      <alignment horizontal="general" vertical="top" textRotation="0" wrapText="1" indent="0" justifyLastLine="0" shrinkToFit="0" readingOrder="0"/>
    </dxf>
    <dxf>
      <alignment horizontal="general" vertical="top" textRotation="0" wrapText="1" indent="0" justifyLastLine="0" shrinkToFit="0" readingOrder="0"/>
    </dxf>
    <dxf>
      <alignment horizontal="center" vertical="center" textRotation="0" wrapText="1" indent="0" justifyLastLine="0" shrinkToFit="0" readingOrder="0"/>
    </dxf>
    <dxf>
      <font>
        <b/>
        <i val="0"/>
      </font>
      <border diagonalUp="0" diagonalDown="0">
        <left/>
        <right/>
        <top style="thick">
          <color auto="1"/>
        </top>
        <bottom/>
        <vertical/>
        <horizontal/>
      </border>
    </dxf>
    <dxf>
      <font>
        <b/>
        <i val="0"/>
        <color auto="1"/>
      </font>
      <fill>
        <patternFill patternType="none">
          <bgColor auto="1"/>
        </patternFill>
      </fill>
    </dxf>
    <dxf>
      <border>
        <left style="thin">
          <color theme="3" tint="-0.499984740745262"/>
        </left>
        <right style="thin">
          <color theme="3" tint="-0.499984740745262"/>
        </right>
        <top style="thin">
          <color theme="3" tint="-0.499984740745262"/>
        </top>
        <bottom style="thin">
          <color theme="3" tint="-0.499984740745262"/>
        </bottom>
        <vertical style="thin">
          <color theme="3" tint="-0.499984740745262"/>
        </vertical>
        <horizontal style="thin">
          <color theme="3" tint="-0.499984740745262"/>
        </horizontal>
      </border>
    </dxf>
    <dxf>
      <font>
        <b/>
        <i val="0"/>
        <color theme="0"/>
      </font>
      <fill>
        <patternFill>
          <bgColor theme="3" tint="-0.499984740745262"/>
        </patternFill>
      </fill>
    </dxf>
    <dxf>
      <border>
        <left style="thin">
          <color theme="3" tint="-0.499984740745262"/>
        </left>
        <right style="thin">
          <color theme="3" tint="-0.499984740745262"/>
        </right>
        <top style="thin">
          <color theme="3" tint="-0.499984740745262"/>
        </top>
        <bottom style="thin">
          <color theme="3" tint="-0.499984740745262"/>
        </bottom>
        <vertical style="thin">
          <color theme="3" tint="-0.499984740745262"/>
        </vertical>
        <horizontal style="thin">
          <color theme="3" tint="-0.499984740745262"/>
        </horizontal>
      </border>
    </dxf>
    <dxf>
      <font>
        <b/>
        <i val="0"/>
      </font>
      <fill>
        <patternFill>
          <bgColor theme="0" tint="-0.24994659260841701"/>
        </patternFill>
      </fill>
    </dxf>
    <dxf>
      <fill>
        <patternFill>
          <bgColor theme="0" tint="-4.9989318521683403E-2"/>
        </patternFill>
      </fill>
      <border>
        <left style="thin">
          <color theme="0"/>
        </left>
        <right style="thin">
          <color theme="0"/>
        </right>
        <top style="thin">
          <color theme="0"/>
        </top>
        <bottom style="thin">
          <color theme="0"/>
        </bottom>
        <vertical style="thin">
          <color theme="0"/>
        </vertical>
        <horizontal style="thin">
          <color theme="0"/>
        </horizontal>
      </border>
    </dxf>
    <dxf>
      <font>
        <b/>
        <i val="0"/>
      </font>
      <fill>
        <patternFill>
          <bgColor theme="9" tint="0.24994659260841701"/>
        </patternFill>
      </fill>
    </dxf>
    <dxf>
      <fill>
        <patternFill>
          <bgColor theme="9" tint="0.89996032593768116"/>
        </patternFill>
      </fill>
      <border diagonalUp="0" diagonalDown="0">
        <left style="thin">
          <color theme="0"/>
        </left>
        <right style="thin">
          <color theme="0"/>
        </right>
        <top style="thin">
          <color theme="0"/>
        </top>
        <bottom style="thin">
          <color theme="0"/>
        </bottom>
        <vertical style="thin">
          <color theme="0"/>
        </vertical>
        <horizontal style="thin">
          <color theme="0"/>
        </horizontal>
      </border>
    </dxf>
    <dxf>
      <font>
        <b/>
        <i val="0"/>
      </font>
      <fill>
        <patternFill>
          <bgColor rgb="FFFFABAB"/>
        </patternFill>
      </fill>
    </dxf>
    <dxf>
      <fill>
        <patternFill>
          <bgColor rgb="FFFFDDDD"/>
        </patternFill>
      </fill>
      <border>
        <left style="thin">
          <color theme="0"/>
        </left>
        <right style="thin">
          <color theme="0"/>
        </right>
        <top style="thin">
          <color theme="0"/>
        </top>
        <bottom style="thin">
          <color theme="0"/>
        </bottom>
        <vertical style="thin">
          <color theme="0"/>
        </vertical>
        <horizontal style="thin">
          <color theme="0"/>
        </horizontal>
      </border>
    </dxf>
    <dxf>
      <font>
        <b/>
        <i val="0"/>
      </font>
      <fill>
        <patternFill>
          <bgColor theme="7" tint="-0.24994659260841701"/>
        </patternFill>
      </fill>
    </dxf>
    <dxf>
      <fill>
        <patternFill>
          <bgColor theme="7" tint="0.79998168889431442"/>
        </patternFill>
      </fill>
      <border>
        <left style="thin">
          <color theme="0"/>
        </left>
        <right style="thin">
          <color theme="0"/>
        </right>
        <top style="thin">
          <color theme="0"/>
        </top>
        <bottom style="thin">
          <color theme="0"/>
        </bottom>
        <vertical style="thin">
          <color theme="0"/>
        </vertical>
        <horizontal style="thin">
          <color theme="0"/>
        </horizontal>
      </border>
    </dxf>
    <dxf>
      <font>
        <b/>
        <i val="0"/>
      </font>
      <fill>
        <patternFill>
          <bgColor rgb="FFFFC000"/>
        </patternFill>
      </fill>
    </dxf>
    <dxf>
      <fill>
        <patternFill>
          <bgColor rgb="FFFFF0C1"/>
        </patternFill>
      </fill>
      <border>
        <left style="thin">
          <color theme="0"/>
        </left>
        <right style="thin">
          <color theme="0"/>
        </right>
        <top style="thin">
          <color theme="0"/>
        </top>
        <bottom style="thin">
          <color theme="0"/>
        </bottom>
        <vertical style="thin">
          <color theme="0"/>
        </vertical>
        <horizontal style="thin">
          <color theme="0"/>
        </horizontal>
      </border>
    </dxf>
  </dxfs>
  <tableStyles count="7" defaultTableStyle="TableStyleMedium2" defaultPivotStyle="PivotStyleLight16">
    <tableStyle name="Table Style 1" pivot="0" count="2" xr9:uid="{0D8E4C86-FA4A-4159-8C23-534A0F8AD161}">
      <tableStyleElement type="wholeTable" dxfId="81"/>
      <tableStyleElement type="headerRow" dxfId="80"/>
    </tableStyle>
    <tableStyle name="Table Style 1 2" pivot="0" count="2" xr9:uid="{A03AC3C5-8AF8-47F1-B8EF-8E705742419D}">
      <tableStyleElement type="wholeTable" dxfId="79"/>
      <tableStyleElement type="headerRow" dxfId="78"/>
    </tableStyle>
    <tableStyle name="Table Style 1 3" pivot="0" count="2" xr9:uid="{7BAAD2C6-579B-4D91-AD61-D351FA13E22D}">
      <tableStyleElement type="wholeTable" dxfId="77"/>
      <tableStyleElement type="headerRow" dxfId="76"/>
    </tableStyle>
    <tableStyle name="Table Style 2" pivot="0" count="2" xr9:uid="{46F63BDF-8DFB-486F-A5EF-547D45C56FFC}">
      <tableStyleElement type="wholeTable" dxfId="75"/>
      <tableStyleElement type="headerRow" dxfId="74"/>
    </tableStyle>
    <tableStyle name="Table Style 3" pivot="0" count="2" xr9:uid="{84A008B7-CB8D-4B79-885F-3698BF8A2544}">
      <tableStyleElement type="wholeTable" dxfId="73"/>
      <tableStyleElement type="headerRow" dxfId="72"/>
    </tableStyle>
    <tableStyle name="Table Style 4" pivot="0" count="2" xr9:uid="{1039F44D-0B67-4A8C-9BC2-7701F72E2EB2}">
      <tableStyleElement type="wholeTable" dxfId="71"/>
      <tableStyleElement type="headerRow" dxfId="70"/>
    </tableStyle>
    <tableStyle name="Table Style 4 2" pivot="0" count="3" xr9:uid="{368F2F62-305B-4E52-8AF2-CA3323A65042}">
      <tableStyleElement type="wholeTable" dxfId="69"/>
      <tableStyleElement type="headerRow" dxfId="68"/>
      <tableStyleElement type="totalRow" dxfId="67"/>
    </tableStyle>
  </tableStyles>
  <colors>
    <mruColors>
      <color rgb="FFFFF7F7"/>
      <color rgb="FFFFD5D5"/>
      <color rgb="FFFFDDDD"/>
      <color rgb="FFFFABAB"/>
      <color rgb="FFFFF0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Array" Target="richData/rdarray.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connections" Target="connections.xml"/><Relationship Id="rId12" Type="http://schemas.microsoft.com/office/2017/06/relationships/rdRichValueStructure" Target="richData/rdrichvaluestructur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heetMetadata" Target="metadata.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ichStyles" Target="richData/rich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2" xr16:uid="{A0F5478D-767F-46DF-B20D-7F83C39128A0}" autoFormatId="16" applyNumberFormats="0" applyBorderFormats="0" applyFontFormats="0" applyPatternFormats="0" applyAlignmentFormats="0" applyWidthHeightFormats="0">
  <queryTableRefresh nextId="31" unboundColumnsRight="11">
    <queryTableFields count="13">
      <queryTableField id="1" name="Date" tableColumnId="1"/>
      <queryTableField id="2" name="Company Ticker" tableColumnId="2"/>
      <queryTableField id="3" dataBound="0" tableColumnId="3"/>
      <queryTableField id="4" dataBound="0" tableColumnId="4"/>
      <queryTableField id="7" dataBound="0" tableColumnId="7"/>
      <queryTableField id="26" dataBound="0" tableColumnId="6"/>
      <queryTableField id="8" dataBound="0" tableColumnId="8"/>
      <queryTableField id="9" dataBound="0" tableColumnId="9"/>
      <queryTableField id="11" dataBound="0" tableColumnId="11"/>
      <queryTableField id="10" dataBound="0" tableColumnId="10"/>
      <queryTableField id="25" dataBound="0" tableColumnId="5"/>
      <queryTableField id="27" dataBound="0" tableColumnId="12"/>
      <queryTableField id="28" dataBound="0" tableColumnId="13"/>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396">
  <a r="1">
    <v t="i">0</v>
  </a>
  <a r="1">
    <v>1.0576000000000001</v>
  </a>
  <a r="1">
    <v>1.0862000000000001</v>
  </a>
  <a r="1">
    <v>1.0702</v>
  </a>
  <a r="1">
    <v>1.0405</v>
  </a>
  <a r="1">
    <v>0.98829999999999996</v>
  </a>
  <a r="1">
    <v>0.97989999999999999</v>
  </a>
  <a r="1">
    <v>1.0057</v>
  </a>
  <a r="1">
    <v>1.0218</v>
  </a>
  <a r="1">
    <v>1.0482</v>
  </a>
  <a r="1">
    <v>1.0732999999999999</v>
  </a>
  <a r="1">
    <v>1.0541</v>
  </a>
  <a r="1">
    <v>1.1065</v>
  </a>
  <a r="1">
    <v>1.1218999999999999</v>
  </a>
  <a r="1">
    <v>1.1233</v>
  </a>
  <a r="1">
    <v>1.1368</v>
  </a>
  <a r="1">
    <v>1.1335999999999999</v>
  </a>
  <a r="1">
    <v>1.1560999999999999</v>
  </a>
  <a r="1">
    <v>1.1580999999999999</v>
  </a>
  <a r="1">
    <v>1.1807000000000001</v>
  </a>
  <a r="1">
    <v>1.1870000000000001</v>
  </a>
  <a r="1">
    <v>1.1855</v>
  </a>
  <a r="1">
    <v>1.2224999999999999</v>
  </a>
  <a r="1">
    <v>1.2018</v>
  </a>
  <a r="1">
    <v>1.1728000000000001</v>
  </a>
  <a r="1">
    <v>1.2074</v>
  </a>
  <a r="1">
    <v>1.2136</v>
  </a>
  <a r="1">
    <v>1.2213000000000001</v>
  </a>
  <a r="1">
    <v>1.1928000000000001</v>
  </a>
  <a r="1">
    <v>1.1647000000000001</v>
  </a>
  <a r="1">
    <v>1.1718</v>
  </a>
  <a r="1">
    <v>1.1936</v>
  </a>
  <a r="1">
    <v>1.1774</v>
  </a>
  <a r="1">
    <v>1.1231</v>
  </a>
  <a r="1">
    <v>1.1097999999999999</v>
  </a>
  <a r="1">
    <v>1.0954999999999999</v>
  </a>
  <a r="1">
    <v>1.1029</v>
  </a>
  <a r="1">
    <v>1.1025</v>
  </a>
  <a r="1">
    <v>1.1093</v>
  </a>
  <a r="1">
    <v>1.121</v>
  </a>
  <a r="1">
    <v>1.1014999999999999</v>
  </a>
  <a r="1">
    <v>1.115</v>
  </a>
  <a r="1">
    <v>1.0898000000000001</v>
  </a>
  <a r="1">
    <v>1.0989</v>
  </a>
  <a r="1">
    <v>1.1073999999999999</v>
  </a>
  <a r="1">
    <v>1.1167</v>
  </a>
  <a r="1">
    <v>1.1214999999999999</v>
  </a>
  <a r="1">
    <v>1.1216999999999999</v>
  </a>
  <a r="1">
    <v>1.1608000000000001</v>
  </a>
  <a r="1">
    <v>1.1691</v>
  </a>
  <a r="1">
    <v>1.2077</v>
  </a>
  <a r="1">
    <v>1.1423000000000001</v>
  </a>
  <a r="1">
    <v>1.1104000000000001</v>
  </a>
  <a r="1">
    <v>1.1315</v>
  </a>
  <a r="1">
    <v>1.1598999999999999</v>
  </a>
  <a r="1">
    <v>1.1005</v>
  </a>
  <a r="1">
    <v>1.137</v>
  </a>
  <a r="1">
    <v>1.131</v>
  </a>
  <a r="1">
    <v>1.2321</v>
  </a>
  <a r="1">
    <v>1.1901999999999999</v>
  </a>
  <a r="1">
    <v>1.1241000000000001</v>
  </a>
  <a r="1">
    <v>1.0979000000000001</v>
  </a>
  <a r="1">
    <v>1.1155999999999999</v>
  </a>
  <a r="1">
    <v>1.1454</v>
  </a>
  <a r="1">
    <v>1.0833999999999999</v>
  </a>
  <a r="1">
    <v>1.1211</v>
  </a>
  <a r="1">
    <v>1.1469</v>
  </a>
  <a r="1">
    <v>1.0512999999999999</v>
  </a>
  <a r="1">
    <v>1.1237999999999999</v>
  </a>
  <a r="1">
    <v>1.1222000000000001</v>
  </a>
  <a r="1">
    <v>1.1682999999999999</v>
  </a>
  <a r="1">
    <v>1.1644000000000001</v>
  </a>
  <a r="1">
    <v>1.0894999999999999</v>
  </a>
  <a r="1">
    <v>1.0794999999999999</v>
  </a>
  <a r="1">
    <v>1.1377999999999999</v>
  </a>
  <a r="1">
    <v>1.0860000000000001</v>
  </a>
  <a r="1">
    <v>1.0563</v>
  </a>
  <a r="1">
    <v>1.1134999999999999</v>
  </a>
  <a r="1">
    <v>1.0987</v>
  </a>
  <a r="1">
    <v>1.169</v>
  </a>
  <a r="1">
    <v>1.1996</v>
  </a>
  <a r="1">
    <v>1.0649</v>
  </a>
  <a r="1">
    <v>1.0575000000000001</v>
  </a>
  <a r="1">
    <v>1.1175999999999999</v>
  </a>
  <a r="1">
    <v>1.073</v>
  </a>
  <a r="1">
    <v>1.1444000000000001</v>
  </a>
  <a r="1">
    <v>1.2193000000000001</v>
  </a>
  <a r="1">
    <v>1.242</v>
  </a>
  <a r="1">
    <v>1.1812</v>
  </a>
  <a r="1">
    <v>1.1908000000000001</v>
  </a>
  <a r="1">
    <v>1.1839999999999999</v>
  </a>
  <a r="1">
    <v>1.0585</v>
  </a>
  <a r="1">
    <v>1.117</v>
  </a>
  <a r="1">
    <v>1.1129</v>
  </a>
  <a r="1">
    <v>1.0871</v>
  </a>
  <a r="1">
    <v>1.0839000000000001</v>
  </a>
  <a r="1">
    <v>1.1020000000000001</v>
  </a>
  <a r="1">
    <v>1.0688</v>
  </a>
  <a r="1">
    <v>1.091</v>
  </a>
  <a r="1">
    <v>1.0992999999999999</v>
  </a>
  <a r="1">
    <v>1.0841000000000001</v>
  </a>
  <a r="1">
    <v>1.0569999999999999</v>
  </a>
  <a r="1">
    <v>1.0886</v>
  </a>
  <a r="1">
    <v>1.1035999999999999</v>
  </a>
  <a r="1">
    <v>1.0815999999999999</v>
  </a>
  <a r="1">
    <v>1.0803</v>
  </a>
  <a r="1">
    <v>1.0792999999999999</v>
  </a>
  <a r="1">
    <v>1.0665</v>
  </a>
  <a r="1">
    <v>1.0712999999999999</v>
  </a>
  <a r="1">
    <v>1.0825</v>
  </a>
  <a r="1">
    <v>1.1047</v>
  </a>
  <a r="1">
    <v>1.1133999999999999</v>
  </a>
  <a r="1">
    <v>1.0883</v>
  </a>
  <a r="1">
    <v>1.0353000000000001</v>
  </a>
  <a r="1">
    <v>1.0362</v>
  </a>
  <a r="1">
    <v>1.0375000000000001</v>
  </a>
  <a r="1">
    <v>1.0817000000000001</v>
  </a>
  <a r="1">
    <v>1.1327</v>
  </a>
  <a r="1">
    <v>1.1347</v>
  </a>
  <a r="1">
    <v>1.1786000000000001</v>
  </a>
  <a r="1">
    <v>1.1415</v>
  </a>
  <a r="1">
    <v>1.1684000000000001</v>
  </a>
  <a r="1">
    <v>1.1733</v>
  </a>
  <a r="1">
    <v>1.1534</v>
  </a>
  <a r="1">
    <v>1.1595</v>
  </a>
  <a r="1">
    <v>1.1745000000000001</v>
  </a>
  <a r="1">
    <v>1.1848000000000001</v>
  </a>
  <a r="1">
    <v>1.1813</v>
  </a>
  <a r="1">
    <v>1.1552</v>
  </a>
  <a r="1">
    <v>1.173</v>
  </a>
  <a r="1">
    <v>1.1658999999999999</v>
  </a>
  <a r="1">
    <v>1.1420999999999999</v>
  </a>
  <a r="1">
    <v>1.1527000000000001</v>
  </a>
  <a r="1">
    <v>1.1616</v>
  </a>
  <a r="1">
    <v>1.1328</v>
  </a>
  <a r="1">
    <v>1.1153</v>
  </a>
  <a r="1">
    <v>0.21460000000000001</v>
  </a>
  <a r="1">
    <v>0.21629999999999999</v>
  </a>
  <a r="1">
    <v>0.2011</v>
  </a>
  <a r="1">
    <v>0.20749999999999999</v>
  </a>
  <a r="1">
    <v>0.21179999999999999</v>
  </a>
  <a r="1">
    <v>0.21299999999999999</v>
  </a>
  <a r="1">
    <v>0.2266</v>
  </a>
  <a r="1">
    <v>0.22969999999999999</v>
  </a>
  <a r="1">
    <v>0.23350000000000001</v>
  </a>
  <a r="1">
    <v>0.2339</v>
  </a>
  <a r="1">
    <v>0.24129999999999999</v>
  </a>
  <a r="1">
    <v>0.2485</v>
  </a>
  <a r="1">
    <v>0.23830000000000001</v>
  </a>
  <a r="1">
    <v>0.24890000000000001</v>
  </a>
  <a r="1">
    <v>0.2445</v>
  </a>
  <a r="1">
    <v>0.2404</v>
  </a>
  <a r="1">
    <v>0.24360000000000001</v>
  </a>
  <a r="1">
    <v>0.22900000000000001</v>
  </a>
  <a r="1">
    <v>0.2281</v>
  </a>
  <a r="1">
    <v>0.23200000000000001</v>
  </a>
  <a r="1">
    <v>0.23019999999999999</v>
  </a>
  <a r="1">
    <v>0.22950000000000001</v>
  </a>
  <a r="1">
    <v>0.2341</v>
  </a>
  <a r="1">
    <v>0.2356</v>
  </a>
  <a r="1">
    <v>0.22070000000000001</v>
  </a>
  <a r="1">
    <v>0.21099999999999999</v>
  </a>
  <a r="1">
    <v>0.19789999999999999</v>
  </a>
  <a r="1">
    <v>0.20730000000000001</v>
  </a>
  <a r="1">
    <v>0.217</v>
  </a>
  <a r="1">
    <v>0.2238</v>
  </a>
  <a r="1">
    <v>0.22700000000000001</v>
  </a>
  <a r="1">
    <v>0.2392</v>
  </a>
  <a r="1">
    <v>0.24049999999999999</v>
  </a>
  <a r="1">
    <v>0.24390000000000001</v>
  </a>
  <a r="1">
    <v>0.2475</v>
  </a>
  <a r="1">
    <v>0.25090000000000001</v>
  </a>
  <a r="1">
    <v>0.2394</v>
  </a>
  <a r="1">
    <v>0.2465</v>
  </a>
  <a r="1">
    <v>0.2321</v>
  </a>
  <a r="1">
    <v>0.22620000000000001</v>
  </a>
  <a r="1">
    <v>0.22889999999999999</v>
  </a>
  <a r="1">
    <v>0.23400000000000001</v>
  </a>
  <a r="1">
    <v>0.2344</v>
  </a>
  <a r="1">
    <v>0.2324</v>
  </a>
  <a r="1">
    <v>0.2349</v>
  </a>
  <a r="1">
    <v>0.2351</v>
  </a>
  <a r="1">
    <v>0.25069999999999998</v>
  </a>
  <a r="1">
    <v>0.26669999999999999</v>
  </a>
  <a r="1">
    <v>0.25890000000000002</v>
  </a>
  <a r="1">
    <v>0.24590000000000001</v>
  </a>
  <a r="1">
    <v>0.23380000000000001</v>
  </a>
  <a r="1">
    <v>0.2316</v>
  </a>
  <a r="1">
    <v>0.25030000000000002</v>
  </a>
  <a r="1">
    <v>0.24979999999999999</v>
  </a>
  <a r="1">
    <v>0.24529999999999999</v>
  </a>
  <a r="1">
    <v>0.2555</v>
  </a>
  <a r="1">
    <v>0.23860000000000001</v>
  </a>
  <a r="1">
    <v>0.249</v>
  </a>
  <a r="1">
    <v>0.25390000000000001</v>
  </a>
  <a r="1">
    <v>0.2462</v>
  </a>
  <a r="1">
    <v>0.24990000000000001</v>
  </a>
  <a r="1">
    <v>0.25040000000000001</v>
  </a>
  <a r="1">
    <v>0.25019999999999998</v>
  </a>
  <a r="1">
    <v>0.23369999999999999</v>
  </a>
  <a r="1">
    <v>0.25280000000000002</v>
  </a>
  <a r="1">
    <v>0.25430000000000003</v>
  </a>
  <a r="1">
    <v>0.23680000000000001</v>
  </a>
  <a r="1">
    <v>0.25269999999999998</v>
  </a>
  <a r="1">
    <v>0.25290000000000001</v>
  </a>
  <a r="1">
    <v>0.2472</v>
  </a>
  <a r="1">
    <v>0.24299999999999999</v>
  </a>
  <a r="1">
    <v>0.24160000000000001</v>
  </a>
  <a r="1">
    <v>0.2424</v>
  </a>
  <a r="1">
    <v>0.2492</v>
  </a>
  <a r="1">
    <v>0.25900000000000001</v>
  </a>
  <a r="1">
    <v>0.2646</v>
  </a>
  <a r="1">
    <v>0.26169999999999999</v>
  </a>
  <a r="1">
    <v>0.25700000000000001</v>
  </a>
  <a r="1">
    <v>0.25619999999999998</v>
  </a>
  <a r="1">
    <v>0.253</v>
  </a>
  <a r="1">
    <v>0.25679999999999997</v>
  </a>
  <a r="1">
    <v>0.25950000000000001</v>
  </a>
  <a r="1">
    <v>0.24010000000000001</v>
  </a>
  <a r="1">
    <v>0.2397</v>
  </a>
  <a r="1">
    <v>0.2429</v>
  </a>
  <a r="1">
    <v>0.24030000000000001</v>
  </a>
  <a r="1">
    <v>0.24809999999999999</v>
  </a>
  <a r="1">
    <v>0.24879999999999999</v>
  </a>
  <a r="1">
    <v>0.219</v>
  </a>
  <a r="1">
    <v>0.2233</v>
  </a>
  <a r="1">
    <v>0.215</v>
  </a>
  <a r="1">
    <v>0.21990000000000001</v>
  </a>
  <a r="1">
    <v>0.22289999999999999</v>
  </a>
  <a r="1">
    <v>0.21940000000000001</v>
  </a>
  <a r="1">
    <v>0.21249999999999999</v>
  </a>
  <a r="1">
    <v>0.21290000000000001</v>
  </a>
  <a r="1">
    <v>0.2218</v>
  </a>
  <a r="1">
    <v>0.21729999999999999</v>
  </a>
  <a r="1">
    <v>0.21709999999999999</v>
  </a>
  <a r="1">
    <v>0.2142</v>
  </a>
  <a r="1">
    <v>0.21779999999999999</v>
  </a>
  <a r="1">
    <v>0.21529999999999999</v>
  </a>
  <a r="1">
    <v>0.21740000000000001</v>
  </a>
  <a r="1">
    <v>0.22189999999999999</v>
  </a>
  <a r="1">
    <v>0.22370000000000001</v>
  </a>
  <a r="1">
    <v>0.21870000000000001</v>
  </a>
  <a r="1">
    <v>0.21240000000000001</v>
  </a>
  <a r="1">
    <v>0.20799999999999999</v>
  </a>
  <a r="1">
    <v>0.20810000000000001</v>
  </a>
  <a r="1">
    <v>0.20830000000000001</v>
  </a>
  <a r="1">
    <v>0.22739999999999999</v>
  </a>
  <a r="1">
    <v>0.22409999999999999</v>
  </a>
  <a r="1">
    <v>0.2248</v>
  </a>
  <a r="1">
    <v>0.23069999999999999</v>
  </a>
  <a r="1">
    <v>0.22670000000000001</v>
  </a>
  <a r="1">
    <v>0.2276</v>
  </a>
  <a r="1">
    <v>0.2303</v>
  </a>
  <a r="1">
    <v>0.23250000000000001</v>
  </a>
  <a r="1">
    <v>0.23169999999999999</v>
  </a>
  <a r="1">
    <v>0.22639999999999999</v>
  </a>
  <a r="1">
    <v>0.22559999999999999</v>
  </a>
  <a r="1">
    <v>0.2177</v>
  </a>
  <a r="1">
    <v>0.21970000000000001</v>
  </a>
  <a r="1">
    <v>0.21479999999999999</v>
  </a>
  <a r="1">
    <v>0.20899999999999999</v>
  </a>
  <a r="1">
    <v>2.7929999999999999E-3</v>
  </a>
  <a r="1">
    <v>2.7729999999999999E-3</v>
  </a>
  <a r="1">
    <v>2.6770000000000001E-3</v>
  </a>
  <a r="1">
    <v>2.5439999999999998E-3</v>
  </a>
  <a r="1">
    <v>2.4120000000000001E-3</v>
  </a>
  <a r="1">
    <v>2.3159999999999999E-3</v>
  </a>
  <a r="1">
    <v>2.506E-3</v>
  </a>
  <a r="1">
    <v>2.5279999999999999E-3</v>
  </a>
  <a r="1">
    <v>2.643E-3</v>
  </a>
  <a r="1">
    <v>2.7009999999999998E-3</v>
  </a>
  <a r="1">
    <v>2.7850000000000001E-3</v>
  </a>
  <a r="1">
    <v>3.0070000000000001E-3</v>
  </a>
  <a r="1">
    <v>3.019E-3</v>
  </a>
  <a r="1">
    <v>3.16E-3</v>
  </a>
  <a r="1">
    <v>3.078E-3</v>
  </a>
  <a r="1">
    <v>3.1050000000000001E-3</v>
  </a>
  <a r="1">
    <v>3.2100000000000002E-3</v>
  </a>
  <a r="1">
    <v>3.2190000000000001E-3</v>
  </a>
  <a r="1">
    <v>3.3800000000000002E-3</v>
  </a>
  <a r="1">
    <v>3.3089999999999999E-3</v>
  </a>
  <a r="1">
    <v>3.3709999999999999E-3</v>
  </a>
  <a r="1">
    <v>3.5149999999999999E-3</v>
  </a>
  <a r="1">
    <v>3.3349999999999999E-3</v>
  </a>
  <a r="1">
    <v>3.2369999999999999E-3</v>
  </a>
  <a r="1">
    <v>3.3289999999999999E-3</v>
  </a>
  <a r="1">
    <v>3.3930000000000002E-3</v>
  </a>
  <a r="1">
    <v>3.3639999999999998E-3</v>
  </a>
  <a r="1">
    <v>3.3240000000000001E-3</v>
  </a>
  <a r="1">
    <v>3.1770000000000001E-3</v>
  </a>
  <a r="1">
    <v>3.222E-3</v>
  </a>
  <a r="1">
    <v>3.356E-3</v>
  </a>
  <a r="1">
    <v>3.4199999999999999E-3</v>
  </a>
  <a r="1">
    <v>3.1679999999999998E-3</v>
  </a>
  <a r="1">
    <v>3.2009999999999999E-3</v>
  </a>
  <a r="1">
    <v>3.1029999999999999E-3</v>
  </a>
  <a r="1">
    <v>3.0539999999999999E-3</v>
  </a>
  <a r="1">
    <v>3.2590000000000002E-3</v>
  </a>
  <a r="1">
    <v>3.287E-3</v>
  </a>
  <a r="1">
    <v>3.3839999999999999E-3</v>
  </a>
  <a r="1">
    <v>3.2889999999999998E-3</v>
  </a>
  <a r="1">
    <v>3.3909999999999999E-3</v>
  </a>
  <a r="1">
    <v>3.2529999999999998E-3</v>
  </a>
  <a r="1">
    <v>3.3149999999999998E-3</v>
  </a>
  <a r="1">
    <v>3.395E-3</v>
  </a>
  <a r="1">
    <v>3.5179999999999999E-3</v>
  </a>
  <a r="1">
    <v>3.4350000000000001E-3</v>
  </a>
  <a r="1">
    <v>3.46E-3</v>
  </a>
  <a r="1">
    <v>3.4910000000000002E-3</v>
  </a>
  <a r="1">
    <v>3.5490000000000001E-3</v>
  </a>
  <a r="1">
    <v>3.9379999999999997E-3</v>
  </a>
  <a r="1">
    <v>3.3830000000000002E-3</v>
  </a>
  <a r="1">
    <v>3.4740000000000001E-3</v>
  </a>
  <a r="1">
    <v>3.4329999999999999E-3</v>
  </a>
  <a r="1">
    <v>3.849E-3</v>
  </a>
  <a r="1">
    <v>3.8570000000000002E-3</v>
  </a>
  <a r="1">
    <v>3.5990000000000002E-3</v>
  </a>
  <a r="1">
    <v>3.5469999999999998E-3</v>
  </a>
  <a r="1">
    <v>3.4949999999999998E-3</v>
  </a>
  <a r="1">
    <v>3.5460000000000001E-3</v>
  </a>
  <a r="1">
    <v>3.882E-3</v>
  </a>
  <a r="1">
    <v>3.787E-3</v>
  </a>
  <a r="1">
    <v>3.6459999999999999E-3</v>
  </a>
  <a r="1">
    <v>3.62E-3</v>
  </a>
  <a r="1">
    <v>3.5729999999999998E-3</v>
  </a>
  <a r="1">
    <v>3.568E-3</v>
  </a>
  <a r="1">
    <v>3.4819999999999999E-3</v>
  </a>
  <a r="1">
    <v>4.0010000000000002E-3</v>
  </a>
  <a r="1">
    <v>3.7369999999999999E-3</v>
  </a>
  <a r="1">
    <v>3.4789999999999999E-3</v>
  </a>
  <a r="1">
    <v>3.4290000000000002E-3</v>
  </a>
  <a r="1">
    <v>3.8920000000000001E-3</v>
  </a>
  <a r="1">
    <v>3.6979999999999999E-3</v>
  </a>
  <a r="1">
    <v>3.6449999999999998E-3</v>
  </a>
  <a r="1">
    <v>3.3960000000000001E-3</v>
  </a>
  <a r="1">
    <v>3.5569999999999998E-3</v>
  </a>
  <a r="1">
    <v>3.5119999999999999E-3</v>
  </a>
  <a r="1">
    <v>3.5000000000000001E-3</v>
  </a>
  <a r="1">
    <v>3.3939999999999999E-3</v>
  </a>
  <a r="1">
    <v>3.5409999999999999E-3</v>
  </a>
  <a r="1">
    <v>3.5980000000000001E-3</v>
  </a>
  <a r="1">
    <v>3.5860000000000002E-3</v>
  </a>
  <a r="1">
    <v>3.6419999999999998E-3</v>
  </a>
  <a r="1">
    <v>3.7989999999999999E-3</v>
  </a>
  <a r="1">
    <v>3.8909999999999999E-3</v>
  </a>
  <a r="1">
    <v>3.4780000000000002E-3</v>
  </a>
  <a r="1">
    <v>3.5799999999999998E-3</v>
  </a>
  <a r="1">
    <v>3.6649999999999999E-3</v>
  </a>
  <a r="1">
    <v>3.5309999999999999E-3</v>
  </a>
  <a r="1">
    <v>3.6549999999999998E-3</v>
  </a>
  <a r="1">
    <v>3.4489999999999998E-3</v>
  </a>
  <a r="1">
    <v>3.5599999999999998E-3</v>
  </a>
  <a r="1">
    <v>3.5739999999999999E-3</v>
  </a>
  <a r="1">
    <v>3.6930000000000001E-3</v>
  </a>
  <a r="1">
    <v>3.5690000000000001E-3</v>
  </a>
  <a r="1">
    <v>2.8519999999999999E-3</v>
  </a>
  <a r="1">
    <v>2.9510000000000001E-3</v>
  </a>
  <a r="1">
    <v>2.8830000000000001E-3</v>
  </a>
  <a r="1">
    <v>2.9239999999999999E-3</v>
  </a>
  <a r="1">
    <v>2.8389999999999999E-3</v>
  </a>
  <a r="1">
    <v>2.843E-3</v>
  </a>
  <a r="1">
    <v>2.7109999999999999E-3</v>
  </a>
  <a r="1">
    <v>2.7620000000000001E-3</v>
  </a>
  <a r="1">
    <v>2.862E-3</v>
  </a>
  <a r="1">
    <v>2.8770000000000002E-3</v>
  </a>
  <a r="1">
    <v>2.8180000000000002E-3</v>
  </a>
  <a r="1">
    <v>2.751E-3</v>
  </a>
  <a r="1">
    <v>2.7369999999999998E-3</v>
  </a>
  <a r="1">
    <v>2.7239999999999999E-3</v>
  </a>
  <a r="1">
    <v>2.784E-3</v>
  </a>
  <a r="1">
    <v>2.7100000000000002E-3</v>
  </a>
  <a r="1">
    <v>2.7439999999999999E-3</v>
  </a>
  <a r="1">
    <v>2.81E-3</v>
  </a>
  <a r="1">
    <v>2.8019999999999998E-3</v>
  </a>
  <a r="1">
    <v>2.6649999999999998E-3</v>
  </a>
  <a r="1">
    <v>2.5609999999999999E-3</v>
  </a>
  <a r="1">
    <v>2.5149999999999999E-3</v>
  </a>
  <a r="1">
    <v>2.5400000000000002E-3</v>
  </a>
  <a r="1">
    <v>2.5699999999999998E-3</v>
  </a>
  <a r="1">
    <v>2.6830000000000001E-3</v>
  </a>
  <a r="1">
    <v>2.7980000000000001E-3</v>
  </a>
  <a r="1">
    <v>2.807E-3</v>
  </a>
  <a r="1">
    <v>2.9480000000000001E-3</v>
  </a>
  <a r="1">
    <v>2.8530000000000001E-3</v>
  </a>
  <a r="1">
    <v>2.944E-3</v>
  </a>
  <a r="1">
    <v>2.97E-3</v>
  </a>
  <a r="1">
    <v>3.0379999999999999E-3</v>
  </a>
  <a r="1">
    <v>3.0530000000000002E-3</v>
  </a>
  <a r="1">
    <v>3.107E-3</v>
  </a>
  <a r="1">
    <v>3.1329999999999999E-3</v>
  </a>
  <a r="1">
    <v>3.2169999999999998E-3</v>
  </a>
  <a r="1">
    <v>3.2929999999999999E-3</v>
  </a>
  <a r="1">
    <v>3.1570000000000001E-3</v>
  </a>
  <a r="1">
    <v>3.179E-3</v>
  </a>
  <a r="1">
    <v>3.0890000000000002E-3</v>
  </a>
  <a r="1">
    <v>3.0569999999999998E-3</v>
  </a>
</arrayData>
</file>

<file path=xl/richData/rdrichvalue.xml><?xml version="1.0" encoding="utf-8"?>
<rvData xmlns="http://schemas.microsoft.com/office/spreadsheetml/2017/richdata" count="3254">
  <rv s="0">
    <v>https://www.bing.com/financeapi/forcetrigger?t=a1z11h&amp;q=XNYS%3aO&amp;form=skydnc</v>
    <v>Learn more on Bing</v>
  </rv>
  <rv s="1">
    <v>en-US</v>
    <v>a1z11h</v>
    <v>268435456</v>
    <v>1</v>
    <v>Powered by Refinitiv</v>
    <v>0</v>
    <v>REALTY INCOME CORPORATION (XNYS:O)</v>
    <v>2</v>
    <v>3</v>
    <v>Finance</v>
    <v>4</v>
    <v>67.935000000000002</v>
    <v>53.15</v>
    <v>0.6593</v>
    <v>0.52</v>
    <v>9.5980000000000006E-3</v>
    <v>USD</v>
    <v>Realty Income Corporation is a real estate investment trust. The Company is engaged in the acquisition, ownership, and management of freestanding commercial properties leased under long‑term net lease agreements to a diversified base of operators, including a blend of investment grade, investment grade equivalent, and other clients. It owns a portfolio of over 15,500 properties in all 50 United States (U.S.) states, the United Kingdom, and eight other countries in Europe. It is engaged in a single business activity, which is the leasing of property to clients, generally on a net basis. That business activity spans various geographic boundaries and includes property types and clients engaged in various industries. Its property types include retail, industrial, gaming, and other. Its industry concentrations include grocery, convenience stores, home improvement, dollar stores, restaurants-quick service, health and fitness, drug stores, automotive service, among others.</v>
    <v>544</v>
    <v>New York Stock Exchange</v>
    <v>XNYS</v>
    <v>XNYS</v>
    <v>11995 El Camino Real, SAN DIEGO, CA, 92130 US</v>
    <v>54.74</v>
    <v>Residential &amp; Commercial REIT</v>
    <v>Stock</v>
    <v>46307.999358101566</v>
    <v>0</v>
    <v>53.9</v>
    <v>51758124600</v>
    <v>REALTY INCOME CORPORATION</v>
    <v>REALTY INCOME CORPORATION</v>
    <v>54.15</v>
    <v>39.983899999999998</v>
    <v>54.18</v>
    <v>54.7</v>
    <v>946218000</v>
    <v>O</v>
    <v>REALTY INCOME CORPORATION (XNYS:O)</v>
    <v>25213</v>
    <v>8789284</v>
    <v>1997</v>
  </rv>
  <rv s="2">
    <v>1</v>
  </rv>
  <rv s="0">
    <v>https://www.bing.com/financeapi/forcetrigger?t=a1yz27&amp;q=XNYS%3aCWEN&amp;form=skydnc</v>
    <v>Learn more on Bing</v>
  </rv>
  <rv s="1">
    <v>en-US</v>
    <v>a1yz27</v>
    <v>268435456</v>
    <v>1</v>
    <v>Powered by Refinitiv</v>
    <v>0</v>
    <v>CLEARWAY ENERGY, INC. (XNYS:CWEN)</v>
    <v>2</v>
    <v>3</v>
    <v>Finance</v>
    <v>4</v>
    <v>41.74</v>
    <v>28.57</v>
    <v>0.88339999999999996</v>
    <v>0.25</v>
    <v>8.2810000000000002E-3</v>
    <v>USD</v>
    <v>Clearway Energy, Inc. is the owner of clean energy generation assets in the United States. The Company invests in energy infrastructure and focuses on investments in clean energy and owns sustainable and long-term contracted assets across North America. Its portfolio comprises approximately 12.9 gigawatts (GW) of gross capacity in 27 states, including 10.1 GW of wind, solar, and energy storage and over 2.8 GW of dispatchable power generation assets included in the Flexible Generation segment that provides critical grid reliability services. Its operating facilities include Carlsbad, El Segundo, GenConn Devon, GenConn Middletown, Marsh Landing and Walnut Creek. Its utility-scale solar projects include Agua Caliente, Alpine, Avenal, Avra Valley, Blythe, Daggett 3, Desert Sunlight 250, Kansas South, and others. Its wind projects include Alta I, Alta II, Black Rock, Buffalo Bear, Cedro Hill, Crofton Bluffs, Elkhorn Ridge, Lookout, and others.</v>
    <v>60</v>
    <v>New York Stock Exchange</v>
    <v>XNYS</v>
    <v>XNYS</v>
    <v>300 Carnegie Ctr Ste 300, PRINCETON, NJ, 08540-6255 US</v>
    <v>30.594999999999999</v>
    <v>Electrical Utilities &amp; IPPs</v>
    <v>Stock</v>
    <v>46307.986653020314</v>
    <v>3</v>
    <v>30</v>
    <v>6248567956</v>
    <v>CLEARWAY ENERGY, INC.</v>
    <v>CLEARWAY ENERGY, INC.</v>
    <v>30.19</v>
    <v>37.026200000000003</v>
    <v>30.19</v>
    <v>30.44</v>
    <v>205274900</v>
    <v>CWEN</v>
    <v>CLEARWAY ENERGY, INC. (XNYS:CWEN)</v>
    <v>30</v>
    <v>1253044</v>
    <v>2012</v>
  </rv>
  <rv s="2">
    <v>4</v>
  </rv>
  <rv s="0">
    <v>https://www.bing.com/financeapi/forcetrigger?t=a1pvu2&amp;q=XNYS%3aCLX&amp;form=skydnc</v>
    <v>Learn more on Bing</v>
  </rv>
  <rv s="1">
    <v>en-US</v>
    <v>a1pvu2</v>
    <v>268435456</v>
    <v>1</v>
    <v>Powered by Refinitiv</v>
    <v>0</v>
    <v>THE CLOROX COMPANY (XNYS:CLX)</v>
    <v>2</v>
    <v>3</v>
    <v>Finance</v>
    <v>5</v>
    <v>128.9</v>
    <v>79.12</v>
    <v>0.59870000000000001</v>
    <v>0.55000000000000004</v>
    <v>6.5630000000000003E-3</v>
    <v>USD</v>
    <v>The Clorox Company is a multinational manufacturer and marketer of consumer and professional products. Its brands include Brita, Burt's Bees, Clorox, Fresh Step, Glad, Hidden Valley, Kingsford, Liquid-Plumr, Pine-Sol and Purell as well as international brands such as Chux, Clorinda and Poett. Its segments include Health and Wellness, Household, Lifestyle and International. Health and Wellness segment consists of cleaning, disinfecting and professional products marketed and sold in the United States. Products within this segment include home care, cleaning and disinfecting products and laundry additives; professional cleaning and disinfecting products, and others. Household segment consists of bags and wraps, cat litter and grilling products marketed and sold in the United States. Lifestyle segment consists of food, water filtration and natural personal care products marketed and sold in the United States. International segment consists of products sold outside the United States.</v>
    <v>9200</v>
    <v>New York Stock Exchange</v>
    <v>XNYS</v>
    <v>XNYS</v>
    <v>1221 Broadway, OAKLAND, CA, 94612-1888 US</v>
    <v>84.54</v>
    <v>Personal &amp; Household Products &amp; Services</v>
    <v>Stock</v>
    <v>46307.997236099218</v>
    <v>6</v>
    <v>82.88</v>
    <v>10201137170</v>
    <v>THE CLOROX COMPANY</v>
    <v>THE CLOROX COMPANY</v>
    <v>83.48</v>
    <v>17.530100000000001</v>
    <v>83.8</v>
    <v>84.35</v>
    <v>120938200</v>
    <v>CLX</v>
    <v>THE CLOROX COMPANY (XNYS:CLX)</v>
    <v>4198</v>
    <v>3053839</v>
    <v>1986</v>
  </rv>
  <rv s="2">
    <v>7</v>
  </rv>
  <rv s="0">
    <v>https://www.bing.com/financeapi/forcetrigger?t=a1wljc&amp;q=XNYS%3aKO&amp;form=skydnc</v>
    <v>Learn more on Bing</v>
  </rv>
  <rv s="1">
    <v>en-US</v>
    <v>a1wljc</v>
    <v>268435456</v>
    <v>1</v>
    <v>Powered by Refinitiv</v>
    <v>0</v>
    <v>THE COCA-COLA COMPANY (XNYS:KO)</v>
    <v>2</v>
    <v>3</v>
    <v>Finance</v>
    <v>4</v>
    <v>92.49</v>
    <v>66</v>
    <v>0.29609999999999997</v>
    <v>1.74</v>
    <v>1.9761000000000001E-2</v>
    <v>USD</v>
    <v>The Coca-Cola Company is a beverage company. The Company's segments include Europe, Middle East and Africa (EMEA); Latin America; North America; Asia Pacific, and Bottling Investments. It sells multiple brands across several beverage categories worldwide. Its portfolio of sparkling soft drink brands includes Coca-Cola, Sprite and Fanta. Its water, sports, coffee and tea brands include Dasani, smartwater, vitaminwater, Topo Chico, BODYARMOR, Powerade, Costa, Georgia, Fuze Tea, Gold Peak and Ayataka. Its juice, value-added dairy and plant-based beverage brands include Minute Maid, Simply, innocent, Del Valle, fairlife and Santa Clara. It operates in two lines of business: concentrate operations and finished product operations. Its concentrate operations sell beverage concentrates, syrups, including fountain syrups, and certain finished beverages to authorized bottling operations. Its finished product operations sell sparkling soft drinks and a variety of other finished beverages.</v>
    <v>65900</v>
    <v>New York Stock Exchange</v>
    <v>XNYS</v>
    <v>XNYS</v>
    <v>1 Coca Cola Plz NW, ATLANTA, GA, 30313-2420 US</v>
    <v>89.8</v>
    <v>Beverages</v>
    <v>Stock</v>
    <v>46307.999870578125</v>
    <v>9</v>
    <v>88.415000000000006</v>
    <v>386325874710</v>
    <v>THE COCA-COLA COMPANY</v>
    <v>THE COCA-COLA COMPANY</v>
    <v>88.415000000000006</v>
    <v>27.049900000000001</v>
    <v>88.05</v>
    <v>89.79</v>
    <v>4302549000</v>
    <v>KO</v>
    <v>THE COCA-COLA COMPANY (XNYS:KO)</v>
    <v>34645</v>
    <v>15735985</v>
    <v>1919</v>
  </rv>
  <rv s="2">
    <v>10</v>
  </rv>
  <rv s="0">
    <v>https://www.bing.com/financeapi/forcetrigger?t=axyhnm&amp;q=XNAS%3aPEP&amp;form=skydnc</v>
    <v>Learn more on Bing</v>
  </rv>
  <rv s="1">
    <v>en-US</v>
    <v>axyhnm</v>
    <v>268435456</v>
    <v>1</v>
    <v>Powered by Refinitiv</v>
    <v>0</v>
    <v>Pepsico, Inc. (XNAS:PEP)</v>
    <v>2</v>
    <v>3</v>
    <v>Finance</v>
    <v>4</v>
    <v>171.48</v>
    <v>123.47</v>
    <v>0.33610000000000001</v>
    <v>0.71</v>
    <v>5.6359999999999995E-3</v>
    <v>USD</v>
    <v>PepsiCo, Inc. is a global beverage and convenient food company. The Company’s segments include PepsiCo Foods North America (PFNA), PepsiCo Beverages North America (PBNA), International Beverages Franchise (IB Franchise), Europe, Middle East and Africa (EMEA), Latin America Foods (LatAm Foods), and Asia Pacific Foods. PFNA segment includes all of its convenient food businesses in the United States and Canada. PBNA segment includes all of its beverage businesses in the United States and Canada. IB Franchise segment includes its international franchise beverage businesses, as well as its SodaStream business. EMEA segment includes its convenient food businesses and beverage businesses with Company-owned bottlers in Europe, the Middle East and Africa. LatAm Foods segment includes all of its convenient food businesses in Latin America. Asia Pacific Foods segment consists of its convenient food businesses in Asia Pacific, including China, Australia and New Zealand, as well as India.</v>
    <v>306000</v>
    <v>Nasdaq Stock Market</v>
    <v>XNAS</v>
    <v>XNAS</v>
    <v>700 ANDERSON HILL RD, PURCHASE, NY, 10577 US</v>
    <v>127.23</v>
    <v>Beverages</v>
    <v>Stock</v>
    <v>46307.999747765622</v>
    <v>12</v>
    <v>125.82</v>
    <v>172632029880</v>
    <v>Pepsico, Inc.</v>
    <v>Pepsico, Inc.</v>
    <v>126.755</v>
    <v>15.922599999999999</v>
    <v>125.97</v>
    <v>126.68</v>
    <v>1362741000</v>
    <v>PEP</v>
    <v>Pepsico, Inc. (XNAS:PEP)</v>
    <v>12125</v>
    <v>10019876</v>
    <v>1986</v>
  </rv>
  <rv s="2">
    <v>13</v>
  </rv>
  <rv s="0">
    <v>https://www.bing.com/financeapi/forcetrigger?t=a1zsjc&amp;q=XNYS%3aPG&amp;form=skydnc</v>
    <v>Learn more on Bing</v>
  </rv>
  <rv s="1">
    <v>en-US</v>
    <v>a1zsjc</v>
    <v>268435456</v>
    <v>1</v>
    <v>Powered by Refinitiv</v>
    <v>0</v>
    <v>THE PROCTER &amp; GAMBLE COMPANY (XNYS:PG)</v>
    <v>2</v>
    <v>3</v>
    <v>Finance</v>
    <v>4</v>
    <v>167.25</v>
    <v>137.62</v>
    <v>0.38129999999999997</v>
    <v>1.97</v>
    <v>1.3027E-2</v>
    <v>USD</v>
    <v>The Procter &amp; Gamble Company is focused on providing branded consumer packaged goods to consumers across the world. The Company’s segments include Beauty, Grooming, Health Care, Fabric &amp; Home Care and Baby, Feminine &amp; Family Care. The Company’s products are sold in approximately 180 countries and territories primarily through mass merchandisers, e-commerce, including social commerce channels, grocery stores, membership club stores, drug stores, department stores, distributors, wholesalers, specialty beauty stores, including airport duty-free stores), high-frequency stores, pharmacies, electronics stores and professional channels. It also sells direct to individual consumers. It has operations in approximately 70 countries. It offers products under brands, such as Head &amp; Shoulders, Herbal Essences, Pantene, Rejoice, Olay, Old Spice, Safeguard, Secret, SK-II, Braun, Gillette, Venus, Crest, Oral-B, Ariel, Downy, Gain, Tide, Always, Always Discreet, Tampax, Bounty and others.</v>
    <v>104000</v>
    <v>New York Stock Exchange</v>
    <v>XNYS</v>
    <v>XNYS</v>
    <v>One Procter &amp; Gamble Plaza, CINCINNATI, OH, 45202 US</v>
    <v>153.25</v>
    <v>Personal &amp; Household Products &amp; Services</v>
    <v>Stock</v>
    <v>46307.999661284375</v>
    <v>15</v>
    <v>150.94999999999999</v>
    <v>355833350400</v>
    <v>THE PROCTER &amp; GAMBLE COMPANY</v>
    <v>THE PROCTER &amp; GAMBLE COMPANY</v>
    <v>151.25</v>
    <v>23.140899999999998</v>
    <v>151.22999999999999</v>
    <v>153.19999999999999</v>
    <v>2322672000</v>
    <v>PG</v>
    <v>THE PROCTER &amp; GAMBLE COMPANY (XNYS:PG)</v>
    <v>2871</v>
    <v>8286349</v>
    <v>1905</v>
  </rv>
  <rv s="2">
    <v>16</v>
  </rv>
  <rv s="0">
    <v>https://www.bing.com/financeapi/forcetrigger?t=a1w8ec&amp;q=XNYS%3aJNJ&amp;form=skydnc</v>
    <v>Learn more on Bing</v>
  </rv>
  <rv s="1">
    <v>en-US</v>
    <v>a1w8ec</v>
    <v>268435456</v>
    <v>1</v>
    <v>Powered by Refinitiv</v>
    <v>0</v>
    <v>JOHNSON &amp; JOHNSON (XNYS:JNJ)</v>
    <v>2</v>
    <v>3</v>
    <v>Finance</v>
    <v>4</v>
    <v>281.07</v>
    <v>184.66</v>
    <v>0.21029999999999999</v>
    <v>2.29</v>
    <v>8.7589999999999994E-3</v>
    <v>USD</v>
    <v>Johnson &amp; Johnson and its subsidiaries are engaged in the research and development, manufacture, and sale of a range of products in the healthcare field. Its segments include Innovative Medicine and MedTech. The Innovative Medicine segment focuses on various therapeutic areas, oncology, immunology, neuroscience, pulmonary hypertension, infectious diseases and cardiovascular and metabolism. Its products include CARVYKTI (ciltacabtagene autoleucel), DARZALEX (daratumumab), DARZALEX FASPRO (daratumumab and hyaluronidase-fihj), ERLEADA (apalutamide), among others. The MedTech segment develops and manufactures a broad portfolio of products used in cardiovascular, orthopedics, surgery, and vision supporting physicians, hospitals, eye care professionals and healthcare systems across a range of acute and elective procedures. The Cardiovascular portfolio includes electrophysiology products. It is also focused on proprietary Firelink degrader antibody conjugate platform.</v>
    <v>138200</v>
    <v>New York Stock Exchange</v>
    <v>XNYS</v>
    <v>XNYS</v>
    <v>One Johnson &amp; Johnson Plaza, NEW BRUNSWICK, NJ, 08933 US</v>
    <v>264.39</v>
    <v>Pharmaceuticals</v>
    <v>Stock</v>
    <v>46307.999830497654</v>
    <v>18</v>
    <v>260.36849999999998</v>
    <v>635562663270</v>
    <v>JOHNSON &amp; JOHNSON</v>
    <v>JOHNSON &amp; JOHNSON</v>
    <v>261.60000000000002</v>
    <v>30.580100000000002</v>
    <v>261.44</v>
    <v>263.73</v>
    <v>2409899000</v>
    <v>JNJ</v>
    <v>JOHNSON &amp; JOHNSON (XNYS:JNJ)</v>
    <v>10399</v>
    <v>6587992</v>
    <v>1887</v>
  </rv>
  <rv s="2">
    <v>19</v>
  </rv>
  <rv s="0">
    <v>https://www.bing.com/financeapi/forcetrigger?t=a1mpqh&amp;q=XNYS%3aABBV&amp;form=skydnc</v>
    <v>Learn more on Bing</v>
  </rv>
  <rv s="1">
    <v>en-US</v>
    <v>a1mpqh</v>
    <v>268435456</v>
    <v>1</v>
    <v>Powered by Refinitiv</v>
    <v>0</v>
    <v>ABBVIE INC. (XNYS:ABBV)</v>
    <v>2</v>
    <v>3</v>
    <v>Finance</v>
    <v>4</v>
    <v>281.3</v>
    <v>190.75</v>
    <v>0.21540000000000001</v>
    <v>4.6500000000000004</v>
    <v>1.6819000000000001E-2</v>
    <v>USD</v>
    <v>AbbVie Inc. is a global, diversified, research-based biopharmaceutical company. It is engaged in research and development, manufacturing, commercialization and sale of medicines and therapies. Its product portfolio includes Immunology, Oncology, Aesthetics, Neuroscience, Eye Care and Other Key Products. Immunology products include rheumatology, dermatology and gastroenterology. Oncology products include Imbruvica, Venclexta/Venclyxto, Elahere and Epkinly. The aesthetics portfolio consists of facial injectables, plastics and regenerative medicine, body contouring, and skincare products. Its Neuroscience products include Botox Therapeutic, Vraylar, Duopa and Duodopa, Ubrelvy, and Qulipta. Duodopa is a levodopa-carbidopa intestinal gel for the treatment of Parkinson's disease. Eye care products include Ozurdex, Lumigan/Ganfort, Alphagan/Combigan, and Restasis. Other key products include Mavyret/Maviret, Creon, and Linzess/Constella. Its pipeline also includes zumilokibart and APG273.</v>
    <v>57000</v>
    <v>New York Stock Exchange</v>
    <v>XNYS</v>
    <v>XNYS</v>
    <v>1 N Waukegan Rd, NORTH CHICAGO, IL, 60064 US</v>
    <v>281.3</v>
    <v>Pharmaceuticals</v>
    <v>Stock</v>
    <v>46307.99966922422</v>
    <v>21</v>
    <v>276.01</v>
    <v>496771931040</v>
    <v>ABBVIE INC.</v>
    <v>ABBVIE INC.</v>
    <v>277.64999999999998</v>
    <v>79.510099999999994</v>
    <v>276.47000000000003</v>
    <v>281.12</v>
    <v>1767117000</v>
    <v>ABBV</v>
    <v>ABBVIE INC. (XNYS:ABBV)</v>
    <v>1927</v>
    <v>4539285</v>
    <v>2012</v>
  </rv>
  <rv s="2">
    <v>22</v>
  </rv>
  <rv s="0">
    <v>http://en.wikipedia.org/wiki/Public_domain</v>
    <v>Public domain</v>
  </rv>
  <rv s="0">
    <v>http://en.wikipedia.org/wiki/McDonald's</v>
    <v>Wikipedia</v>
  </rv>
  <rv s="3">
    <v>24</v>
    <v>25</v>
  </rv>
  <rv s="4">
    <v>10</v>
    <v>https://www.bing.com/th?id=AMMS_7d8255243964a8970376f8dd41121106&amp;qlt=95</v>
    <v>26</v>
    <v>0</v>
    <v>https://www.bing.com/images/search?form=xlimg&amp;q=mcdonald%27s</v>
    <v>Image of MCDONALD'S CORPORATION</v>
  </rv>
  <rv s="0">
    <v>https://www.bing.com/financeapi/forcetrigger?t=a1xdec&amp;q=XNYS%3aMCD&amp;form=skydnc</v>
    <v>Learn more on Bing</v>
  </rv>
  <rv s="5">
    <v>en-US</v>
    <v>a1xdec</v>
    <v>268435456</v>
    <v>1</v>
    <v>Powered by Refinitiv</v>
    <v>6</v>
    <v>MCDONALD'S CORPORATION (XNYS:MCD)</v>
    <v>8</v>
    <v>9</v>
    <v>Finance</v>
    <v>4</v>
    <v>341.75</v>
    <v>229.2</v>
    <v>0.45229999999999998</v>
    <v>0.42</v>
    <v>1.7849999999999999E-3</v>
    <v>USD</v>
    <v>McDonald's Corporation is a global foodservice retailer. Its segment includes U.S., International Operated Markets, and International Developmental Licensed Markets &amp; Corporate. The U.S. segment is its largest market and is 95% franchised. The International Operated Markets segment comprises markets or countries in which it operates and franchises restaurants, including Australia, Canada, France, Germany, Italy, Poland, Spain, and the United Kingdom. This segment is 89% franchised. The International Developmental Licensed Markets &amp; Corporate segment comprises development licensee and affiliate markets, including equity method investments in China and Japan. This segment is 99% franchised. Its menu features hamburgers and cheeseburgers, the Big Mac, the Quarter Pounder with Cheese, the Filet-O-Fish, and several chicken sandwiches, such as the McChicken and McCrispy as well as Chicken McNuggets, Fries, shakes, sundaes, cookies, soft drinks, coffee, and other beverages.</v>
    <v>150000</v>
    <v>New York Stock Exchange</v>
    <v>XNYS</v>
    <v>XNYS</v>
    <v>110 N Carpenter St, CHICAGO, IL, 60607-2104 US</v>
    <v>236.13499999999999</v>
    <v>27</v>
    <v>Hotels &amp; Entertainment Services</v>
    <v>Stock</v>
    <v>46307.999688402342</v>
    <v>28</v>
    <v>232.5</v>
    <v>166755719475</v>
    <v>MCDONALD'S CORPORATION</v>
    <v>MCDONALD'S CORPORATION</v>
    <v>235.23</v>
    <v>19.1372</v>
    <v>235.23</v>
    <v>235.65</v>
    <v>707641500</v>
    <v>MCD</v>
    <v>MCDONALD'S CORPORATION (XNYS:MCD)</v>
    <v>22123</v>
    <v>6225858</v>
    <v>1964</v>
  </rv>
  <rv s="2">
    <v>29</v>
  </rv>
  <rv s="0">
    <v>https://www.bing.com/financeapi/forcetrigger?t=a1p7zr&amp;q=XNYS%3aCAT&amp;form=skydnc</v>
    <v>Learn more on Bing</v>
  </rv>
  <rv s="1">
    <v>en-US</v>
    <v>a1p7zr</v>
    <v>268435456</v>
    <v>1</v>
    <v>Powered by Refinitiv</v>
    <v>0</v>
    <v>CATERPILLAR INC. (XNYS:CAT)</v>
    <v>2</v>
    <v>3</v>
    <v>Finance</v>
    <v>4</v>
    <v>1073.46</v>
    <v>495.45</v>
    <v>1.6048</v>
    <v>-1.1000000000000001</v>
    <v>-1.374E-3</v>
    <v>USD</v>
    <v>Caterpillar Inc. is a manufacturer of construction and mining equipment, off-highway diesel and natural gas engines, industrial gas turbines and diesel-electric locomotives. Its segments include Construction Industries, Resource Industries and Power &amp; Energy. It also provides financing and related services through its Financial Products segment. Construction Industries segment is responsible for supporting customers using machinery in infrastructure and building construction applications. Resource Industries segment develops and manufactures high productivity equipment for both surface and underground mining operations around the world, and provides select work tools, machinery components, wear and maintenance components and related parts. Power &amp; Energy segment supports customers in oil and gas, power generation, marine, rail and industrial applications, including Caterpillar machines. It is engaged in the provision and development of mining software solutions to the mining industry.</v>
    <v>118000</v>
    <v>New York Stock Exchange</v>
    <v>XNYS</v>
    <v>XNYS</v>
    <v>5205 N. O'connor Boulevard, Suite 100, IRVING, TX, 75039 US</v>
    <v>812</v>
    <v>Machinery, Equipment &amp; Components</v>
    <v>Stock</v>
    <v>46307.99965240703</v>
    <v>31</v>
    <v>795.76110000000006</v>
    <v>367450324813</v>
    <v>CATERPILLAR INC.</v>
    <v>CATERPILLAR INC.</v>
    <v>798.42</v>
    <v>34.384799999999998</v>
    <v>800.47</v>
    <v>799.37</v>
    <v>459674900</v>
    <v>CAT</v>
    <v>CATERPILLAR INC. (XNYS:CAT)</v>
    <v>6205</v>
    <v>2368862</v>
    <v>1986</v>
  </rv>
  <rv s="2">
    <v>32</v>
  </rv>
  <rv s="0">
    <v>https://en.wikipedia.org/wiki/Microsoft</v>
    <v>Wikipedia</v>
  </rv>
  <rv s="3">
    <v>24</v>
    <v>34</v>
  </rv>
  <rv s="4">
    <v>10</v>
    <v>https://www.bing.com/th?id=AMMS_e6e837c7bf3a77408619758b7447855a&amp;qlt=95</v>
    <v>35</v>
    <v>0</v>
    <v>https://www.bing.com/images/search?form=xlimg&amp;q=microsoft</v>
    <v>Image of MICROSOFT CORPORATION</v>
  </rv>
  <rv s="0">
    <v>https://www.bing.com/financeapi/forcetrigger?t=a1xzim&amp;q=XNAS%3aMSFT&amp;form=skydnc</v>
    <v>Learn more on Bing</v>
  </rv>
  <rv s="5">
    <v>en-US</v>
    <v>a1xzim</v>
    <v>268435456</v>
    <v>1</v>
    <v>Powered by Refinitiv</v>
    <v>6</v>
    <v>MICROSOFT CORPORATION (XNAS:MSFT)</v>
    <v>8</v>
    <v>9</v>
    <v>Finance</v>
    <v>4</v>
    <v>553.72</v>
    <v>349.2</v>
    <v>1.0507</v>
    <v>6.08</v>
    <v>1.1363000000000002E-2</v>
    <v>USD</v>
    <v>Microsoft Corporation is a technology company. The Company develops and supports software, services, devices, and solutions. The Productivity and Business Processes segment consists of products and services in its portfolio of productivity, communication, and information services. This segment primarily includes Microsoft 365 Commercial products and cloud services, Microsoft 365 Consumer products and cloud services, LinkedIn, and Dynamics products and cloud services. The Intelligent Cloud segment consists of server products and cloud services, including Azure and other cloud services comprising cloud and AI consumption-based services, GitHub cloud services, Health and Life Sciences cloud services, and other cloud services; and Server products consist of SQL Server, Windows Server, Visual Studio, System Center, related Client Access Licenses, and other on-premises offerings. The More Personal Computing segment primarily comprises Windows and Devices, XBOX, and Search advertising.</v>
    <v>223000</v>
    <v>Nasdaq Stock Market</v>
    <v>XNAS</v>
    <v>XNAS</v>
    <v>One Microsoft Way, REDMOND, WA, 98052 US</v>
    <v>542.74</v>
    <v>36</v>
    <v>Software &amp; IT Services</v>
    <v>Stock</v>
    <v>46307.999926562501</v>
    <v>37</v>
    <v>535.70129999999995</v>
    <v>4018333676750</v>
    <v>MICROSOFT CORPORATION</v>
    <v>MICROSOFT CORPORATION</v>
    <v>537.53</v>
    <v>30.153199999999998</v>
    <v>535.07000000000005</v>
    <v>541.15</v>
    <v>7425545000</v>
    <v>MSFT</v>
    <v>MICROSOFT CORPORATION (XNAS:MSFT)</v>
    <v>91726</v>
    <v>21133549</v>
    <v>1993</v>
  </rv>
  <rv s="2">
    <v>38</v>
  </rv>
  <rv s="0">
    <v>https://www.bing.com/financeapi/forcetrigger?t=a269ec&amp;q=XNYS%3aXOM&amp;form=skydnc</v>
    <v>Learn more on Bing</v>
  </rv>
  <rv s="1">
    <v>en-US</v>
    <v>a269ec</v>
    <v>268435456</v>
    <v>1</v>
    <v>Powered by Refinitiv</v>
    <v>0</v>
    <v>EXXONMOBIL HOLDINGS CORPORATION (XNYS:XOM)</v>
    <v>2</v>
    <v>3</v>
    <v>Finance</v>
    <v>4</v>
    <v>176.41</v>
    <v>110.38500000000001</v>
    <v>0.1779</v>
    <v>3.21</v>
    <v>1.9001000000000001E-2</v>
    <v>USD</v>
    <v>ExxonMobil Holdings Corporation is a holding company whose direct, wholly owned subsidiary and principal operating company is Exxon Mobil Corporation. Its principal business involves exploration and production of crude oil and natural gas; manufacture, trade, transport and sale of crude oil, natural gas, petroleum products, petrochemicals, and a wide variety of specialty products; and pursuit of lower-emission and other new business opportunities, including carbon capture and storage, hydrogen and ammonia, lower-emission fuels, Proxxima resin systems, carbon materials, low-carbon data centers, and lithium. Affiliates of the Company conduct research programs in support of these businesses. It operates or markets its products in the United States and most other countries of the world. Its Upstream businesses include unconventional, conventional, deepwater, heavy oil and liquefied natural gas. It also manufactures and distributes products derived from crude oil and other feedstocks.</v>
    <v>58000</v>
    <v>New York Stock Exchange</v>
    <v>XNYS</v>
    <v>XNYS</v>
    <v>22777 SPRINGWOODS VILLAGE PKWY, SPRING, TX, 77389-1425 US</v>
    <v>172.55</v>
    <v>Oil &amp; Gas</v>
    <v>Stock</v>
    <v>46307.999914166408</v>
    <v>40</v>
    <v>171.01</v>
    <v>707865650800</v>
    <v>EXXONMOBIL HOLDINGS CORPORATION</v>
    <v>EXXONMOBIL HOLDINGS CORPORATION</v>
    <v>171.01</v>
    <v>22.200399999999998</v>
    <v>168.94</v>
    <v>172.15</v>
    <v>4111912000</v>
    <v>XOM</v>
    <v>EXXONMOBIL HOLDINGS CORPORATION (XNYS:XOM)</v>
    <v>15251</v>
    <v>13401467</v>
    <v>2026</v>
  </rv>
  <rv s="2">
    <v>41</v>
  </rv>
  <rv s="0">
    <v>https://www.bing.com/financeapi/forcetrigger?t=a1uj52&amp;q=XNYS%3aHD&amp;form=skydnc</v>
    <v>Learn more on Bing</v>
  </rv>
  <rv s="1">
    <v>en-US</v>
    <v>a1uj52</v>
    <v>268435456</v>
    <v>1</v>
    <v>Powered by Refinitiv</v>
    <v>0</v>
    <v>THE HOME DEPOT, INC. (XNYS:HD)</v>
    <v>2</v>
    <v>3</v>
    <v>Finance</v>
    <v>4</v>
    <v>397.63</v>
    <v>277.14999999999998</v>
    <v>0.96209999999999996</v>
    <v>-0.12</v>
    <v>-4.127E-4</v>
    <v>USD</v>
    <v>The Home Depot, Inc. is a home improvement retailer. The Company is engaged in retail operations and sells an assortment of home improvement products, building materials, lawn and garden products, decor products, and facilities maintenance, repair, and operations (MRO) products, in stores and online. It also provides a number of services, including home improvement installation services, and tool and equipment rental. It operates four lines of business: roofing and building products; interior and construction products; landscape, and pool. It operates a total of 2,361 retail stores and over 1,280 SRS locations across all 50 states, the District of Columbia, Puerto Rico, the U.S. Virgin Islands, Guam, 10 Canadian provinces and Mexico. Its store averages 105,000 square feet of indoor retail space, interconnected with an e-commerce business that offers products for the do-it-yourself (DIY) customer, professional contractors, and the installation business for the Do-It-For-Me customer.</v>
    <v>472400</v>
    <v>New York Stock Exchange</v>
    <v>XNYS</v>
    <v>XNYS</v>
    <v>2455 Paces Ferry Road, ATLANTA, GA, 30339 US</v>
    <v>292.59989999999999</v>
    <v>Specialty Retailers</v>
    <v>Stock</v>
    <v>46307.999453992968</v>
    <v>43</v>
    <v>288.51</v>
    <v>289948551552</v>
    <v>THE HOME DEPOT, INC.</v>
    <v>THE HOME DEPOT, INC.</v>
    <v>289.5</v>
    <v>20.347799999999999</v>
    <v>290.74</v>
    <v>290.62</v>
    <v>997689600</v>
    <v>HD</v>
    <v>THE HOME DEPOT, INC. (XNYS:HD)</v>
    <v>2629</v>
    <v>5244021</v>
    <v>1978</v>
  </rv>
  <rv s="2">
    <v>44</v>
  </rv>
  <rv s="0">
    <v>http://en.wikipedia.org/wiki/IBM</v>
    <v>Wikipedia</v>
  </rv>
  <rv s="3">
    <v>24</v>
    <v>46</v>
  </rv>
  <rv s="4">
    <v>10</v>
    <v>https://www.bing.com/th?id=AMMS_41da901be1b295dc42c72dadb9c0f67d&amp;qlt=95</v>
    <v>47</v>
    <v>0</v>
    <v>https://www.bing.com/images/search?form=xlimg&amp;q=ibm</v>
    <v>Image of INTERNATIONAL BUSINESS MACHINES CORPORATION</v>
  </rv>
  <rv s="0">
    <v>https://www.bing.com/financeapi/forcetrigger?t=a1v6nm&amp;q=XNYS%3aIBM&amp;form=skydnc</v>
    <v>Learn more on Bing</v>
  </rv>
  <rv s="5">
    <v>en-US</v>
    <v>a1v6nm</v>
    <v>268435456</v>
    <v>1</v>
    <v>Powered by Refinitiv</v>
    <v>6</v>
    <v>INTERNATIONAL BUSINESS MACHINES CORPORATION (XNYS:IBM)</v>
    <v>8</v>
    <v>9</v>
    <v>Finance</v>
    <v>4</v>
    <v>332.46</v>
    <v>199.19</v>
    <v>0.79710000000000003</v>
    <v>-0.11</v>
    <v>-4.8430000000000001E-4</v>
    <v>USD</v>
    <v>International Business Machines Corporation is a provider of global hybrid cloud and artificial intelligence (AI) and consulting expertise. The Company’s segments include Software, Consulting, Infrastructure and Financing. The Software segment includes hybrid cloud and AI platforms, which allow clients to realize their digital and AI transformations across the applications, data, and environments in which they operate. The Consulting segment focuses on integrating skills on strategy, experience, technology and operations by domain and industry. The Infrastructure segment is focused on the hybrid cloud infrastructure market, providing on-premises and cloud-based server and storage solutions. In addition, it offers a portfolio of life-cycle services for hybrid cloud infrastructure deployment. The Financing segment provides client and commercial financing, facilitating its clients’ acquisition of hardware, software and services. It helps clients in more than 175 countries.</v>
    <v>286800</v>
    <v>New York Stock Exchange</v>
    <v>XNYS</v>
    <v>XNYS</v>
    <v>One New Orchard Road, ARMONK, NY, 10504 US</v>
    <v>229.285</v>
    <v>48</v>
    <v>Software &amp; IT Services</v>
    <v>Stock</v>
    <v>46307.99924957109</v>
    <v>49</v>
    <v>224.77</v>
    <v>213883351488</v>
    <v>INTERNATIONAL BUSINESS MACHINES CORPORATION</v>
    <v>INTERNATIONAL BUSINESS MACHINES CORPORATION</v>
    <v>228.31</v>
    <v>18.230699999999999</v>
    <v>227.13</v>
    <v>227.02</v>
    <v>942134400</v>
    <v>IBM</v>
    <v>INTERNATIONAL BUSINESS MACHINES CORPORATION (XNYS:IBM)</v>
    <v>7577</v>
    <v>5801653</v>
    <v>1911</v>
  </rv>
  <rv s="2">
    <v>50</v>
  </rv>
  <rv s="0">
    <v>https://www.bing.com/financeapi/forcetrigger?t=a1ye2w&amp;q=XNYS%3aNEE&amp;form=skydnc</v>
    <v>Learn more on Bing</v>
  </rv>
  <rv s="1">
    <v>en-US</v>
    <v>a1ye2w</v>
    <v>268435456</v>
    <v>1</v>
    <v>Powered by Refinitiv</v>
    <v>0</v>
    <v>NEXTERA ENERGY, INC. (XNYS:NEE)</v>
    <v>2</v>
    <v>3</v>
    <v>Finance</v>
    <v>4</v>
    <v>98.75</v>
    <v>74.41</v>
    <v>0.61629999999999996</v>
    <v>1.1299999999999999</v>
    <v>1.4603E-2</v>
    <v>USD</v>
    <v>NextEra Energy, Inc. is an electric power and energy infrastructure company. It operates through its wholly owned subsidiaries, NextEra Energy Resources, LLC and NextEra Energy Transmission, LLC (collectively, NEER) and Florida Power &amp; Light Company (FPL). Its segments include NEER and FPL. FPL segment is a rate-regulated electric utility engaged in the generation, transmission, distribution and sale of electric energy in Florida. FPL has approximately 35,052 megawatts of net generating capacity, over 91,000 circuit miles of transmission and distribution lines and 921 substations. The NEER segment owns, develops, constructs, manages and operates electric generation facilities in wholesale energy markets in the United States and Canada and includes assets and investments in other businesses with a clean energy focus, such as battery storage, natural gas pipelines, and renewable fuels. It owns, develops, constructs and operates rate-regulated transmission facilities in North America.</v>
    <v>17400</v>
    <v>New York Stock Exchange</v>
    <v>XNYS</v>
    <v>XNYS</v>
    <v>700 Universe Blvd, JUNO BEACH, FL, 33408 US</v>
    <v>78.540000000000006</v>
    <v>Electrical Utilities &amp; IPPs</v>
    <v>Stock</v>
    <v>46307.99968318281</v>
    <v>52</v>
    <v>77.33</v>
    <v>163770132780</v>
    <v>NEXTERA ENERGY, INC.</v>
    <v>NEXTERA ENERGY, INC.</v>
    <v>77.510000000000005</v>
    <v>17.616</v>
    <v>77.38</v>
    <v>78.510000000000005</v>
    <v>2085978000</v>
    <v>NEE</v>
    <v>NEXTERA ENERGY, INC. (XNYS:NEE)</v>
    <v>2131</v>
    <v>12395788</v>
    <v>1984</v>
  </rv>
  <rv s="2">
    <v>53</v>
  </rv>
  <rv s="0">
    <v>https://www.bing.com/financeapi/forcetrigger?t=a1rdzr&amp;q=XNYS%3aDUK&amp;form=skydnc</v>
    <v>Learn more on Bing</v>
  </rv>
  <rv s="1">
    <v>en-US</v>
    <v>a1rdzr</v>
    <v>268435456</v>
    <v>1</v>
    <v>Powered by Refinitiv</v>
    <v>0</v>
    <v>DUKE ENERGY CORPORATION (XNYS:DUK)</v>
    <v>2</v>
    <v>3</v>
    <v>Finance</v>
    <v>4</v>
    <v>134.49</v>
    <v>112.4</v>
    <v>0.33600000000000002</v>
    <v>1.04</v>
    <v>8.9160000000000003E-3</v>
    <v>USD</v>
    <v>Duke Energy Corporation is an energy-holding company. The Company's segments include Electric Utilities and Infrastructure (EU&amp;I) and Gas Utilities and Infrastructure (GU&amp;I). EU&amp;I segment conducts operations primarily through the regulated public utilities of Duke Energy Carolinas, Duke Energy Progress, Duke Energy Florida, Duke Energy Indiana and Duke Energy Ohio. EU&amp;I provides retail electric service through the generation, transmission, distribution and sale of electricity to approximately 8.7 million customers within the Southeast and Midwest regions of the U.S. GU&amp;I segment conducts natural gas operations primarily through the regulated public utilities of Piedmont, Duke Energy Ohio and Duke Energy Kentucky. GU&amp;I serves residential, commercial, industrial and power generation natural gas customers, including customers served by municipalities who are wholesale customers. It also purchases a diverse portfolio of transportation and storage services from interstate pipelines.</v>
    <v>26441</v>
    <v>New York Stock Exchange</v>
    <v>XNYS</v>
    <v>XNYS</v>
    <v>525 South Tryon Street, CHARLOTTE, NC, 28202-1803 US</v>
    <v>117.735</v>
    <v>Electrical Utilities &amp; IPPs</v>
    <v>Stock</v>
    <v>46307.995894513282</v>
    <v>55</v>
    <v>116.285</v>
    <v>91763151918</v>
    <v>DUKE ENERGY CORPORATION</v>
    <v>DUKE ENERGY CORPORATION</v>
    <v>116.76</v>
    <v>17.7165</v>
    <v>116.65</v>
    <v>117.69</v>
    <v>779702200</v>
    <v>DUK</v>
    <v>DUKE ENERGY CORPORATION (XNYS:DUK)</v>
    <v>228</v>
    <v>4120682</v>
    <v>2005</v>
  </rv>
  <rv s="2">
    <v>56</v>
  </rv>
  <rv s="0">
    <v>https://www.bing.com/financeapi/forcetrigger?t=a23www&amp;q=XNYS%3aT&amp;form=skydnc</v>
    <v>Learn more on Bing</v>
  </rv>
  <rv s="1">
    <v>en-US</v>
    <v>a23www</v>
    <v>268435456</v>
    <v>1</v>
    <v>Powered by Refinitiv</v>
    <v>0</v>
    <v>AT&amp;T INC. (XNYS:T)</v>
    <v>2</v>
    <v>3</v>
    <v>Finance</v>
    <v>4</v>
    <v>29.434999999999999</v>
    <v>19.89</v>
    <v>0.26279999999999998</v>
    <v>0.30499999999999999</v>
    <v>1.3750999999999999E-2</v>
    <v>USD</v>
    <v>AT&amp;T Inc. is a provider of telecommunications and technology services. The Company's segments include Advanced Connectivity, Legacy and Latin America. The Advanced Connectivity segment provides domestic fifth generation (5G) and fiber-based wireless, internet and other advanced connectivity services to consumer and business customers. The Legacy segment provides domestic legacy voice and data services to consumer and business customers over our copper-based network. The Latin America segment provides wireless service and equipment in Mexico. Its plans and services include AT&amp;T Fiber, AT&amp;T Points Plus Card, AT&amp;T Wireless and AT&amp;T Fiber. Its phone plans include Elite 2.0, Premium 2.0, Extra 2.0, and Value 2.0. Its home internet solutions include AT&amp;T Fiber and AT&amp;T Internet Air. It offers phones, tablets, and smartwatches. The Company also offers accessories such as cases, chargers, screen protectors, and headphones.</v>
    <v>130870</v>
    <v>New York Stock Exchange</v>
    <v>XNYS</v>
    <v>XNYS</v>
    <v>208 S. Akard St, DALLAS, TX, 75202 US</v>
    <v>22.66</v>
    <v>Telecommunications Services</v>
    <v>Stock</v>
    <v>46307.999571435153</v>
    <v>58</v>
    <v>22.25</v>
    <v>154075899210</v>
    <v>AT&amp;T INC.</v>
    <v>AT&amp;T INC.</v>
    <v>22.26</v>
    <v>7.4268000000000001</v>
    <v>22.18</v>
    <v>22.484999999999999</v>
    <v>6852386000</v>
    <v>T</v>
    <v>AT&amp;T INC. (XNYS:T)</v>
    <v>83499</v>
    <v>42613227</v>
    <v>1983</v>
  </rv>
  <rv s="2">
    <v>59</v>
  </rv>
  <rv s="0">
    <v>https://www.bing.com/financeapi/forcetrigger?t=a1zqnm&amp;q=XNYS%3aPFE&amp;form=skydnc</v>
    <v>Learn more on Bing</v>
  </rv>
  <rv s="1">
    <v>en-US</v>
    <v>a1zqnm</v>
    <v>268435456</v>
    <v>1</v>
    <v>Powered by Refinitiv</v>
    <v>0</v>
    <v>PFIZER INC. (XNYS:PFE)</v>
    <v>2</v>
    <v>3</v>
    <v>Finance</v>
    <v>4</v>
    <v>29.21</v>
    <v>23.62</v>
    <v>0.27350000000000002</v>
    <v>0.12</v>
    <v>4.2430000000000002E-3</v>
    <v>USD</v>
    <v>Pfizer Inc. is a research-based, global biopharmaceutical company. The Company is engaged in the discovery, development, manufacture, marketing, sale and distribution of biopharmaceutical products worldwide. Its Biopharma segment includes the Pfizer U.S. Commercial Division, and the Pfizer International Commercial Division. Its product categories include oncology, primary care and specialty care. Its oncology products include Ibrance, Xtandi, Padcev, Adcetris, Inlyta, Lorbrena, Bosulif, Tukysa, Braftovi, Mektovi, Orgovyx, Elrexfio, Tivdak and Talzenna. Its primary care products include Eliquis, Nurtec ODT/Vydura, Zavzpret, the Prevnar family, Comirnaty, Abrysvo, FSME/IMMUN-TicoVac, Nimenrix, Trumenba, and Paxlovid. Its specialty care products include Xeljanz, Enbrel (outside the United States and Canada), Inflectra, Abrilada, Cibinqo, Litfulo, Eucrisa, Velsipity, the Vyndaqel family, Genotropin, and others. Its PF-08653944 is an ultra-long-acting fully biased GLP-1 receptor agonist.</v>
    <v>75000</v>
    <v>New York Stock Exchange</v>
    <v>XNYS</v>
    <v>XNYS</v>
    <v>66 HUDSON BOULEVARD EAST, NEW YORK, NY, 10001-2192 US</v>
    <v>28.495000000000001</v>
    <v>Pharmaceuticals</v>
    <v>Stock</v>
    <v>46307.999822476566</v>
    <v>61</v>
    <v>28.28</v>
    <v>161870741600</v>
    <v>PFIZER INC.</v>
    <v>PFIZER INC.</v>
    <v>28.42</v>
    <v>37.562199999999997</v>
    <v>28.28</v>
    <v>28.4</v>
    <v>5699674000</v>
    <v>PFE</v>
    <v>PFIZER INC. (XNYS:PFE)</v>
    <v>60578</v>
    <v>32154773</v>
    <v>1942</v>
  </rv>
  <rv s="2">
    <v>62</v>
  </rv>
  <rv s="0">
    <v>https://www.bing.com/financeapi/forcetrigger?t=a1waa2&amp;q=XNYS%3aJPM&amp;form=skydnc</v>
    <v>Learn more on Bing</v>
  </rv>
  <rv s="1">
    <v>en-US</v>
    <v>a1waa2</v>
    <v>268435456</v>
    <v>1</v>
    <v>Powered by Refinitiv</v>
    <v>0</v>
    <v>JPMORGAN CHASE &amp; CO. (XNYS:JPM)</v>
    <v>2</v>
    <v>3</v>
    <v>Finance</v>
    <v>4</v>
    <v>366.5</v>
    <v>279.10000000000002</v>
    <v>1.0315000000000001</v>
    <v>1.31</v>
    <v>3.934E-3</v>
    <v>USD</v>
    <v>JPMorgan Chase &amp; Co. is a financial holding company engaged in investment banking, financial services for consumers and small businesses, commercial banking, financial transaction processing and asset management. It operates through three segments: Consumer &amp; Community Banking (CCB), Commercial &amp; Investment Bank (CIB), and Asset &amp; Wealth Management (AWM). Its CCB segment offers products and services to consumers and small businesses through bank branches, ATMs, digital and telephone banking. Its CIB segment consists of banking and payments and markets and securities services, and offers a suite of investment banking, lending, payments, market-making, financing, custody and securities products and services to a global base of corporate and institutional clients. Its AWM segment offers investment and wealth management solutions. It offers multi-asset investment management solutions, retirement products and services, brokerage, custody, estate planning, lending, deposits, and others.</v>
    <v>320560</v>
    <v>New York Stock Exchange</v>
    <v>XNYS</v>
    <v>XNYS</v>
    <v>270 Park Avenue, NEW YORK, NY, 10017 US</v>
    <v>336.34</v>
    <v>Banking Services</v>
    <v>Stock</v>
    <v>46307.999951539059</v>
    <v>64</v>
    <v>333.55</v>
    <v>888631579800</v>
    <v>JPMORGAN CHASE &amp; CO.</v>
    <v>JPMORGAN CHASE &amp; CO.</v>
    <v>334.3</v>
    <v>14.3186</v>
    <v>332.99</v>
    <v>334.3</v>
    <v>2658186000</v>
    <v>JPM</v>
    <v>JPMORGAN CHASE &amp; CO. (XNYS:JPM)</v>
    <v>32562</v>
    <v>7998576</v>
    <v>1968</v>
  </rv>
  <rv s="2">
    <v>65</v>
  </rv>
  <rv s="0">
    <v>https://www.bing.com/financeapi/forcetrigger?t=a214h7&amp;q=XNYS%3aPPG&amp;form=skydnc</v>
    <v>Learn more on Bing</v>
  </rv>
  <rv s="1">
    <v>en-US</v>
    <v>a214h7</v>
    <v>268435456</v>
    <v>1</v>
    <v>Powered by Refinitiv</v>
    <v>0</v>
    <v>PPG INDUSTRIES, INC. (XNYS:PPG)</v>
    <v>2</v>
    <v>3</v>
    <v>Finance</v>
    <v>5</v>
    <v>133.43</v>
    <v>93.385000000000005</v>
    <v>1.0167999999999999</v>
    <v>-0.25</v>
    <v>-2.405E-3</v>
    <v>USD</v>
    <v>PPG Industries, Inc. manufactures and distributes a broad range of paints, coatings and specialty products. Its segments include Global Architectural Coatings, Performance Coatings and Industrial Coatings. The Global Architectural Coatings segment consists of architectural coatings EMEA and architectural coatings Latin America and Asia Pacific operating segments. This segment primarily supplies paints, wood stains, adhesives, sealants and purchased sundries. The Performance Coatings segment consists of automotive refinish coatings, aerospace coatings, protective and marine coatings and traffic solutions operating segments. This segment primarily supplies a variety of coatings, solvents, adhesives, sealants, foams and finishes, along with pavement marking products, transparencies and paint films. The Industrial Coatings segment supplies a variety of protective and decorative coatings and finishes along with adhesives, sealants, metal pretreatment products, and other specialty products.</v>
    <v>43500</v>
    <v>New York Stock Exchange</v>
    <v>XNYS</v>
    <v>XNYS</v>
    <v>One Ppg Pl 40 East, PITTSBURGH, PA, 15272 US</v>
    <v>104.37</v>
    <v>Chemicals</v>
    <v>Stock</v>
    <v>46307.980862626566</v>
    <v>67</v>
    <v>102.75</v>
    <v>23054733000</v>
    <v>PPG INDUSTRIES, INC.</v>
    <v>PPG INDUSTRIES, INC.</v>
    <v>103.34</v>
    <v>14.892899999999999</v>
    <v>103.96</v>
    <v>103.71</v>
    <v>222300000</v>
    <v>PPG</v>
    <v>PPG INDUSTRIES, INC. (XNYS:PPG)</v>
    <v>1</v>
    <v>1744021</v>
    <v>1883</v>
  </rv>
  <rv s="2">
    <v>68</v>
  </rv>
  <rv s="6">
    <fb>1.073</fb>
    <v>11</v>
  </rv>
  <rv s="6">
    <fb>3.5690000000000001E-3</fb>
    <v>11</v>
  </rv>
  <rv s="6">
    <fb>0.24299999999999999</fb>
    <v>11</v>
  </rv>
  <rv s="6">
    <fb>1.1222000000000001</fb>
    <v>11</v>
  </rv>
  <rv s="6">
    <fb>3.6930000000000001E-3</fb>
    <v>11</v>
  </rv>
  <rv s="6">
    <fb>0.25390000000000001</fb>
    <v>11</v>
  </rv>
  <rv s="6">
    <fb>1.0987</fb>
    <v>11</v>
  </rv>
  <rv s="6">
    <fb>3.5490000000000001E-3</fb>
    <v>11</v>
  </rv>
  <rv s="6">
    <fb>0.2472</fb>
    <v>11</v>
  </rv>
  <rv s="6">
    <fb>1.1134999999999999</fb>
    <v>11</v>
  </rv>
  <rv s="6">
    <fb>3.5309999999999999E-3</fb>
    <v>11</v>
  </rv>
  <rv s="6">
    <fb>0.24879999999999999</fb>
    <v>11</v>
  </rv>
  <rv s="6">
    <fb>3.5739999999999999E-3</fb>
    <v>11</v>
  </rv>
  <rv s="6">
    <fb>0.249</fb>
    <v>11</v>
  </rv>
  <rv s="6">
    <fb>1.1211</fb>
    <v>11</v>
  </rv>
  <rv s="6">
    <fb>3.5729999999999998E-3</fb>
    <v>11</v>
  </rv>
  <rv s="6">
    <fb>0.25290000000000001</fb>
    <v>11</v>
  </rv>
  <rv s="6">
    <fb>1.1175999999999999</fb>
    <v>11</v>
  </rv>
  <rv s="6">
    <fb>3.5599999999999998E-3</fb>
    <v>11</v>
  </rv>
  <rv s="6">
    <fb>0.25269999999999998</fb>
    <v>11</v>
  </rv>
  <rv s="6">
    <fb>1.1005</fb>
    <v>11</v>
  </rv>
  <rv s="6">
    <fb>3.5409999999999999E-3</fb>
    <v>11</v>
  </rv>
  <rv s="6">
    <fb>0.24809999999999999</fb>
    <v>11</v>
  </rv>
  <rv s="6">
    <fb>1.0563</fb>
    <v>11</v>
  </rv>
  <rv s="6">
    <fb>3.3939999999999999E-3</fb>
    <v>11</v>
  </rv>
  <rv s="6">
    <fb>0.23680000000000001</fb>
    <v>11</v>
  </rv>
  <rv s="6">
    <fb>1.0860000000000001</fb>
    <v>11</v>
  </rv>
  <rv s="6">
    <fb>3.4329999999999999E-3</fb>
    <v>11</v>
  </rv>
  <rv s="6">
    <fb>0.24030000000000001</fb>
    <v>11</v>
  </rv>
  <rv s="6">
    <fb>1.0833999999999999</fb>
    <v>11</v>
  </rv>
  <rv s="6">
    <fb>3.4740000000000001E-3</fb>
    <v>11</v>
  </rv>
  <rv s="6">
    <fb>0.23860000000000001</fb>
    <v>11</v>
  </rv>
  <rv s="6">
    <fb>1.0871</fb>
    <v>11</v>
  </rv>
  <rv s="6">
    <fb>3.5000000000000001E-3</fb>
    <v>11</v>
  </rv>
  <rv s="6">
    <fb>0.2429</fb>
    <v>11</v>
  </rv>
  <rv s="6">
    <fb>1.1377999999999999</fb>
    <v>11</v>
  </rv>
  <rv s="6">
    <fb>3.62E-3</fb>
    <v>11</v>
  </rv>
  <rv s="6">
    <fb>0.25430000000000003</fb>
    <v>11</v>
  </rv>
  <rv s="6">
    <fb>1.1454</fb>
    <v>11</v>
  </rv>
  <rv s="6">
    <fb>3.6649999999999999E-3</fb>
    <v>11</v>
  </rv>
  <rv s="6">
    <fb>0.2555</fb>
    <v>11</v>
  </rv>
  <rv s="6">
    <fb>1.1129</fb>
    <v>11</v>
  </rv>
  <rv s="6">
    <fb>3.5469999999999998E-3</fb>
    <v>11</v>
  </rv>
  <rv s="6">
    <fb>0.2462</fb>
    <v>11</v>
  </rv>
  <rv s="6">
    <fb>1.1104000000000001</fb>
    <v>11</v>
  </rv>
  <rv s="6">
    <fb>3.5119999999999999E-3</fb>
    <v>11</v>
  </rv>
  <rv s="6">
    <fb>0.24529999999999999</fb>
    <v>11</v>
  </rv>
  <rv s="6">
    <fb>1.117</fb>
    <v>11</v>
  </rv>
  <rv s="6">
    <fb>3.5799999999999998E-3</fb>
    <v>11</v>
  </rv>
  <rv s="6">
    <fb>0.24979999999999999</fb>
    <v>11</v>
  </rv>
  <rv s="6">
    <fb>1.1155999999999999</fb>
    <v>11</v>
  </rv>
  <rv s="6">
    <fb>3.5990000000000002E-3</fb>
    <v>11</v>
  </rv>
  <rv s="6">
    <fb>0.25030000000000002</fb>
    <v>11</v>
  </rv>
  <rv s="6">
    <fb>1.1237999999999999</fb>
    <v>11</v>
  </rv>
  <rv s="6">
    <fb>3.6459999999999999E-3</fb>
    <v>11</v>
  </rv>
  <rv s="6">
    <fb>0.25280000000000002</fb>
    <v>11</v>
  </rv>
  <rv s="6">
    <fb>1.0979000000000001</fb>
    <v>11</v>
  </rv>
  <rv s="6">
    <fb>3.5569999999999998E-3</fb>
    <v>11</v>
  </rv>
  <rv s="6">
    <fb>0.24360000000000001</fb>
    <v>11</v>
  </rv>
  <rv s="6">
    <fb>1.0585</fb>
    <v>11</v>
  </rv>
  <rv s="6">
    <fb>3.3830000000000002E-3</fb>
    <v>11</v>
  </rv>
  <rv s="6">
    <fb>0.2341</fb>
    <v>11</v>
  </rv>
  <rv s="6">
    <fb>1.0512999999999999</fb>
    <v>11</v>
  </rv>
  <rv s="6">
    <fb>3.3960000000000001E-3</fb>
    <v>11</v>
  </rv>
  <rv s="6">
    <fb>0.2316</fb>
    <v>11</v>
  </rv>
  <rv s="6">
    <fb>1.0794999999999999</fb>
    <v>11</v>
  </rv>
  <rv s="6">
    <fb>3.4780000000000002E-3</fb>
    <v>11</v>
  </rv>
  <rv s="6">
    <fb>0.2397</fb>
    <v>11</v>
  </rv>
  <rv s="6">
    <fb>1.0575000000000001</fb>
    <v>11</v>
  </rv>
  <rv s="6">
    <fb>3.4290000000000002E-3</fb>
    <v>11</v>
  </rv>
  <rv s="6">
    <fb>0.23369999999999999</fb>
    <v>11</v>
  </rv>
  <rv s="6">
    <fb>1.0649</fb>
    <v>11</v>
  </rv>
  <rv s="6">
    <fb>3.4489999999999998E-3</fb>
    <v>11</v>
  </rv>
  <rv s="6">
    <fb>0.23380000000000001</fb>
    <v>11</v>
  </rv>
  <rv s="6">
    <fb>1.0894999999999999</fb>
    <v>11</v>
  </rv>
  <rv s="6">
    <fb>3.4789999999999999E-3</fb>
    <v>11</v>
  </rv>
  <rv s="6">
    <fb>0.24010000000000001</fb>
    <v>11</v>
  </rv>
  <rv s="6">
    <fb>1.1241000000000001</fb>
    <v>11</v>
  </rv>
  <rv s="6">
    <fb>3.6449999999999998E-3</fb>
    <v>11</v>
  </rv>
  <rv s="6">
    <fb>0.24590000000000001</fb>
    <v>11</v>
  </rv>
  <rv s="6">
    <fb>1.1423000000000001</fb>
    <v>11</v>
  </rv>
  <rv s="6">
    <fb>3.6979999999999999E-3</fb>
    <v>11</v>
  </rv>
  <rv s="6">
    <fb>0.25019999999999998</fb>
    <v>11</v>
  </rv>
  <rv s="6">
    <fb>1.1839999999999999</fb>
    <v>11</v>
  </rv>
  <rv s="6">
    <fb>3.8909999999999999E-3</fb>
    <v>11</v>
  </rv>
  <rv s="6">
    <fb>0.25950000000000001</fb>
    <v>11</v>
  </rv>
  <rv s="6">
    <fb>1.1908000000000001</fb>
    <v>11</v>
  </rv>
  <rv s="6">
    <fb>3.8920000000000001E-3</fb>
    <v>11</v>
  </rv>
  <rv s="6">
    <fb>0.25890000000000002</fb>
    <v>11</v>
  </rv>
  <rv s="6">
    <fb>1.1812</fb>
    <v>11</v>
  </rv>
  <rv s="6">
    <fb>3.787E-3</fb>
    <v>11</v>
  </rv>
  <rv s="6">
    <fb>0.25679999999999997</fb>
    <v>11</v>
  </rv>
  <rv s="6">
    <fb>1.1644000000000001</fb>
    <v>11</v>
  </rv>
  <rv s="6">
    <fb>3.7369999999999999E-3</fb>
    <v>11</v>
  </rv>
  <rv s="6">
    <fb>0.253</fb>
    <v>11</v>
  </rv>
  <rv s="6">
    <fb>1.1901999999999999</fb>
    <v>11</v>
  </rv>
  <rv s="6">
    <fb>3.7989999999999999E-3</fb>
    <v>11</v>
  </rv>
  <rv s="6">
    <fb>0.25619999999999998</fb>
    <v>11</v>
  </rv>
  <rv s="6">
    <fb>1.1996</fb>
    <v>11</v>
  </rv>
  <rv s="6">
    <fb>3.8570000000000002E-3</fb>
    <v>11</v>
  </rv>
  <rv s="6">
    <fb>0.25700000000000001</fb>
    <v>11</v>
  </rv>
  <rv s="6">
    <fb>1.242</fb>
    <v>11</v>
  </rv>
  <rv s="6">
    <fb>4.0010000000000002E-3</fb>
    <v>11</v>
  </rv>
  <rv s="6">
    <fb>0.26669999999999999</fb>
    <v>11</v>
  </rv>
  <rv s="6">
    <fb>1.2193000000000001</fb>
    <v>11</v>
  </rv>
  <rv s="6">
    <fb>3.882E-3</fb>
    <v>11</v>
  </rv>
  <rv s="6">
    <fb>0.26169999999999999</fb>
    <v>11</v>
  </rv>
  <rv s="6">
    <fb>1.2321</fb>
    <v>11</v>
  </rv>
  <rv s="6">
    <fb>3.9379999999999997E-3</fb>
    <v>11</v>
  </rv>
  <rv s="6">
    <fb>0.2646</fb>
    <v>11</v>
  </rv>
  <rv s="6">
    <fb>1.2077</fb>
    <v>11</v>
  </rv>
  <rv s="6">
    <fb>3.849E-3</fb>
    <v>11</v>
  </rv>
  <rv s="6">
    <fb>0.25900000000000001</fb>
    <v>11</v>
  </rv>
  <rv s="6">
    <fb>1.169</fb>
    <v>11</v>
  </rv>
  <rv s="6">
    <fb>3.6549999999999998E-3</fb>
    <v>11</v>
  </rv>
  <rv s="6">
    <fb>0.25069999999999998</fb>
    <v>11</v>
  </rv>
  <rv s="6">
    <fb>1.1682999999999999</fb>
    <v>11</v>
  </rv>
  <rv s="6">
    <fb>3.5460000000000001E-3</fb>
    <v>11</v>
  </rv>
  <rv s="6">
    <fb>0.25040000000000001</fb>
    <v>11</v>
  </rv>
  <rv s="6">
    <fb>1.1691</fb>
    <v>11</v>
  </rv>
  <rv s="6">
    <fb>3.6419999999999998E-3</fb>
    <v>11</v>
  </rv>
  <rv s="6">
    <fb>1.1598999999999999</fb>
    <v>11</v>
  </rv>
  <rv s="6">
    <fb>0.24990000000000001</fb>
    <v>11</v>
  </rv>
  <rv s="6">
    <fb>1.1608000000000001</fb>
    <v>11</v>
  </rv>
  <rv s="6">
    <fb>3.5860000000000002E-3</fb>
    <v>11</v>
  </rv>
  <rv s="6">
    <fb>0.2492</fb>
    <v>11</v>
  </rv>
  <rv s="6">
    <fb>1.131</fb>
    <v>11</v>
  </rv>
  <rv s="6">
    <fb>3.4819999999999999E-3</fb>
    <v>11</v>
  </rv>
  <rv s="6">
    <fb>0.2424</fb>
    <v>11</v>
  </rv>
  <rv s="6">
    <fb>1.1315</fb>
    <v>11</v>
  </rv>
  <rv s="6">
    <fb>3.4949999999999998E-3</fb>
    <v>11</v>
  </rv>
  <rv s="6">
    <fb>1.1469</fb>
    <v>11</v>
  </rv>
  <rv s="6">
    <fb>3.568E-3</fb>
    <v>11</v>
  </rv>
  <rv s="6">
    <fb>1.1444000000000001</fb>
    <v>11</v>
  </rv>
  <rv s="6">
    <fb>0.24160000000000001</fb>
    <v>11</v>
  </rv>
  <rv s="6">
    <fb>1.137</fb>
    <v>11</v>
  </rv>
  <rv s="6">
    <fb>3.5980000000000001E-3</fb>
    <v>11</v>
  </rv>
  <rv s="6">
    <fb>0.2394</fb>
    <v>11</v>
  </rv>
  <rv s="6">
    <fb>1.1216999999999999</fb>
    <v>11</v>
  </rv>
  <rv s="6">
    <fb>3.4910000000000002E-3</fb>
    <v>11</v>
  </rv>
  <rv s="6">
    <fb>0.2349</fb>
    <v>11</v>
  </rv>
  <rv s="6">
    <fb>1.1214999999999999</fb>
    <v>11</v>
  </rv>
  <rv s="6">
    <fb>3.46E-3</fb>
    <v>11</v>
  </rv>
  <rv s="6">
    <fb>0.2356</fb>
    <v>11</v>
  </rv>
  <rv s="6">
    <fb>1.1167</fb>
    <v>11</v>
  </rv>
  <rv s="6">
    <fb>3.4350000000000001E-3</fb>
    <v>11</v>
  </rv>
  <rv s="6">
    <fb>0.2351</fb>
    <v>11</v>
  </rv>
  <rv s="6">
    <fb>1.1368</fb>
    <v>11</v>
  </rv>
  <rv s="6">
    <fb>3.5179999999999999E-3</fb>
    <v>11</v>
  </rv>
  <rv s="6">
    <fb>0.24049999999999999</fb>
    <v>11</v>
  </rv>
  <rv s="6">
    <fb>1.1073999999999999</fb>
    <v>11</v>
  </rv>
  <rv s="6">
    <fb>3.395E-3</fb>
    <v>11</v>
  </rv>
  <rv s="6">
    <fb>1.0989</fb>
    <v>11</v>
  </rv>
  <rv s="6">
    <fb>3.3149999999999998E-3</fb>
    <v>11</v>
  </rv>
  <rv s="6">
    <fb>0.2324</fb>
    <v>11</v>
  </rv>
  <rv s="6">
    <fb>1.0898000000000001</fb>
    <v>11</v>
  </rv>
  <rv s="6">
    <fb>3.2529999999999998E-3</fb>
    <v>11</v>
  </rv>
  <rv s="6">
    <fb>0.22950000000000001</fb>
    <v>11</v>
  </rv>
  <rv s="6">
    <fb>1.115</fb>
    <v>11</v>
  </rv>
  <rv s="6">
    <fb>3.3909999999999999E-3</fb>
    <v>11</v>
  </rv>
  <rv s="6">
    <fb>0.2344</fb>
    <v>11</v>
  </rv>
  <rv s="6">
    <fb>1.1014999999999999</fb>
    <v>11</v>
  </rv>
  <rv s="6">
    <fb>3.2889999999999998E-3</fb>
    <v>11</v>
  </rv>
  <rv s="6">
    <fb>0.23019999999999999</fb>
    <v>11</v>
  </rv>
  <rv s="6">
    <fb>1.121</fb>
    <v>11</v>
  </rv>
  <rv s="6">
    <fb>3.3839999999999999E-3</fb>
    <v>11</v>
  </rv>
  <rv s="6">
    <fb>0.23400000000000001</fb>
    <v>11</v>
  </rv>
  <rv s="6">
    <fb>1.1093</fb>
    <v>11</v>
  </rv>
  <rv s="6">
    <fb>3.287E-3</fb>
    <v>11</v>
  </rv>
  <rv s="6">
    <fb>0.23200000000000001</fb>
    <v>11</v>
  </rv>
  <rv s="6">
    <fb>1.1025</fb>
    <v>11</v>
  </rv>
  <rv s="6">
    <fb>3.2590000000000002E-3</fb>
    <v>11</v>
  </rv>
  <rv s="6">
    <fb>0.22889999999999999</fb>
    <v>11</v>
  </rv>
  <rv s="6">
    <fb>1.1029</fb>
    <v>11</v>
  </rv>
  <rv s="6">
    <fb>3.0539999999999999E-3</fb>
    <v>11</v>
  </rv>
  <rv s="6">
    <fb>0.2281</fb>
    <v>11</v>
  </rv>
  <rv s="6">
    <fb>1.0954999999999999</fb>
    <v>11</v>
  </rv>
  <rv s="6">
    <fb>3.1029999999999999E-3</fb>
    <v>11</v>
  </rv>
  <rv s="6">
    <fb>0.22620000000000001</fb>
    <v>11</v>
  </rv>
  <rv s="6">
    <fb>1.1097999999999999</fb>
    <v>11</v>
  </rv>
  <rv s="6">
    <fb>3.2009999999999999E-3</fb>
    <v>11</v>
  </rv>
  <rv s="6">
    <fb>0.22900000000000001</fb>
    <v>11</v>
  </rv>
  <rv s="6">
    <fb>1.1231</fb>
    <v>11</v>
  </rv>
  <rv s="6">
    <fb>3.1679999999999998E-3</fb>
    <v>11</v>
  </rv>
  <rv s="6">
    <fb>0.2321</fb>
    <v>11</v>
  </rv>
  <rv s="6">
    <fb>1.1774</fb>
    <v>11</v>
  </rv>
  <rv s="6">
    <fb>3.4199999999999999E-3</fb>
    <v>11</v>
  </rv>
  <rv s="6">
    <fb>1.1936</fb>
    <v>11</v>
  </rv>
  <rv s="6">
    <fb>3.356E-3</fb>
    <v>11</v>
  </rv>
  <rv s="6">
    <fb>0.2465</fb>
    <v>11</v>
  </rv>
  <rv s="6">
    <fb>1.1718</fb>
    <v>11</v>
  </rv>
  <rv s="6">
    <fb>3.222E-3</fb>
    <v>11</v>
  </rv>
  <rv s="6">
    <fb>0.2404</fb>
    <v>11</v>
  </rv>
  <rv s="6">
    <fb>1.1647000000000001</fb>
    <v>11</v>
  </rv>
  <rv s="6">
    <fb>3.1770000000000001E-3</fb>
    <v>11</v>
  </rv>
  <rv s="6">
    <fb>1.1928000000000001</fb>
    <v>11</v>
  </rv>
  <rv s="6">
    <fb>3.3240000000000001E-3</fb>
    <v>11</v>
  </rv>
  <rv s="6">
    <fb>0.2445</fb>
    <v>11</v>
  </rv>
  <rv s="6">
    <fb>1.2213000000000001</fb>
    <v>11</v>
  </rv>
  <rv s="6">
    <fb>3.3639999999999998E-3</fb>
    <v>11</v>
  </rv>
  <rv s="6">
    <fb>0.25090000000000001</fb>
    <v>11</v>
  </rv>
  <rv s="6">
    <fb>1.2136</fb>
    <v>11</v>
  </rv>
  <rv s="6">
    <fb>3.3930000000000002E-3</fb>
    <v>11</v>
  </rv>
  <rv s="6">
    <fb>0.24890000000000001</fb>
    <v>11</v>
  </rv>
  <rv s="6">
    <fb>1.2074</fb>
    <v>11</v>
  </rv>
  <rv s="6">
    <fb>3.3289999999999999E-3</fb>
    <v>11</v>
  </rv>
  <rv s="6">
    <fb>0.2475</fb>
    <v>11</v>
  </rv>
  <rv s="6">
    <fb>1.1728000000000001</fb>
    <v>11</v>
  </rv>
  <rv s="6">
    <fb>3.2369999999999999E-3</fb>
    <v>11</v>
  </rv>
  <rv s="6">
    <fb>0.23830000000000001</fb>
    <v>11</v>
  </rv>
  <rv s="6">
    <fb>1.2018</fb>
    <v>11</v>
  </rv>
  <rv s="6">
    <fb>3.3349999999999999E-3</fb>
    <v>11</v>
  </rv>
  <rv s="6">
    <fb>0.24390000000000001</fb>
    <v>11</v>
  </rv>
  <rv s="6">
    <fb>1.2224999999999999</fb>
    <v>11</v>
  </rv>
  <rv s="6">
    <fb>3.5149999999999999E-3</fb>
    <v>11</v>
  </rv>
  <rv s="6">
    <fb>0.2485</fb>
    <v>11</v>
  </rv>
  <rv s="6">
    <fb>1.1855</fb>
    <v>11</v>
  </rv>
  <rv s="6">
    <fb>3.3709999999999999E-3</fb>
    <v>11</v>
  </rv>
  <rv s="6">
    <fb>1.1870000000000001</fb>
    <v>11</v>
  </rv>
  <rv s="6">
    <fb>3.3089999999999999E-3</fb>
    <v>11</v>
  </rv>
  <rv s="6">
    <fb>0.24129999999999999</fb>
    <v>11</v>
  </rv>
  <rv s="6">
    <fb>1.1807000000000001</fb>
    <v>11</v>
  </rv>
  <rv s="6">
    <fb>3.3800000000000002E-3</fb>
    <v>11</v>
  </rv>
  <rv s="6">
    <fb>0.2392</fb>
    <v>11</v>
  </rv>
  <rv s="6">
    <fb>1.1580999999999999</fb>
    <v>11</v>
  </rv>
  <rv s="6">
    <fb>3.2190000000000001E-3</fb>
    <v>11</v>
  </rv>
  <rv s="6">
    <fb>0.2339</fb>
    <v>11</v>
  </rv>
  <rv s="6">
    <fb>1.1560999999999999</fb>
    <v>11</v>
  </rv>
  <rv s="6">
    <fb>3.2100000000000002E-3</fb>
    <v>11</v>
  </rv>
  <rv s="6">
    <fb>0.23350000000000001</fb>
    <v>11</v>
  </rv>
  <rv s="6">
    <fb>1.1335999999999999</fb>
    <v>11</v>
  </rv>
  <rv s="6">
    <fb>3.1050000000000001E-3</fb>
    <v>11</v>
  </rv>
  <rv s="6">
    <fb>3.078E-3</fb>
    <v>11</v>
  </rv>
  <rv s="6">
    <fb>0.22969999999999999</fb>
    <v>11</v>
  </rv>
  <rv s="6">
    <fb>1.1233</fb>
    <v>11</v>
  </rv>
  <rv s="6">
    <fb>3.16E-3</fb>
    <v>11</v>
  </rv>
  <rv s="6">
    <fb>0.22700000000000001</fb>
    <v>11</v>
  </rv>
  <rv s="6">
    <fb>1.1218999999999999</fb>
    <v>11</v>
  </rv>
  <rv s="6">
    <fb>3.019E-3</fb>
    <v>11</v>
  </rv>
  <rv s="6">
    <fb>0.2266</fb>
    <v>11</v>
  </rv>
  <rv s="6">
    <fb>1.1065</fb>
    <v>11</v>
  </rv>
  <rv s="6">
    <fb>3.0070000000000001E-3</fb>
    <v>11</v>
  </rv>
  <rv s="6">
    <fb>0.2238</fb>
    <v>11</v>
  </rv>
  <rv s="6">
    <fb>1.0541</fb>
    <v>11</v>
  </rv>
  <rv s="6">
    <fb>2.7850000000000001E-3</fb>
    <v>11</v>
  </rv>
  <rv s="6">
    <fb>0.21299999999999999</fb>
    <v>11</v>
  </rv>
  <rv s="6">
    <fb>1.0732999999999999</fb>
    <v>11</v>
  </rv>
  <rv s="6">
    <fb>2.7009999999999998E-3</fb>
    <v>11</v>
  </rv>
  <rv s="6">
    <fb>0.217</fb>
    <v>11</v>
  </rv>
  <rv s="6">
    <fb>1.0482</fb>
    <v>11</v>
  </rv>
  <rv s="6">
    <fb>2.643E-3</fb>
    <v>11</v>
  </rv>
  <rv s="6">
    <fb>0.21179999999999999</fb>
    <v>11</v>
  </rv>
  <rv s="6">
    <fb>1.0218</fb>
    <v>11</v>
  </rv>
  <rv s="6">
    <fb>2.5279999999999999E-3</fb>
    <v>11</v>
  </rv>
  <rv s="6">
    <fb>0.20730000000000001</fb>
    <v>11</v>
  </rv>
  <rv s="6">
    <fb>1.0057</fb>
    <v>11</v>
  </rv>
  <rv s="6">
    <fb>2.506E-3</fb>
    <v>11</v>
  </rv>
  <rv s="6">
    <fb>0.20749999999999999</fb>
    <v>11</v>
  </rv>
  <rv s="6">
    <fb>0.97989999999999999</fb>
    <v>11</v>
  </rv>
  <rv s="6">
    <fb>2.3159999999999999E-3</fb>
    <v>11</v>
  </rv>
  <rv s="6">
    <fb>0.19789999999999999</fb>
    <v>11</v>
  </rv>
  <rv s="6">
    <fb>0.98829999999999996</fb>
    <v>11</v>
  </rv>
  <rv s="6">
    <fb>2.4120000000000001E-3</fb>
    <v>11</v>
  </rv>
  <rv s="6">
    <fb>0.2011</fb>
    <v>11</v>
  </rv>
  <rv s="6">
    <fb>1.0405</fb>
    <v>11</v>
  </rv>
  <rv s="6">
    <fb>2.5439999999999998E-3</fb>
    <v>11</v>
  </rv>
  <rv s="6">
    <fb>0.21099999999999999</fb>
    <v>11</v>
  </rv>
  <rv s="6">
    <fb>1.0702</fb>
    <v>11</v>
  </rv>
  <rv s="6">
    <fb>2.6770000000000001E-3</fb>
    <v>11</v>
  </rv>
  <rv s="6">
    <fb>0.21629999999999999</fb>
    <v>11</v>
  </rv>
  <rv s="6">
    <fb>1.0862000000000001</fb>
    <v>11</v>
  </rv>
  <rv s="6">
    <fb>2.7729999999999999E-3</fb>
    <v>11</v>
  </rv>
  <rv s="6">
    <fb>0.22070000000000001</fb>
    <v>11</v>
  </rv>
  <rv s="6">
    <fb>1.0576000000000001</fb>
    <v>11</v>
  </rv>
  <rv s="6">
    <fb>2.7929999999999999E-3</fb>
    <v>11</v>
  </rv>
  <rv s="6">
    <fb>0.21460000000000001</fb>
    <v>11</v>
  </rv>
  <rv s="6">
    <fb>1.0839000000000001</fb>
    <v>11</v>
  </rv>
  <rv s="6">
    <fb>2.8519999999999999E-3</fb>
    <v>11</v>
  </rv>
  <rv s="6">
    <fb>0.219</fb>
    <v>11</v>
  </rv>
  <rv s="6">
    <fb>1.1020000000000001</fb>
    <v>11</v>
  </rv>
  <rv s="6">
    <fb>2.9510000000000001E-3</fb>
    <v>11</v>
  </rv>
  <rv s="6">
    <fb>0.2233</fb>
    <v>11</v>
  </rv>
  <rv s="6">
    <fb>1.0688</fb>
    <v>11</v>
  </rv>
  <rv s="6">
    <fb>2.8830000000000001E-3</fb>
    <v>11</v>
  </rv>
  <rv s="6">
    <fb>0.215</fb>
    <v>11</v>
  </rv>
  <rv s="6">
    <fb>1.091</fb>
    <v>11</v>
  </rv>
  <rv s="6">
    <fb>2.9239999999999999E-3</fb>
    <v>11</v>
  </rv>
  <rv s="6">
    <fb>0.21990000000000001</fb>
    <v>11</v>
  </rv>
  <rv s="6">
    <fb>1.0992999999999999</fb>
    <v>11</v>
  </rv>
  <rv s="6">
    <fb>2.8389999999999999E-3</fb>
    <v>11</v>
  </rv>
  <rv s="6">
    <fb>0.22289999999999999</fb>
    <v>11</v>
  </rv>
  <rv s="6">
    <fb>1.0841000000000001</fb>
    <v>11</v>
  </rv>
  <rv s="6">
    <fb>2.843E-3</fb>
    <v>11</v>
  </rv>
  <rv s="6">
    <fb>0.21940000000000001</fb>
    <v>11</v>
  </rv>
  <rv s="6">
    <fb>1.0569999999999999</fb>
    <v>11</v>
  </rv>
  <rv s="6">
    <fb>2.7109999999999999E-3</fb>
    <v>11</v>
  </rv>
  <rv s="6">
    <fb>0.21249999999999999</fb>
    <v>11</v>
  </rv>
  <rv s="6">
    <fb>2.7620000000000001E-3</fb>
    <v>11</v>
  </rv>
  <rv s="6">
    <fb>0.21290000000000001</fb>
    <v>11</v>
  </rv>
  <rv s="6">
    <fb>1.0886</fb>
    <v>11</v>
  </rv>
  <rv s="6">
    <fb>2.862E-3</fb>
    <v>11</v>
  </rv>
  <rv s="6">
    <fb>1.1035999999999999</fb>
    <v>11</v>
  </rv>
  <rv s="6">
    <fb>2.8770000000000002E-3</fb>
    <v>11</v>
  </rv>
  <rv s="6">
    <fb>0.2218</fb>
    <v>11</v>
  </rv>
  <rv s="6">
    <fb>1.0815999999999999</fb>
    <v>11</v>
  </rv>
  <rv s="6">
    <fb>2.8180000000000002E-3</fb>
    <v>11</v>
  </rv>
  <rv s="6">
    <fb>0.21729999999999999</fb>
    <v>11</v>
  </rv>
  <rv s="6">
    <fb>1.0803</fb>
    <v>11</v>
  </rv>
  <rv s="6">
    <fb>2.751E-3</fb>
    <v>11</v>
  </rv>
  <rv s="6">
    <fb>1.0792999999999999</fb>
    <v>11</v>
  </rv>
  <rv s="6">
    <fb>2.7369999999999998E-3</fb>
    <v>11</v>
  </rv>
  <rv s="6">
    <fb>0.21709999999999999</fb>
    <v>11</v>
  </rv>
  <rv s="6">
    <fb>1.0665</fb>
    <v>11</v>
  </rv>
  <rv s="6">
    <fb>2.7239999999999999E-3</fb>
    <v>11</v>
  </rv>
  <rv s="6">
    <fb>0.2142</fb>
    <v>11</v>
  </rv>
  <rv s="6">
    <fb>2.784E-3</fb>
    <v>11</v>
  </rv>
  <rv s="6">
    <fb>0.21779999999999999</fb>
    <v>11</v>
  </rv>
  <rv s="6">
    <fb>1.0712999999999999</fb>
    <v>11</v>
  </rv>
  <rv s="6">
    <fb>2.7100000000000002E-3</fb>
    <v>11</v>
  </rv>
  <rv s="6">
    <fb>0.21529999999999999</fb>
    <v>11</v>
  </rv>
  <rv s="6">
    <fb>1.0825</fb>
    <v>11</v>
  </rv>
  <rv s="6">
    <fb>2.7439999999999999E-3</fb>
    <v>11</v>
  </rv>
  <rv s="6">
    <fb>0.21740000000000001</fb>
    <v>11</v>
  </rv>
  <rv s="6">
    <fb>1.1047</fb>
    <v>11</v>
  </rv>
  <rv s="6">
    <fb>2.81E-3</fb>
    <v>11</v>
  </rv>
  <rv s="6">
    <fb>0.22189999999999999</fb>
    <v>11</v>
  </rv>
  <rv s="6">
    <fb>1.1133999999999999</fb>
    <v>11</v>
  </rv>
  <rv s="6">
    <fb>2.8019999999999998E-3</fb>
    <v>11</v>
  </rv>
  <rv s="6">
    <fb>0.22370000000000001</fb>
    <v>11</v>
  </rv>
  <rv s="6">
    <fb>1.0883</fb>
    <v>11</v>
  </rv>
  <rv s="6">
    <fb>2.6649999999999998E-3</fb>
    <v>11</v>
  </rv>
  <rv s="6">
    <fb>0.21870000000000001</fb>
    <v>11</v>
  </rv>
  <rv s="6">
    <fb>2.5609999999999999E-3</fb>
    <v>11</v>
  </rv>
  <rv s="6">
    <fb>0.21240000000000001</fb>
    <v>11</v>
  </rv>
  <rv s="6">
    <fb>1.0353000000000001</fb>
    <v>11</v>
  </rv>
  <rv s="6">
    <fb>2.5149999999999999E-3</fb>
    <v>11</v>
  </rv>
  <rv s="6">
    <fb>0.20799999999999999</fb>
    <v>11</v>
  </rv>
  <rv s="6">
    <fb>1.0362</fb>
    <v>11</v>
  </rv>
  <rv s="6">
    <fb>2.5400000000000002E-3</fb>
    <v>11</v>
  </rv>
  <rv s="6">
    <fb>0.20810000000000001</fb>
    <v>11</v>
  </rv>
  <rv s="6">
    <fb>1.0375000000000001</fb>
    <v>11</v>
  </rv>
  <rv s="6">
    <fb>2.5699999999999998E-3</fb>
    <v>11</v>
  </rv>
  <rv s="6">
    <fb>0.20830000000000001</fb>
    <v>11</v>
  </rv>
  <rv s="6">
    <fb>1.0817000000000001</fb>
    <v>11</v>
  </rv>
  <rv s="6">
    <fb>2.6830000000000001E-3</fb>
    <v>11</v>
  </rv>
  <rv s="6">
    <fb>1.1327</fb>
    <v>11</v>
  </rv>
  <rv s="6">
    <fb>2.7980000000000001E-3</fb>
    <v>11</v>
  </rv>
  <rv s="6">
    <fb>0.22739999999999999</fb>
    <v>11</v>
  </rv>
  <rv s="6">
    <fb>1.1347</fb>
    <v>11</v>
  </rv>
  <rv s="6">
    <fb>2.807E-3</fb>
    <v>11</v>
  </rv>
  <rv s="6">
    <fb>0.22409999999999999</fb>
    <v>11</v>
  </rv>
  <rv s="6">
    <fb>1.1786000000000001</fb>
    <v>11</v>
  </rv>
  <rv s="6">
    <fb>2.9480000000000001E-3</fb>
    <v>11</v>
  </rv>
  <rv s="6">
    <fb>1.1415</fb>
    <v>11</v>
  </rv>
  <rv s="6">
    <fb>2.8530000000000001E-3</fb>
    <v>11</v>
  </rv>
  <rv s="6">
    <fb>0.2248</fb>
    <v>11</v>
  </rv>
  <rv s="6">
    <fb>1.1684000000000001</fb>
    <v>11</v>
  </rv>
  <rv s="6">
    <fb>2.944E-3</fb>
    <v>11</v>
  </rv>
  <rv s="6">
    <fb>1.1733</fb>
    <v>11</v>
  </rv>
  <rv s="6">
    <fb>0.23069999999999999</fb>
    <v>11</v>
  </rv>
  <rv s="6">
    <fb>1.1534</fb>
    <v>11</v>
  </rv>
  <rv s="6">
    <fb>2.97E-3</fb>
    <v>11</v>
  </rv>
  <rv s="6">
    <fb>0.22670000000000001</fb>
    <v>11</v>
  </rv>
  <rv s="6">
    <fb>1.1595</fb>
    <v>11</v>
  </rv>
  <rv s="6">
    <fb>3.0379999999999999E-3</fb>
    <v>11</v>
  </rv>
  <rv s="6">
    <fb>0.2276</fb>
    <v>11</v>
  </rv>
  <rv s="6">
    <fb>1.1745000000000001</fb>
    <v>11</v>
  </rv>
  <rv s="6">
    <fb>3.0530000000000002E-3</fb>
    <v>11</v>
  </rv>
  <rv s="6">
    <fb>0.2303</fb>
    <v>11</v>
  </rv>
  <rv s="6">
    <fb>1.1848000000000001</fb>
    <v>11</v>
  </rv>
  <rv s="6">
    <fb>3.107E-3</fb>
    <v>11</v>
  </rv>
  <rv s="6">
    <fb>0.23250000000000001</fb>
    <v>11</v>
  </rv>
  <rv s="6">
    <fb>1.1813</fb>
    <v>11</v>
  </rv>
  <rv s="6">
    <fb>3.1329999999999999E-3</fb>
    <v>11</v>
  </rv>
  <rv s="6">
    <fb>0.23169999999999999</fb>
    <v>11</v>
  </rv>
  <rv s="6">
    <fb>1.1552</fb>
    <v>11</v>
  </rv>
  <rv s="6">
    <fb>0.22639999999999999</fb>
    <v>11</v>
  </rv>
  <rv s="6">
    <fb>1.173</fb>
    <v>11</v>
  </rv>
  <rv s="6">
    <fb>3.2169999999999998E-3</fb>
    <v>11</v>
  </rv>
  <rv s="6">
    <fb>0.22559999999999999</fb>
    <v>11</v>
  </rv>
  <rv s="6">
    <fb>1.1658999999999999</fb>
    <v>11</v>
  </rv>
  <rv s="6">
    <fb>3.2929999999999999E-3</fb>
    <v>11</v>
  </rv>
  <rv s="6">
    <fb>1.1420999999999999</fb>
    <v>11</v>
  </rv>
  <rv s="6">
    <fb>0.2177</fb>
    <v>11</v>
  </rv>
  <rv s="6">
    <fb>1.1527000000000001</fb>
    <v>11</v>
  </rv>
  <rv s="6">
    <fb>3.1570000000000001E-3</fb>
    <v>11</v>
  </rv>
  <rv s="6">
    <fb>0.21970000000000001</fb>
    <v>11</v>
  </rv>
  <rv s="6">
    <fb>1.1616</fb>
    <v>11</v>
  </rv>
  <rv s="6">
    <fb>3.179E-3</fb>
    <v>11</v>
  </rv>
  <rv s="6">
    <fb>1.1328</fb>
    <v>11</v>
  </rv>
  <rv s="6">
    <fb>3.0890000000000002E-3</fb>
    <v>11</v>
  </rv>
  <rv s="6">
    <fb>0.21479999999999999</fb>
    <v>11</v>
  </rv>
  <rv s="6">
    <fb>1.1153</fb>
    <v>11</v>
  </rv>
  <rv s="6">
    <fb>3.0569999999999998E-3</fb>
    <v>11</v>
  </rv>
  <rv s="6">
    <fb>0.20899999999999999</fb>
    <v>11</v>
  </rv>
  <rv s="7">
    <v>2</v>
    <v>15</v>
  </rv>
  <rv s="6">
    <fb>84.47</fb>
    <v>11</v>
  </rv>
  <rv s="6">
    <fb>30.903199999999998</fb>
    <v>11</v>
  </rv>
  <rv s="6">
    <fb>81.510000000000005</fb>
    <v>11</v>
  </rv>
  <rv s="6">
    <fb>112.86</fb>
    <v>11</v>
  </rv>
  <rv s="6">
    <fb>26.182099999999998</fb>
    <v>11</v>
  </rv>
  <rv s="6">
    <fb>26.891999999999999</fb>
    <v>11</v>
  </rv>
  <rv s="6">
    <fb>68.069999999999993</fb>
    <v>11</v>
  </rv>
  <rv s="6">
    <fb>59.58</fb>
    <v>11</v>
  </rv>
  <rv s="6">
    <fb>81.22</fb>
    <v>11</v>
  </rv>
  <rv s="6">
    <fb>25.2608</fb>
    <v>11</v>
  </rv>
  <rv s="6">
    <fb>55.7</fb>
    <v>11</v>
  </rv>
  <rv s="6">
    <fb>97</fb>
    <v>11</v>
  </rv>
  <rv s="6">
    <fb>27.541399999999999</fb>
    <v>11</v>
  </rv>
  <rv s="6">
    <fb>83.98</fb>
    <v>11</v>
  </rv>
  <rv s="6">
    <fb>56.46</fb>
    <v>11</v>
  </rv>
  <rv s="6">
    <fb>88.57</fb>
    <v>11</v>
  </rv>
  <rv s="6">
    <fb>72.27</fb>
    <v>11</v>
  </rv>
  <rv s="6">
    <fb>155.33000000000001</fb>
    <v>11</v>
  </rv>
  <rv s="6">
    <fb>104.67</fb>
    <v>11</v>
  </rv>
  <rv s="6">
    <fb>119.75</fb>
    <v>11</v>
  </rv>
  <rv s="6">
    <fb>87.47</fb>
    <v>11</v>
  </rv>
  <rv s="6">
    <fb>87.09</fb>
    <v>11</v>
  </rv>
  <rv s="6">
    <fb>59.46</fb>
    <v>11</v>
  </rv>
  <rv s="6">
    <fb>84.94</fb>
    <v>11</v>
  </rv>
  <rv s="6">
    <fb>31.737400000000001</fb>
    <v>11</v>
  </rv>
  <rv s="6">
    <fb>82.77</fb>
    <v>11</v>
  </rv>
  <rv s="6">
    <fb>64.930000000000007</fb>
    <v>11</v>
  </rv>
  <rv s="6">
    <fb>33.340000000000003</fb>
    <v>11</v>
  </rv>
  <rv s="6">
    <fb>155</fb>
    <v>11</v>
  </rv>
  <rv s="6">
    <fb>71.34</fb>
    <v>11</v>
  </rv>
  <rv s="6">
    <fb>57.16</fb>
    <v>11</v>
  </rv>
  <rv s="6">
    <fb>37.482500000000002</fb>
    <v>11</v>
  </rv>
  <rv s="6">
    <fb>93.94</fb>
    <v>11</v>
  </rv>
  <rv s="6">
    <fb>153.68</fb>
    <v>11</v>
  </rv>
  <rv s="6">
    <fb>39.447499999999998</fb>
    <v>11</v>
  </rv>
  <rv s="6">
    <fb>108.06</fb>
    <v>11</v>
  </rv>
  <rv s="6">
    <fb>118.6</fb>
    <v>11</v>
  </rv>
  <rv s="6">
    <fb>75.55</fb>
    <v>11</v>
  </rv>
  <rv s="6">
    <fb>43.99</fb>
    <v>11</v>
  </rv>
  <rv s="6">
    <fb>145.49</fb>
    <v>11</v>
  </rv>
  <rv s="6">
    <fb>80.7</fb>
    <v>11</v>
  </rv>
  <rv s="6">
    <fb>24.701899999999998</fb>
    <v>11</v>
  </rv>
  <rv s="6">
    <fb>146.38</fb>
    <v>11</v>
  </rv>
  <rv s="6">
    <fb>114.62</fb>
    <v>11</v>
  </rv>
  <rv s="6">
    <fb>46.23</fb>
    <v>11</v>
  </rv>
  <rv s="6">
    <fb>111</fb>
    <v>11</v>
  </rv>
  <rv s="6">
    <fb>48.73</fb>
    <v>11</v>
  </rv>
  <rv s="6">
    <fb>97.07</fb>
    <v>11</v>
  </rv>
  <rv s="6">
    <fb>43.197499999999998</fb>
    <v>11</v>
  </rv>
  <rv s="6">
    <fb>87.78</fb>
    <v>11</v>
  </rv>
  <rv s="6">
    <fb>157.83000000000001</fb>
    <v>11</v>
  </rv>
  <rv s="6">
    <fb>89.13</fb>
    <v>11</v>
  </rv>
  <rv s="6">
    <fb>70</fb>
    <v>11</v>
  </rv>
  <rv s="6">
    <fb>39.548499999999997</fb>
    <v>11</v>
  </rv>
  <rv s="6">
    <fb>135.15</fb>
    <v>11</v>
  </rv>
  <rv s="6">
    <fb>214.08</fb>
    <v>11</v>
  </rv>
  <rv s="6">
    <fb>122.77</fb>
    <v>11</v>
  </rv>
  <rv s="6">
    <fb>139.69</fb>
    <v>11</v>
  </rv>
  <rv s="6">
    <fb>127.79</fb>
    <v>11</v>
  </rv>
  <rv s="6">
    <fb>135.32</fb>
    <v>11</v>
  </rv>
  <rv s="6">
    <fb>159.1</fb>
    <v>11</v>
  </rv>
  <rv s="6">
    <fb>134.22</fb>
    <v>11</v>
  </rv>
  <rv s="6">
    <fb>148.49</fb>
    <v>11</v>
  </rv>
  <rv s="6">
    <fb>177.84</fb>
    <v>11</v>
  </rv>
  <rv s="6">
    <fb>81.78</fb>
    <v>11</v>
  </rv>
  <rv s="6">
    <fb>182.92</fb>
    <v>11</v>
  </rv>
  <rv s="6">
    <fb>111.88</fb>
    <v>11</v>
  </rv>
  <rv s="6">
    <fb>42.22</fb>
    <v>11</v>
  </rv>
  <rv s="6">
    <fb>90.22</fb>
    <v>11</v>
  </rv>
  <rv s="6">
    <fb>132.15</fb>
    <v>11</v>
  </rv>
  <rv s="6">
    <fb>142.38</fb>
    <v>11</v>
  </rv>
  <rv s="6">
    <fb>60.89</fb>
    <v>11</v>
  </rv>
  <rv s="6">
    <fb>31.16</fb>
    <v>11</v>
  </rv>
  <rv s="6">
    <fb>122.49</fb>
    <v>11</v>
  </rv>
  <rv s="6">
    <fb>105.01</fb>
    <v>11</v>
  </rv>
  <rv s="6">
    <fb>60.87</fb>
    <v>11</v>
  </rv>
  <rv s="6">
    <fb>96.53</fb>
    <v>11</v>
  </rv>
  <rv s="6">
    <fb>320.02</fb>
    <v>11</v>
  </rv>
  <rv s="6">
    <fb>74.069999999999993</fb>
    <v>11</v>
  </rv>
  <rv s="6">
    <fb>149.36000000000001</fb>
    <v>11</v>
  </rv>
  <rv s="6">
    <fb>150.63999999999999</fb>
    <v>11</v>
  </rv>
  <rv s="6">
    <fb>214.76</fb>
    <v>11</v>
  </rv>
  <rv s="6">
    <fb>31.87</fb>
    <v>11</v>
  </rv>
  <rv s="6">
    <fb>56.04</fb>
    <v>11</v>
  </rv>
  <rv s="6">
    <fb>120.27</fb>
    <v>11</v>
  </rv>
  <rv s="6">
    <fb>169.97</fb>
    <v>11</v>
  </rv>
  <rv s="6">
    <fb>129.35</fb>
    <v>11</v>
  </rv>
  <rv s="6">
    <fb>157.93</fb>
    <v>11</v>
  </rv>
  <rv s="6">
    <fb>167.38</fb>
    <v>11</v>
  </rv>
  <rv s="6">
    <fb>64.44</fb>
    <v>11</v>
  </rv>
  <rv s="6">
    <fb>294.31</fb>
    <v>11</v>
  </rv>
  <rv s="6">
    <fb>244.97</fb>
    <v>11</v>
  </rv>
  <rv s="6">
    <fb>280.74</fb>
    <v>11</v>
  </rv>
  <rv s="6">
    <fb>129.58000000000001</fb>
    <v>11</v>
  </rv>
  <rv s="6">
    <fb>280.42</fb>
    <v>11</v>
  </rv>
  <rv s="6">
    <fb>178.19</fb>
    <v>11</v>
  </rv>
  <rv s="6">
    <fb>83.73</fb>
    <v>11</v>
  </rv>
  <rv s="6">
    <fb>100.34</fb>
    <v>11</v>
  </rv>
  <rv s="6">
    <fb>63.43</fb>
    <v>11</v>
  </rv>
  <rv s="6">
    <fb>101.42</fb>
    <v>11</v>
  </rv>
  <rv s="6">
    <fb>67.22</fb>
    <v>11</v>
  </rv>
  <rv s="6">
    <fb>253.7</fb>
    <v>11</v>
  </rv>
  <rv s="6">
    <fb>128.75</fb>
    <v>11</v>
  </rv>
  <rv s="6">
    <fb>290.58</fb>
    <v>11</v>
  </rv>
  <rv s="6">
    <fb>15.95</fb>
    <v>11</v>
  </rv>
  <rv s="6">
    <fb>93.01</fb>
    <v>11</v>
  </rv>
  <rv s="6">
    <fb>287.02</fb>
    <v>11</v>
  </rv>
  <rv s="6">
    <fb>145.61000000000001</fb>
    <v>11</v>
  </rv>
  <rv s="6">
    <fb>54.07</fb>
    <v>11</v>
  </rv>
  <rv s="6">
    <fb>23</fb>
    <v>11</v>
  </rv>
  <rv s="6">
    <fb>96.92</fb>
    <v>11</v>
  </rv>
  <rv s="6">
    <fb>284.64999999999998</fb>
    <v>11</v>
  </rv>
  <rv s="6">
    <fb>191.73</fb>
    <v>11</v>
  </rv>
  <rv s="6">
    <fb>62.88</fb>
    <v>11</v>
  </rv>
  <rv s="6">
    <fb>28.27</fb>
    <v>11</v>
  </rv>
  <rv s="6">
    <fb>76.680000000000007</fb>
    <v>11</v>
  </rv>
  <rv s="6">
    <fb>27.66</fb>
    <v>11</v>
  </rv>
  <rv s="6">
    <fb>176.02</fb>
    <v>11</v>
  </rv>
  <rv s="6">
    <fb>19.25</fb>
    <v>11</v>
  </rv>
  <rv s="6">
    <fb>196.37</fb>
    <v>11</v>
  </rv>
  <rv s="6">
    <fb>28.51</fb>
    <v>11</v>
  </rv>
  <rv s="6">
    <fb>163.33000000000001</fb>
    <v>11</v>
  </rv>
  <rv s="6">
    <fb>28.86</fb>
    <v>11</v>
  </rv>
  <rv s="6">
    <fb>176.03</fb>
    <v>11</v>
  </rv>
  <rv s="6">
    <fb>181.22</fb>
    <v>11</v>
  </rv>
  <rv s="6">
    <fb>70.849999999999994</fb>
    <v>11</v>
  </rv>
  <rv s="6">
    <fb>414.16</fb>
    <v>11</v>
  </rv>
  <rv s="6">
    <fb>396.89</fb>
    <v>11</v>
  </rv>
  <rv s="6">
    <fb>66.31</fb>
    <v>11</v>
  </rv>
  <rv s="6">
    <fb>452.94</fb>
    <v>11</v>
  </rv>
  <rv s="6">
    <fb>161.03</fb>
    <v>11</v>
  </rv>
  <rv s="6">
    <fb>505.82</fb>
    <v>11</v>
  </rv>
  <rv s="6">
    <fb>170.59</fb>
    <v>11</v>
  </rv>
  <rv s="6">
    <fb>68.73</fb>
    <v>11</v>
  </rv>
  <rv s="6">
    <fb>101.7</fb>
    <v>11</v>
  </rv>
  <rv s="6">
    <fb>24.61</fb>
    <v>11</v>
  </rv>
  <rv s="6">
    <fb>25.39</fb>
    <v>11</v>
  </rv>
  <rv s="6">
    <fb>483.62</fb>
    <v>11</v>
  </rv>
  <rv s="6">
    <fb>129.13</fb>
    <v>11</v>
  </rv>
  <rv s="6">
    <fb>149.26</fb>
    <v>11</v>
  </rv>
  <rv s="6">
    <fb>156.12</fb>
    <v>11</v>
  </rv>
  <rv s="6">
    <fb>349.4</fb>
    <v>11</v>
  </rv>
  <rv s="6">
    <fb>80.03</fb>
    <v>11</v>
  </rv>
  <rv s="6">
    <fb>76.78</fb>
    <v>11</v>
  </rv>
  <rv s="6">
    <fb>32.979199999999999</fb>
    <v>11</v>
  </rv>
  <rv s="6">
    <fb>86.88</fb>
    <v>11</v>
  </rv>
  <rv s="6">
    <fb>106.98</fb>
    <v>11</v>
  </rv>
  <rv s="6">
    <fb>77.569999999999993</fb>
    <v>11</v>
  </rv>
  <rv s="6">
    <fb>32.163899999999998</fb>
    <v>11</v>
  </rv>
  <rv s="6">
    <fb>85.32</fb>
    <v>11</v>
  </rv>
  <rv s="6">
    <fb>111.42</fb>
    <v>11</v>
  </rv>
  <rv s="6">
    <fb>75.73</fb>
    <v>11</v>
  </rv>
  <rv s="6">
    <fb>26.0839</fb>
    <v>11</v>
  </rv>
  <rv s="6">
    <fb>32.941299999999998</fb>
    <v>11</v>
  </rv>
  <rv s="6">
    <fb>84.82</fb>
    <v>11</v>
  </rv>
  <rv s="6">
    <fb>111.13</fb>
    <v>11</v>
  </rv>
  <rv s="6">
    <fb>70.62</fb>
    <v>11</v>
  </rv>
  <rv s="6">
    <fb>26.824000000000002</fb>
    <v>11</v>
  </rv>
  <rv s="6">
    <fb>31.784800000000001</fb>
    <v>11</v>
  </rv>
  <rv s="6">
    <fb>78.63</fb>
    <v>11</v>
  </rv>
  <rv s="6">
    <fb>117.03</fb>
    <v>11</v>
  </rv>
  <rv s="6">
    <fb>74.22</fb>
    <v>11</v>
  </rv>
  <rv s="6">
    <fb>26.234999999999999</fb>
    <v>11</v>
  </rv>
  <rv s="6">
    <fb>34.183100000000003</fb>
    <v>11</v>
  </rv>
  <rv s="6">
    <fb>76.44</fb>
    <v>11</v>
  </rv>
  <rv s="6">
    <fb>116.46</fb>
    <v>11</v>
  </rv>
  <rv s="6">
    <fb>70.91</fb>
    <v>11</v>
  </rv>
  <rv s="6">
    <fb>25.071999999999999</fb>
    <v>11</v>
  </rv>
  <rv s="6">
    <fb>30.542899999999999</fb>
    <v>11</v>
  </rv>
  <rv s="6">
    <fb>64.099999999999994</fb>
    <v>11</v>
  </rv>
  <rv s="6">
    <fb>54.41</fb>
    <v>11</v>
  </rv>
  <rv s="6">
    <fb>65.36</fb>
    <v>11</v>
  </rv>
  <rv s="6">
    <fb>115.49</fb>
    <v>11</v>
  </rv>
  <rv s="6">
    <fb>71.94</fb>
    <v>11</v>
  </rv>
  <rv s="6">
    <fb>24.6038</fb>
    <v>11</v>
  </rv>
  <rv s="6">
    <fb>29.775099999999998</fb>
    <v>11</v>
  </rv>
  <rv s="6">
    <fb>60.97</fb>
    <v>11</v>
  </rv>
  <rv s="6">
    <fb>59.55</fb>
    <v>11</v>
  </rv>
  <rv s="6">
    <fb>72.989999999999995</fb>
    <v>11</v>
  </rv>
  <rv s="6">
    <fb>82.74</fb>
    <v>11</v>
  </rv>
  <rv s="6">
    <fb>123.64</fb>
    <v>11</v>
  </rv>
  <rv s="6">
    <fb>71.47</fb>
    <v>11</v>
  </rv>
  <rv s="6">
    <fb>25.306100000000001</fb>
    <v>11</v>
  </rv>
  <rv s="6">
    <fb>32.059699999999999</fb>
    <v>11</v>
  </rv>
  <rv s="6">
    <fb>64.25</fb>
    <v>11</v>
  </rv>
  <rv s="6">
    <fb>58.15</fb>
    <v>11</v>
  </rv>
  <rv s="6">
    <fb>72.650000000000006</fb>
    <v>11</v>
  </rv>
  <rv s="6">
    <fb>81.66</fb>
    <v>11</v>
  </rv>
  <rv s="6">
    <fb>133.88</fb>
    <v>11</v>
  </rv>
  <rv s="6">
    <fb>67.760000000000005</fb>
    <v>11</v>
  </rv>
  <rv s="6">
    <fb>25.4269</fb>
    <v>11</v>
  </rv>
  <rv s="6">
    <fb>31.064299999999999</fb>
    <v>11</v>
  </rv>
  <rv s="6">
    <fb>66.680000000000007</fb>
    <v>11</v>
  </rv>
  <rv s="6">
    <fb>59.24</fb>
    <v>11</v>
  </rv>
  <rv s="6">
    <fb>67.959999999999994</fb>
    <v>11</v>
  </rv>
  <rv s="6">
    <fb>55.48</fb>
    <v>11</v>
  </rv>
  <rv s="6">
    <fb>77.95</fb>
    <v>11</v>
  </rv>
  <rv s="6">
    <fb>132.25</fb>
    <v>11</v>
  </rv>
  <rv s="6">
    <fb>71.39</fb>
    <v>11</v>
  </rv>
  <rv s="6">
    <fb>25.985700000000001</fb>
    <v>11</v>
  </rv>
  <rv s="6">
    <fb>30.599799999999998</fb>
    <v>11</v>
  </rv>
  <rv s="6">
    <fb>66.03</fb>
    <v>11</v>
  </rv>
  <rv s="6">
    <fb>104.44</fb>
    <v>11</v>
  </rv>
  <rv s="6">
    <fb>54.9</fb>
    <v>11</v>
  </rv>
  <rv s="6">
    <fb>62.24</fb>
    <v>11</v>
  </rv>
  <rv s="6">
    <fb>55.09</fb>
    <v>11</v>
  </rv>
  <rv s="6">
    <fb>77.849999999999994</fb>
    <v>11</v>
  </rv>
  <rv s="6">
    <fb>125.76</fb>
    <v>11</v>
  </rv>
  <rv s="6">
    <fb>75.3</fb>
    <v>11</v>
  </rv>
  <rv s="6">
    <fb>27.2318</fb>
    <v>11</v>
  </rv>
  <rv s="6">
    <fb>28.902999999999999</fb>
    <v>11</v>
  </rv>
  <rv s="6">
    <fb>59.5</fb>
    <v>11</v>
  </rv>
  <rv s="6">
    <fb>105.21</fb>
    <v>11</v>
  </rv>
  <rv s="6">
    <fb>54.61</fb>
    <v>11</v>
  </rv>
  <rv s="6">
    <fb>67.7</fb>
    <v>11</v>
  </rv>
  <rv s="6">
    <fb>50.88</fb>
    <v>11</v>
  </rv>
  <rv s="6">
    <fb>80.150000000000006</fb>
    <v>11</v>
  </rv>
  <rv s="6">
    <fb>124.12</fb>
    <v>11</v>
  </rv>
  <rv s="6">
    <fb>74.28</fb>
    <v>11</v>
  </rv>
  <rv s="6">
    <fb>27.9039</fb>
    <v>11</v>
  </rv>
  <rv s="6">
    <fb>28.125699999999998</fb>
    <v>11</v>
  </rv>
  <rv s="6">
    <fb>56.3</fb>
    <v>11</v>
  </rv>
  <rv s="6">
    <fb>108.2</fb>
    <v>11</v>
  </rv>
  <rv s="6">
    <fb>57.12</fb>
    <v>11</v>
  </rv>
  <rv s="6">
    <fb>76.540000000000006</fb>
    <v>11</v>
  </rv>
  <rv s="6">
    <fb>55.23</fb>
    <v>11</v>
  </rv>
  <rv s="6">
    <fb>83.59</fb>
    <v>11</v>
  </rv>
  <rv s="6">
    <fb>133.43</fb>
    <v>11</v>
  </rv>
  <rv s="6">
    <fb>80.680000000000007</fb>
    <v>11</v>
  </rv>
  <rv s="6">
    <fb>29.580400000000001</fb>
    <v>11</v>
  </rv>
  <rv s="6">
    <fb>28.097200000000001</fb>
    <v>11</v>
  </rv>
  <rv s="6">
    <fb>59.22</fb>
    <v>11</v>
  </rv>
  <rv s="6">
    <fb>112.08</fb>
    <v>11</v>
  </rv>
  <rv s="6">
    <fb>61</fb>
    <v>11</v>
  </rv>
  <rv s="6">
    <fb>77.72</fb>
    <v>11</v>
  </rv>
  <rv s="6">
    <fb>49.87</fb>
    <v>11</v>
  </rv>
  <rv s="6">
    <fb>88.4</fb>
    <v>11</v>
  </rv>
  <rv s="6">
    <fb>133.88999999999999</fb>
    <v>11</v>
  </rv>
  <rv s="6">
    <fb>78.78</fb>
    <v>11</v>
  </rv>
  <rv s="6">
    <fb>29.316099999999999</fb>
    <v>11</v>
  </rv>
  <rv s="6">
    <fb>31.007400000000001</fb>
    <v>11</v>
  </rv>
  <rv s="6">
    <fb>63.2</fb>
    <v>11</v>
  </rv>
  <rv s="6">
    <fb>112.69</fb>
    <v>11</v>
  </rv>
  <rv s="6">
    <fb>62.93</fb>
    <v>11</v>
  </rv>
  <rv s="6">
    <fb>72.510000000000005</fb>
    <v>11</v>
  </rv>
  <rv s="6">
    <fb>53</fb>
    <v>11</v>
  </rv>
  <rv s="6">
    <fb>89.02</fb>
    <v>11</v>
  </rv>
  <rv s="6">
    <fb>132.12</fb>
    <v>11</v>
  </rv>
  <rv s="6">
    <fb>78.23</fb>
    <v>11</v>
  </rv>
  <rv s="6">
    <fb>29.565300000000001</fb>
    <v>11</v>
  </rv>
  <rv s="6">
    <fb>32.893900000000002</fb>
    <v>11</v>
  </rv>
  <rv s="6">
    <fb>65.27</fb>
    <v>11</v>
  </rv>
  <rv s="6">
    <fb>121.3</fb>
    <v>11</v>
  </rv>
  <rv s="6">
    <fb>61.91</fb>
    <v>11</v>
  </rv>
  <rv s="6">
    <fb>75.81</fb>
    <v>11</v>
  </rv>
  <rv s="6">
    <fb>51.17</fb>
    <v>11</v>
  </rv>
  <rv s="6">
    <fb>93.74</fb>
    <v>11</v>
  </rv>
  <rv s="6">
    <fb>127.69</fb>
    <v>11</v>
  </rv>
  <rv s="6">
    <fb>85.79</fb>
    <v>11</v>
  </rv>
  <rv s="6">
    <fb>32.631300000000003</fb>
    <v>11</v>
  </rv>
  <rv s="6">
    <fb>33.377299999999998</fb>
    <v>11</v>
  </rv>
  <rv s="6">
    <fb>62.14</fb>
    <v>11</v>
  </rv>
  <rv s="6">
    <fb>125.23</fb>
    <v>11</v>
  </rv>
  <rv s="6">
    <fb>66.23</fb>
    <v>11</v>
  </rv>
  <rv s="6">
    <fb>82.76</fb>
    <v>11</v>
  </rv>
  <rv s="6">
    <fb>56.68</fb>
    <v>11</v>
  </rv>
  <rv s="6">
    <fb>88.95</fb>
    <v>11</v>
  </rv>
  <rv s="6">
    <fb>138.24</fb>
    <v>11</v>
  </rv>
  <rv s="6">
    <fb>160.62</fb>
    <v>11</v>
  </rv>
  <rv s="6">
    <fb>85.59</fb>
    <v>11</v>
  </rv>
  <rv s="6">
    <fb>32.691699999999997</fb>
    <v>11</v>
  </rv>
  <rv s="6">
    <fb>34.969900000000003</fb>
    <v>11</v>
  </rv>
  <rv s="6">
    <fb>63.97</fb>
    <v>11</v>
  </rv>
  <rv s="6">
    <fb>119.34</fb>
    <v>11</v>
  </rv>
  <rv s="6">
    <fb>81.95</fb>
    <v>11</v>
  </rv>
  <rv s="6">
    <fb>57.46</fb>
    <v>11</v>
  </rv>
  <rv s="6">
    <fb>87.14</fb>
    <v>11</v>
  </rv>
  <rv s="6">
    <fb>134.12</fb>
    <v>11</v>
  </rv>
  <rv s="6">
    <fb>158.88</fb>
    <v>11</v>
  </rv>
  <rv s="6">
    <fb>79.66</fb>
    <v>11</v>
  </rv>
  <rv s="6">
    <fb>30.8718</fb>
    <v>11</v>
  </rv>
  <rv s="6">
    <fb>32.988700000000001</fb>
    <v>11</v>
  </rv>
  <rv s="6">
    <fb>67.5</fb>
    <v>11</v>
  </rv>
  <rv s="6">
    <fb>105.88</fb>
    <v>11</v>
  </rv>
  <rv s="6">
    <fb>118.13</fb>
    <v>11</v>
  </rv>
  <rv s="6">
    <fb>63.07</fb>
    <v>11</v>
  </rv>
  <rv s="6">
    <fb>88.77</fb>
    <v>11</v>
  </rv>
  <rv s="6">
    <fb>57.6</fb>
    <v>11</v>
  </rv>
  <rv s="6">
    <fb>87.28</fb>
    <v>11</v>
  </rv>
  <rv s="6">
    <fb>128.68</fb>
    <v>11</v>
  </rv>
  <rv s="6">
    <fb>158.85</fb>
    <v>11</v>
  </rv>
  <rv s="6">
    <fb>80.040000000000006</fb>
    <v>11</v>
  </rv>
  <rv s="6">
    <fb>30.667899999999999</fb>
    <v>11</v>
  </rv>
  <rv s="6">
    <fb>32.107100000000003</fb>
    <v>11</v>
  </rv>
  <rv s="6">
    <fb>66.59</fb>
    <v>11</v>
  </rv>
  <rv s="6">
    <fb>103.36</fb>
    <v>11</v>
  </rv>
  <rv s="6">
    <fb>115.99</fb>
    <v>11</v>
  </rv>
  <rv s="6">
    <fb>55.78</fb>
    <v>11</v>
  </rv>
  <rv s="6">
    <fb>83.46</fb>
    <v>11</v>
  </rv>
  <rv s="6">
    <fb>59.92</fb>
    <v>11</v>
  </rv>
  <rv s="6">
    <fb>83.32</fb>
    <v>11</v>
  </rv>
  <rv s="6">
    <fb>122.01</fb>
    <v>11</v>
  </rv>
  <rv s="6">
    <fb>153.69</fb>
    <v>11</v>
  </rv>
  <rv s="6">
    <fb>80.02</fb>
    <v>11</v>
  </rv>
  <rv s="6">
    <fb>27.783100000000001</fb>
    <v>11</v>
  </rv>
  <rv s="6">
    <fb>30.0595</fb>
    <v>11</v>
  </rv>
  <rv s="6">
    <fb>69.260000000000005</fb>
    <v>11</v>
  </rv>
  <rv s="6">
    <fb>93.13</fb>
    <v>11</v>
  </rv>
  <rv s="6">
    <fb>111.3</fb>
    <v>11</v>
  </rv>
  <rv s="6">
    <fb>60.8</fb>
    <v>11</v>
  </rv>
  <rv s="6">
    <fb>95.56</fb>
    <v>11</v>
  </rv>
  <rv s="6">
    <fb>60.26</fb>
    <v>11</v>
  </rv>
  <rv s="6">
    <fb>87.3</fb>
    <v>11</v>
  </rv>
  <rv s="6">
    <fb>129.4</fb>
    <v>11</v>
  </rv>
  <rv s="6">
    <fb>162.22</fb>
    <v>11</v>
  </rv>
  <rv s="6">
    <fb>73.77</fb>
    <v>11</v>
  </rv>
  <rv s="6">
    <fb>29.172599999999999</fb>
    <v>11</v>
  </rv>
  <rv s="6">
    <fb>30.467099999999999</fb>
    <v>11</v>
  </rv>
  <rv s="6">
    <fb>80.17</fb>
    <v>11</v>
  </rv>
  <rv s="6">
    <fb>95.93</fb>
    <v>11</v>
  </rv>
  <rv s="6">
    <fb>115.21</fb>
    <v>11</v>
  </rv>
  <rv s="6">
    <fb>62.62</fb>
    <v>11</v>
  </rv>
  <rv s="6">
    <fb>92.74</fb>
    <v>11</v>
  </rv>
  <rv s="6">
    <fb>90.26</fb>
    <v>11</v>
  </rv>
  <rv s="6">
    <fb>134.08000000000001</fb>
    <v>11</v>
  </rv>
  <rv s="6">
    <fb>165.99</fb>
    <v>11</v>
  </rv>
  <rv s="6">
    <fb>77.62</fb>
    <v>11</v>
  </rv>
  <rv s="6">
    <fb>32.117800000000003</fb>
    <v>11</v>
  </rv>
  <rv s="6">
    <fb>30.789400000000001</fb>
    <v>11</v>
  </rv>
  <rv s="6">
    <fb>86.29</fb>
    <v>11</v>
  </rv>
  <rv s="6">
    <fb>94.76</fb>
    <v>11</v>
  </rv>
  <rv s="6">
    <fb>113.25</fb>
    <v>11</v>
  </rv>
  <rv s="6">
    <fb>61.11</fb>
    <v>11</v>
  </rv>
  <rv s="6">
    <fb>95.66</fb>
    <v>11</v>
  </rv>
  <rv s="6">
    <fb>64.650000000000006</fb>
    <v>11</v>
  </rv>
  <rv s="6">
    <fb>83.89</fb>
    <v>11</v>
  </rv>
  <rv s="6">
    <fb>137.58000000000001</fb>
    <v>11</v>
  </rv>
  <rv s="6">
    <fb>174.52</fb>
    <v>11</v>
  </rv>
  <rv s="6">
    <fb>78.540000000000006</fb>
    <v>11</v>
  </rv>
  <rv s="6">
    <fb>31.8384</fb>
    <v>11</v>
  </rv>
  <rv s="6">
    <fb>30.078499999999998</fb>
    <v>11</v>
  </rv>
  <rv s="6">
    <fb>84.63</fb>
    <v>11</v>
  </rv>
  <rv s="6">
    <fb>100.01</fb>
    <v>11</v>
  </rv>
  <rv s="6">
    <fb>122.21</fb>
    <v>11</v>
  </rv>
  <rv s="6">
    <fb>61.84</fb>
    <v>11</v>
  </rv>
  <rv s="6">
    <fb>96.66</fb>
    <v>11</v>
  </rv>
  <rv s="6">
    <fb>63.98</fb>
    <v>11</v>
  </rv>
  <rv s="6">
    <fb>81.319999999999993</fb>
    <v>11</v>
  </rv>
  <rv s="6">
    <fb>144.91</fb>
    <v>11</v>
  </rv>
  <rv s="6">
    <fb>179.82</fb>
    <v>11</v>
  </rv>
  <rv s="6">
    <fb>82.55</fb>
    <v>11</v>
  </rv>
  <rv s="6">
    <fb>31.559000000000001</fb>
    <v>11</v>
  </rv>
  <rv s="6">
    <fb>32.344099999999997</fb>
    <v>11</v>
  </rv>
  <rv s="6">
    <fb>90.62</fb>
    <v>11</v>
  </rv>
  <rv s="6">
    <fb>102.43</fb>
    <v>11</v>
  </rv>
  <rv s="6">
    <fb>124.55</fb>
    <v>11</v>
  </rv>
  <rv s="6">
    <fb>65.16</fb>
    <v>11</v>
  </rv>
  <rv s="6">
    <fb>92.76</fb>
    <v>11</v>
  </rv>
  <rv s="6">
    <fb>65.86</fb>
    <v>11</v>
  </rv>
  <rv s="6">
    <fb>82.01</fb>
    <v>11</v>
  </rv>
  <rv s="6">
    <fb>146.83000000000001</fb>
    <v>11</v>
  </rv>
  <rv s="6">
    <fb>174.14</fb>
    <v>11</v>
  </rv>
  <rv s="6">
    <fb>31.377700000000001</fb>
    <v>11</v>
  </rv>
  <rv s="6">
    <fb>32.429400000000001</fb>
    <v>11</v>
  </rv>
  <rv s="6">
    <fb>87.84</fb>
    <v>11</v>
  </rv>
  <rv s="6">
    <fb>105.08</fb>
    <v>11</v>
  </rv>
  <rv s="6">
    <fb>123.47</fb>
    <v>11</v>
  </rv>
  <rv s="6">
    <fb>65.94</fb>
    <v>11</v>
  </rv>
  <rv s="6">
    <fb>102.26</fb>
    <v>11</v>
  </rv>
  <rv s="6">
    <fb>68.459999999999994</fb>
    <v>11</v>
  </rv>
  <rv s="6">
    <fb>81.650000000000006</fb>
    <v>11</v>
  </rv>
  <rv s="6">
    <fb>156.1</fb>
    <v>11</v>
  </rv>
  <rv s="6">
    <fb>160.29</fb>
    <v>11</v>
  </rv>
  <rv s="6">
    <fb>82.5</fb>
    <v>11</v>
  </rv>
  <rv s="6">
    <fb>29.927800000000001</fb>
    <v>11</v>
  </rv>
  <rv s="6">
    <fb>32.154499999999999</fb>
    <v>11</v>
  </rv>
  <rv s="6">
    <fb>87</fb>
    <v>11</v>
  </rv>
  <rv s="6">
    <fb>109.84</fb>
    <v>11</v>
  </rv>
  <rv s="6">
    <fb>128.25</fb>
    <v>11</v>
  </rv>
  <rv s="6">
    <fb>66.02</fb>
    <v>11</v>
  </rv>
  <rv s="6">
    <fb>105.43</fb>
    <v>11</v>
  </rv>
  <rv s="6">
    <fb>69.84</fb>
    <v>11</v>
  </rv>
  <rv s="6">
    <fb>80.5</fb>
    <v>11</v>
  </rv>
  <rv s="6">
    <fb>153.51</fb>
    <v>11</v>
  </rv>
  <rv s="6">
    <fb>152.63</fb>
    <v>11</v>
  </rv>
  <rv s="6">
    <fb>35.36</fb>
    <v>11</v>
  </rv>
  <rv s="6">
    <fb>85.68</fb>
    <v>11</v>
  </rv>
  <rv s="6">
    <fb>29.097100000000001</fb>
    <v>11</v>
  </rv>
  <rv s="6">
    <fb>30.950600000000001</fb>
    <v>11</v>
  </rv>
  <rv s="6">
    <fb>82.15</fb>
    <v>11</v>
  </rv>
  <rv s="6">
    <fb>106.36</fb>
    <v>11</v>
  </rv>
  <rv s="6">
    <fb>132.29</fb>
    <v>11</v>
  </rv>
  <rv s="6">
    <fb>107.46</fb>
    <v>11</v>
  </rv>
  <rv s="6">
    <fb>68.930000000000007</fb>
    <v>11</v>
  </rv>
  <rv s="6">
    <fb>80.73</fb>
    <v>11</v>
  </rv>
  <rv s="6">
    <fb>153.4</fb>
    <v>11</v>
  </rv>
  <rv s="6">
    <fb>153.83000000000001</fb>
    <v>11</v>
  </rv>
  <rv s="6">
    <fb>35.032499999999999</fb>
    <v>11</v>
  </rv>
  <rv s="6">
    <fb>28.492899999999999</fb>
    <v>11</v>
  </rv>
  <rv s="6">
    <fb>31.8416</fb>
    <v>11</v>
  </rv>
  <rv s="6">
    <fb>91.4</fb>
    <v>11</v>
  </rv>
  <rv s="6">
    <fb>109.96</fb>
    <v>11</v>
  </rv>
  <rv s="6">
    <fb>57.06</fb>
    <v>11</v>
  </rv>
  <rv s="6">
    <fb>132.72</fb>
    <v>11</v>
  </rv>
  <rv s="6">
    <fb>69.91</fb>
    <v>11</v>
  </rv>
  <rv s="6">
    <fb>113.95</fb>
    <v>11</v>
  </rv>
  <rv s="6">
    <fb>72.7</fb>
    <v>11</v>
  </rv>
  <rv s="6">
    <fb>149.6</fb>
    <v>11</v>
  </rv>
  <rv s="6">
    <fb>144.66999999999999</fb>
    <v>11</v>
  </rv>
  <rv s="6">
    <fb>36.522500000000001</fb>
    <v>11</v>
  </rv>
  <rv s="6">
    <fb>85.12</fb>
    <v>11</v>
  </rv>
  <rv s="6">
    <fb>29.452000000000002</fb>
    <v>11</v>
  </rv>
  <rv s="6">
    <fb>31.434000000000001</fb>
    <v>11</v>
  </rv>
  <rv s="6">
    <fb>91.8</fb>
    <v>11</v>
  </rv>
  <rv s="6">
    <fb>105.25</fb>
    <v>11</v>
  </rv>
  <rv s="6">
    <fb>57.56</fb>
    <v>11</v>
  </rv>
  <rv s="6">
    <fb>132.37</fb>
    <v>11</v>
  </rv>
  <rv s="6">
    <fb>117.49</fb>
    <v>11</v>
  </rv>
  <rv s="6">
    <fb>74.77</fb>
    <v>11</v>
  </rv>
  <rv s="6">
    <fb>76.33</fb>
    <v>11</v>
  </rv>
  <rv s="6">
    <fb>149.87</fb>
    <v>11</v>
  </rv>
  <rv s="6">
    <fb>143.03</fb>
    <v>11</v>
  </rv>
  <rv s="6">
    <fb>37.627499999999998</fb>
    <v>11</v>
  </rv>
  <rv s="6">
    <fb>28.289000000000001</fb>
    <v>11</v>
  </rv>
  <rv s="6">
    <fb>90.89</fb>
    <v>11</v>
  </rv>
  <rv s="6">
    <fb>104.32</fb>
    <v>11</v>
  </rv>
  <rv s="6">
    <fb>57.19</fb>
    <v>11</v>
  </rv>
  <rv s="6">
    <fb>130.01</fb>
    <v>11</v>
  </rv>
  <rv s="6">
    <fb>88.86</fb>
    <v>11</v>
  </rv>
  <rv s="6">
    <fb>124.71</fb>
    <v>11</v>
  </rv>
  <rv s="6">
    <fb>74.489999999999995</fb>
    <v>11</v>
  </rv>
  <rv s="6">
    <fb>81.98</fb>
    <v>11</v>
  </rv>
  <rv s="6">
    <fb>163.56</fb>
    <v>11</v>
  </rv>
  <rv s="6">
    <fb>145.08000000000001</fb>
    <v>11</v>
  </rv>
  <rv s="6">
    <fb>36.637500000000003</fb>
    <v>11</v>
  </rv>
  <rv s="6">
    <fb>83.92</fb>
    <v>11</v>
  </rv>
  <rv s="6">
    <fb>33.841799999999999</fb>
    <v>11</v>
  </rv>
  <rv s="6">
    <fb>95.51</fb>
    <v>11</v>
  </rv>
  <rv s="6">
    <fb>108.66</fb>
    <v>11</v>
  </rv>
  <rv s="6">
    <fb>53.67</fb>
    <v>11</v>
  </rv>
  <rv s="6">
    <fb>139.41</fb>
    <v>11</v>
  </rv>
  <rv s="6">
    <fb>90.25</fb>
    <v>11</v>
  </rv>
  <rv s="6">
    <fb>135.80000000000001</fb>
    <v>11</v>
  </rv>
  <rv s="6">
    <fb>83.18</fb>
    <v>11</v>
  </rv>
  <rv s="6">
    <fb>83.35</fb>
    <v>11</v>
  </rv>
  <rv s="6">
    <fb>165.78</fb>
    <v>11</v>
  </rv>
  <rv s="6">
    <fb>154.06</fb>
    <v>11</v>
  </rv>
  <rv s="6">
    <fb>38.767499999999998</fb>
    <v>11</v>
  </rv>
  <rv s="6">
    <fb>88.31</fb>
    <v>11</v>
  </rv>
  <rv s="6">
    <fb>25.411799999999999</fb>
    <v>11</v>
  </rv>
  <rv s="6">
    <fb>33.235100000000003</fb>
    <v>11</v>
  </rv>
  <rv s="6">
    <fb>100.61</fb>
    <v>11</v>
  </rv>
  <rv s="6">
    <fb>116.24</fb>
    <v>11</v>
  </rv>
  <rv s="6">
    <fb>55.3</fb>
    <v>11</v>
  </rv>
  <rv s="6">
    <fb>139.33000000000001</fb>
    <v>11</v>
  </rv>
  <rv s="6">
    <fb>141.15</fb>
    <v>11</v>
  </rv>
  <rv s="6">
    <fb>84.17</fb>
    <v>11</v>
  </rv>
  <rv s="6">
    <fb>83.29</fb>
    <v>11</v>
  </rv>
  <rv s="6">
    <fb>153.97</fb>
    <v>11</v>
  </rv>
  <rv s="6">
    <fb>39.51</fb>
    <v>11</v>
  </rv>
  <rv s="6">
    <fb>89.18</fb>
    <v>11</v>
  </rv>
  <rv s="6">
    <fb>27.473400000000002</fb>
    <v>11</v>
  </rv>
  <rv s="6">
    <fb>34.372700000000002</fb>
    <v>11</v>
  </rv>
  <rv s="6">
    <fb>104.52</fb>
    <v>11</v>
  </rv>
  <rv s="6">
    <fb>116.85</fb>
    <v>11</v>
  </rv>
  <rv s="6">
    <fb>57.02</fb>
    <v>11</v>
  </rv>
  <rv s="6">
    <fb>139.72</fb>
    <v>11</v>
  </rv>
  <rv s="6">
    <fb>96.71</fb>
    <v>11</v>
  </rv>
  <rv s="6">
    <fb>157.58000000000001</fb>
    <v>11</v>
  </rv>
  <rv s="6">
    <fb>85.54</fb>
    <v>11</v>
  </rv>
  <rv s="6">
    <fb>83.64</fb>
    <v>11</v>
  </rv>
  <rv s="6">
    <fb>189.53</fb>
    <v>11</v>
  </rv>
  <rv s="6">
    <fb>153.41999999999999</fb>
    <v>11</v>
  </rv>
  <rv s="6">
    <fb>39.047499999999999</fb>
    <v>11</v>
  </rv>
  <rv s="6">
    <fb>84.11</fb>
    <v>11</v>
  </rv>
  <rv s="6">
    <fb>29.3614</fb>
    <v>11</v>
  </rv>
  <rv s="6">
    <fb>34.334699999999998</fb>
    <v>11</v>
  </rv>
  <rv s="6">
    <fb>106.94</fb>
    <v>11</v>
  </rv>
  <rv s="6">
    <fb>116.82</fb>
    <v>11</v>
  </rv>
  <rv s="6">
    <fb>53.19</fb>
    <v>11</v>
  </rv>
  <rv s="6">
    <fb>138.19</fb>
    <v>11</v>
  </rv>
  <rv s="6">
    <fb>112.22</fb>
    <v>11</v>
  </rv>
  <rv s="6">
    <fb>162.78</fb>
    <v>11</v>
  </rv>
  <rv s="6">
    <fb>95.01</fb>
    <v>11</v>
  </rv>
  <rv s="6">
    <fb>200.9</fb>
    <v>11</v>
  </rv>
  <rv s="6">
    <fb>163.69999999999999</fb>
    <v>11</v>
  </rv>
  <rv s="6">
    <fb>39.604999999999997</fb>
    <v>11</v>
  </rv>
  <rv s="6">
    <fb>78.5</fb>
    <v>11</v>
  </rv>
  <rv s="6">
    <fb>28.281500000000001</fb>
    <v>11</v>
  </rv>
  <rv s="6">
    <fb>35.112099999999998</fb>
    <v>11</v>
  </rv>
  <rv s="6">
    <fb>115.67</fb>
    <v>11</v>
  </rv>
  <rv s="6">
    <fb>118.73</fb>
    <v>11</v>
  </rv>
  <rv s="6">
    <fb>49.18</fb>
    <v>11</v>
  </rv>
  <rv s="6">
    <fb>129.88</fb>
    <v>11</v>
  </rv>
  <rv s="6">
    <fb>115.83</fb>
    <v>11</v>
  </rv>
  <rv s="6">
    <fb>154.63</fb>
    <v>11</v>
  </rv>
  <rv s="6">
    <fb>93.77</fb>
    <v>11</v>
  </rv>
  <rv s="6">
    <fb>75.739999999999995</fb>
    <v>11</v>
  </rv>
  <rv s="6">
    <fb>182.27</fb>
    <v>11</v>
  </rv>
  <rv s="6">
    <fb>155.83000000000001</fb>
    <v>11</v>
  </rv>
  <rv s="6">
    <fb>38.037500000000001</fb>
    <v>11</v>
  </rv>
  <rv s="6">
    <fb>75.34</fb>
    <v>11</v>
  </rv>
  <rv s="6">
    <fb>27.413</fb>
    <v>11</v>
  </rv>
  <rv s="6">
    <fb>34.420099999999998</fb>
    <v>11</v>
  </rv>
  <rv s="6">
    <fb>115.5</fb>
    <v>11</v>
  </rv>
  <rv s="6">
    <fb>112.44</fb>
    <v>11</v>
  </rv>
  <rv s="6">
    <fb>51.73</fb>
    <v>11</v>
  </rv>
  <rv s="6">
    <fb>128.15</fb>
    <v>11</v>
  </rv>
  <rv s="6">
    <fb>94.65</fb>
    <v>11</v>
  </rv>
  <rv s="6">
    <fb>147.38</fb>
    <v>11</v>
  </rv>
  <rv s="6">
    <fb>91.27</fb>
    <v>11</v>
  </rv>
  <rv s="6">
    <fb>74.61</fb>
    <v>11</v>
  </rv>
  <rv s="6">
    <fb>178.24</fb>
    <v>11</v>
  </rv>
  <rv s="6">
    <fb>153.43</fb>
    <v>11</v>
  </rv>
  <rv s="6">
    <fb>40.832500000000003</fb>
    <v>11</v>
  </rv>
  <rv s="6">
    <fb>77.47</fb>
    <v>11</v>
  </rv>
  <rv s="6">
    <fb>26.9222</fb>
    <v>11</v>
  </rv>
  <rv s="6">
    <fb>33.642699999999998</fb>
    <v>11</v>
  </rv>
  <rv s="6">
    <fb>109.97</fb>
    <v>11</v>
  </rv>
  <rv s="6">
    <fb>111.6</fb>
    <v>11</v>
  </rv>
  <rv s="6">
    <fb>50.51</fb>
    <v>11</v>
  </rv>
  <rv s="6">
    <fb>43.21</fb>
    <v>11</v>
  </rv>
  <rv s="6">
    <fb>126.49</fb>
    <v>11</v>
  </rv>
  <rv s="6">
    <fb>96.55</fb>
    <v>11</v>
  </rv>
  <rv s="6">
    <fb>144.36000000000001</fb>
    <v>11</v>
  </rv>
  <rv s="6">
    <fb>93.52</fb>
    <v>11</v>
  </rv>
  <rv s="6">
    <fb>77.75</fb>
    <v>11</v>
  </rv>
  <rv s="6">
    <fb>184.8</fb>
    <v>11</v>
  </rv>
  <rv s="6">
    <fb>144.96</fb>
    <v>11</v>
  </rv>
  <rv s="6">
    <fb>40.977499999999999</fb>
    <v>11</v>
  </rv>
  <rv s="6">
    <fb>80.16</fb>
    <v>11</v>
  </rv>
  <rv s="6">
    <fb>24.694400000000002</fb>
    <v>11</v>
  </rv>
  <rv s="6">
    <fb>34.7044</fb>
    <v>11</v>
  </rv>
  <rv s="6">
    <fb>108.78</fb>
    <v>11</v>
  </rv>
  <rv s="6">
    <fb>53.3</fb>
    <v>11</v>
  </rv>
  <rv s="6">
    <fb>43</fb>
    <v>11</v>
  </rv>
  <rv s="6">
    <fb>119.62</fb>
    <v>11</v>
  </rv>
  <rv s="6">
    <fb>98.94</fb>
    <v>11</v>
  </rv>
  <rv s="6">
    <fb>151.91</fb>
    <v>11</v>
  </rv>
  <rv s="6">
    <fb>98.84</fb>
    <v>11</v>
  </rv>
  <rv s="6">
    <fb>81.239999999999995</fb>
    <v>11</v>
  </rv>
  <rv s="6">
    <fb>186.55</fb>
    <v>11</v>
  </rv>
  <rv s="6">
    <fb>141.31</fb>
    <v>11</v>
  </rv>
  <rv s="6">
    <fb>41.452500000000001</fb>
    <v>11</v>
  </rv>
  <rv s="6">
    <fb>77.16</fb>
    <v>11</v>
  </rv>
  <rv s="6">
    <fb>24.407399999999999</fb>
    <v>11</v>
  </rv>
  <rv s="6">
    <fb>34.059800000000003</fb>
    <v>11</v>
  </rv>
  <rv s="6">
    <fb>107.01</fb>
    <v>11</v>
  </rv>
  <rv s="6">
    <fb>100.92</fb>
    <v>11</v>
  </rv>
  <rv s="6">
    <fb>53.79</fb>
    <v>11</v>
  </rv>
  <rv s="6">
    <fb>43.86</fb>
    <v>11</v>
  </rv>
  <rv s="6">
    <fb>121.34</fb>
    <v>11</v>
  </rv>
  <rv s="6">
    <fb>92.65</fb>
    <v>11</v>
  </rv>
  <rv s="6">
    <fb>135.66999999999999</fb>
    <v>11</v>
  </rv>
  <rv s="6">
    <fb>98.61</fb>
    <v>11</v>
  </rv>
  <rv s="6">
    <fb>82.73</fb>
    <v>11</v>
  </rv>
  <rv s="6">
    <fb>195.1</fb>
    <v>11</v>
  </rv>
  <rv s="6">
    <fb>139.69999999999999</fb>
    <v>11</v>
  </rv>
  <rv s="6">
    <fb>41.7575</fb>
    <v>11</v>
  </rv>
  <rv s="6">
    <fb>79.08</fb>
    <v>11</v>
  </rv>
  <rv s="6">
    <fb>24.248799999999999</fb>
    <v>11</v>
  </rv>
  <rv s="6">
    <fb>34.391599999999997</fb>
    <v>11</v>
  </rv>
  <rv s="6">
    <fb>104.2</fb>
    <v>11</v>
  </rv>
  <rv s="6">
    <fb>103.73</fb>
    <v>11</v>
  </rv>
  <rv s="6">
    <fb>55.77</fb>
    <v>11</v>
  </rv>
  <rv s="6">
    <fb>46.63</fb>
    <v>11</v>
  </rv>
  <rv s="6">
    <fb>132.52000000000001</fb>
    <v>11</v>
  </rv>
  <rv s="6">
    <fb>92.23</fb>
    <v>11</v>
  </rv>
  <rv s="6">
    <fb>143.80000000000001</fb>
    <v>11</v>
  </rv>
  <rv s="6">
    <fb>106.08</fb>
    <v>11</v>
  </rv>
  <rv s="6">
    <fb>197.52</fb>
    <v>11</v>
  </rv>
  <rv s="6">
    <fb>144.93</fb>
    <v>11</v>
  </rv>
  <rv s="6">
    <fb>41.884999999999998</fb>
    <v>11</v>
  </rv>
  <rv s="6">
    <fb>81.62</fb>
    <v>11</v>
  </rv>
  <rv s="6">
    <fb>24.1431</fb>
    <v>11</v>
  </rv>
  <rv s="6">
    <fb>37.851599999999998</fb>
    <v>11</v>
  </rv>
  <rv s="6">
    <fb>114.95</fb>
    <v>11</v>
  </rv>
  <rv s="6">
    <fb>110.66</fb>
    <v>11</v>
  </rv>
  <rv s="6">
    <fb>58.57</fb>
    <v>11</v>
  </rv>
  <rv s="6">
    <fb>44.57</fb>
    <v>11</v>
  </rv>
  <rv s="6">
    <fb>134.69</fb>
    <v>11</v>
  </rv>
  <rv s="6">
    <fb>95.98</fb>
    <v>11</v>
  </rv>
  <rv s="6">
    <fb>138.85</fb>
    <v>11</v>
  </rv>
  <rv s="6">
    <fb>112.33</fb>
    <v>11</v>
  </rv>
  <rv s="6">
    <fb>200.77</fb>
    <v>11</v>
  </rv>
  <rv s="6">
    <fb>146.47999999999999</fb>
    <v>11</v>
  </rv>
  <rv s="6">
    <fb>42.524999999999999</fb>
    <v>11</v>
  </rv>
  <rv s="6">
    <fb>24.1204</fb>
    <v>11</v>
  </rv>
  <rv s="6">
    <fb>39.358899999999998</fb>
    <v>11</v>
  </rv>
  <rv s="6">
    <fb>114.58</fb>
    <v>11</v>
  </rv>
  <rv s="6">
    <fb>110.54</fb>
    <v>11</v>
  </rv>
  <rv s="6">
    <fb>56.89</fb>
    <v>11</v>
  </rv>
  <rv s="6">
    <fb>46.19</fb>
    <v>11</v>
  </rv>
  <rv s="6">
    <fb>138.16999999999999</fb>
    <v>11</v>
  </rv>
  <rv s="6">
    <fb>94.58</fb>
    <v>11</v>
  </rv>
  <rv s="6">
    <fb>152.49</fb>
    <v>11</v>
  </rv>
  <rv s="6">
    <fb>114.37</fb>
    <v>11</v>
  </rv>
  <rv s="6">
    <fb>85.02</fb>
    <v>11</v>
  </rv>
  <rv s="6">
    <fb>207.15</fb>
    <v>11</v>
  </rv>
  <rv s="6">
    <fb>151.21</fb>
    <v>11</v>
  </rv>
  <rv s="6">
    <fb>41.9</fb>
    <v>11</v>
  </rv>
  <rv s="6">
    <fb>25.358899999999998</fb>
    <v>11</v>
  </rv>
  <rv s="6">
    <fb>41.776200000000003</fb>
    <v>11</v>
  </rv>
  <rv s="6">
    <fb>112.84</fb>
    <v>11</v>
  </rv>
  <rv s="6">
    <fb>109.13</fb>
    <v>11</v>
  </rv>
  <rv s="6">
    <fb>60.27</fb>
    <v>11</v>
  </rv>
  <rv s="6">
    <fb>47.88</fb>
    <v>11</v>
  </rv>
  <rv s="6">
    <fb>139.99</fb>
    <v>11</v>
  </rv>
  <rv s="6">
    <fb>121.32</fb>
    <v>11</v>
  </rv>
  <rv s="6">
    <fb>106.81</fb>
    <v>11</v>
  </rv>
  <rv s="6">
    <fb>79.680000000000007</fb>
    <v>11</v>
  </rv>
  <rv s="6">
    <fb>175.88</fb>
    <v>11</v>
  </rv>
  <rv s="6">
    <fb>115.43</fb>
    <v>11</v>
  </rv>
  <rv s="6">
    <fb>43.125</fb>
    <v>11</v>
  </rv>
  <rv s="6">
    <fb>82.63</fb>
    <v>11</v>
  </rv>
  <rv s="6">
    <fb>23.168900000000001</fb>
    <v>11</v>
  </rv>
  <rv s="6">
    <fb>40.8187</fb>
    <v>11</v>
  </rv>
  <rv s="6">
    <fb>109.02</fb>
    <v>11</v>
  </rv>
  <rv s="6">
    <fb>105.09</fb>
    <v>11</v>
  </rv>
  <rv s="6">
    <fb>64.09</fb>
    <v>11</v>
  </rv>
  <rv s="6">
    <fb>50.4</fb>
    <v>11</v>
  </rv>
  <rv s="6">
    <fb>146.9</fb>
    <v>11</v>
  </rv>
  <rv s="6">
    <fb>94.27</fb>
    <v>11</v>
  </rv>
  <rv s="6">
    <fb>110.89</fb>
    <v>11</v>
  </rv>
  <rv s="6">
    <fb>79.5</fb>
    <v>11</v>
  </rv>
  <rv s="6">
    <fb>180.32</fb>
    <v>11</v>
  </rv>
  <rv s="6">
    <fb>124.27</fb>
    <v>11</v>
  </rv>
  <rv s="6">
    <fb>45.427500000000002</fb>
    <v>11</v>
  </rv>
  <rv s="6">
    <fb>23.591799999999999</fb>
    <v>11</v>
  </rv>
  <rv s="6">
    <fb>43.823700000000002</fb>
    <v>11</v>
  </rv>
  <rv s="6">
    <fb>111.19</fb>
    <v>11</v>
  </rv>
  <rv s="6">
    <fb>109.33</fb>
    <v>11</v>
  </rv>
  <rv s="6">
    <fb>63.04</fb>
    <v>11</v>
  </rv>
  <rv s="6">
    <fb>47.35</fb>
    <v>11</v>
  </rv>
  <rv s="6">
    <fb>129.05000000000001</fb>
    <v>11</v>
  </rv>
  <rv s="6">
    <fb>92.19</fb>
    <v>11</v>
  </rv>
  <rv s="6">
    <fb>127.07</fb>
    <v>11</v>
  </rv>
  <rv s="6">
    <fb>101.57</fb>
    <v>11</v>
  </rv>
  <rv s="6">
    <fb>68.19</fb>
    <v>11</v>
  </rv>
  <rv s="6">
    <fb>171.82</fb>
    <v>11</v>
  </rv>
  <rv s="6">
    <fb>113.67</fb>
    <v>11</v>
  </rv>
  <rv s="6">
    <fb>43.454999999999998</fb>
    <v>11</v>
  </rv>
  <rv s="6">
    <fb>86.3</fb>
    <v>11</v>
  </rv>
  <rv s="6">
    <fb>21.552800000000001</fb>
    <v>11</v>
  </rv>
  <rv s="6">
    <fb>41.378</fb>
    <v>11</v>
  </rv>
  <rv s="6">
    <fb>97.62</fb>
    <v>11</v>
  </rv>
  <rv s="6">
    <fb>102.23</fb>
    <v>11</v>
  </rv>
  <rv s="6">
    <fb>68.69</fb>
    <v>11</v>
  </rv>
  <rv s="6">
    <fb>48.13</fb>
    <v>11</v>
  </rv>
  <rv s="6">
    <fb>133.08000000000001</fb>
    <v>11</v>
  </rv>
  <rv s="6">
    <fb>80.290000000000006</fb>
    <v>11</v>
  </rv>
  <rv s="6">
    <fb>133.16</fb>
    <v>11</v>
  </rv>
  <rv s="6">
    <fb>104.43</fb>
    <v>11</v>
  </rv>
  <rv s="6">
    <fb>73.28</fb>
    <v>11</v>
  </rv>
  <rv s="6">
    <fb>183.53</fb>
    <v>11</v>
  </rv>
  <rv s="6">
    <fb>134.41999999999999</fb>
    <v>11</v>
  </rv>
  <rv s="6">
    <fb>44.744999999999997</fb>
    <v>11</v>
  </rv>
  <rv s="6">
    <fb>22.700700000000001</fb>
    <v>11</v>
  </rv>
  <rv s="6">
    <fb>40.240499999999997</fb>
    <v>11</v>
  </rv>
  <rv s="6">
    <fb>103.5</fb>
    <v>11</v>
  </rv>
  <rv s="6">
    <fb>105.44</fb>
    <v>11</v>
  </rv>
  <rv s="6">
    <fb>69.16</fb>
    <v>11</v>
  </rv>
  <rv s="6">
    <fb>45.34</fb>
    <v>11</v>
  </rv>
  <rv s="6">
    <fb>136.63999999999999</fb>
    <v>11</v>
  </rv>
  <rv s="6">
    <fb>79.239999999999995</fb>
    <v>11</v>
  </rv>
  <rv s="6">
    <fb>137.34</fb>
    <v>11</v>
  </rv>
  <rv s="6">
    <fb>112.03</fb>
    <v>11</v>
  </rv>
  <rv s="6">
    <fb>79.03</fb>
    <v>11</v>
  </rv>
  <rv s="6">
    <fb>185.14</fb>
    <v>11</v>
  </rv>
  <rv s="6">
    <fb>138.13</fb>
    <v>11</v>
  </rv>
  <rv s="6">
    <fb>46.93</fb>
    <v>11</v>
  </rv>
  <rv s="6">
    <fb>89.66</fb>
    <v>11</v>
  </rv>
  <rv s="6">
    <fb>23.501200000000001</fb>
    <v>11</v>
  </rv>
  <rv s="6">
    <fb>41.093600000000002</fb>
    <v>11</v>
  </rv>
  <rv s="6">
    <fb>104.36</fb>
    <v>11</v>
  </rv>
  <rv s="6">
    <fb>111.97</fb>
    <v>11</v>
  </rv>
  <rv s="6">
    <fb>73.56</fb>
    <v>11</v>
  </rv>
  <rv s="6">
    <fb>160.46</fb>
    <v>11</v>
  </rv>
  <rv s="6">
    <fb>46.86</fb>
    <v>11</v>
  </rv>
  <rv s="6">
    <fb>139.79</fb>
    <v>11</v>
  </rv>
  <rv s="6">
    <fb>80.59</fb>
    <v>11</v>
  </rv>
  <rv s="6">
    <fb>135.49</fb>
    <v>11</v>
  </rv>
  <rv s="6">
    <fb>117.94</fb>
    <v>11</v>
  </rv>
  <rv s="6">
    <fb>80.8</fb>
    <v>11</v>
  </rv>
  <rv s="6">
    <fb>191.89</fb>
    <v>11</v>
  </rv>
  <rv s="6">
    <fb>141.1</fb>
    <v>11</v>
  </rv>
  <rv s="6">
    <fb>48.33</fb>
    <v>11</v>
  </rv>
  <rv s="6">
    <fb>90</fb>
    <v>11</v>
  </rv>
  <rv s="6">
    <fb>23.682400000000001</fb>
    <v>11</v>
  </rv>
  <rv s="6">
    <fb>40.259399999999999</fb>
    <v>11</v>
  </rv>
  <rv s="6">
    <fb>101.23</fb>
    <v>11</v>
  </rv>
  <rv s="6">
    <fb>112.87</fb>
    <v>11</v>
  </rv>
  <rv s="6">
    <fb>70.010000000000005</fb>
    <v>11</v>
  </rv>
  <rv s="6">
    <fb>159.72999999999999</fb>
    <v>11</v>
  </rv>
  <rv s="6">
    <fb>49.06</fb>
    <v>11</v>
  </rv>
  <rv s="6">
    <fb>141.19999999999999</fb>
    <v>11</v>
  </rv>
  <rv s="6">
    <fb>79.39</fb>
    <v>11</v>
  </rv>
  <rv s="6">
    <fb>139.41999999999999</fb>
    <v>11</v>
  </rv>
  <rv s="6">
    <fb>130.6</fb>
    <v>11</v>
  </rv>
  <rv s="6">
    <fb>80.28</fb>
    <v>11</v>
  </rv>
  <rv s="6">
    <fb>203.7</fb>
    <v>11</v>
  </rv>
  <rv s="6">
    <fb>140.27000000000001</fb>
    <v>11</v>
  </rv>
  <rv s="6">
    <fb>48.61</fb>
    <v>11</v>
  </rv>
  <rv s="6">
    <fb>91.12</fb>
    <v>11</v>
  </rv>
  <rv s="6">
    <fb>23.380400000000002</fb>
    <v>11</v>
  </rv>
  <rv s="6">
    <fb>38.496200000000002</fb>
    <v>11</v>
  </rv>
  <rv s="6">
    <fb>116.05</fb>
    <v>11</v>
  </rv>
  <rv s="6">
    <fb>117.5</fb>
    <v>11</v>
  </rv>
  <rv s="6">
    <fb>70.08</fb>
    <v>11</v>
  </rv>
  <rv s="6">
    <fb>148.81</fb>
    <v>11</v>
  </rv>
  <rv s="6">
    <fb>49.13</fb>
    <v>11</v>
  </rv>
  <rv s="6">
    <fb>131.15</fb>
    <v>11</v>
  </rv>
  <rv s="6">
    <fb>76.709999999999994</fb>
    <v>11</v>
  </rv>
  <rv s="6">
    <fb>119.81</fb>
    <v>11</v>
  </rv>
  <rv s="6">
    <fb>123.68</fb>
    <v>11</v>
  </rv>
  <rv s="6">
    <fb>70.77</fb>
    <v>11</v>
  </rv>
  <rv s="6">
    <fb>189.85</fb>
    <v>11</v>
  </rv>
  <rv s="6">
    <fb>126.99</fb>
    <v>11</v>
  </rv>
  <rv s="6">
    <fb>49.552500000000002</fb>
    <v>11</v>
  </rv>
  <rv s="6">
    <fb>85.61</fb>
    <v>11</v>
  </rv>
  <rv s="6">
    <fb>23.093399999999999</fb>
    <v>11</v>
  </rv>
  <rv s="6">
    <fb>105.96</fb>
    <v>11</v>
  </rv>
  <rv s="6">
    <fb>104.65</fb>
    <v>11</v>
  </rv>
  <rv s="6">
    <fb>68.97</fb>
    <v>11</v>
  </rv>
  <rv s="6">
    <fb>153.11000000000001</fb>
    <v>11</v>
  </rv>
  <rv s="6">
    <fb>50.92</fb>
    <v>11</v>
  </rv>
  <rv s="6">
    <fb>139.28</fb>
    <v>11</v>
  </rv>
  <rv s="6">
    <fb>72.72</fb>
    <v>11</v>
  </rv>
  <rv s="6">
    <fb>136.29</fb>
    <v>11</v>
  </rv>
  <rv s="6">
    <fb>133.96</fb>
    <v>11</v>
  </rv>
  <rv s="6">
    <fb>76.63</fb>
    <v>11</v>
  </rv>
  <rv s="6">
    <fb>207.97</fb>
    <v>11</v>
  </rv>
  <rv s="6">
    <fb>137.9</fb>
    <v>11</v>
  </rv>
  <rv s="6">
    <fb>51.215000000000003</fb>
    <v>11</v>
  </rv>
  <rv s="6">
    <fb>88.24</fb>
    <v>11</v>
  </rv>
  <rv s="6">
    <fb>41.065199999999997</fb>
    <v>11</v>
  </rv>
  <rv s="6">
    <fb>111.8</fb>
    <v>11</v>
  </rv>
  <rv s="6">
    <fb>116.71</fb>
    <v>11</v>
  </rv>
  <rv s="6">
    <fb>69.209999999999994</fb>
    <v>11</v>
  </rv>
  <rv s="6">
    <fb>162.6</fb>
    <v>11</v>
  </rv>
  <rv s="6">
    <fb>52.63</fb>
    <v>11</v>
  </rv>
  <rv s="6">
    <fb>130.22</fb>
    <v>11</v>
  </rv>
  <rv s="6">
    <fb>66.62</fb>
    <v>11</v>
  </rv>
  <rv s="6">
    <fb>131.66999999999999</fb>
    <v>11</v>
  </rv>
  <rv s="6">
    <fb>136.27000000000001</fb>
    <v>11</v>
  </rv>
  <rv s="6">
    <fb>74.36</fb>
    <v>11</v>
  </rv>
  <rv s="6">
    <fb>213.69</fb>
    <v>11</v>
  </rv>
  <rv s="6">
    <fb>148.24</fb>
    <v>11</v>
  </rv>
  <rv s="6">
    <fb>51.792499999999997</fb>
    <v>11</v>
  </rv>
  <rv s="6">
    <fb>86.72</fb>
    <v>11</v>
  </rv>
  <rv s="6">
    <fb>25.713899999999999</fb>
    <v>11</v>
  </rv>
  <rv s="6">
    <fb>36.818399999999997</fb>
    <v>11</v>
  </rv>
  <rv s="6">
    <fb>116</fb>
    <v>11</v>
  </rv>
  <rv s="6">
    <fb>117.39</fb>
    <v>11</v>
  </rv>
  <rv s="6">
    <fb>73.81</fb>
    <v>11</v>
  </rv>
  <rv s="6">
    <fb>158.16</fb>
    <v>11</v>
  </rv>
  <rv s="6">
    <fb>55.04</fb>
    <v>11</v>
  </rv>
  <rv s="6">
    <fb>128.36000000000001</fb>
    <v>11</v>
  </rv>
  <rv s="6">
    <fb>65.739999999999995</fb>
    <v>11</v>
  </rv>
  <rv s="6">
    <fb>217.97</fb>
    <v>11</v>
  </rv>
  <rv s="6">
    <fb>119</fb>
    <v>11</v>
  </rv>
  <rv s="6">
    <fb>137.86000000000001</fb>
    <v>11</v>
  </rv>
  <rv s="6">
    <fb>68.48</fb>
    <v>11</v>
  </rv>
  <rv s="6">
    <fb>227.91</fb>
    <v>11</v>
  </rv>
  <rv s="6">
    <fb>135.53</fb>
    <v>11</v>
  </rv>
  <rv s="6">
    <fb>54.77</fb>
    <v>11</v>
  </rv>
  <rv s="6">
    <fb>26.627600000000001</fb>
    <v>11</v>
  </rv>
  <rv s="6">
    <fb>33.699599999999997</fb>
    <v>11</v>
  </rv>
  <rv s="6">
    <fb>109.86</fb>
    <v>11</v>
  </rv>
  <rv s="6">
    <fb>110.79</fb>
    <v>11</v>
  </rv>
  <rv s="6">
    <fb>151.87</fb>
    <v>11</v>
  </rv>
  <rv s="6">
    <fb>54.44</fb>
    <v>11</v>
  </rv>
  <rv s="6">
    <fb>124.38</fb>
    <v>11</v>
  </rv>
  <rv s="6">
    <fb>129.38</fb>
    <v>11</v>
  </rv>
  <rv s="6">
    <fb>75.72</fb>
    <v>11</v>
  </rv>
  <rv s="6">
    <fb>214.71</fb>
    <v>11</v>
  </rv>
  <rv s="6">
    <fb>126.31</fb>
    <v>11</v>
  </rv>
  <rv s="6">
    <fb>139.03</fb>
    <v>11</v>
  </rv>
  <rv s="6">
    <fb>70.61</fb>
    <v>11</v>
  </rv>
  <rv s="6">
    <fb>232.02</fb>
    <v>11</v>
  </rv>
  <rv s="6">
    <fb>145.41999999999999</fb>
    <v>11</v>
  </rv>
  <rv s="6">
    <fb>58.247500000000002</fb>
    <v>11</v>
  </rv>
  <rv s="6">
    <fb>95.86</fb>
    <v>11</v>
  </rv>
  <rv s="6">
    <fb>28.576000000000001</fb>
    <v>11</v>
  </rv>
  <rv s="6">
    <fb>117.69</fb>
    <v>11</v>
  </rv>
  <rv s="6">
    <fb>118.51</fb>
    <v>11</v>
  </rv>
  <rv s="6">
    <fb>81.790000000000006</fb>
    <v>11</v>
  </rv>
  <rv s="6">
    <fb>147.69</fb>
    <v>11</v>
  </rv>
  <rv s="6">
    <fb>54.43</fb>
    <v>11</v>
  </rv>
  <rv s="6">
    <fb>124.51</fb>
    <v>11</v>
  </rv>
  <rv s="6">
    <fb>132.04</fb>
    <v>11</v>
  </rv>
  <rv s="6">
    <fb>79.55</fb>
    <v>11</v>
  </rv>
  <rv s="6">
    <fb>196.7</fb>
    <v>11</v>
  </rv>
  <rv s="6">
    <fb>137.80000000000001</fb>
    <v>11</v>
  </rv>
  <rv s="6">
    <fb>143.37</fb>
    <v>11</v>
  </rv>
  <rv s="6">
    <fb>67.569999999999993</fb>
    <v>11</v>
  </rv>
  <rv s="6">
    <fb>234.58</fb>
    <v>11</v>
  </rv>
  <rv s="6">
    <fb>133.72999999999999</fb>
    <v>11</v>
  </rv>
  <rv s="6">
    <fb>59.585000000000001</fb>
    <v>11</v>
  </rv>
  <rv s="6">
    <fb>94.26</fb>
    <v>11</v>
  </rv>
  <rv s="6">
    <fb>29.0669</fb>
    <v>11</v>
  </rv>
  <rv s="6">
    <fb>36.372799999999998</fb>
    <v>11</v>
  </rv>
  <rv s="6">
    <fb>124.92</fb>
    <v>11</v>
  </rv>
  <rv s="6">
    <fb>125.12</fb>
    <v>11</v>
  </rv>
  <rv s="6">
    <fb>148.22999999999999</fb>
    <v>11</v>
  </rv>
  <rv s="6">
    <fb>53.4</fb>
    <v>11</v>
  </rv>
  <rv s="6">
    <fb>122.06</fb>
    <v>11</v>
  </rv>
  <rv s="6">
    <fb>137.49</fb>
    <v>11</v>
  </rv>
  <rv s="6">
    <fb>87.73</fb>
    <v>11</v>
  </rv>
  <rv s="6">
    <fb>194.48</fb>
    <v>11</v>
  </rv>
  <rv s="6">
    <fb>144.72999999999999</fb>
    <v>11</v>
  </rv>
  <rv s="6">
    <fb>151.38</fb>
    <v>11</v>
  </rv>
  <rv s="6">
    <fb>68.13</fb>
    <v>11</v>
  </rv>
  <rv s="6">
    <fb>220.51</fb>
    <v>11</v>
  </rv>
  <rv s="6">
    <fb>134.44999999999999</fb>
    <v>11</v>
  </rv>
  <rv s="6">
    <fb>58.454999999999998</fb>
    <v>11</v>
  </rv>
  <rv s="6">
    <fb>88.17</fb>
    <v>11</v>
  </rv>
  <rv s="6">
    <fb>28.2286</fb>
    <v>11</v>
  </rv>
  <rv s="6">
    <fb>36.515000000000001</fb>
    <v>11</v>
  </rv>
  <rv s="6">
    <fb>131.76</fb>
    <v>11</v>
  </rv>
  <rv s="6">
    <fb>128.84</fb>
    <v>11</v>
  </rv>
  <rv s="6">
    <fb>73.63</fb>
    <v>11</v>
  </rv>
  <rv s="6">
    <fb>153.54</fb>
    <v>11</v>
  </rv>
  <rv s="6">
    <fb>55.35</fb>
    <v>11</v>
  </rv>
  <rv s="6">
    <fb>124.9</fb>
    <v>11</v>
  </rv>
  <rv s="6">
    <fb>145.87</fb>
    <v>11</v>
  </rv>
  <rv s="6">
    <fb>88.54</fb>
    <v>11</v>
  </rv>
  <rv s="6">
    <fb>197.61</fb>
    <v>11</v>
  </rv>
  <rv s="6">
    <fb>147.68</fb>
    <v>11</v>
  </rv>
  <rv s="6">
    <fb>157.69999999999999</fb>
    <v>11</v>
  </rv>
  <rv s="6">
    <fb>69.78</fb>
    <v>11</v>
  </rv>
  <rv s="6">
    <fb>218.38</fb>
    <v>11</v>
  </rv>
  <rv s="6">
    <fb>134.04</fb>
    <v>11</v>
  </rv>
  <rv s="6">
    <fb>60.54</fb>
    <v>11</v>
  </rv>
  <rv s="6">
    <fb>91.21</fb>
    <v>11</v>
  </rv>
  <rv s="6">
    <fb>29.5124</fb>
    <v>11</v>
  </rv>
  <rv s="6">
    <fb>37.140700000000002</fb>
    <v>11</v>
  </rv>
  <rv s="6">
    <fb>139.4</fb>
    <v>11</v>
  </rv>
  <rv s="6">
    <fb>133.49</fb>
    <v>11</v>
  </rv>
  <rv s="6">
    <fb>78.41</fb>
    <v>11</v>
  </rv>
  <rv s="6">
    <fb>157.31</fb>
    <v>11</v>
  </rv>
  <rv s="6">
    <fb>58.4</fb>
    <v>11</v>
  </rv>
  <rv s="6">
    <fb>124.62</fb>
    <v>11</v>
  </rv>
  <rv s="6">
    <fb>148.87</fb>
    <v>11</v>
  </rv>
  <rv s="6">
    <fb>81.02</fb>
    <v>11</v>
  </rv>
  <rv s="6">
    <fb>213.97</fb>
    <v>11</v>
  </rv>
  <rv s="6">
    <fb>131.35</fb>
    <v>11</v>
  </rv>
  <rv s="6">
    <fb>170.23</fb>
    <v>11</v>
  </rv>
  <rv s="6">
    <fb>62.12</fb>
    <v>11</v>
  </rv>
  <rv s="6">
    <fb>228.1</fb>
    <v>11</v>
  </rv>
  <rv s="6">
    <fb>143.72999999999999</fb>
    <v>11</v>
  </rv>
  <rv s="6">
    <fb>67.05</fb>
    <v>11</v>
  </rv>
  <rv s="6">
    <fb>97.63</fb>
    <v>11</v>
  </rv>
  <rv s="6">
    <fb>28.4099</fb>
    <v>11</v>
  </rv>
  <rv s="6">
    <fb>35.301699999999997</fb>
    <v>11</v>
  </rv>
  <rv s="6">
    <fb>132.36000000000001</fb>
    <v>11</v>
  </rv>
  <rv s="6">
    <fb>119.84</fb>
    <v>11</v>
  </rv>
  <rv s="6">
    <fb>72.39</fb>
    <v>11</v>
  </rv>
  <rv s="6">
    <fb>159.41999999999999</fb>
    <v>11</v>
  </rv>
  <rv s="6">
    <fb>53.49</fb>
    <v>11</v>
  </rv>
  <rv s="6">
    <fb>113.23</fb>
    <v>11</v>
  </rv>
  <rv s="6">
    <fb>134.47999999999999</fb>
    <v>11</v>
  </rv>
  <rv s="6">
    <fb>85.71</fb>
    <v>11</v>
  </rv>
  <rv s="6">
    <fb>194.17</fb>
    <v>11</v>
  </rv>
  <rv s="6">
    <fb>124.24</fb>
    <v>11</v>
  </rv>
  <rv s="6">
    <fb>162.01</fb>
    <v>11</v>
  </rv>
  <rv s="6">
    <fb>51.44</fb>
    <v>11</v>
  </rv>
  <rv s="6">
    <fb>217.84</fb>
    <v>11</v>
  </rv>
  <rv s="6">
    <fb>130.15</fb>
    <v>11</v>
  </rv>
  <rv s="6">
    <fb>63.19</fb>
    <v>11</v>
  </rv>
  <rv s="6">
    <fb>91.7</fb>
    <v>11</v>
  </rv>
  <rv s="6">
    <fb>26.5974</fb>
    <v>11</v>
  </rv>
  <rv s="6">
    <fb>31.680499999999999</fb>
    <v>11</v>
  </rv>
  <rv s="6">
    <fb>116.11</fb>
    <v>11</v>
  </rv>
  <rv s="6">
    <fb>104.45</fb>
    <v>11</v>
  </rv>
  <rv s="6">
    <fb>49.86</fb>
    <v>11</v>
  </rv>
  <rv s="6">
    <fb>173.25</fb>
    <v>11</v>
  </rv>
  <rv s="6">
    <fb>44.25</fb>
    <v>11</v>
  </rv>
  <rv s="6">
    <fb>110</fb>
    <v>11</v>
  </rv>
  <rv s="6">
    <fb>131.13</fb>
    <v>11</v>
  </rv>
  <rv s="6">
    <fb>76.19</fb>
    <v>11</v>
  </rv>
  <rv s="6">
    <fb>165.35</fb>
    <v>11</v>
  </rv>
  <rv s="6">
    <fb>116.04</fb>
    <v>11</v>
  </rv>
  <rv s="6">
    <fb>157.71</fb>
    <v>11</v>
  </rv>
  <rv s="6">
    <fb>37.97</fb>
    <v>11</v>
  </rv>
  <rv s="6">
    <fb>186.71</fb>
    <v>11</v>
  </rv>
  <rv s="6">
    <fb>110.93</fb>
    <v>11</v>
  </rv>
  <rv s="6">
    <fb>60.155000000000001</fb>
    <v>11</v>
  </rv>
  <rv s="6">
    <fb>80.88</fb>
    <v>11</v>
  </rv>
  <rv s="6">
    <fb>22.013500000000001</fb>
    <v>11</v>
  </rv>
  <rv s="6">
    <fb>30.941099999999999</fb>
    <v>11</v>
  </rv>
  <rv s="6">
    <fb>90.03</fb>
    <v>11</v>
  </rv>
  <rv s="6">
    <fb>83.6</fb>
    <v>11</v>
  </rv>
  <rv s="6">
    <fb>54.92</fb>
    <v>11</v>
  </rv>
  <rv s="6">
    <fb>186.44</fb>
    <v>11</v>
  </rv>
  <rv s="6">
    <fb>45.89</fb>
    <v>11</v>
  </rv>
  <rv s="6">
    <fb>117.87</fb>
    <v>11</v>
  </rv>
  <rv s="6">
    <fb>150.04</fb>
    <v>11</v>
  </rv>
  <rv s="6">
    <fb>82.2</fb>
    <v>11</v>
  </rv>
  <rv s="6">
    <fb>187.56</fb>
    <v>11</v>
  </rv>
  <rv s="6">
    <fb>116.38</fb>
    <v>11</v>
  </rv>
  <rv s="6">
    <fb>179.21</fb>
    <v>11</v>
  </rv>
  <rv s="6">
    <fb>46.47</fb>
    <v>11</v>
  </rv>
  <rv s="6">
    <fb>219.83</fb>
    <v>11</v>
  </rv>
  <rv s="6">
    <fb>125.56</fb>
    <v>11</v>
  </rv>
  <rv s="6">
    <fb>57.78</fb>
    <v>11</v>
  </rv>
  <rv s="6">
    <fb>84.66</fb>
    <v>11</v>
  </rv>
  <rv s="6">
    <fb>23.010300000000001</fb>
    <v>11</v>
  </rv>
  <rv s="6">
    <fb>36.363399999999999</fb>
    <v>11</v>
  </rv>
  <rv s="6">
    <fb>95.76</fb>
    <v>11</v>
  </rv>
  <rv s="6">
    <fb>90.83</fb>
    <v>11</v>
  </rv>
  <rv s="6">
    <fb>55.31</fb>
    <v>11</v>
  </rv>
  <rv s="6">
    <fb>206.25</fb>
    <v>11</v>
  </rv>
  <rv s="6">
    <fb>46.68</fb>
    <v>11</v>
  </rv>
  <rv s="6">
    <fb>115.92</fb>
    <v>11</v>
  </rv>
  <rv s="6">
    <fb>148.75</fb>
    <v>11</v>
  </rv>
  <rv s="6">
    <fb>92.67</fb>
    <v>11</v>
  </rv>
  <rv s="6">
    <fb>186.32</fb>
    <v>11</v>
  </rv>
  <rv s="6">
    <fb>120.13</fb>
    <v>11</v>
  </rv>
  <rv s="6">
    <fb>183.25</fb>
    <v>11</v>
  </rv>
  <rv s="6">
    <fb>45.47</fb>
    <v>11</v>
  </rv>
  <rv s="6">
    <fb>248.48</fb>
    <v>11</v>
  </rv>
  <rv s="6">
    <fb>63.89</fb>
    <v>11</v>
  </rv>
  <rv s="6">
    <fb>85.63</fb>
    <v>11</v>
  </rv>
  <rv s="6">
    <fb>23.3049</fb>
    <v>11</v>
  </rv>
  <rv s="6">
    <fb>36.202199999999998</fb>
    <v>11</v>
  </rv>
  <rv s="6">
    <fb>97.31</fb>
    <v>11</v>
  </rv>
  <rv s="6">
    <fb>101.67</fb>
    <v>11</v>
  </rv>
  <rv s="6">
    <fb>219.37</fb>
    <v>11</v>
  </rv>
  <rv s="6">
    <fb>44.68</fb>
    <v>11</v>
  </rv>
  <rv s="6">
    <fb>119.57</fb>
    <v>11</v>
  </rv>
  <rv s="6">
    <fb>140.63</fb>
    <v>11</v>
  </rv>
  <rv s="6">
    <fb>98.18</fb>
    <v>11</v>
  </rv>
  <rv s="6">
    <fb>184.47</fb>
    <v>11</v>
  </rv>
  <rv s="6">
    <fb>126.5</fb>
    <v>11</v>
  </rv>
  <rv s="6">
    <fb>203.51</fb>
    <v>11</v>
  </rv>
  <rv s="6">
    <fb>44.72</fb>
    <v>11</v>
  </rv>
  <rv s="6">
    <fb>250.51</fb>
    <v>11</v>
  </rv>
  <rv s="6">
    <fb>120.77</fb>
    <v>11</v>
  </rv>
  <rv s="6">
    <fb>60.042499999999997</fb>
    <v>11</v>
  </rv>
  <rv s="6">
    <fb>79.89</fb>
    <v>11</v>
  </rv>
  <rv s="6">
    <fb>22.8291</fb>
    <v>11</v>
  </rv>
  <rv s="6">
    <fb>30.998000000000001</fb>
    <v>11</v>
  </rv>
  <rv s="6">
    <fb>94.06</fb>
    <v>11</v>
  </rv>
  <rv s="6">
    <fb>106.06</fb>
    <v>11</v>
  </rv>
  <rv s="6">
    <fb>60.05</fb>
    <v>11</v>
  </rv>
  <rv s="6">
    <fb>236.51</fb>
    <v>11</v>
  </rv>
  <rv s="6">
    <fb>47.24</fb>
    <v>11</v>
  </rv>
  <rv s="6">
    <fb>131.12</fb>
    <v>11</v>
  </rv>
  <rv s="6">
    <fb>145.76</fb>
    <v>11</v>
  </rv>
  <rv s="6">
    <fb>94.91</fb>
    <v>11</v>
  </rv>
  <rv s="6">
    <fb>194.28</fb>
    <v>11</v>
  </rv>
  <rv s="6">
    <fb>132.88</fb>
    <v>11</v>
  </rv>
  <rv s="6">
    <fb>205.01</fb>
    <v>11</v>
  </rv>
  <rv s="6">
    <fb>42.08</fb>
    <v>11</v>
  </rv>
  <rv s="6">
    <fb>265.49</fb>
    <v>11</v>
  </rv>
  <rv s="6">
    <fb>122.94</fb>
    <v>11</v>
  </rv>
  <rv s="6">
    <fb>70.174999999999997</fb>
    <v>11</v>
  </rv>
  <rv s="6">
    <fb>84.74</fb>
    <v>11</v>
  </rv>
  <rv s="6">
    <fb>22.338200000000001</fb>
    <v>11</v>
  </rv>
  <rv s="6">
    <fb>36.4771</fb>
    <v>11</v>
  </rv>
  <rv s="6">
    <fb>96.64</fb>
    <v>11</v>
  </rv>
  <rv s="6">
    <fb>107.65</fb>
    <v>11</v>
  </rv>
  <rv s="6">
    <fb>62.03</fb>
    <v>11</v>
  </rv>
  <rv s="6">
    <fb>223.5</fb>
    <v>11</v>
  </rv>
  <rv s="6">
    <fb>49.53</fb>
    <v>11</v>
  </rv>
  <rv s="6">
    <fb>138.33000000000001</fb>
    <v>11</v>
  </rv>
  <rv s="6">
    <fb>153.41</fb>
    <v>11</v>
  </rv>
  <rv s="6">
    <fb>95.77</fb>
    <v>11</v>
  </rv>
  <rv s="6">
    <fb>213.52</fb>
    <v>11</v>
  </rv>
  <rv s="6">
    <fb>142.31</fb>
    <v>11</v>
  </rv>
  <rv s="6">
    <fb>225.53</fb>
    <v>11</v>
  </rv>
  <rv s="6">
    <fb>39.94</fb>
    <v>11</v>
  </rv>
  <rv s="6">
    <fb>285.04000000000002</fb>
    <v>11</v>
  </rv>
  <rv s="6">
    <fb>123.31</fb>
    <v>11</v>
  </rv>
  <rv s="6">
    <fb>69.792500000000004</fb>
    <v>11</v>
  </rv>
  <rv s="6">
    <fb>80.34</fb>
    <v>11</v>
  </rv>
  <rv s="6">
    <fb>22.511900000000001</fb>
    <v>11</v>
  </rv>
  <rv s="6">
    <fb>35.823</fb>
    <v>11</v>
  </rv>
  <rv s="6">
    <fb>100.19</fb>
    <v>11</v>
  </rv>
  <rv s="6">
    <fb>120.4</fb>
    <v>11</v>
  </rv>
  <rv s="6">
    <fb>60.75</fb>
    <v>11</v>
  </rv>
  <rv s="6">
    <fb>210.17</fb>
    <v>11</v>
  </rv>
  <rv s="6">
    <fb>49.37</fb>
    <v>11</v>
  </rv>
  <rv s="6">
    <fb>138.6</fb>
    <v>11</v>
  </rv>
  <rv s="6">
    <fb>138.99</fb>
    <v>11</v>
  </rv>
  <rv s="6">
    <fb>148.88</fb>
    <v>11</v>
  </rv>
  <rv s="6">
    <fb>87.59</fb>
    <v>11</v>
  </rv>
  <rv s="6">
    <fb>219.49</fb>
    <v>11</v>
  </rv>
  <rv s="6">
    <fb>149.15</fb>
    <v>11</v>
  </rv>
  <rv s="6">
    <fb>210.33</fb>
    <v>11</v>
  </rv>
  <rv s="6">
    <fb>34.33</fb>
    <v>11</v>
  </rv>
  <rv s="6">
    <fb>277.70999999999998</fb>
    <v>11</v>
  </rv>
  <rv s="6">
    <fb>121.67</fb>
    <v>11</v>
  </rv>
  <rv s="6">
    <fb>69.39</fb>
    <v>11</v>
  </rv>
  <rv s="6">
    <fb>88.56</fb>
    <v>11</v>
  </rv>
  <rv s="6">
    <fb>21.530200000000001</fb>
    <v>11</v>
  </rv>
  <rv s="6">
    <fb>34.7898</fb>
    <v>11</v>
  </rv>
  <rv s="6">
    <fb>96.27</fb>
    <v>11</v>
  </rv>
  <rv s="6">
    <fb>122.08</fb>
    <v>11</v>
  </rv>
  <rv s="6">
    <fb>57.86</fb>
    <v>11</v>
  </rv>
  <rv s="6">
    <fb>207.25</fb>
    <v>11</v>
  </rv>
  <rv s="6">
    <fb>48.06</fb>
    <v>11</v>
  </rv>
  <rv s="6">
    <fb>133.29</fb>
    <v>11</v>
  </rv>
  <rv s="6">
    <fb>137.1</fb>
    <v>11</v>
  </rv>
  <rv s="6">
    <fb>137.11000000000001</fb>
    <v>11</v>
  </rv>
  <rv s="6">
    <fb>85.1</fb>
    <v>11</v>
  </rv>
  <rv s="6">
    <fb>213</fb>
    <v>11</v>
  </rv>
  <rv s="6">
    <fb>157.05000000000001</fb>
    <v>11</v>
  </rv>
  <rv s="6">
    <fb>202.47</fb>
    <v>11</v>
  </rv>
  <rv s="6">
    <fb>32.619999999999997</fb>
    <v>11</v>
  </rv>
  <rv s="6">
    <fb>266.70999999999998</fb>
    <v>11</v>
  </rv>
  <rv s="6">
    <fb>111.66</fb>
    <v>11</v>
  </rv>
  <rv s="6">
    <fb>73.209999999999994</fb>
    <v>11</v>
  </rv>
  <rv s="6">
    <fb>92.11</fb>
    <v>11</v>
  </rv>
  <rv s="6">
    <fb>20.405000000000001</fb>
    <v>11</v>
  </rv>
  <rv s="6">
    <fb>33.633299999999998</fb>
    <v>11</v>
  </rv>
  <rv s="6">
    <fb>98.04</fb>
    <v>11</v>
  </rv>
  <rv s="6">
    <fb>129.72</fb>
    <v>11</v>
  </rv>
  <rv s="6">
    <fb>59.97</fb>
    <v>11</v>
  </rv>
  <rv s="6">
    <fb>202.96</fb>
    <v>11</v>
  </rv>
  <rv s="6">
    <fb>51.6</fb>
    <v>11</v>
  </rv>
  <rv s="6">
    <fb>144.22999999999999</fb>
    <v>11</v>
  </rv>
  <rv s="6">
    <fb>138.87</fb>
    <v>11</v>
  </rv>
  <rv s="6">
    <fb>144.68</fb>
    <v>11</v>
  </rv>
  <rv s="6">
    <fb>104.58</fb>
    <v>11</v>
  </rv>
  <rv s="6">
    <fb>217.44</fb>
    <v>11</v>
  </rv>
  <rv s="6">
    <fb>173.59</fb>
    <v>11</v>
  </rv>
  <rv s="6">
    <fb>214.07</fb>
    <v>11</v>
  </rv>
  <rv s="6">
    <fb>38.130000000000003</fb>
    <v>11</v>
  </rv>
  <rv s="6">
    <fb>277.41000000000003</fb>
    <v>11</v>
  </rv>
  <rv s="6">
    <fb>123.52</fb>
    <v>11</v>
  </rv>
  <rv s="6">
    <fb>73.59</fb>
    <v>11</v>
  </rv>
  <rv s="6">
    <fb>92.66</fb>
    <v>11</v>
  </rv>
  <rv s="6">
    <fb>21.711400000000001</fb>
    <v>11</v>
  </rv>
  <rv s="6">
    <fb>38.31</fb>
    <v>11</v>
  </rv>
  <rv s="6">
    <fb>117.88</fb>
    <v>11</v>
  </rv>
  <rv s="6">
    <fb>146.77000000000001</fb>
    <v>11</v>
  </rv>
  <rv s="6">
    <fb>62.17</fb>
    <v>11</v>
  </rv>
  <rv s="6">
    <fb>31.93</fb>
    <v>11</v>
  </rv>
  <rv s="6">
    <fb>201.92</fb>
    <v>11</v>
  </rv>
  <rv s="6">
    <fb>54.84</fb>
    <v>11</v>
  </rv>
  <rv s="6">
    <fb>148.30000000000001</fb>
    <v>11</v>
  </rv>
  <rv s="6">
    <fb>139.13999999999999</fb>
    <v>11</v>
  </rv>
  <rv s="6">
    <fb>157.38</fb>
    <v>11</v>
  </rv>
  <rv s="6">
    <fb>107.15</fb>
    <v>11</v>
  </rv>
  <rv s="6">
    <fb>214.58</fb>
    <v>11</v>
  </rv>
  <rv s="6">
    <fb>182.02</fb>
    <v>11</v>
  </rv>
  <rv s="6">
    <fb>222.42</fb>
    <v>11</v>
  </rv>
  <rv s="6">
    <fb>41.22</fb>
    <v>11</v>
  </rv>
  <rv s="6">
    <fb>265.62</fb>
    <v>11</v>
  </rv>
  <rv s="6">
    <fb>125.88</fb>
    <v>11</v>
  </rv>
  <rv s="6">
    <fb>77.150000000000006</fb>
    <v>11</v>
  </rv>
  <rv s="6">
    <fb>91.56</fb>
    <v>11</v>
  </rv>
  <rv s="6">
    <fb>21.719000000000001</fb>
    <v>11</v>
  </rv>
  <rv s="6">
    <fb>36.81</fb>
    <v>11</v>
  </rv>
  <rv s="6">
    <fb>144.22</fb>
    <v>11</v>
  </rv>
  <rv s="6">
    <fb>59.06</fb>
    <v>11</v>
  </rv>
  <rv s="6">
    <fb>30.98</fb>
    <v>11</v>
  </rv>
  <rv s="6">
    <fb>209.46</fb>
    <v>11</v>
  </rv>
  <rv s="6">
    <fb>48.15</fb>
    <v>11</v>
  </rv>
  <rv s="6">
    <fb>136.57</fb>
    <v>11</v>
  </rv>
  <rv s="6">
    <fb>128.21</fb>
    <v>11</v>
  </rv>
  <rv s="6">
    <fb>163.13</fb>
    <v>11</v>
  </rv>
  <rv s="6">
    <fb>102.48</fb>
    <v>11</v>
  </rv>
  <rv s="6">
    <fb>207.84</fb>
    <v>11</v>
  </rv>
  <rv s="6">
    <fb>182.84</fb>
    <v>11</v>
  </rv>
  <rv s="6">
    <fb>231.96</fb>
    <v>11</v>
  </rv>
  <rv s="6">
    <fb>44.84</fb>
    <v>11</v>
  </rv>
  <rv s="6">
    <fb>270.82</fb>
    <v>11</v>
  </rv>
  <rv s="6">
    <fb>119.11</fb>
    <v>11</v>
  </rv>
  <rv s="6">
    <fb>80.87</fb>
    <v>11</v>
  </rv>
  <rv s="6">
    <fb>94</fb>
    <v>11</v>
  </rv>
  <rv s="6">
    <fb>21.620799999999999</fb>
    <v>11</v>
  </rv>
  <rv s="6">
    <fb>35.9</fb>
    <v>11</v>
  </rv>
  <rv s="6">
    <fb>128.66999999999999</fb>
    <v>11</v>
  </rv>
  <rv s="6">
    <fb>134.71</fb>
    <v>11</v>
  </rv>
  <rv s="6">
    <fb>27.46</fb>
    <v>11</v>
  </rv>
  <rv s="6">
    <fb>181.05</fb>
    <v>11</v>
  </rv>
  <rv s="6">
    <fb>48.99</fb>
    <v>11</v>
  </rv>
  <rv s="6">
    <fb>129.19</fb>
    <v>11</v>
  </rv>
  <rv s="6">
    <fb>123.53</fb>
    <v>11</v>
  </rv>
  <rv s="6">
    <fb>158.46</fb>
    <v>11</v>
  </rv>
  <rv s="6">
    <fb>107.74</fb>
    <v>11</v>
  </rv>
  <rv s="6">
    <fb>206.14</fb>
    <v>11</v>
  </rv>
  <rv s="6">
    <fb>215.88</fb>
    <v>11</v>
  </rv>
  <rv s="6">
    <fb>232.38</fb>
    <v>11</v>
  </rv>
  <rv s="6">
    <fb>54.37</fb>
    <v>11</v>
  </rv>
  <rv s="6">
    <fb>258.33999999999997</fb>
    <v>11</v>
  </rv>
  <rv s="6">
    <fb>118.93</fb>
    <v>11</v>
  </rv>
  <rv s="6">
    <fb>73.48</fb>
    <v>11</v>
  </rv>
  <rv s="6">
    <fb>21.062000000000001</fb>
    <v>11</v>
  </rv>
  <rv s="6">
    <fb>33.49</fb>
    <v>11</v>
  </rv>
  <rv s="6">
    <fb>147.16999999999999</fb>
    <v>11</v>
  </rv>
  <rv s="6">
    <fb>134.82</fb>
    <v>11</v>
  </rv>
  <rv s="6">
    <fb>63.5</fb>
    <v>11</v>
  </rv>
  <rv s="6">
    <fb>28.14</fb>
    <v>11</v>
  </rv>
  <rv s="6">
    <fb>192.88</fb>
    <v>11</v>
  </rv>
  <rv s="6">
    <fb>52.71</fb>
    <v>11</v>
  </rv>
  <rv s="6">
    <fb>141.44999999999999</fb>
    <v>11</v>
  </rv>
  <rv s="6">
    <fb>135.43</fb>
    <v>11</v>
  </rv>
  <rv s="6">
    <fb>164.35</fb>
    <v>11</v>
  </rv>
  <rv s="6">
    <fb>108.22</fb>
    <v>11</v>
  </rv>
  <rv s="6">
    <fb>224.14</fb>
    <v>11</v>
  </rv>
  <rv s="6">
    <fb>231.87</fb>
    <v>11</v>
  </rv>
  <rv s="6">
    <fb>235.77</fb>
    <v>11</v>
  </rv>
  <rv s="6">
    <fb>55.83</fb>
    <v>11</v>
  </rv>
  <rv s="6">
    <fb>305.25</fb>
    <v>11</v>
  </rv>
  <rv s="6">
    <fb>133.26</fb>
    <v>11</v>
  </rv>
  <rv s="6">
    <fb>75.61</fb>
    <v>11</v>
  </rv>
  <rv s="6">
    <fb>22.859300000000001</fb>
    <v>11</v>
  </rv>
  <rv s="6">
    <fb>36.229999999999997</fb>
    <v>11</v>
  </rv>
  <rv s="6">
    <fb>152.22999999999999</fb>
    <v>11</v>
  </rv>
  <rv s="6">
    <fb>150.26</fb>
    <v>11</v>
  </rv>
  <rv s="6">
    <fb>69.150000000000006</fb>
    <v>11</v>
  </rv>
  <rv s="6">
    <fb>28.69</fb>
    <v>11</v>
  </rv>
  <rv s="6">
    <fb>182.5</fb>
    <v>11</v>
  </rv>
  <rv s="6">
    <fb>53.98</fb>
    <v>11</v>
  </rv>
  <rv s="6">
    <fb>144.16</fb>
    <v>11</v>
  </rv>
  <rv s="6">
    <fb>133.41999999999999</fb>
    <v>11</v>
  </rv>
  <rv s="6">
    <fb>162.72999999999999</fb>
    <v>11</v>
  </rv>
  <rv s="6">
    <fb>111.5</fb>
    <v>11</v>
  </rv>
  <rv s="6">
    <fb>236.08</fb>
    <v>11</v>
  </rv>
  <rv s="6">
    <fb>228.11</fb>
    <v>11</v>
  </rv>
  <rv s="6">
    <fb>252.18</fb>
    <v>11</v>
  </rv>
  <rv s="6">
    <fb>57.24</fb>
    <v>11</v>
  </rv>
  <rv s="6">
    <fb>323.67</fb>
    <v>11</v>
  </rv>
  <rv s="6">
    <fb>141.88</fb>
    <v>11</v>
  </rv>
  <rv s="6">
    <fb>77.510000000000005</fb>
    <v>11</v>
  </rv>
  <rv s="6">
    <fb>100.69</fb>
    <v>11</v>
  </rv>
  <rv s="6">
    <fb>23.720199999999998</fb>
    <v>11</v>
  </rv>
  <rv s="6">
    <fb>38.65</fb>
    <v>11</v>
  </rv>
  <rv s="6">
    <fb>153.81</fb>
    <v>11</v>
  </rv>
  <rv s="6">
    <fb>171.24</fb>
    <v>11</v>
  </rv>
  <rv s="6">
    <fb>68.400000000000006</fb>
    <v>11</v>
  </rv>
  <rv s="6">
    <fb>26.83</fb>
    <v>11</v>
  </rv>
  <rv s="6">
    <fb>176.73</fb>
    <v>11</v>
  </rv>
  <rv s="6">
    <fb>55.29</fb>
    <v>11</v>
  </rv>
  <rv s="6">
    <fb>147.94</fb>
    <v>11</v>
  </rv>
  <rv s="6">
    <fb>134.85</fb>
    <v>11</v>
  </rv>
  <rv s="6">
    <fb>169.25</fb>
    <v>11</v>
  </rv>
  <rv s="6">
    <fb>113.2</fb>
    <v>11</v>
  </rv>
  <rv s="6">
    <fb>233.89</fb>
    <v>11</v>
  </rv>
  <rv s="6">
    <fb>241.08</fb>
    <v>11</v>
  </rv>
  <rv s="6">
    <fb>249.68</fb>
    <v>11</v>
  </rv>
  <rv s="6">
    <fb>58.37</fb>
    <v>11</v>
  </rv>
  <rv s="6">
    <fb>318.91000000000003</fb>
    <v>11</v>
  </rv>
  <rv s="6">
    <fb>143.74</fb>
    <v>11</v>
  </rv>
  <rv s="6">
    <fb>73.22</fb>
    <v>11</v>
  </rv>
  <rv s="6">
    <fb>100.22</fb>
    <v>11</v>
  </rv>
  <rv s="6">
    <fb>22.224900000000002</fb>
    <v>11</v>
  </rv>
  <rv s="6">
    <fb>38.729999999999997</fb>
    <v>11</v>
  </rv>
  <rv s="6">
    <fb>164.24</fb>
    <v>11</v>
  </rv>
  <rv s="6">
    <fb>179.72</fb>
    <v>11</v>
  </rv>
  <rv s="6">
    <fb>66.739999999999995</fb>
    <v>11</v>
  </rv>
  <rv s="6">
    <fb>26.48</fb>
    <v>11</v>
  </rv>
  <rv s="6">
    <fb>179.91</fb>
    <v>11</v>
  </rv>
  <rv s="6">
    <fb>54.11</fb>
    <v>11</v>
  </rv>
  <rv s="6">
    <fb>148.16999999999999</fb>
    <v>11</v>
  </rv>
  <rv s="6">
    <fb>134.93</fb>
    <v>11</v>
  </rv>
  <rv s="6">
    <fb>164.74</fb>
    <v>11</v>
  </rv>
  <rv s="6">
    <fb>112.64</fb>
    <v>11</v>
  </rv>
  <rv s="6">
    <fb>230.99</fb>
    <v>11</v>
  </rv>
  <rv s="6">
    <fb>217.63</fb>
    <v>11</v>
  </rv>
  <rv s="6">
    <fb>270.89999999999998</fb>
    <v>11</v>
  </rv>
  <rv s="6">
    <fb>63.08</fb>
    <v>11</v>
  </rv>
  <rv s="6">
    <fb>318.89</fb>
    <v>11</v>
  </rv>
  <rv s="6">
    <fb>146.59</fb>
    <v>11</v>
  </rv>
  <rv s="6">
    <fb>98.72</fb>
    <v>11</v>
  </rv>
  <rv s="6">
    <fb>21.734100000000002</fb>
    <v>11</v>
  </rv>
  <rv s="6">
    <fb>39.159999999999997</fb>
    <v>11</v>
  </rv>
  <rv s="6">
    <fb>155.54</fb>
    <v>11</v>
  </rv>
  <rv s="6">
    <fb>169.77</fb>
    <v>11</v>
  </rv>
  <rv s="6">
    <fb>70.290000000000006</fb>
    <v>11</v>
  </rv>
  <rv s="6">
    <fb>28.68</fb>
    <v>11</v>
  </rv>
  <rv s="6">
    <fb>180.89</fb>
    <v>11</v>
  </rv>
  <rv s="6">
    <fb>57.03</fb>
    <v>11</v>
  </rv>
  <rv s="6">
    <fb>156.94999999999999</fb>
    <v>11</v>
  </rv>
  <rv s="6">
    <fb>142.22999999999999</fb>
    <v>11</v>
  </rv>
  <rv s="6">
    <fb>172.2</fb>
    <v>11</v>
  </rv>
  <rv s="6">
    <fb>116.3</fb>
    <v>11</v>
  </rv>
  <rv s="6">
    <fb>242.71</fb>
    <v>11</v>
  </rv>
  <rv s="6">
    <fb>206.75</fb>
    <v>11</v>
  </rv>
  <rv s="6">
    <fb>284.91000000000003</fb>
    <v>11</v>
  </rv>
  <rv s="6">
    <fb>57.57</fb>
    <v>11</v>
  </rv>
  <rv s="6">
    <fb>328.19</fb>
    <v>11</v>
  </rv>
  <rv s="6">
    <fb>140.96</fb>
    <v>11</v>
  </rv>
  <rv s="6">
    <fb>77.900000000000006</fb>
    <v>11</v>
  </rv>
  <rv s="6">
    <fb>105.11</fb>
    <v>11</v>
  </rv>
  <rv s="6">
    <fb>21.1828</fb>
    <v>11</v>
  </rv>
  <rv s="6">
    <fb>42.81</fb>
    <v>11</v>
  </rv>
  <rv s="6">
    <fb>151.78</fb>
    <v>11</v>
  </rv>
  <rv s="6">
    <fb>163.52000000000001</fb>
    <v>11</v>
  </rv>
  <rv s="6">
    <fb>72.22</fb>
    <v>11</v>
  </rv>
  <rv s="6">
    <fb>31.39</fb>
    <v>11</v>
  </rv>
  <rv s="6">
    <fb>168.05</fb>
    <v>11</v>
  </rv>
  <rv s="6">
    <fb>56.31</fb>
    <v>11</v>
  </rv>
  <rv s="6">
    <fb>156.38999999999999</fb>
    <v>11</v>
  </rv>
  <rv s="6">
    <fb>142.38999999999999</fb>
    <v>11</v>
  </rv>
  <rv s="6">
    <fb>173.13</fb>
    <v>11</v>
  </rv>
  <rv s="6">
    <fb>120.78</fb>
    <v>11</v>
  </rv>
  <rv s="6">
    <fb>237.46</fb>
    <v>11</v>
  </rv>
  <rv s="6">
    <fb>210.87</fb>
    <v>11</v>
  </rv>
  <rv s="6">
    <fb>301.88</fb>
    <v>11</v>
  </rv>
  <rv s="6">
    <fb>54.52</fb>
    <v>11</v>
  </rv>
  <rv s="6">
    <fb>326.18</fb>
    <v>11</v>
  </rv>
  <rv s="6">
    <fb>140.34</fb>
    <v>11</v>
  </rv>
  <rv s="6">
    <fb>83.99</fb>
    <v>11</v>
  </rv>
  <rv s="6">
    <fb>104.66</fb>
    <v>11</v>
  </rv>
  <rv s="6">
    <fb>20.707000000000001</fb>
    <v>11</v>
  </rv>
  <rv s="6">
    <fb>46.07</fb>
    <v>11</v>
  </rv>
  <rv s="6">
    <fb>159.94999999999999</fb>
    <v>11</v>
  </rv>
  <rv s="6">
    <fb>159.55000000000001</fb>
    <v>11</v>
  </rv>
  <rv s="6">
    <fb>64.86</fb>
    <v>11</v>
  </rv>
  <rv s="6">
    <fb>30.27</fb>
    <v>11</v>
  </rv>
  <rv s="6">
    <fb>165.61</fb>
    <v>11</v>
  </rv>
  <rv s="6">
    <fb>52.47</fb>
    <v>11</v>
  </rv>
  <rv s="6">
    <fb>150.41</fb>
    <v>11</v>
  </rv>
  <rv s="6">
    <fb>139.80000000000001</fb>
    <v>11</v>
  </rv>
  <rv s="6">
    <fb>161.5</fb>
    <v>11</v>
  </rv>
  <rv s="6">
    <fb>107.87</fb>
    <v>11</v>
  </rv>
  <rv s="6">
    <fb>241.11</fb>
    <v>11</v>
  </rv>
  <rv s="6">
    <fb>191.97</fb>
    <v>11</v>
  </rv>
  <rv s="6">
    <fb>281.92</fb>
    <v>11</v>
  </rv>
  <rv s="6">
    <fb>58.82</fb>
    <v>11</v>
  </rv>
  <rv s="6">
    <fb>328.26</fb>
    <v>11</v>
  </rv>
  <rv s="6">
    <fb>138.93</fb>
    <v>11</v>
  </rv>
  <rv s="6">
    <fb>78.52</fb>
    <v>11</v>
  </rv>
  <rv s="6">
    <fb>97.59</fb>
    <v>11</v>
  </rv>
  <rv s="6">
    <fb>20.397400000000001</fb>
    <v>11</v>
  </rv>
  <rv s="6">
    <fb>43.01</fb>
    <v>11</v>
  </rv>
  <rv s="6">
    <fb>163.69</fb>
    <v>11</v>
  </rv>
  <rv s="6">
    <fb>143.01</fb>
    <v>11</v>
  </rv>
  <rv s="6">
    <fb>71.430000000000007</fb>
    <v>11</v>
  </rv>
  <rv s="6">
    <fb>35.479999999999997</fb>
    <v>11</v>
  </rv>
  <rv s="6">
    <fb>163.01</fb>
    <v>11</v>
  </rv>
  <rv s="6">
    <fb>56.37</fb>
    <v>11</v>
  </rv>
  <rv s="6">
    <fb>161.6</fb>
    <v>11</v>
  </rv>
  <rv s="6">
    <fb>142.99</fb>
    <v>11</v>
  </rv>
  <rv s="6">
    <fb>162.88</fb>
    <v>11</v>
  </rv>
  <rv s="6">
    <fb>114.67</fb>
    <v>11</v>
  </rv>
  <rv s="6">
    <fb>245.55</fb>
    <v>11</v>
  </rv>
  <rv s="6">
    <fb>204.01</fb>
    <v>11</v>
  </rv>
  <rv s="6">
    <fb>331.62</fb>
    <v>11</v>
  </rv>
  <rv s="6">
    <fb>64.47</fb>
    <v>11</v>
  </rv>
  <rv s="6">
    <fb>371.74</fb>
    <v>11</v>
  </rv>
  <rv s="6">
    <fb>125.1</fb>
    <v>11</v>
  </rv>
  <rv s="6">
    <fb>85.33</fb>
    <v>11</v>
  </rv>
  <rv s="6">
    <fb>102.01</fb>
    <v>11</v>
  </rv>
  <rv s="6">
    <fb>19.075800000000001</fb>
    <v>11</v>
  </rv>
  <rv s="6">
    <fb>43.74</fb>
    <v>11</v>
  </rv>
  <rv s="6">
    <fb>169.89</fb>
    <v>11</v>
  </rv>
  <rv s="6">
    <fb>160.57</fb>
    <v>11</v>
  </rv>
  <rv s="6">
    <fb>67.92</fb>
    <v>11</v>
  </rv>
  <rv s="6">
    <fb>37.32</fb>
    <v>11</v>
  </rv>
  <rv s="6">
    <fb>162.85</fb>
    <v>11</v>
  </rv>
  <rv s="6">
    <fb>52.45</fb>
    <v>11</v>
  </rv>
  <rv s="6">
    <fb>159.78</fb>
    <v>11</v>
  </rv>
  <rv s="6">
    <fb>144.58000000000001</fb>
    <v>11</v>
  </rv>
  <rv s="6">
    <fb>155.93</fb>
    <v>11</v>
  </rv>
  <rv s="6">
    <fb>115.28</fb>
    <v>11</v>
  </rv>
  <rv s="6">
    <fb>244.6</fb>
    <v>11</v>
  </rv>
  <rv s="6">
    <fb>193.35</fb>
    <v>11</v>
  </rv>
  <rv s="6">
    <fb>330.59</fb>
    <v>11</v>
  </rv>
  <rv s="6">
    <fb>59.84</fb>
    <v>11</v>
  </rv>
  <rv s="6">
    <fb>400.61</fb>
    <v>11</v>
  </rv>
  <rv s="6">
    <fb>117.1</fb>
    <v>11</v>
  </rv>
  <rv s="6">
    <fb>86.78</fb>
    <v>11</v>
  </rv>
  <rv s="6">
    <fb>97.01</fb>
    <v>11</v>
  </rv>
  <rv s="6">
    <fb>17.2408</fb>
    <v>11</v>
  </rv>
  <rv s="6">
    <fb>53.73</fb>
    <v>11</v>
  </rv>
  <rv s="6">
    <fb>158.83000000000001</fb>
    <v>11</v>
  </rv>
  <rv s="6">
    <fb>154.16999999999999</fb>
    <v>11</v>
  </rv>
  <rv s="6">
    <fb>71.59</fb>
    <v>11</v>
  </rv>
  <rv s="6">
    <fb>36.03</fb>
    <v>11</v>
  </rv>
  <rv s="6">
    <fb>174.36</fb>
    <v>11</v>
  </rv>
  <rv s="6">
    <fb>59.21</fb>
    <v>11</v>
  </rv>
  <rv s="6">
    <fb>173.71</fb>
    <v>11</v>
  </rv>
  <rv s="6">
    <fb>163.58000000000001</fb>
    <v>11</v>
  </rv>
  <rv s="6">
    <fb>171.07</fb>
    <v>11</v>
  </rv>
  <rv s="6">
    <fb>135.4</fb>
    <v>11</v>
  </rv>
  <rv s="6">
    <fb>268.07</fb>
    <v>11</v>
  </rv>
  <rv s="6">
    <fb>206.74</fb>
    <v>11</v>
  </rv>
  <rv s="6">
    <fb>336.32</fb>
    <v>11</v>
  </rv>
  <rv s="6">
    <fb>61.19</fb>
    <v>11</v>
  </rv>
  <rv s="6">
    <fb>415.01</fb>
    <v>11</v>
  </rv>
  <rv s="6">
    <fb>133.66</fb>
    <v>11</v>
  </rv>
  <rv s="6">
    <fb>93.36</fb>
    <v>11</v>
  </rv>
  <rv s="6">
    <fb>104.9</fb>
    <v>11</v>
  </rv>
  <rv s="6">
    <fb>18.577400000000001</fb>
    <v>11</v>
  </rv>
  <rv s="6">
    <fb>59.05</fb>
    <v>11</v>
  </rv>
  <rv s="6">
    <fb>158.35</fb>
    <v>11</v>
  </rv>
  <rv s="6">
    <fb>172.44</fb>
    <v>11</v>
  </rv>
  <rv s="6">
    <fb>69.41</fb>
    <v>11</v>
  </rv>
  <rv s="6">
    <fb>33.68</fb>
    <v>11</v>
  </rv>
  <rv s="6">
    <fb>167.86</fb>
    <v>11</v>
  </rv>
  <rv s="6">
    <fb>61.01</fb>
    <v>11</v>
  </rv>
  <rv s="6">
    <fb>173.52</fb>
    <v>11</v>
  </rv>
  <rv s="6">
    <fb>160.44999999999999</fb>
    <v>11</v>
  </rv>
  <rv s="6">
    <fb>172.29</fb>
    <v>11</v>
  </rv>
  <rv s="6">
    <fb>136.88999999999999</fb>
    <v>11</v>
  </rv>
  <rv s="6">
    <fb>259.45</fb>
    <v>11</v>
  </rv>
  <rv s="6">
    <fb>201.56</fb>
    <v>11</v>
  </rv>
  <rv s="6">
    <fb>310.98</fb>
    <v>11</v>
  </rv>
  <rv s="6">
    <fb>75.959999999999994</fb>
    <v>11</v>
  </rv>
  <rv s="6">
    <fb>366.98</fb>
    <v>11</v>
  </rv>
  <rv s="6">
    <fb>133.57</fb>
    <v>11</v>
  </rv>
  <rv s="6">
    <fb>78.12</fb>
    <v>11</v>
  </rv>
  <rv s="6">
    <fb>105.06</fb>
    <v>11</v>
  </rv>
  <rv s="6">
    <fb>19.257100000000001</fb>
    <v>11</v>
  </rv>
  <rv s="6">
    <fb>52.69</fb>
    <v>11</v>
  </rv>
  <rv s="6">
    <fb>148.6</fb>
    <v>11</v>
  </rv>
  <rv s="6">
    <fb>156.19999999999999</fb>
    <v>11</v>
  </rv>
  <rv s="6">
    <fb>66.09</fb>
    <v>11</v>
  </rv>
  <rv s="6">
    <fb>33.4</fb>
    <v>11</v>
  </rv>
  <rv s="6">
    <fb>145.79</fb>
    <v>11</v>
  </rv>
  <rv s="6">
    <fb>163.74</fb>
    <v>11</v>
  </rv>
  <rv s="6">
    <fb>155.88999999999999</fb>
    <v>11</v>
  </rv>
  <rv s="6">
    <fb>164.57</fb>
    <v>11</v>
  </rv>
  <rv s="6">
    <fb>147.77000000000001</fb>
    <v>11</v>
  </rv>
  <rv s="6">
    <fb>244.77</fb>
    <v>11</v>
  </rv>
  <rv s="6">
    <fb>187.58</fb>
    <v>11</v>
  </rv>
  <rv s="6">
    <fb>298.79000000000002</fb>
    <v>11</v>
  </rv>
  <rv s="6">
    <fb>78.42</fb>
    <v>11</v>
  </rv>
  <rv s="6">
    <fb>315.83</fb>
    <v>11</v>
  </rv>
  <rv s="6">
    <fb>122.51</fb>
    <v>11</v>
  </rv>
  <rv s="6">
    <fb>78.27</fb>
    <v>11</v>
  </rv>
  <rv s="6">
    <fb>100.41</fb>
    <v>11</v>
  </rv>
  <rv s="6">
    <fb>17.8902</fb>
    <v>11</v>
  </rv>
  <rv s="6">
    <fb>46.94</fb>
    <v>11</v>
  </rv>
  <rv s="6">
    <fb>141.80000000000001</fb>
    <v>11</v>
  </rv>
  <rv s="6">
    <fb>133.44999999999999</fb>
    <v>11</v>
  </rv>
  <rv s="6">
    <fb>69.3</fb>
    <v>11</v>
  </rv>
  <rv s="6">
    <fb>36.51</fb>
    <v>11</v>
  </rv>
  <rv s="6">
    <fb>62</fb>
    <v>11</v>
  </rv>
  <rv s="6">
    <fb>152.80000000000001</fb>
    <v>11</v>
  </rv>
  <rv s="6">
    <fb>177.23</fb>
    <v>11</v>
  </rv>
  <rv s="6">
    <fb>162.11000000000001</fb>
    <v>11</v>
  </rv>
  <rv s="6">
    <fb>247.28</fb>
    <v>11</v>
  </rv>
  <rv s="6">
    <fb>222.82</fb>
    <v>11</v>
  </rv>
  <rv s="6">
    <fb>308.31</fb>
    <v>11</v>
  </rv>
  <rv s="6">
    <fb>82.59</fb>
    <v>11</v>
  </rv>
  <rv s="6">
    <fb>299.33</fb>
    <v>11</v>
  </rv>
  <rv s="6">
    <fb>130.02000000000001</fb>
    <v>11</v>
  </rv>
  <rv s="6">
    <fb>84.71</fb>
    <v>11</v>
  </rv>
  <rv s="6">
    <fb>17.844899999999999</fb>
    <v>11</v>
  </rv>
  <rv s="6">
    <fb>51.77</fb>
    <v>11</v>
  </rv>
  <rv s="6">
    <fb>136.32</fb>
    <v>11</v>
  </rv>
  <rv s="6">
    <fb>131.07</fb>
    <v>11</v>
  </rv>
  <rv s="6">
    <fb>69.36</fb>
    <v>11</v>
  </rv>
  <rv s="6">
    <fb>30.53</fb>
    <v>11</v>
  </rv>
  <rv s="6">
    <fb>143.47</fb>
    <v>11</v>
  </rv>
  <rv s="6">
    <fb>64.61</fb>
    <v>11</v>
  </rv>
  <rv s="6">
    <fb>171.71</fb>
    <v>11</v>
  </rv>
  <rv s="6">
    <fb>160.55000000000001</fb>
    <v>11</v>
  </rv>
  <rv s="6">
    <fb>180.46</fb>
    <v>11</v>
  </rv>
  <rv s="6">
    <fb>146.88</fb>
    <v>11</v>
  </rv>
  <rv s="6">
    <fb>249.16</fb>
    <v>11</v>
  </rv>
  <rv s="6">
    <fb>210.54</fb>
    <v>11</v>
  </rv>
  <rv s="6">
    <fb>277.52</fb>
    <v>11</v>
  </rv>
  <rv s="6">
    <fb>85.25</fb>
    <v>11</v>
  </rv>
  <rv s="6">
    <fb>300.39999999999998</fb>
    <v>11</v>
  </rv>
  <rv s="6">
    <fb>132.21</fb>
    <v>11</v>
  </rv>
  <rv s="6">
    <fb>71.02</fb>
    <v>11</v>
  </rv>
  <rv s="6">
    <fb>110.16</fb>
    <v>11</v>
  </rv>
  <rv s="6">
    <fb>18.86</fb>
    <v>11</v>
  </rv>
  <rv s="6">
    <fb>49.07</fb>
    <v>11</v>
  </rv>
  <rv s="6">
    <fb>119.36</fb>
    <v>11</v>
  </rv>
  <rv s="6">
    <fb>127.99</fb>
    <v>11</v>
  </rv>
  <rv s="6">
    <fb>68.22</fb>
    <v>11</v>
  </rv>
  <rv s="6">
    <fb>35.049999999999997</fb>
    <v>11</v>
  </rv>
  <rv s="6">
    <fb>145.36000000000001</fb>
    <v>11</v>
  </rv>
  <rv s="6">
    <fb>63.38</fb>
    <v>11</v>
  </rv>
  <rv s="6">
    <fb>167.75</fb>
    <v>11</v>
  </rv>
  <rv s="6">
    <fb>147.88</fb>
    <v>11</v>
  </rv>
  <rv s="6">
    <fb>179.53</fb>
    <v>11</v>
  </rv>
  <rv s="6">
    <fb>147.37</fb>
    <v>11</v>
  </rv>
  <rv s="6">
    <fb>252.21</fb>
    <v>11</v>
  </rv>
  <rv s="6">
    <fb>215.85</fb>
    <v>11</v>
  </rv>
  <rv s="6">
    <fb>271.87</fb>
    <v>11</v>
  </rv>
  <rv s="6">
    <fb>96</fb>
    <v>11</v>
  </rv>
  <rv s="6">
    <fb>302.75</fb>
    <v>11</v>
  </rv>
  <rv s="6">
    <fb>138.84</fb>
    <v>11</v>
  </rv>
  <rv s="6">
    <fb>75.69</fb>
    <v>11</v>
  </rv>
  <rv s="6">
    <fb>112.52</fb>
    <v>11</v>
  </rv>
  <rv s="6">
    <fb>21.29</fb>
    <v>11</v>
  </rv>
  <rv s="6">
    <fb>53.04</fb>
    <v>11</v>
  </rv>
  <rv s="6">
    <fb>132.22999999999999</fb>
    <v>11</v>
  </rv>
  <rv s="6">
    <fb>68.260000000000005</fb>
    <v>11</v>
  </rv>
  <rv s="6">
    <fb>34.840000000000003</fb>
    <v>11</v>
  </rv>
  <rv s="6">
    <fb>140.97999999999999</fb>
    <v>11</v>
  </rv>
  <rv s="6">
    <fb>62.91</fb>
    <v>11</v>
  </rv>
  <rv s="6">
    <fb>166.66</fb>
    <v>11</v>
  </rv>
  <rv s="6">
    <fb>143.79</fb>
    <v>11</v>
  </rv>
  <rv s="6">
    <fb>177.51</fb>
    <v>11</v>
  </rv>
  <rv s="6">
    <fb>153.16</fb>
    <v>11</v>
  </rv>
  <rv s="6">
    <fb>246.88</fb>
    <v>11</v>
  </rv>
  <rv s="6">
    <fb>178.76</fb>
    <v>11</v>
  </rv>
  <rv s="6">
    <fb>256.83</fb>
    <v>11</v>
  </rv>
  <rv s="6">
    <fb>85.64</fb>
    <v>11</v>
  </rv>
  <rv s="6">
    <fb>274.27</fb>
    <v>11</v>
  </rv>
  <rv s="6">
    <fb>141.19</fb>
    <v>11</v>
  </rv>
  <rv s="6">
    <fb>77.459999999999994</fb>
    <v>11</v>
  </rv>
  <rv s="6">
    <fb>107.21</fb>
    <v>11</v>
  </rv>
  <rv s="6">
    <fb>20.96</fb>
    <v>11</v>
  </rv>
  <rv s="6">
    <fb>52.43</fb>
    <v>11</v>
  </rv>
  <rv s="6">
    <fb>112.61</fb>
    <v>11</v>
  </rv>
  <rv s="6">
    <fb>114.34</fb>
    <v>11</v>
  </rv>
  <rv s="6">
    <fb>73.989999999999995</fb>
    <v>11</v>
  </rv>
  <rv s="6">
    <fb>37.54</fb>
    <v>11</v>
  </rv>
  <rv s="6">
    <fb>141.84</fb>
    <v>11</v>
  </rv>
  <rv s="6">
    <fb>64.17</fb>
    <v>11</v>
  </rv>
  <rv s="6">
    <fb>174.96</fb>
    <v>11</v>
  </rv>
  <rv s="6">
    <fb>138.91</fb>
    <v>11</v>
  </rv>
  <rv s="6">
    <fb>143.51</fb>
    <v>11</v>
  </rv>
  <rv s="6">
    <fb>263.37</fb>
    <v>11</v>
  </rv>
  <rv s="6">
    <fb>198.25</fb>
    <v>11</v>
  </rv>
  <rv s="6">
    <fb>96.93</fb>
    <v>11</v>
  </rv>
  <rv s="6">
    <fb>300.94</fb>
    <v>11</v>
  </rv>
  <rv s="6">
    <fb>130.79</fb>
    <v>11</v>
  </rv>
  <rv s="6">
    <fb>84.49</fb>
    <v>11</v>
  </rv>
  <rv s="6">
    <fb>109.93</fb>
    <v>11</v>
  </rv>
  <rv s="6">
    <fb>18.78</fb>
    <v>11</v>
  </rv>
  <rv s="6">
    <fb>115.36</fb>
    <v>11</v>
  </rv>
  <rv s="6">
    <fb>129.29</fb>
    <v>11</v>
  </rv>
  <rv s="6">
    <fb>68.28</fb>
    <v>11</v>
  </rv>
  <rv s="6">
    <fb>37.1</fb>
    <v>11</v>
  </rv>
  <rv s="6">
    <fb>144.34</fb>
    <v>11</v>
  </rv>
  <rv s="6">
    <fb>61.71</fb>
    <v>11</v>
  </rv>
  <rv s="6">
    <fb>172.27</fb>
    <v>11</v>
  </rv>
  <rv s="6">
    <fb>137.94</fb>
    <v>11</v>
  </rv>
  <rv s="6">
    <fb>161.34</fb>
    <v>11</v>
  </rv>
  <rv s="6">
    <fb>134.46</fb>
    <v>11</v>
  </rv>
  <rv s="6">
    <fb>252.28</fb>
    <v>11</v>
  </rv>
  <rv s="6">
    <fb>184.71</fb>
    <v>11</v>
  </rv>
  <rv s="6">
    <fb>261.47000000000003</fb>
    <v>11</v>
  </rv>
  <rv s="6">
    <fb>95.59</fb>
    <v>11</v>
  </rv>
  <rv s="6">
    <fb>288.42</fb>
    <v>11</v>
  </rv>
  <rv s="6">
    <fb>128.44999999999999</fb>
    <v>11</v>
  </rv>
  <rv s="6">
    <fb>85.06</fb>
    <v>11</v>
  </rv>
  <rv s="6">
    <fb>106.91</fb>
    <v>11</v>
  </rv>
  <rv s="6">
    <fb>17.54</fb>
    <v>11</v>
  </rv>
  <rv s="6">
    <fb>45.23</fb>
    <v>11</v>
  </rv>
  <rv s="6">
    <fb>113.73</fb>
    <v>11</v>
  </rv>
  <rv s="6">
    <fb>126.98</fb>
    <v>11</v>
  </rv>
  <rv s="6">
    <fb>58.2</fb>
    <v>11</v>
  </rv>
  <rv s="6">
    <fb>31.85</fb>
    <v>11</v>
  </rv>
  <rv s="6">
    <fb>128.38999999999999</fb>
    <v>11</v>
  </rv>
  <rv s="6">
    <fb>56.02</fb>
    <v>11</v>
  </rv>
  <rv s="6">
    <fb>163.26</fb>
    <v>11</v>
  </rv>
  <rv s="6">
    <fb>126.25</fb>
    <v>11</v>
  </rv>
  <rv s="6">
    <fb>163.36000000000001</fb>
    <v>11</v>
  </rv>
  <rv s="6">
    <fb>134.21</fb>
    <v>11</v>
  </rv>
  <rv s="6">
    <fb>230.74</fb>
    <v>11</v>
  </rv>
  <rv s="6">
    <fb>164.08</fb>
    <v>11</v>
  </rv>
  <rv s="6">
    <fb>232.9</fb>
    <v>11</v>
  </rv>
  <rv s="6">
    <fb>87.31</fb>
    <v>11</v>
  </rv>
  <rv s="6">
    <fb>275.94</fb>
    <v>11</v>
  </rv>
  <rv s="6">
    <fb>118.81</fb>
    <v>11</v>
  </rv>
  <rv s="6">
    <fb>93.02</fb>
    <v>11</v>
  </rv>
  <rv s="6">
    <fb>15.34</fb>
    <v>11</v>
  </rv>
  <rv s="6">
    <fb>43.76</fb>
    <v>11</v>
  </rv>
  <rv s="6">
    <fb>104.5</fb>
    <v>11</v>
  </rv>
  <rv s="6">
    <fb>110.69</fb>
    <v>11</v>
  </rv>
  <rv s="6">
    <fb>62.27</fb>
    <v>11</v>
  </rv>
  <rv s="6">
    <fb>34.74</fb>
    <v>11</v>
  </rv>
  <rv s="6">
    <fb>146.04</fb>
    <v>11</v>
  </rv>
  <rv s="6">
    <fb>59.85</fb>
    <v>11</v>
  </rv>
  <rv s="6">
    <fb>181.58</fb>
    <v>11</v>
  </rv>
  <rv s="6">
    <fb>134.66999999999999</fb>
    <v>11</v>
  </rv>
  <rv s="6">
    <fb>173.97</fb>
    <v>11</v>
  </rv>
  <rv s="6">
    <fb>146.4</fb>
    <v>11</v>
  </rv>
  <rv s="6">
    <fb>272.66000000000003</fb>
    <v>11</v>
  </rv>
  <rv s="6">
    <fb>216.46</fb>
    <v>11</v>
  </rv>
  <rv s="6">
    <fb>232.13</fb>
    <v>11</v>
  </rv>
  <rv s="6">
    <fb>110.81</fb>
    <v>11</v>
  </rv>
  <rv s="6">
    <fb>296.13</fb>
    <v>11</v>
  </rv>
  <rv s="6">
    <fb>138.29</fb>
    <v>11</v>
  </rv>
  <rv s="6">
    <fb>77.5</fb>
    <v>11</v>
  </rv>
  <rv s="6">
    <fb>93.18</fb>
    <v>11</v>
  </rv>
  <rv s="6">
    <fb>18.23</fb>
    <v>11</v>
  </rv>
  <rv s="6">
    <fb>46.55</fb>
    <v>11</v>
  </rv>
  <rv s="6">
    <fb>114.18</fb>
    <v>11</v>
  </rv>
  <rv s="6">
    <fb>35.44</fb>
    <v>11</v>
  </rv>
  <rv s="6">
    <fb>148.65</fb>
    <v>11</v>
  </rv>
  <rv s="6">
    <fb>63.61</fb>
    <v>11</v>
  </rv>
  <rv s="6">
    <fb>185.51</fb>
    <v>11</v>
  </rv>
  <rv s="6">
    <fb>149.16</fb>
    <v>11</v>
  </rv>
  <rv s="6">
    <fb>178</fb>
    <v>11</v>
  </rv>
  <rv s="6">
    <fb>161.18</fb>
    <v>11</v>
  </rv>
  <rv s="6">
    <fb>272.79000000000002</fb>
    <v>11</v>
  </rv>
  <rv s="6">
    <fb>236.41</fb>
    <v>11</v>
  </rv>
  <rv s="6">
    <fb>255.14</fb>
    <v>11</v>
  </rv>
  <rv s="6">
    <fb>111.34</fb>
    <v>11</v>
  </rv>
  <rv s="6">
    <fb>323.99</fb>
    <v>11</v>
  </rv>
  <rv s="6">
    <fb>148.9</fb>
    <v>11</v>
  </rv>
  <rv s="6">
    <fb>84.7</fb>
    <v>11</v>
  </rv>
  <rv s="6">
    <fb>99.93</fb>
    <v>11</v>
  </rv>
  <rv s="6">
    <fb>19.28</fb>
    <v>11</v>
  </rv>
  <rv s="6">
    <fb>50.13</fb>
    <v>11</v>
  </rv>
  <rv s="6">
    <fb>138.18</fb>
    <v>11</v>
  </rv>
  <rv s="6">
    <fb>135.22</fb>
    <v>11</v>
  </rv>
  <rv s="6">
    <fb>140.33000000000001</fb>
    <v>11</v>
  </rv>
  <rv s="6">
    <fb>180.66</fb>
    <v>11</v>
  </rv>
  <rv s="6">
    <fb>151.56</fb>
    <v>11</v>
  </rv>
  <rv s="6">
    <fb>176.65</fb>
    <v>11</v>
  </rv>
  <rv s="6">
    <fb>161.61000000000001</fb>
    <v>11</v>
  </rv>
  <rv s="6">
    <fb>263.52999999999997</fb>
    <v>11</v>
  </rv>
  <rv s="6">
    <fb>239.56</fb>
    <v>11</v>
  </rv>
  <rv s="6">
    <fb>239.82</fb>
    <v>11</v>
  </rv>
  <rv s="6">
    <fb>110.3</fb>
    <v>11</v>
  </rv>
  <rv s="6">
    <fb>315.86</fb>
    <v>11</v>
  </rv>
  <rv s="6">
    <fb>140.88999999999999</fb>
    <v>11</v>
  </rv>
  <rv s="6">
    <fb>102.99</fb>
    <v>11</v>
  </rv>
  <rv s="6">
    <fb>18.41</fb>
    <v>11</v>
  </rv>
  <rv s="6">
    <fb>51.24</fb>
    <v>11</v>
  </rv>
  <rv s="6">
    <fb>134.1</fb>
    <v>11</v>
  </rv>
  <rv s="6">
    <fb>125.74</fb>
    <v>11</v>
  </rv>
  <rv s="6">
    <fb>67.83</fb>
    <v>11</v>
  </rv>
  <rv s="6">
    <fb>33.79</fb>
    <v>11</v>
  </rv>
  <rv s="6">
    <fb>144.69</fb>
    <v>11</v>
  </rv>
  <rv s="6">
    <fb>61.32</fb>
    <v>11</v>
  </rv>
  <rv s="6">
    <fb>171.02</fb>
    <v>11</v>
  </rv>
  <rv s="6">
    <fb>163.41999999999999</fb>
    <v>11</v>
  </rv>
  <rv s="6">
    <fb>147.75</fb>
    <v>11</v>
  </rv>
  <rv s="6">
    <fb>267.39999999999998</fb>
    <v>11</v>
  </rv>
  <rv s="6">
    <fb>252.29</fb>
    <v>11</v>
  </rv>
  <rv s="6">
    <fb>247.81</fb>
    <v>11</v>
  </rv>
  <rv s="6">
    <fb>116.01</fb>
    <v>11</v>
  </rv>
  <rv s="6">
    <fb>324.17</fb>
    <v>11</v>
  </rv>
  <rv s="6">
    <fb>134.72999999999999</fb>
    <v>11</v>
  </rv>
  <rv s="6">
    <fb>74.63</fb>
    <v>11</v>
  </rv>
  <rv s="6">
    <fb>102.45</fb>
    <v>11</v>
  </rv>
  <rv s="6">
    <fb>20.37</fb>
    <v>11</v>
  </rv>
  <rv s="6">
    <fb>44.16</fb>
    <v>11</v>
  </rv>
  <rv s="6">
    <fb>139.96</fb>
    <v>11</v>
  </rv>
  <rv s="6">
    <fb>130.34</fb>
    <v>11</v>
  </rv>
  <rv s="6">
    <fb>63.95</fb>
    <v>11</v>
  </rv>
  <rv s="6">
    <fb>31.41</fb>
    <v>11</v>
  </rv>
  <rv s="6">
    <fb>155.44</fb>
    <v>11</v>
  </rv>
  <rv s="6">
    <fb>59.51</fb>
    <v>11</v>
  </rv>
  <rv s="6">
    <fb>173.53</fb>
    <v>11</v>
  </rv>
  <rv s="6">
    <fb>137.56</fb>
    <v>11</v>
  </rv>
  <rv s="6">
    <fb>153.26</fb>
    <v>11</v>
  </rv>
  <rv s="6">
    <fb>153.9</fb>
    <v>11</v>
  </rv>
  <rv s="6">
    <fb>263.91000000000003</fb>
    <v>11</v>
  </rv>
  <rv s="6">
    <fb>239.55</fb>
    <v>11</v>
  </rv>
  <rv s="6">
    <fb>249.42</fb>
    <v>11</v>
  </rv>
  <rv s="6">
    <fb>109.91</fb>
    <v>11</v>
  </rv>
  <rv s="6">
    <fb>296.54000000000002</fb>
    <v>11</v>
  </rv>
  <rv s="6">
    <fb>129.30000000000001</fb>
    <v>11</v>
  </rv>
  <rv s="6">
    <fb>71.03</fb>
    <v>11</v>
  </rv>
  <rv s="6">
    <fb>18.91</fb>
    <v>11</v>
  </rv>
  <rv s="6">
    <fb>40.57</fb>
    <v>11</v>
  </rv>
  <rv s="6">
    <fb>143.35</fb>
    <v>11</v>
  </rv>
  <rv s="6">
    <fb>132.06</fb>
    <v>11</v>
  </rv>
  <rv s="6">
    <fb>63.32</fb>
    <v>11</v>
  </rv>
  <rv s="6">
    <fb>31.33</fb>
    <v>11</v>
  </rv>
  <rv s="6">
    <fb>158.24</fb>
    <v>11</v>
  </rv>
  <rv s="6">
    <fb>182.3</fb>
    <v>11</v>
  </rv>
  <rv s="6">
    <fb>148.69</fb>
    <v>11</v>
  </rv>
  <rv s="6">
    <fb>159.37</fb>
    <v>11</v>
  </rv>
  <rv s="6">
    <fb>279.61</fb>
    <v>11</v>
  </rv>
  <rv s="6">
    <fb>228.84</fb>
    <v>11</v>
  </rv>
  <rv s="6">
    <fb>288.3</fb>
    <v>11</v>
  </rv>
  <rv s="6">
    <fb>109.66</fb>
    <v>11</v>
  </rv>
  <rv s="6">
    <fb>295.12</fb>
    <v>11</v>
  </rv>
  <rv s="6">
    <fb>131.09</fb>
    <v>11</v>
  </rv>
  <rv s="6">
    <fb>77.08</fb>
    <v>11</v>
  </rv>
  <rv s="6">
    <fb>96.47</fb>
    <v>11</v>
  </rv>
  <rv s="6">
    <fb>40.799999999999997</fb>
    <v>11</v>
  </rv>
  <rv s="6">
    <fb>130.31</fb>
    <v>11</v>
  </rv>
  <rv s="6">
    <fb>133.58000000000001</fb>
    <v>11</v>
  </rv>
  <rv s="6">
    <fb>62.84</fb>
    <v>11</v>
  </rv>
  <rv s="6">
    <fb>30.37</fb>
    <v>11</v>
  </rv>
  <rv s="6">
    <fb>165.62</fb>
    <v>11</v>
  </rv>
  <rv s="6">
    <fb>64.150000000000006</fb>
    <v>11</v>
  </rv>
  <rv s="6">
    <fb>190.89</fb>
    <v>11</v>
  </rv>
  <rv s="6">
    <fb>156.38</fb>
    <v>11</v>
  </rv>
  <rv s="6">
    <fb>151.12</fb>
    <v>11</v>
  </rv>
  <rv s="6">
    <fb>295.75</fb>
    <v>11</v>
  </rv>
  <rv s="6">
    <fb>218.8</fb>
    <v>11</v>
  </rv>
  <rv s="6">
    <fb>307.26</fb>
    <v>11</v>
  </rv>
  <rv s="6">
    <fb>118.34</fb>
    <v>11</v>
  </rv>
  <rv s="6">
    <fb>300.54000000000002</fb>
    <v>11</v>
  </rv>
  <rv s="6">
    <fb>126.41</fb>
    <v>11</v>
  </rv>
  <rv s="6">
    <fb>98.88</fb>
    <v>11</v>
  </rv>
  <rv s="6">
    <fb>17.670000000000002</fb>
    <v>11</v>
  </rv>
  <rv s="6">
    <fb>38.89</fb>
    <v>11</v>
  </rv>
  <rv s="6">
    <fb>140.26</fb>
    <v>11</v>
  </rv>
  <rv s="6">
    <fb>59.44</fb>
    <v>11</v>
  </rv>
  <rv s="6">
    <fb>28.73</fb>
    <v>11</v>
  </rv>
  <rv s="6">
    <fb>158.18</fb>
    <v>11</v>
  </rv>
  <rv s="6">
    <fb>59.66</fb>
    <v>11</v>
  </rv>
  <rv s="6">
    <fb>182.35</fb>
    <v>11</v>
  </rv>
  <rv s="6">
    <fb>142.5</fb>
    <v>11</v>
  </rv>
  <rv s="6">
    <fb>155.06</fb>
    <v>11</v>
  </rv>
  <rv s="6">
    <fb>137.96</fb>
    <v>11</v>
  </rv>
  <rv s="6">
    <fb>285.11</fb>
    <v>11</v>
  </rv>
  <rv s="6">
    <fb>205.75</fb>
    <v>11</v>
  </rv>
  <rv s="6">
    <fb>328.39</fb>
    <v>11</v>
  </rv>
  <rv s="6">
    <fb>102.18</fb>
    <v>11</v>
  </rv>
  <rv s="6">
    <fb>283.45</fb>
    <v>11</v>
  </rv>
  <rv s="6">
    <fb>128.59</fb>
    <v>11</v>
  </rv>
  <rv s="6">
    <fb>73.459999999999994</fb>
    <v>11</v>
  </rv>
  <rv s="6">
    <fb>89.29</fb>
    <v>11</v>
  </rv>
  <rv s="6">
    <fb>15.73</fb>
    <v>11</v>
  </rv>
  <rv s="6">
    <fb>38.020000000000003</fb>
    <v>11</v>
  </rv>
  <rv s="6">
    <fb>135.71</fb>
    <v>11</v>
  </rv>
  <rv s="6">
    <fb>131.29</fb>
    <v>11</v>
  </rv>
  <rv s="6">
    <fb>59.79</fb>
    <v>11</v>
  </rv>
  <rv s="6">
    <fb>28.56</fb>
    <v>11</v>
  </rv>
  <rv s="6">
    <fb>159.04</fb>
    <v>11</v>
  </rv>
  <rv s="6">
    <fb>60.22</fb>
    <v>11</v>
  </rv>
  <rv s="6">
    <fb>185.22</fb>
    <v>11</v>
  </rv>
  <rv s="6">
    <fb>151.74</fb>
    <v>11</v>
  </rv>
  <rv s="6">
    <fb>165.52</fb>
    <v>11</v>
  </rv>
  <rv s="6">
    <fb>298.41000000000003</fb>
    <v>11</v>
  </rv>
  <rv s="6">
    <fb>246.05</fb>
    <v>11</v>
  </rv>
  <rv s="6">
    <fb>340.54</fb>
    <v>11</v>
  </rv>
  <rv s="6">
    <fb>107.25</fb>
    <v>11</v>
  </rv>
  <rv s="6">
    <fb>310.64</fb>
    <v>11</v>
  </rv>
  <rv s="6">
    <fb>133.81</fb>
    <v>11</v>
  </rv>
  <rv s="6">
    <fb>74.2</fb>
    <v>11</v>
  </rv>
  <rv s="6">
    <fb>89.74</fb>
    <v>11</v>
  </rv>
  <rv s="6">
    <fb>36.68</fb>
    <v>11</v>
  </rv>
  <rv s="6">
    <fb>145.44</fb>
    <v>11</v>
  </rv>
  <rv s="6">
    <fb>26.41</fb>
    <v>11</v>
  </rv>
  <rv s="6">
    <fb>151.47999999999999</fb>
    <v>11</v>
  </rv>
  <rv s="6">
    <fb>61.93</fb>
    <v>11</v>
  </rv>
  <rv s="6">
    <fb>187.46</fb>
    <v>11</v>
  </rv>
  <rv s="6">
    <fb>156.30000000000001</fb>
    <v>11</v>
  </rv>
  <rv s="6">
    <fb>167.53</fb>
    <v>11</v>
  </rv>
  <rv s="6">
    <fb>149.58000000000001</fb>
    <v>11</v>
  </rv>
  <rv s="6">
    <fb>293.2</fb>
    <v>11</v>
  </rv>
  <rv s="6">
    <fb>265.17</fb>
    <v>11</v>
  </rv>
  <rv s="6">
    <fb>335.92</fb>
    <v>11</v>
  </rv>
  <rv s="6">
    <fb>107.24</fb>
    <v>11</v>
  </rv>
  <rv s="6">
    <fb>333.84</fb>
    <v>11</v>
  </rv>
  <rv s="6">
    <fb>144.18</fb>
    <v>11</v>
  </rv>
  <rv s="6">
    <fb>73.3</fb>
    <v>11</v>
  </rv>
  <rv s="6">
    <fb>93.62</fb>
    <v>11</v>
  </rv>
  <rv s="6">
    <fb>14.52</fb>
    <v>11</v>
  </rv>
  <rv s="6">
    <fb>36.06</fb>
    <v>11</v>
  </rv>
  <rv s="6">
    <fb>157.96</fb>
    <v>11</v>
  </rv>
  <rv s="6">
    <fb>143.9</fb>
    <v>11</v>
  </rv>
  <rv s="6">
    <fb>24.77</fb>
    <v>11</v>
  </rv>
  <rv s="6">
    <fb>156.44999999999999</fb>
    <v>11</v>
  </rv>
  <rv s="6">
    <fb>59.83</fb>
    <v>11</v>
  </rv>
  <rv s="6">
    <fb>177.92</fb>
    <v>11</v>
  </rv>
  <rv s="6">
    <fb>154.34</fb>
    <v>11</v>
  </rv>
  <rv s="6">
    <fb>161.68</fb>
    <v>11</v>
  </rv>
  <rv s="6">
    <fb>146.96</fb>
    <v>11</v>
  </rv>
  <rv s="6">
    <fb>281.14999999999998</fb>
    <v>11</v>
  </rv>
  <rv s="6">
    <fb>281.13</fb>
    <v>11</v>
  </rv>
  <rv s="6">
    <fb>327.76</fb>
    <v>11</v>
  </rv>
  <rv s="6">
    <fb>330.3</fb>
    <v>11</v>
  </rv>
  <rv s="6">
    <fb>66.8</fb>
    <v>11</v>
  </rv>
  <rv s="6">
    <fb>88.8</fb>
    <v>11</v>
  </rv>
  <rv s="6">
    <fb>14.79</fb>
    <v>11</v>
  </rv>
  <rv s="6">
    <fb>35.380000000000003</fb>
    <v>11</v>
  </rv>
  <rv s="6">
    <fb>146.33000000000001</fb>
    <v>11</v>
  </rv>
  <rv s="6">
    <fb>141.76</fb>
    <v>11</v>
  </rv>
  <rv s="6">
    <fb>49.94</fb>
    <v>11</v>
  </rv>
  <rv s="6">
    <fb>21.16</fb>
    <v>11</v>
  </rv>
  <rv s="6">
    <fb>131.06</fb>
    <v>11</v>
  </rv>
  <rv s="6">
    <fb>55.98</fb>
    <v>11</v>
  </rv>
  <rv s="6">
    <fb>169.44</fb>
    <v>11</v>
  </rv>
  <rv s="6">
    <fb>145.86000000000001</fb>
    <v>11</v>
  </rv>
  <rv s="6">
    <fb>155.75</fb>
    <v>11</v>
  </rv>
  <rv s="6">
    <fb>149.06</fb>
    <v>11</v>
  </rv>
  <rv s="6">
    <fb>263.44</fb>
    <v>11</v>
  </rv>
  <rv s="6">
    <fb>273</fb>
    <v>11</v>
  </rv>
  <rv s="6">
    <fb>315.75</fb>
    <v>11</v>
  </rv>
  <rv s="6">
    <fb>117.58</fb>
    <v>11</v>
  </rv>
  <rv s="6">
    <fb>302.16000000000003</fb>
    <v>11</v>
  </rv>
  <rv s="6">
    <fb>140.30000000000001</fb>
    <v>11</v>
  </rv>
  <rv s="6">
    <fb>57.29</fb>
    <v>11</v>
  </rv>
  <rv s="6">
    <fb>88.26</fb>
    <v>11</v>
  </rv>
  <rv s="6">
    <fb>15.02</fb>
    <v>11</v>
  </rv>
  <rv s="6">
    <fb>33.17</fb>
    <v>11</v>
  </rv>
  <rv s="6">
    <fb>145.02000000000001</fb>
    <v>11</v>
  </rv>
  <rv s="6">
    <fb>129.80000000000001</fb>
    <v>11</v>
  </rv>
  <rv s="6">
    <fb>47.38</fb>
    <v>11</v>
  </rv>
  <rv s="6">
    <fb>21.71</fb>
    <v>11</v>
  </rv>
  <rv s="6">
    <fb>117.7</fb>
    <v>11</v>
  </rv>
  <rv s="6">
    <fb>56.49</fb>
    <v>11</v>
  </rv>
  <rv s="6">
    <fb>163.28</fb>
    <v>11</v>
  </rv>
  <rv s="6">
    <fb>150.03</fb>
    <v>11</v>
  </rv>
  <rv s="6">
    <fb>148.34</fb>
    <v>11</v>
  </rv>
  <rv s="6">
    <fb>141.18</fb>
    <v>11</v>
  </rv>
  <rv s="6">
    <fb>262.17</fb>
    <v>11</v>
  </rv>
  <rv s="6">
    <fb>226.05</fb>
    <v>11</v>
  </rv>
  <rv s="6">
    <fb>338.11</fb>
    <v>11</v>
  </rv>
  <rv s="6">
    <fb>105.85</fb>
    <v>11</v>
  </rv>
  <rv s="6">
    <fb>284.69</fb>
    <v>11</v>
  </rv>
  <rv s="6">
    <fb>144.63999999999999</fb>
    <v>11</v>
  </rv>
  <rv s="6">
    <fb>58.3</fb>
    <v>11</v>
  </rv>
  <rv s="6">
    <fb>88.89</fb>
    <v>11</v>
  </rv>
  <rv s="6">
    <fb>15.4</fb>
    <v>11</v>
  </rv>
  <rv s="6">
    <fb>30.56</fb>
    <v>11</v>
  </rv>
  <rv s="6">
    <fb>139.06</fb>
    <v>11</v>
  </rv>
  <rv s="6">
    <fb>53.96</fb>
    <v>11</v>
  </rv>
  <rv s="6">
    <fb>24.97</fb>
    <v>11</v>
  </rv>
  <rv s="6">
    <fb>58.44</fb>
    <v>11</v>
  </rv>
  <rv s="6">
    <fb>168.29</fb>
    <v>11</v>
  </rv>
  <rv s="6">
    <fb>153.52000000000001</fb>
    <v>11</v>
  </rv>
  <rv s="6">
    <fb>154.66</fb>
    <v>11</v>
  </rv>
  <rv s="6">
    <fb>281.83999999999997</fb>
    <v>11</v>
  </rv>
  <rv s="6">
    <fb>250.72</fb>
    <v>11</v>
  </rv>
  <rv s="6">
    <fb>378.91</fb>
    <v>11</v>
  </rv>
  <rv s="6">
    <fb>102.74</fb>
    <v>11</v>
  </rv>
  <rv s="6">
    <fb>313.49</fb>
    <v>11</v>
  </rv>
  <rv s="6">
    <fb>158.56</fb>
    <v>11</v>
  </rv>
  <rv s="6">
    <fb>58.51</fb>
    <v>11</v>
  </rv>
  <rv s="6">
    <fb>92.28</fb>
    <v>11</v>
  </rv>
  <rv s="6">
    <fb>16.57</fb>
    <v>11</v>
  </rv>
  <rv s="6">
    <fb>30.47</fb>
    <v>11</v>
  </rv>
  <rv s="6">
    <fb>156.08000000000001</fb>
    <v>11</v>
  </rv>
  <rv s="6">
    <fb>141.99</fb>
    <v>11</v>
  </rv>
  <rv s="6">
    <fb>57.42</fb>
    <v>11</v>
  </rv>
  <rv s="6">
    <fb>27.43</fb>
    <v>11</v>
  </rv>
  <rv s="6">
    <fb>142.59</fb>
    <v>11</v>
  </rv>
  <rv s="6">
    <fb>58.93</fb>
    <v>11</v>
  </rv>
  <rv s="6">
    <fb>169.84</fb>
    <v>11</v>
  </rv>
  <rv s="6">
    <fb>146.54</fb>
    <v>11</v>
  </rv>
  <rv s="6">
    <fb>156.74</fb>
    <v>11</v>
  </rv>
  <rv s="6">
    <fb>154.97</fb>
    <v>11</v>
  </rv>
  <rv s="6">
    <fb>296.51</fb>
    <v>11</v>
  </rv>
  <rv s="6">
    <fb>295.67</fb>
    <v>11</v>
  </rv>
  <rv s="6">
    <fb>376.04</fb>
    <v>11</v>
  </rv>
  <rv s="6">
    <fb>99.98</fb>
    <v>11</v>
  </rv>
  <rv s="6">
    <fb>346.55</fb>
    <v>11</v>
  </rv>
  <rv s="6">
    <fb>163.55000000000001</fb>
    <v>11</v>
  </rv>
  <rv s="6">
    <fb>60.74</fb>
    <v>11</v>
  </rv>
  <rv s="6">
    <fb>97.04</fb>
    <v>11</v>
  </rv>
  <rv s="6">
    <fb>16.78</fb>
    <v>11</v>
  </rv>
  <rv s="6">
    <fb>28.79</fb>
    <v>11</v>
  </rv>
  <rv s="6">
    <fb>170.1</fb>
    <v>11</v>
  </rv>
  <rv s="6">
    <fb>149.55000000000001</fb>
    <v>11</v>
  </rv>
  <rv s="6">
    <fb>54.39</fb>
    <v>11</v>
  </rv>
  <rv s="6">
    <fb>24.24</fb>
    <v>11</v>
  </rv>
  <rv s="6">
    <fb>145.25</fb>
    <v>11</v>
  </rv>
  <rv s="6">
    <fb>59.49</fb>
    <v>11</v>
  </rv>
  <rv s="6">
    <fb>168.53</fb>
    <v>11</v>
  </rv>
  <rv s="6">
    <fb>157.13999999999999</fb>
    <v>11</v>
  </rv>
  <rv s="6">
    <fb>158.9</fb>
    <v>11</v>
  </rv>
  <rv s="6">
    <fb>164.4</fb>
    <v>11</v>
  </rv>
  <rv s="6">
    <fb>292.72000000000003</fb>
    <v>11</v>
  </rv>
  <rv s="6">
    <fb>300.31</fb>
    <v>11</v>
  </rv>
  <rv s="6">
    <fb>397.58</fb>
    <v>11</v>
  </rv>
  <rv s="6">
    <fb>102.81</fb>
    <v>11</v>
  </rv>
  <rv s="6">
    <fb>352.96</fb>
    <v>11</v>
  </rv>
  <rv s="6">
    <fb>183.66</fb>
    <v>11</v>
  </rv>
  <rv s="6">
    <fb>58.63</fb>
    <v>11</v>
  </rv>
  <rv s="6">
    <fb>95.83</fb>
    <v>11</v>
  </rv>
  <rv s="6">
    <fb>17.690000000000001</fb>
    <v>11</v>
  </rv>
  <rv s="6">
    <fb>27.08</fb>
    <v>11</v>
  </rv>
  <rv s="6">
    <fb>141.04</fb>
    <v>11</v>
  </rv>
  <rv s="6">
    <fb>52.11</fb>
    <v>11</v>
  </rv>
  <rv s="6">
    <fb>21.8</fb>
    <v>11</v>
  </rv>
  <rv s="6">
    <fb>153.31</fb>
    <v>11</v>
  </rv>
  <rv s="6">
    <fb>60.02</fb>
    <v>11</v>
  </rv>
  <rv s="6">
    <fb>165.34</fb>
    <v>11</v>
  </rv>
  <rv s="6">
    <fb>158.94</fb>
    <v>11</v>
  </rv>
  <rv s="6">
    <fb>161.38</fb>
    <v>11</v>
  </rv>
  <rv s="6">
    <fb>176.05</fb>
    <v>11</v>
  </rv>
  <rv s="6">
    <fb>292.27999999999997</fb>
    <v>11</v>
  </rv>
  <rv s="6">
    <fb>333.96</fb>
    <v>11</v>
  </rv>
  <rv s="6">
    <fb>413.64</fb>
    <v>11</v>
  </rv>
  <rv s="6">
    <fb>380.61</fb>
    <v>11</v>
  </rv>
  <rv s="6">
    <fb>185.03</fb>
    <v>11</v>
  </rv>
  <rv s="6">
    <fb>55.19</fb>
    <v>11</v>
  </rv>
  <rv s="6">
    <fb>91.83</fb>
    <v>11</v>
  </rv>
  <rv s="6">
    <fb>16.93</fb>
    <v>11</v>
  </rv>
  <rv s="6">
    <fb>26.56</fb>
    <v>11</v>
  </rv>
  <rv s="6">
    <fb>186.06</fb>
    <v>11</v>
  </rv>
  <rv s="6">
    <fb>141.6</fb>
    <v>11</v>
  </rv>
  <rv s="6">
    <fb>54.1</fb>
    <v>11</v>
  </rv>
  <rv s="6">
    <fb>23.05</fb>
    <v>11</v>
  </rv>
  <rv s="6">
    <fb>61.18</fb>
    <v>11</v>
  </rv>
  <rv s="6">
    <fb>175.01</fb>
    <v>11</v>
  </rv>
  <rv s="6">
    <fb>162.25</fb>
    <v>11</v>
  </rv>
  <rv s="6">
    <fb>158.19</fb>
    <v>11</v>
  </rv>
  <rv s="6">
    <fb>182.1</fb>
    <v>11</v>
  </rv>
  <rv s="6">
    <fb>281.95</fb>
    <v>11</v>
  </rv>
  <rv s="6">
    <fb>366.43</fb>
    <v>11</v>
  </rv>
  <rv s="6">
    <fb>420.72</fb>
    <v>11</v>
  </rv>
  <rv s="6">
    <fb>383.6</fb>
    <v>11</v>
  </rv>
  <rv s="6">
    <fb>190.96</fb>
    <v>11</v>
  </rv>
  <rv s="6">
    <fb>63.91</fb>
    <v>11</v>
  </rv>
  <rv s="6">
    <fb>17.600000000000001</fb>
    <v>11</v>
  </rv>
  <rv s="6">
    <fb>27.75</fb>
    <v>11</v>
  </rv>
  <rv s="6">
    <fb>200.3</fb>
    <v>11</v>
  </rv>
  <rv s="6">
    <fb>144.9</fb>
    <v>11</v>
  </rv>
  <rv s="6">
    <fb>53.54</fb>
    <v>11</v>
  </rv>
  <rv s="6">
    <fb>23.38</fb>
    <v>11</v>
  </rv>
  <rv s="6">
    <fb>147.87</fb>
    <v>11</v>
  </rv>
  <rv s="6">
    <fb>61.77</fb>
    <v>11</v>
  </rv>
  <rv s="6">
    <fb>175.91</fb>
    <v>11</v>
  </rv>
  <rv s="6">
    <fb>163.19999999999999</fb>
    <v>11</v>
  </rv>
  <rv s="6">
    <fb>144.59</fb>
    <v>11</v>
  </rv>
  <rv s="6">
    <fb>162.63999999999999</fb>
    <v>11</v>
  </rv>
  <rv s="6">
    <fb>273.04000000000002</fb>
    <v>11</v>
  </rv>
  <rv s="6">
    <fb>334.57</fb>
    <v>11</v>
  </rv>
  <rv s="6">
    <fb>389.33</fb>
    <v>11</v>
  </rv>
  <rv s="6">
    <fb>118.27</fb>
    <v>11</v>
  </rv>
  <rv s="6">
    <fb>334.22</fb>
    <v>11</v>
  </rv>
  <rv s="6">
    <fb>166.2</fb>
    <v>11</v>
  </rv>
  <rv s="6">
    <fb>66.97</fb>
    <v>11</v>
  </rv>
  <rv s="6">
    <fb>98.26</fb>
    <v>11</v>
  </rv>
  <rv s="6">
    <fb>16.89</fb>
    <v>11</v>
  </rv>
  <rv s="6">
    <fb>25.62</fb>
    <v>11</v>
  </rv>
  <rv s="6">
    <fb>191.74</fb>
    <v>11</v>
  </rv>
  <rv s="6">
    <fb>129</fb>
    <v>11</v>
  </rv>
  <rv s="6">
    <fb>53.06</fb>
    <v>11</v>
  </rv>
  <rv s="6">
    <fb>28</fb>
    <v>11</v>
  </rv>
  <rv s="6">
    <fb>131.56</fb>
    <v>11</v>
  </rv>
  <rv s="6">
    <fb>172.9</fb>
    <v>11</v>
  </rv>
  <rv s="6">
    <fb>164.54</fb>
    <v>11</v>
  </rv>
  <rv s="6">
    <fb>146.66999999999999</fb>
    <v>11</v>
  </rv>
  <rv s="6">
    <fb>161.24</fb>
    <v>11</v>
  </rv>
  <rv s="6">
    <fb>258.89</fb>
    <v>11</v>
  </rv>
  <rv s="6">
    <fb>338.52</fb>
    <v>11</v>
  </rv>
  <rv s="6">
    <fb>415.13</fb>
    <v>11</v>
  </rv>
  <rv s="6">
    <fb>117.26</fb>
    <v>11</v>
  </rv>
  <rv s="6">
    <fb>334.87</fb>
    <v>11</v>
  </rv>
  <rv s="6">
    <fb>166.85</fb>
    <v>11</v>
  </rv>
  <rv s="6">
    <fb>103.57</fb>
    <v>11</v>
  </rv>
  <rv s="6">
    <fb>18.22</fb>
    <v>11</v>
  </rv>
  <rv s="6">
    <fb>28.66</fb>
    <v>11</v>
  </rv>
  <rv s="6">
    <fb>202.63</fb>
    <v>11</v>
  </rv>
  <rv s="6">
    <fb>131.41</fb>
    <v>11</v>
  </rv>
  <rv s="6">
    <fb>52.82</fb>
    <v>11</v>
  </rv>
  <rv s="6">
    <fb>24.69</fb>
    <v>11</v>
  </rv>
  <rv s="6">
    <fb>136.47</fb>
    <v>11</v>
  </rv>
  <rv s="6">
    <fb>63.65</fb>
    <v>11</v>
  </rv>
  <rv s="6">
    <fb>164.93</fb>
    <v>11</v>
  </rv>
  <rv s="6">
    <fb>164.92</fb>
    <v>11</v>
  </rv>
  <rv s="6">
    <fb>146.16</fb>
    <v>11</v>
  </rv>
  <rv s="6">
    <fb>171.52</fb>
    <v>11</v>
  </rv>
  <rv s="6">
    <fb>254.84</fb>
    <v>11</v>
  </rv>
  <rv s="6">
    <fb>333.1</fb>
    <v>11</v>
  </rv>
  <rv s="6">
    <fb>446.95</fb>
    <v>11</v>
  </rv>
  <rv s="6">
    <fb>115.12</fb>
    <v>11</v>
  </rv>
  <rv s="6">
    <fb>344.24</fb>
    <v>11</v>
  </rv>
  <rv s="6">
    <fb>172.95</fb>
    <v>11</v>
  </rv>
  <rv s="6">
    <fb>70.81</fb>
    <v>11</v>
  </rv>
  <rv s="6">
    <fb>100.23</fb>
    <v>11</v>
  </rv>
  <rv s="6">
    <fb>19.11</fb>
    <v>11</v>
  </rv>
  <rv s="6">
    <fb>27.98</fb>
    <v>11</v>
  </rv>
  <rv s="6">
    <fb>202.26</fb>
    <v>11</v>
  </rv>
  <rv s="6">
    <fb>125.89</fb>
    <v>11</v>
  </rv>
  <rv s="6">
    <fb>57.43</fb>
    <v>11</v>
  </rv>
  <rv s="6">
    <fb>26.68</fb>
    <v>11</v>
  </rv>
  <rv s="6">
    <fb>131.93</fb>
    <v>11</v>
  </rv>
  <rv s="6">
    <fb>172.67</fb>
    <v>11</v>
  </rv>
  <rv s="6">
    <fb>160.76</fb>
    <v>11</v>
  </rv>
  <rv s="6">
    <fb>157.85</fb>
    <v>11</v>
  </rv>
  <rv s="6">
    <fb>185.32</fb>
    <v>11</v>
  </rv>
  <rv s="6">
    <fb>265.39999999999998</fb>
    <v>11</v>
  </rv>
  <rv s="6">
    <fb>346.2</fb>
    <v>11</v>
  </rv>
  <rv s="6">
    <fb>418.35</fb>
    <v>11</v>
  </rv>
  <rv s="6">
    <fb>118.59</fb>
    <v>11</v>
  </rv>
  <rv s="6">
    <fb>368.16</fb>
    <v>11</v>
  </rv>
  <rv s="6">
    <fb>192.14</fb>
    <v>11</v>
  </rv>
  <rv s="6">
    <fb>76.39</fb>
    <v>11</v>
  </rv>
  <rv s="6">
    <fb>109.27</fb>
    <v>11</v>
  </rv>
  <rv s="6">
    <fb>30.54</fb>
    <v>11</v>
  </rv>
  <rv s="6">
    <fb>212.8</fb>
    <v>11</v>
  </rv>
  <rv s="6">
    <fb>62.11</fb>
    <v>11</v>
  </rv>
  <rv s="6">
    <fb>28.96</fb>
    <v>11</v>
  </rv>
  <rv s="6">
    <fb>158.31</fb>
    <v>11</v>
  </rv>
  <rv s="6">
    <fb>72.47</fb>
    <v>11</v>
  </rv>
  <rv s="6">
    <fb>172.88</fb>
    <v>11</v>
  </rv>
  <rv s="6">
    <fb>171.54</fb>
    <v>11</v>
  </rv>
  <rv s="6">
    <fb>165.86</fb>
    <v>11</v>
  </rv>
  <rv s="6">
    <fb>196.31</fb>
    <v>11</v>
  </rv>
  <rv s="6">
    <fb>288.66000000000003</fb>
    <v>11</v>
  </rv>
  <rv s="6">
    <fb>356.1</fb>
    <v>11</v>
  </rv>
  <rv s="6">
    <fb>417.14</fb>
    <v>11</v>
  </rv>
  <rv s="6">
    <fb>368.5</fb>
    <v>11</v>
  </rv>
  <rv s="6">
    <fb>202.13</fb>
    <v>11</v>
  </rv>
  <rv s="6">
    <fb>80.510000000000005</fb>
    <v>11</v>
  </rv>
  <rv s="6">
    <fb>19.899999999999999</fb>
    <v>11</v>
  </rv>
  <rv s="6">
    <fb>29.01</fb>
    <v>11</v>
  </rv>
  <rv s="6">
    <fb>224.8</fb>
    <v>11</v>
  </rv>
  <rv s="6">
    <fb>129.72999999999999</fb>
    <v>11</v>
  </rv>
  <rv s="6">
    <fb>63.42</fb>
    <v>11</v>
  </rv>
  <rv s="6">
    <fb>30.68</fb>
    <v>11</v>
  </rv>
  <rv s="6">
    <fb>162.91</fb>
    <v>11</v>
  </rv>
  <rv s="6">
    <fb>71.86</fb>
    <v>11</v>
  </rv>
  <rv s="6">
    <fb>170.05</fb>
    <v>11</v>
  </rv>
  <rv s="6">
    <fb>173.2</fb>
    <v>11</v>
  </rv>
  <rv s="6">
    <fb>162.06</fb>
    <v>11</v>
  </rv>
  <rv s="6">
    <fb>197.48</fb>
    <v>11</v>
  </rv>
  <rv s="6">
    <fb>304.51</fb>
    <v>11</v>
  </rv>
  <rv s="6">
    <fb>391.12</fb>
    <v>11</v>
  </rv>
  <rv s="6">
    <fb>430.3</fb>
    <v>11</v>
  </rv>
  <rv s="6">
    <fb>117.22</fb>
    <v>11</v>
  </rv>
  <rv s="6">
    <fb>405.2</fb>
    <v>11</v>
  </rv>
  <rv s="6">
    <fb>221.08</fb>
    <v>11</v>
  </rv>
  <rv s="6">
    <fb>84.53</fb>
    <v>11</v>
  </rv>
  <rv s="6">
    <fb>115.3</fb>
    <v>11</v>
  </rv>
  <rv s="6">
    <fb>22</fb>
    <v>11</v>
  </rv>
  <rv s="6">
    <fb>28.94</fb>
    <v>11</v>
  </rv>
  <rv s="6">
    <fb>210.86</fb>
    <v>11</v>
  </rv>
  <rv s="6">
    <fb>132.46</fb>
    <v>11</v>
  </rv>
  <rv s="6">
    <fb>59.37</fb>
    <v>11</v>
  </rv>
  <rv s="6">
    <fb>28.38</fb>
    <v>11</v>
  </rv>
  <rv s="6">
    <fb>158.55000000000001</fb>
    <v>11</v>
  </rv>
  <rv s="6">
    <fb>65.31</fb>
    <v>11</v>
  </rv>
  <rv s="6">
    <fb>166.08</fb>
    <v>11</v>
  </rv>
  <rv s="6">
    <fb>165.18</fb>
    <v>11</v>
  </rv>
  <rv s="6">
    <fb>159.86000000000001</fb>
    <v>11</v>
  </rv>
  <rv s="6">
    <fb>203.87</fb>
    <v>11</v>
  </rv>
  <rv s="6">
    <fb>292.11</fb>
    <v>11</v>
  </rv>
  <rv s="6">
    <fb>376.2</fb>
    <v>11</v>
  </rv>
  <rv s="6">
    <fb>406.35</fb>
    <v>11</v>
  </rv>
  <rv s="6">
    <fb>116.78</fb>
    <v>11</v>
  </rv>
  <rv s="6">
    <fb>393.75</fb>
    <v>11</v>
  </rv>
  <rv s="6">
    <fb>206.72</fb>
    <v>11</v>
  </rv>
  <rv s="6">
    <fb>79.25</fb>
    <v>11</v>
  </rv>
  <rv s="6">
    <fb>115.27</fb>
    <v>11</v>
  </rv>
  <rv s="6">
    <fb>22.54</fb>
    <v>11</v>
  </rv>
  <rv s="6">
    <fb>28.3</fb>
    <v>11</v>
  </rv>
  <rv s="6">
    <fb>221.92</fb>
    <v>11</v>
  </rv>
  <rv s="6">
    <fb>57.89</fb>
    <v>11</v>
  </rv>
  <rv s="6">
    <fb>29.49</fb>
    <v>11</v>
  </rv>
  <rv s="6">
    <fb>167.17</fb>
    <v>11</v>
  </rv>
  <rv s="6">
    <fb>64.08</fb>
    <v>11</v>
  </rv>
  <rv s="6">
    <fb>163.44999999999999</fb>
    <v>11</v>
  </rv>
  <rv s="6">
    <fb>179.26</fb>
    <v>11</v>
  </rv>
  <rv s="6">
    <fb>155.01</fb>
    <v>11</v>
  </rv>
  <rv s="6">
    <fb>182.93</fb>
    <v>11</v>
  </rv>
  <rv s="6">
    <fb>296.01</fb>
    <v>11</v>
  </rv>
  <rv s="6">
    <fb>406.11</fb>
    <v>11</v>
  </rv>
  <rv s="6">
    <fb>423.46</fb>
    <v>11</v>
  </rv>
  <rv s="6">
    <fb>117.96</fb>
    <v>11</v>
  </rv>
  <rv s="6">
    <fb>429.13</fb>
    <v>11</v>
  </rv>
  <rv s="6">
    <fb>227.41</fb>
    <v>11</v>
  </rv>
  <rv s="6">
    <fb>78.67</fb>
    <v>11</v>
  </rv>
  <rv s="6">
    <fb>117.05</fb>
    <v>11</v>
  </rv>
  <rv s="6">
    <fb>23.16</fb>
    <v>11</v>
  </rv>
  <rv s="6">
    <fb>26.21</fb>
    <v>11</v>
  </rv>
  <rv s="6">
    <fb>249.72</fb>
    <v>11</v>
  </rv>
  <rv s="6">
    <fb>124.37</fb>
    <v>11</v>
  </rv>
  <rv s="6">
    <fb>53.41</fb>
    <v>11</v>
  </rv>
  <rv s="6">
    <fb>26</fb>
    <v>11</v>
  </rv>
  <rv s="6">
    <fb>162.41</fb>
    <v>11</v>
  </rv>
  <rv s="6">
    <fb>62.26</fb>
    <v>11</v>
  </rv>
  <rv s="6">
    <fb>152.06</fb>
    <v>11</v>
  </rv>
  <rv s="6">
    <fb>167.65</fb>
    <v>11</v>
  </rv>
  <rv s="6">
    <fb>144.62</fb>
    <v>11</v>
  </rv>
  <rv s="6">
    <fb>177.7</fb>
    <v>11</v>
  </rv>
  <rv s="6">
    <fb>289.89</fb>
    <v>11</v>
  </rv>
  <rv s="6">
    <fb>362.76</fb>
    <v>11</v>
  </rv>
  <rv s="6">
    <fb>421.5</fb>
    <v>11</v>
  </rv>
  <rv s="6">
    <fb>107.57</fb>
    <v>11</v>
  </rv>
  <rv s="6">
    <fb>388.99</fb>
    <v>11</v>
  </rv>
  <rv s="6">
    <fb>71.69</fb>
    <v>11</v>
  </rv>
  <rv s="6">
    <fb>22.77</fb>
    <v>11</v>
  </rv>
  <rv s="6">
    <fb>26.53</fb>
    <v>11</v>
  </rv>
  <rv s="6">
    <fb>239.71</fb>
    <v>11</v>
  </rv>
  <rv s="6">
    <fb>119.45</fb>
    <v>11</v>
  </rv>
  <rv s="6">
    <fb>54.64</fb>
    <v>11</v>
  </rv>
  <rv s="6">
    <fb>25.93</fb>
    <v>11</v>
  </rv>
  <rv s="6">
    <fb>158.68</fb>
    <v>11</v>
  </rv>
  <rv s="6">
    <fb>63.48</fb>
    <v>11</v>
  </rv>
  <rv s="6">
    <fb>150.69</fb>
    <v>11</v>
  </rv>
  <rv s="6">
    <fb>152.15</fb>
    <v>11</v>
  </rv>
  <rv s="6">
    <fb>183.9</fb>
    <v>11</v>
  </rv>
  <rv s="6">
    <fb>288.7</fb>
    <v>11</v>
  </rv>
  <rv s="6">
    <fb>371.44</fb>
    <v>11</v>
  </rv>
  <rv s="6">
    <fb>415.06</fb>
    <v>11</v>
  </rv>
  <rv s="6">
    <fb>106.83</fb>
    <v>11</v>
  </rv>
  <rv s="6">
    <fb>411.98</fb>
    <v>11</v>
  </rv>
  <rv s="6">
    <fb>255.7</fb>
    <v>11</v>
  </rv>
  <rv s="6">
    <fb>71.56</fb>
    <v>11</v>
  </rv>
  <rv s="6">
    <fb>111.99</fb>
    <v>11</v>
  </rv>
  <rv s="6">
    <fb>23.73</fb>
    <v>11</v>
  </rv>
  <rv s="6">
    <fb>26.52</fb>
    <v>11</v>
  </rv>
  <rv s="6">
    <fb>267.3</fb>
    <v>11</v>
  </rv>
  <rv s="6">
    <fb>115.38</fb>
    <v>11</v>
  </rv>
  <rv s="6">
    <fb>28.02</fb>
    <v>11</v>
  </rv>
  <rv s="6">
    <fb>71.209999999999994</fb>
    <v>11</v>
  </rv>
  <rv s="6">
    <fb>153.47</fb>
    <v>11</v>
  </rv>
  <rv s="6">
    <fb>173.84</fb>
    <v>11</v>
  </rv>
  <rv s="6">
    <fb>165.02</fb>
    <v>11</v>
  </rv>
  <rv s="6">
    <fb>209.03</fb>
    <v>11</v>
  </rv>
  <rv s="6">
    <fb>308.33</fb>
    <v>11</v>
  </rv>
  <rv s="6">
    <fb>343.95</fb>
    <v>11</v>
  </rv>
  <rv s="6">
    <fb>396.99</fb>
    <v>11</v>
  </rv>
  <rv s="6">
    <fb>111.33</fb>
    <v>11</v>
  </rv>
  <rv s="6">
    <fb>396.6</fb>
    <v>11</v>
  </rv>
  <rv s="6">
    <fb>252.44</fb>
    <v>11</v>
  </rv>
  <rv s="6">
    <fb>70.17</fb>
    <v>11</v>
  </rv>
  <rv s="6">
    <fb>27.41</fb>
    <v>11</v>
  </rv>
  <rv s="6">
    <fb>26.43</fb>
    <v>11</v>
  </rv>
  <rv s="6">
    <fb>264.64999999999998</fb>
    <v>11</v>
  </rv>
  <rv s="6">
    <fb>113.22</fb>
    <v>11</v>
  </rv>
  <rv s="6">
    <fb>58.01</fb>
    <v>11</v>
  </rv>
  <rv s="6">
    <fb>147.25</fb>
    <v>11</v>
  </rv>
  <rv s="6">
    <fb>71.62</fb>
    <v>11</v>
  </rv>
  <rv s="6">
    <fb>149.94</fb>
    <v>11</v>
  </rv>
  <rv s="6">
    <fb>170.42</fb>
    <v>11</v>
  </rv>
  <rv s="6">
    <fb>165.84</fb>
    <v>11</v>
  </rv>
  <rv s="6">
    <fb>209.52</fb>
    <v>11</v>
  </rv>
  <rv s="6">
    <fb>312.37</fb>
    <v>11</v>
  </rv>
  <rv s="6">
    <fb>329.8</fb>
    <v>11</v>
  </rv>
  <rv s="6">
    <fb>375.39</fb>
    <v>11</v>
  </rv>
  <rv s="6">
    <fb>366.49</fb>
    <v>11</v>
  </rv>
  <rv s="6">
    <fb>248.66</fb>
    <v>11</v>
  </rv>
  <rv s="6">
    <fb>70.89</fb>
    <v>11</v>
  </rv>
  <rv s="6">
    <fb>121.97</fb>
    <v>11</v>
  </rv>
  <rv s="6">
    <fb>28.28</fb>
    <v>11</v>
  </rv>
  <rv s="6">
    <fb>25.34</fb>
    <v>11</v>
  </rv>
  <rv s="6">
    <fb>245.3</fb>
    <v>11</v>
  </rv>
  <rv s="6">
    <fb>109.35</fb>
    <v>11</v>
  </rv>
  <rv s="6">
    <fb>29.34</fb>
    <v>11</v>
  </rv>
  <rv s="6">
    <fb>142.30000000000001</fb>
    <v>11</v>
  </rv>
  <rv s="6">
    <fb>72.55</fb>
    <v>11</v>
  </rv>
  <rv s="6">
    <fb>135.58000000000001</fb>
    <v>11</v>
  </rv>
  <rv s="6">
    <fb>162.57</fb>
    <v>11</v>
  </rv>
  <rv s="6">
    <fb>156.31</fb>
    <v>11</v>
  </rv>
  <rv s="6">
    <fb>319.64999999999998</fb>
    <v>11</v>
  </rv>
  <rv s="6">
    <fb>309.27</fb>
    <v>11</v>
  </rv>
  <rv s="6">
    <fb>395.26</fb>
    <v>11</v>
  </rv>
  <rv s="6">
    <fb>105.63</fb>
    <v>11</v>
  </rv>
  <rv s="6">
    <fb>360.49</fb>
    <v>11</v>
  </rv>
  <rv s="6">
    <fb>241.82</fb>
    <v>11</v>
  </rv>
  <rv s="6">
    <fb>66.88</fb>
    <v>11</v>
  </rv>
  <rv s="6">
    <fb>122.02</fb>
    <v>11</v>
  </rv>
  <rv s="6">
    <fb>27.7</fb>
    <v>11</v>
  </rv>
  <rv s="6">
    <fb>24.41</fb>
    <v>11</v>
  </rv>
  <rv s="6">
    <fb>244.62</fb>
    <v>11</v>
  </rv>
  <rv s="6">
    <fb>108.86</fb>
    <v>11</v>
  </rv>
  <rv s="6">
    <fb>56.62</fb>
    <v>11</v>
  </rv>
  <rv s="6">
    <fb>30.77</fb>
    <v>11</v>
  </rv>
  <rv s="6">
    <fb>131.88</fb>
    <v>11</v>
  </rv>
  <rv s="6">
    <fb>72.099999999999994</fb>
    <v>11</v>
  </rv>
  <rv s="6">
    <fb>131.44999999999999</fb>
    <v>11</v>
  </rv>
  <rv s="6">
    <fb>155.21</fb>
    <v>11</v>
  </rv>
  <rv s="6">
    <fb>186.11</fb>
    <v>11</v>
  </rv>
  <rv s="6">
    <fb>313.85000000000002</fb>
    <v>11</v>
  </rv>
  <rv s="6">
    <fb>348.03</fb>
    <v>11</v>
  </rv>
  <rv s="6">
    <fb>460.36</fb>
    <v>11</v>
  </rv>
  <rv s="6">
    <fb>102.3</fb>
    <v>11</v>
  </rv>
  <rv s="6">
    <fb>368.29</fb>
    <v>11</v>
  </rv>
  <rv s="6">
    <fb>259.06</fb>
    <v>11</v>
  </rv>
  <rv s="6">
    <fb>70.64</fb>
    <v>11</v>
  </rv>
  <rv s="6">
    <fb>117.72</fb>
    <v>11</v>
  </rv>
  <rv s="6">
    <fb>27.8</fb>
    <v>11</v>
  </rv>
  <rv s="6">
    <fb>23.49</fb>
    <v>11</v>
  </rv>
  <rv s="6">
    <fb>264</fb>
    <v>11</v>
  </rv>
  <rv s="6">
    <fb>110.8</fb>
    <v>11</v>
  </rv>
  <rv s="6">
    <fb>57.61</fb>
    <v>11</v>
  </rv>
  <rv s="6">
    <fb>32</fb>
    <v>11</v>
  </rv>
  <rv s="6">
    <fb>120.07</fb>
    <v>11</v>
  </rv>
  <rv s="6">
    <fb>70.75</fb>
    <v>11</v>
  </rv>
  <rv s="6">
    <fb>159.32</fb>
    <v>11</v>
  </rv>
  <rv s="6">
    <fb>152.75</fb>
    <v>11</v>
  </rv>
  <rv s="6">
    <fb>185.62</fb>
    <v>11</v>
  </rv>
  <rv s="6">
    <fb>292.17</fb>
    <v>11</v>
  </rv>
  <rv s="6">
    <fb>388.21</fb>
    <v>11</v>
  </rv>
  <rv s="6">
    <fb>497.41</fb>
    <v>11</v>
  </rv>
  <rv s="6">
    <fb>107.8</fb>
    <v>11</v>
  </rv>
  <rv s="6">
    <fb>366.64</fb>
    <v>11</v>
  </rv>
  <rv s="6">
    <fb>294.77999999999997</fb>
    <v>11</v>
  </rv>
  <rv s="6">
    <fb>69.42</fb>
    <v>11</v>
  </rv>
  <rv s="6">
    <fb>118</fb>
    <v>11</v>
  </rv>
  <rv s="6">
    <fb>289.91000000000003</fb>
    <v>11</v>
  </rv>
  <rv s="6">
    <fb>113.75</fb>
    <v>11</v>
  </rv>
  <rv s="6">
    <fb>56.13</fb>
    <v>11</v>
  </rv>
  <rv s="6">
    <fb>32.630000000000003</fb>
    <v>11</v>
  </rv>
  <rv s="6">
    <fb>67.89</fb>
    <v>11</v>
  </rv>
  <rv s="6">
    <fb>137.91999999999999</fb>
    <v>11</v>
  </rv>
  <rv s="6">
    <fb>150.47</fb>
    <v>11</v>
  </rv>
  <rv s="6">
    <fb>189.02</fb>
    <v>11</v>
  </rv>
  <rv s="6">
    <fb>300.07</fb>
    <v>11</v>
  </rv>
  <rv s="6">
    <fb>438.02</fb>
    <v>11</v>
  </rv>
  <rv s="6">
    <fb>533.5</fb>
    <v>11</v>
  </rv>
  <rv s="6">
    <fb>111.64</fb>
    <v>11</v>
  </rv>
  <rv s="6">
    <fb>367.51</fb>
    <v>11</v>
  </rv>
  <rv s="6">
    <fb>253.15</fb>
    <v>11</v>
  </rv>
  <rv s="6">
    <fb>71.06</fb>
    <v>11</v>
  </rv>
  <rv s="6">
    <fb>121.64</fb>
    <v>11</v>
  </rv>
  <rv s="6">
    <fb>23.29</fb>
    <v>11</v>
  </rv>
  <rv s="6">
    <fb>296.24</fb>
    <v>11</v>
  </rv>
  <rv s="6">
    <fb>105.5</fb>
    <v>11</v>
  </rv>
  <rv s="6">
    <fb>58.76</fb>
    <v>11</v>
  </rv>
  <rv s="6">
    <fb>29.81</fb>
    <v>11</v>
  </rv>
  <rv s="6">
    <fb>118.2</fb>
    <v>11</v>
  </rv>
  <rv s="6">
    <fb>68.989999999999995</fb>
    <v>11</v>
  </rv>
  <rv s="6">
    <fb>157.04</fb>
    <v>11</v>
  </rv>
  <rv s="6">
    <fb>177.17</fb>
    <v>11</v>
  </rv>
  <rv s="6">
    <fb>210.4</fb>
    <v>11</v>
  </rv>
  <rv s="6">
    <fb>313.54000000000002</fb>
    <v>11</v>
  </rv>
  <rv s="6">
    <fb>419.04</fb>
    <v>11</v>
  </rv>
  <rv s="6">
    <fb>506.69</fb>
    <v>11</v>
  </rv>
  <rv s="6">
    <fb>114.29</fb>
    <v>11</v>
  </rv>
  <rv s="6">
    <fb>406.77</fb>
    <v>11</v>
  </rv>
  <rv s="6">
    <fb>243.49</fb>
    <v>11</v>
  </rv>
  <rv s="6">
    <fb>72.05</fb>
    <v>11</v>
  </rv>
  <rv s="6">
    <fb>29.29</fb>
    <v>11</v>
  </rv>
  <rv s="6">
    <fb>24.76</fb>
    <v>11</v>
  </rv>
  <rv s="6">
    <fb>301.42</fb>
    <v>11</v>
  </rv>
  <rv s="6">
    <fb>111.23</fb>
    <v>11</v>
  </rv>
  <rv s="6">
    <fb>60.79</fb>
    <v>11</v>
  </rv>
  <rv s="6">
    <fb>28.25</fb>
    <v>11</v>
  </rv>
  <rv s="6">
    <fb>123.3</fb>
    <v>11</v>
  </rv>
  <rv s="6">
    <fb>66.319999999999993</fb>
    <v>11</v>
  </rv>
  <rv s="6">
    <fb>140.44</fb>
    <v>11</v>
  </rv>
  <rv s="6">
    <fb>153.65</fb>
    <v>11</v>
  </rv>
  <rv s="6">
    <fb>185.42</fb>
    <v>11</v>
  </rv>
  <rv s="6">
    <fb>231.54</fb>
    <v>11</v>
  </rv>
  <rv s="6">
    <fb>303.89</fb>
    <v>11</v>
  </rv>
  <rv s="6">
    <fb>477.15</fb>
    <v>11</v>
  </rv>
  <rv s="6">
    <fb>517.95000000000005</fb>
    <v>11</v>
  </rv>
  <rv s="6">
    <fb>112.75</fb>
    <v>11</v>
  </rv>
  <rv s="6">
    <fb>405.19</fb>
    <v>11</v>
  </rv>
  <rv s="6">
    <fb>282.16000000000003</fb>
    <v>11</v>
  </rv>
  <rv s="6">
    <fb>75.489999999999995</fb>
    <v>11</v>
  </rv>
  <rv s="6">
    <fb>123.75</fb>
    <v>11</v>
  </rv>
  <rv s="6">
    <fb>28.24</fb>
    <v>11</v>
  </rv>
  <rv s="6">
    <fb>25.48</fb>
    <v>11</v>
  </rv>
  <rv s="6">
    <fb>315.43</fb>
    <v>11</v>
  </rv>
  <rv s="6">
    <fb>57.98</fb>
    <v>11</v>
  </rv>
  <rv s="6">
    <fb>112.46</fb>
    <v>11</v>
  </rv>
  <rv s="6">
    <fb>68.900000000000006</fb>
    <v>11</v>
  </rv>
  <rv s="6">
    <fb>146.09</fb>
    <v>11</v>
  </rv>
  <rv s="6">
    <fb>150.37</fb>
    <v>11</v>
  </rv>
  <rv s="6">
    <fb>188.87</fb>
    <v>11</v>
  </rv>
  <rv s="6">
    <fb>218.04</fb>
    <v>11</v>
  </rv>
  <rv s="6">
    <fb>298.43</fb>
    <v>11</v>
  </rv>
  <rv s="6">
    <fb>577.26</fb>
    <v>11</v>
  </rv>
  <rv s="6">
    <fb>517.80999999999995</fb>
    <v>11</v>
  </rv>
  <rv s="6">
    <fb>114.36</fb>
    <v>11</v>
  </rv>
  <rv s="6">
    <fb>379.59</fb>
    <v>11</v>
  </rv>
  <rv s="6">
    <fb>307.41000000000003</fb>
    <v>11</v>
  </rv>
  <rv s="6">
    <fb>81.400000000000006</fb>
    <v>11</v>
  </rv>
  <rv s="6">
    <fb>124.3</fb>
    <v>11</v>
  </rv>
  <rv s="6">
    <fb>24.75</fb>
    <v>11</v>
  </rv>
  <rv s="6">
    <fb>24.65</fb>
    <v>11</v>
  </rv>
  <rv s="6">
    <fb>311.12</fb>
    <v>11</v>
  </rv>
  <rv s="6">
    <fb>97.75</fb>
    <v>11</v>
  </rv>
  <rv s="6">
    <fb>36.619999999999997</fb>
    <v>11</v>
  </rv>
  <rv s="6">
    <fb>107.94</fb>
    <v>11</v>
  </rv>
  <rv s="6">
    <fb>73.12</fb>
    <v>11</v>
  </rv>
  <rv s="6">
    <fb>148.74</fb>
    <v>11</v>
  </rv>
  <rv s="6">
    <fb>148.16</fb>
    <v>11</v>
  </rv>
  <rv s="6">
    <fb>206.92</fb>
    <v>11</v>
  </rv>
  <rv s="6">
    <fb>227.7</fb>
    <v>11</v>
  </rv>
  <rv s="6">
    <fb>311.82</fb>
    <v>11</v>
  </rv>
  <rv s="6">
    <fb>575.76</fb>
    <v>11</v>
  </rv>
  <rv s="6">
    <fb>492.01</fb>
    <v>11</v>
  </rv>
  <rv s="6">
    <fb>356.92</fb>
    <v>11</v>
  </rv>
  <rv s="6">
    <fb>308.58</fb>
    <v>11</v>
  </rv>
  <rv s="6">
    <fb>123.94</fb>
    <v>11</v>
  </rv>
  <rv s="6">
    <fb>26.02</fb>
    <v>11</v>
  </rv>
  <rv s="6">
    <fb>25.74</fb>
    <v>11</v>
  </rv>
  <rv s="6">
    <fb>313.08</fb>
    <v>11</v>
  </rv>
  <rv s="6">
    <fb>100.04</fb>
    <v>11</v>
  </rv>
  <rv s="6">
    <fb>33.26</fb>
    <v>11</v>
  </rv>
  <rv s="6">
    <fb>100.83</fb>
    <v>11</v>
  </rv>
  <rv s="6">
    <fb>143.52000000000001</fb>
    <v>11</v>
  </rv>
  <rv s="6">
    <fb>143.31</fb>
    <v>11</v>
  </rv>
  <rv s="6">
    <fb>206.95</fb>
    <v>11</v>
  </rv>
  <rv s="6">
    <fb>228.49</fb>
    <v>11</v>
  </rv>
  <rv s="6">
    <fb>305.63</fb>
    <v>11</v>
  </rv>
  <rv s="6">
    <fb>572.87</fb>
    <v>11</v>
  </rv>
  <rv s="6">
    <fb>120.34</fb>
    <v>11</v>
  </rv>
  <rv s="6">
    <fb>344.1</fb>
    <v>11</v>
  </rv>
  <rv s="6">
    <fb>296.20999999999998</fb>
    <v>11</v>
  </rv>
  <rv s="6">
    <fb>117.21</fb>
    <v>11</v>
  </rv>
  <rv s="6">
    <fb>24.84</fb>
    <v>11</v>
  </rv>
  <rv s="6">
    <fb>24.9</fb>
    <v>11</v>
  </rv>
  <rv s="6">
    <fb>322.22000000000003</fb>
    <v>11</v>
  </rv>
  <rv s="6">
    <fb>102.46</fb>
    <v>11</v>
  </rv>
  <rv s="6">
    <fb>61.16</fb>
    <v>11</v>
  </rv>
  <rv s="6">
    <fb>36.15</fb>
    <v>11</v>
  </rv>
  <rv s="6">
    <fb>112.79</fb>
    <v>11</v>
  </rv>
  <rv s="6">
    <fb>74.81</fb>
    <v>11</v>
  </rv>
  <rv s="6">
    <fb>153.63</fb>
    <v>11</v>
  </rv>
  <rv s="6">
    <fb>151.77000000000001</fb>
    <v>11</v>
  </rv>
  <rv s="6">
    <fb>227.25</fb>
    <v>11</v>
  </rv>
  <rv s="6">
    <fb>223.01</fb>
    <v>11</v>
  </rv>
  <rv s="6">
    <fb>315</fb>
    <v>11</v>
  </rv>
  <rv s="6">
    <fb>657.36</fb>
    <v>11</v>
  </rv>
  <rv s="6">
    <fb>430.29</fb>
    <v>11</v>
  </rv>
  <rv s="6">
    <fb>141.4</fb>
    <v>11</v>
  </rv>
  <rv s="6">
    <fb>374.59</fb>
    <v>11</v>
  </rv>
  <rv s="6">
    <fb>306.7</fb>
    <v>11</v>
  </rv>
  <rv s="6">
    <fb>87.9</fb>
    <v>11</v>
  </rv>
  <rv s="6">
    <fb>121.35</fb>
    <v>11</v>
  </rv>
  <rv s="6">
    <fb>26.44</fb>
    <v>11</v>
  </rv>
  <rv s="6">
    <fb>305.89</fb>
    <v>11</v>
  </rv>
  <rv s="6">
    <fb>115.63</fb>
    <v>11</v>
  </rv>
  <rv s="6">
    <fb>67</fb>
    <v>11</v>
  </rv>
  <rv s="6">
    <fb>127.16</fb>
    <v>11</v>
  </rv>
  <rv s="6">
    <fb>81.56</fb>
    <v>11</v>
  </rv>
  <rv s="6">
    <fb>169.74</fb>
    <v>11</v>
  </rv>
  <rv s="6">
    <fb>167.2</fb>
    <v>11</v>
  </rv>
  <rv s="6">
    <fb>248.43</fb>
    <v>11</v>
  </rv>
  <rv s="6">
    <fb>232.08</fb>
    <v>11</v>
  </rv>
  <rv s="6">
    <fb>341.06</fb>
    <v>11</v>
  </rv>
  <rv s="6">
    <fb>742.83</fb>
    <v>11</v>
  </rv>
  <rv s="6">
    <fb>392.74</fb>
    <v>11</v>
  </rv>
  <rv s="6">
    <fb>152.5</fb>
    <v>11</v>
  </rv>
  <rv s="6">
    <fb>380.72</fb>
    <v>11</v>
  </rv>
  <rv s="6">
    <fb>240.21</fb>
    <v>11</v>
  </rv>
  <rv s="6">
    <fb>130.85</fb>
    <v>11</v>
  </rv>
  <rv s="6">
    <fb>28.01</fb>
    <v>11</v>
  </rv>
  <rv s="6">
    <fb>27.65</fb>
    <v>11</v>
  </rv>
  <rv s="6">
    <fb>300.3</fb>
    <v>11</v>
  </rv>
  <rv s="6">
    <fb>123.27</fb>
    <v>11</v>
  </rv>
  <rv s="6">
    <fb>39.29</fb>
    <v>11</v>
  </rv>
  <rv s="6">
    <fb>103.63</fb>
    <v>11</v>
  </rv>
  <rv s="6">
    <fb>76.05</fb>
    <v>11</v>
  </rv>
  <rv s="6">
    <fb>155.29</fb>
    <v>11</v>
  </rv>
  <rv s="6">
    <fb>144.44</fb>
    <v>11</v>
  </rv>
  <rv s="6">
    <fb>244.44</fb>
    <v>11</v>
  </rv>
  <rv s="6">
    <fb>217.49</fb>
    <v>11</v>
  </rv>
  <rv s="6">
    <fb>310.79000000000002</fb>
    <v>11</v>
  </rv>
  <rv s="6">
    <fb>708.46</fb>
    <v>11</v>
  </rv>
  <rv s="6">
    <fb>370.17</fb>
    <v>11</v>
  </rv>
  <rv s="6">
    <fb>169.66</fb>
    <v>11</v>
  </rv>
  <rv s="6">
    <fb>328.89</fb>
    <v>11</v>
  </rv>
  <rv s="6">
    <fb>242.39</fb>
    <v>11</v>
  </rv>
  <rv s="6">
    <fb>92.88</fb>
    <v>11</v>
  </rv>
  <rv s="6">
    <fb>130.94</fb>
    <v>11</v>
  </rv>
  <rv s="6">
    <fb>28.99</fb>
    <v>11</v>
  </rv>
  <rv s="6">
    <fb>28.08</fb>
    <v>11</v>
  </rv>
  <rv s="6">
    <fb>294.16000000000003</fb>
    <v>11</v>
  </rv>
  <rv s="6">
    <fb>106.88</fb>
    <v>11</v>
  </rv>
  <rv s="6">
    <fb>64.239999999999995</fb>
    <v>11</v>
  </rv>
  <rv s="6">
    <fb>40.36</fb>
    <v>11</v>
  </rv>
  <rv s="6">
    <fb>96.44</fb>
    <v>11</v>
  </rv>
  <rv s="6">
    <fb>78.760000000000005</fb>
    <v>11</v>
  </rv>
  <rv s="6">
    <fb>158.49</fb>
    <v>11</v>
  </rv>
  <rv s="6">
    <fb>147.09</fb>
    <v>11</v>
  </rv>
  <rv s="6">
    <fb>229.85</fb>
    <v>11</v>
  </rv>
  <rv s="6">
    <fb>211.32</fb>
    <v>11</v>
  </rv>
  <rv s="6">
    <fb>293.58999999999997</fb>
    <v>11</v>
  </rv>
  <rv s="6">
    <fb>890.11</fb>
    <v>11</v>
  </rv>
  <rv s="6">
    <fb>407.78</fb>
    <v>11</v>
  </rv>
  <rv s="6">
    <fb>154.33000000000001</fb>
    <v>11</v>
  </rv>
  <rv s="6">
    <fb>328.8</fb>
    <v>11</v>
  </rv>
  <rv s="6">
    <fb>230.98</fb>
    <v>11</v>
  </rv>
  <rv s="6">
    <fb>97.88</fb>
    <v>11</v>
  </rv>
  <rv s="6">
    <fb>129.55000000000001</fb>
    <v>11</v>
  </rv>
  <rv s="6">
    <fb>26.13</fb>
    <v>11</v>
  </rv>
  <rv s="6">
    <fb>26.7</fb>
    <v>11</v>
  </rv>
  <rv s="6">
    <fb>313.23</fb>
    <v>11</v>
  </rv>
  <rv s="6">
    <fb>108.5</fb>
    <v>11</v>
  </rv>
  <rv s="6">
    <fb>61.28</fb>
    <v>11</v>
  </rv>
  <rv s="6">
    <fb>41.16</fb>
    <v>11</v>
  </rv>
  <rv s="6">
    <fb>90.02</fb>
    <v>11</v>
  </rv>
  <rv s="6">
    <fb>79.010000000000005</fb>
    <v>11</v>
  </rv>
  <rv s="6">
    <fb>144.19</fb>
    <v>11</v>
  </rv>
  <rv s="6">
    <fb>143.56</fb>
    <v>11</v>
  </rv>
  <rv s="6">
    <fb>225.33</fb>
    <v>11</v>
  </rv>
  <rv s="6">
    <fb>217.72</fb>
    <v>11</v>
  </rv>
  <rv s="6">
    <fb>279.2</fb>
    <v>11</v>
  </rv>
  <rv s="6">
    <fb>875.87</fb>
    <v>11</v>
  </rv>
  <rv s="6">
    <fb>450.24</fb>
    <v>11</v>
  </rv>
  <rv s="6">
    <fb>145.26</fb>
    <v>11</v>
  </rv>
  <rv s="6">
    <fb>317.14</fb>
    <v>11</v>
  </rv>
  <rv s="6">
    <fb>297.8</fb>
    <v>11</v>
  </rv>
  <rv s="6">
    <fb>87.01</fb>
    <v>11</v>
  </rv>
  <rv s="6">
    <fb>122.73</fb>
    <v>11</v>
  </rv>
  <rv s="6">
    <fb>24.8</fb>
    <v>11</v>
  </rv>
  <rv s="6">
    <fb>26.18</fb>
    <v>11</v>
  </rv>
  <rv s="6">
    <fb>299.31</fb>
    <v>11</v>
  </rv>
  <rv s="6">
    <fb>112.98</fb>
    <v>11</v>
  </rv>
  <rv s="6">
    <fb>61.96</fb>
    <v>11</v>
  </rv>
  <rv s="6">
    <fb>34.18</fb>
    <v>11</v>
  </rv>
  <rv s="6">
    <fb>95.44</fb>
    <v>11</v>
  </rv>
  <rv s="6">
    <fb>81.27</fb>
    <v>11</v>
  </rv>
  <rv s="6">
    <fb>146.63999999999999</fb>
    <v>11</v>
  </rv>
  <rv s="6">
    <fb>253.97</fb>
    <v>11</v>
  </rv>
  <rv s="6">
    <fb>251.64</fb>
    <v>11</v>
  </rv>
  <rv s="6">
    <fb>270.31</fb>
    <v>11</v>
  </rv>
  <rv s="6">
    <fb>1064.9000000000001</fb>
    <v>11</v>
  </rv>
  <rv s="6">
    <fb>373.02</fb>
    <v>11</v>
  </rv>
  <rv s="6">
    <fb>136.72</fb>
    <v>11</v>
  </rv>
  <rv s="6">
    <fb>352.68</fb>
    <v>11</v>
  </rv>
  <rv s="6">
    <fb>281.20999999999998</fb>
    <v>11</v>
  </rv>
  <rv s="6">
    <fb>87.77</fb>
    <v>11</v>
  </rv>
  <rv s="6">
    <fb>126.58</fb>
    <v>11</v>
  </rv>
  <rv s="6">
    <fb>20.7</fb>
    <v>11</v>
  </rv>
  <rv s="6">
    <fb>24.08</fb>
    <v>11</v>
  </rv>
  <rv s="6">
    <fb>327.33</fb>
    <v>11</v>
  </rv>
  <rv s="6">
    <fb>121.29</fb>
    <v>11</v>
  </rv>
  <rv s="6">
    <fb>63.87</fb>
    <v>11</v>
  </rv>
  <rv s="6">
    <fb>31.73</fb>
    <v>11</v>
  </rv>
  <rv s="6">
    <fb>95.53</fb>
    <v>11</v>
  </rv>
  <rv s="6">
    <fb>139.56</fb>
    <v>11</v>
  </rv>
  <rv s="6">
    <fb>144.49</fb>
    <v>11</v>
  </rv>
  <rv s="6">
    <fb>256.35000000000002</fb>
    <v>11</v>
  </rv>
  <rv s="6">
    <fb>250.94</fb>
    <v>11</v>
  </rv>
  <rv s="6">
    <fb>270.64</fb>
    <v>11</v>
  </rv>
  <rv s="6">
    <fb>814.81</fb>
    <v>11</v>
  </rv>
  <rv s="6">
    <fb>464.72</fb>
    <v>11</v>
  </rv>
  <rv s="6">
    <fb>331.96</fb>
    <v>11</v>
  </rv>
  <rv s="6">
    <fb>223.65</fb>
    <v>11</v>
  </rv>
  <rv s="6">
    <fb>86.92</fb>
    <v>11</v>
  </rv>
  <rv s="6">
    <fb>125.43</fb>
    <v>11</v>
  </rv>
  <rv s="6">
    <fb>23.25</fb>
    <v>11</v>
  </rv>
  <rv s="6">
    <fb>25.01</fb>
    <v>11</v>
  </rv>
  <rv s="6">
    <fb>351.79</fb>
    <v>11</v>
  </rv>
  <rv s="6">
    <fb>110.52</fb>
    <v>11</v>
  </rv>
  <rv s="6">
    <fb>31.75</fb>
    <v>11</v>
  </rv>
  <rv s="6">
    <fb>97.68</fb>
    <v>11</v>
  </rv>
  <rv s="6">
    <fb>88.67</fb>
    <v>11</v>
  </rv>
  <rv s="6">
    <fb>145.12</fb>
    <v>11</v>
  </rv>
  <rv s="6">
    <fb>265.85000000000002</fb>
    <v>11</v>
  </rv>
  <rv s="6">
    <fb>256.42</fb>
    <v>11</v>
  </rv>
  <rv s="6">
    <fb>263.54000000000002</fb>
    <v>11</v>
  </rv>
  <rv s="6">
    <fb>797.47</fb>
    <v>11</v>
  </rv>
  <rv s="6">
    <fb>507.29</fb>
    <v>11</v>
  </rv>
  <rv s="6">
    <fb>160.94999999999999</fb>
    <v>11</v>
  </rv>
  <rv s="6">
    <fb>327.83</fb>
    <v>11</v>
  </rv>
  <rv s="6">
    <fb>233.87</fb>
    <v>11</v>
  </rv>
  <rv s="6">
    <fb>82.34</fb>
    <v>11</v>
  </rv>
  <rv s="6">
    <fb>119.91</fb>
    <v>11</v>
  </rv>
  <rv s="6">
    <fb>25.89</fb>
    <v>11</v>
  </rv>
  <rv s="6">
    <fb>28.46</fb>
    <v>11</v>
  </rv>
  <rv s="6">
    <fb>356.02</fb>
    <v>11</v>
  </rv>
  <rv s="6">
    <fb>112.17</fb>
    <v>11</v>
  </rv>
  <rv s="6">
    <fb>54.3</fb>
    <v>11</v>
  </rv>
  <rv s="6">
    <fb>29.27</fb>
    <v>11</v>
  </rv>
  <rv s="6">
    <fb>81.010000000000005</fb>
    <v>11</v>
  </rv>
  <rv s="6">
    <fb>86.08</fb>
    <v>11</v>
  </rv>
  <rv s="6">
    <fb>126.72</fb>
    <v>11</v>
  </rv>
  <rv s="6">
    <fb>145.28</fb>
    <v>11</v>
  </rv>
  <rv s="6">
    <fb>264.74</fb>
    <v>11</v>
  </rv>
  <rv s="6">
    <fb>261.58999999999997</fb>
    <v>11</v>
  </rv>
  <rv s="6">
    <fb>230.94</fb>
    <v>11</v>
  </rv>
  <rv s="6">
    <fb>810.79</fb>
    <v>11</v>
  </rv>
  <rv s="6">
    <fb>512.9</fb>
    <v>11</v>
  </rv>
  <rv s="6">
    <fb>162.75</fb>
    <v>11</v>
  </rv>
  <rv s="6">
    <fb>284.49</fb>
    <v>11</v>
  </rv>
  <rv s="6">
    <fb>219.93</fb>
    <v>11</v>
  </rv>
  <rv s="6">
    <fb>114.01</fb>
    <v>11</v>
  </rv>
  <rv s="6">
    <fb>24.4</fb>
    <v>11</v>
  </rv>
  <rv s="6">
    <fb>28.52</fb>
    <v>11</v>
  </rv>
  <rv s="6">
    <fb>330.83</fb>
    <v>11</v>
  </rv>
  <rv s="6">
    <fb>104.33</fb>
    <v>11</v>
  </rv>
  <rv s="6">
    <fb>54.7</fb>
    <v>11</v>
  </rv>
  <rv s="6">
    <fb>30.44</fb>
    <v>11</v>
  </rv>
  <rv s="6">
    <fb>84.35</fb>
    <v>11</v>
  </rv>
  <rv s="6">
    <fb>89.79</fb>
    <v>11</v>
  </rv>
  <rv s="6">
    <fb>126.68</fb>
    <v>11</v>
  </rv>
  <rv s="6">
    <fb>153.19999999999999</fb>
    <v>11</v>
  </rv>
  <rv s="6">
    <fb>263.73</fb>
    <v>11</v>
  </rv>
  <rv s="6">
    <fb>281.12</fb>
    <v>11</v>
  </rv>
  <rv s="6">
    <fb>235.65</fb>
    <v>11</v>
  </rv>
  <rv s="6">
    <fb>799.37</fb>
    <v>11</v>
  </rv>
  <rv s="6">
    <fb>541.15</fb>
    <v>11</v>
  </rv>
  <rv s="6">
    <fb>172.15</fb>
    <v>11</v>
  </rv>
  <rv s="6">
    <fb>290.62</fb>
    <v>11</v>
  </rv>
  <rv s="6">
    <fb>227.02</fb>
    <v>11</v>
  </rv>
  <rv s="6">
    <fb>78.510000000000005</fb>
    <v>11</v>
  </rv>
  <rv s="6">
    <fb>22.49</fb>
    <v>11</v>
  </rv>
  <rv s="6">
    <fb>28.4</fb>
    <v>11</v>
  </rv>
  <rv s="6">
    <fb>334.3</fb>
    <v>11</v>
  </rv>
  <rv s="6">
    <fb>103.71</fb>
    <v>11</v>
  </rv>
  <rv s="8">
    <v>12</v>
    <v>EURUSD</v>
    <v>Monthly</v>
    <v>44958</v>
    <v>44985</v>
    <v>0</v>
    <v>1</v>
    <v>638131392000000000,639274715439923367,0</v>
    <v>0</v>
    <v>av932w</v>
    <v>EURUSD</v>
    <v>1</v>
  </rv>
  <rv s="8">
    <v>12</v>
    <v>EURUSD</v>
    <v>Monthly</v>
    <v>44927</v>
    <v>44957</v>
    <v>0</v>
    <v>1</v>
    <v>638107200000000000,639274715440087979,0</v>
    <v>0</v>
    <v>av932w</v>
    <v>EURUSD</v>
    <v>2</v>
  </rv>
  <rv s="8">
    <v>12</v>
    <v>EURUSD</v>
    <v>Monthly</v>
    <v>44896</v>
    <v>44926</v>
    <v>0</v>
    <v>1</v>
    <v>638079552000000000,639274822018293956,0</v>
    <v>0</v>
    <v>av932w</v>
    <v>EURUSD</v>
    <v>3</v>
  </rv>
  <rv s="8">
    <v>12</v>
    <v>EURUSD</v>
    <v>Monthly</v>
    <v>44866</v>
    <v>44895</v>
    <v>0</v>
    <v>1</v>
    <v>638053632000000000,639274715438594961,0</v>
    <v>0</v>
    <v>av932w</v>
    <v>EURUSD</v>
    <v>4</v>
  </rv>
  <rv s="8">
    <v>12</v>
    <v>EURUSD</v>
    <v>Monthly</v>
    <v>44835</v>
    <v>44865</v>
    <v>0</v>
    <v>1</v>
    <v>638027712000000000,639274715438764987,0</v>
    <v>0</v>
    <v>av932w</v>
    <v>EURUSD</v>
    <v>5</v>
  </rv>
  <rv s="8">
    <v>12</v>
    <v>EURUSD</v>
    <v>Monthly</v>
    <v>44805</v>
    <v>44834</v>
    <v>0</v>
    <v>1</v>
    <v>638000928000000000,639274715438927967,0</v>
    <v>0</v>
    <v>av932w</v>
    <v>EURUSD</v>
    <v>6</v>
  </rv>
  <rv s="8">
    <v>12</v>
    <v>EURUSD</v>
    <v>Monthly</v>
    <v>44774</v>
    <v>44804</v>
    <v>0</v>
    <v>1</v>
    <v>637975008000000000,639274715439097979,0</v>
    <v>0</v>
    <v>av932w</v>
    <v>EURUSD</v>
    <v>7</v>
  </rv>
  <rv s="8">
    <v>12</v>
    <v>EURUSD</v>
    <v>Monthly</v>
    <v>44743</v>
    <v>44773</v>
    <v>0</v>
    <v>1</v>
    <v>637946496000000000,639274822017283905,0</v>
    <v>0</v>
    <v>av932w</v>
    <v>EURUSD</v>
    <v>8</v>
  </rv>
  <rv s="8">
    <v>12</v>
    <v>EURUSD</v>
    <v>Monthly</v>
    <v>44713</v>
    <v>44742</v>
    <v>0</v>
    <v>1</v>
    <v>637921440000000000,639274715439424994,0</v>
    <v>0</v>
    <v>av932w</v>
    <v>EURUSD</v>
    <v>9</v>
  </rv>
  <rv s="8">
    <v>12</v>
    <v>EURUSD</v>
    <v>Monthly</v>
    <v>44682</v>
    <v>44712</v>
    <v>0</v>
    <v>1</v>
    <v>637895520000000000,639274715439587973,0</v>
    <v>0</v>
    <v>av932w</v>
    <v>EURUSD</v>
    <v>10</v>
  </rv>
  <rv s="8">
    <v>12</v>
    <v>EURUSD</v>
    <v>Monthly</v>
    <v>44652</v>
    <v>44681</v>
    <v>0</v>
    <v>1</v>
    <v>637867872000000000,639274822017276296,0</v>
    <v>0</v>
    <v>av932w</v>
    <v>EURUSD</v>
    <v>11</v>
  </rv>
  <rv s="8">
    <v>12</v>
    <v>EURUSD</v>
    <v>Monthly</v>
    <v>44621</v>
    <v>44651</v>
    <v>0</v>
    <v>1</v>
    <v>637842816000000000,639274715439927987,0</v>
    <v>0</v>
    <v>av932w</v>
    <v>EURUSD</v>
    <v>12</v>
  </rv>
  <rv s="8">
    <v>12</v>
    <v>EURUSD</v>
    <v>Monthly</v>
    <v>44593</v>
    <v>44620</v>
    <v>0</v>
    <v>1</v>
    <v>637816032000000000,639274715440087979,0</v>
    <v>0</v>
    <v>av932w</v>
    <v>EURUSD</v>
    <v>13</v>
  </rv>
  <rv s="8">
    <v>12</v>
    <v>EURUSD</v>
    <v>Monthly</v>
    <v>44562</v>
    <v>44592</v>
    <v>0</v>
    <v>1</v>
    <v>637791840000000000,639274715438424968,0</v>
    <v>0</v>
    <v>av932w</v>
    <v>EURUSD</v>
    <v>14</v>
  </rv>
  <rv s="8">
    <v>12</v>
    <v>EURUSD</v>
    <v>Monthly</v>
    <v>44531</v>
    <v>44561</v>
    <v>0</v>
    <v>1</v>
    <v>637765056000000000,639274715438594961,0</v>
    <v>0</v>
    <v>av932w</v>
    <v>EURUSD</v>
    <v>15</v>
  </rv>
  <rv s="8">
    <v>12</v>
    <v>EURUSD</v>
    <v>Monthly</v>
    <v>44501</v>
    <v>44530</v>
    <v>0</v>
    <v>1</v>
    <v>637738272000000000,639274715438794993,0</v>
    <v>0</v>
    <v>av932w</v>
    <v>EURUSD</v>
    <v>16</v>
  </rv>
  <rv s="8">
    <v>12</v>
    <v>EURUSD</v>
    <v>Monthly</v>
    <v>44470</v>
    <v>44500</v>
    <v>0</v>
    <v>1</v>
    <v>637710624000000000,639274822017156286,0</v>
    <v>0</v>
    <v>av932w</v>
    <v>EURUSD</v>
    <v>17</v>
  </rv>
  <rv s="8">
    <v>12</v>
    <v>EURUSD</v>
    <v>Monthly</v>
    <v>44440</v>
    <v>44469</v>
    <v>0</v>
    <v>1</v>
    <v>637685568000000000,639274715439137969,0</v>
    <v>0</v>
    <v>av932w</v>
    <v>EURUSD</v>
    <v>18</v>
  </rv>
  <rv s="8">
    <v>12</v>
    <v>EURUSD</v>
    <v>Monthly</v>
    <v>44409</v>
    <v>44439</v>
    <v>0</v>
    <v>1</v>
    <v>637659648000000000,639274715439307975,0</v>
    <v>0</v>
    <v>av932w</v>
    <v>EURUSD</v>
    <v>19</v>
  </rv>
  <rv s="8">
    <v>12</v>
    <v>EURUSD</v>
    <v>Monthly</v>
    <v>44378</v>
    <v>44408</v>
    <v>0</v>
    <v>1</v>
    <v>637632000000000000,639274822017193918,0</v>
    <v>0</v>
    <v>av932w</v>
    <v>EURUSD</v>
    <v>20</v>
  </rv>
  <rv s="8">
    <v>12</v>
    <v>EURUSD</v>
    <v>Monthly</v>
    <v>44348</v>
    <v>44377</v>
    <v>0</v>
    <v>1</v>
    <v>637606080000000000,639274715439643360,0</v>
    <v>0</v>
    <v>av932w</v>
    <v>EURUSD</v>
    <v>21</v>
  </rv>
  <rv s="8">
    <v>12</v>
    <v>EURUSD</v>
    <v>Monthly</v>
    <v>44317</v>
    <v>44347</v>
    <v>0</v>
    <v>1</v>
    <v>637580160000000000,639274715439815041,0</v>
    <v>0</v>
    <v>av932w</v>
    <v>EURUSD</v>
    <v>22</v>
  </rv>
  <rv s="8">
    <v>12</v>
    <v>EURUSD</v>
    <v>Monthly</v>
    <v>44287</v>
    <v>44316</v>
    <v>0</v>
    <v>1</v>
    <v>637553376000000000,639274715439985034,0</v>
    <v>0</v>
    <v>av932w</v>
    <v>EURUSD</v>
    <v>23</v>
  </rv>
  <rv s="8">
    <v>12</v>
    <v>EURUSD</v>
    <v>Monthly</v>
    <v>44256</v>
    <v>44286</v>
    <v>0</v>
    <v>1</v>
    <v>637527456000000000,639274715438555005,0</v>
    <v>0</v>
    <v>av932w</v>
    <v>EURUSD</v>
    <v>24</v>
  </rv>
  <rv s="8">
    <v>12</v>
    <v>EURUSD</v>
    <v>Monthly</v>
    <v>44228</v>
    <v>44255</v>
    <v>0</v>
    <v>1</v>
    <v>637498944000000000,639274822016690262,0</v>
    <v>0</v>
    <v>av932w</v>
    <v>EURUSD</v>
    <v>25</v>
  </rv>
  <rv s="8">
    <v>12</v>
    <v>EURUSD</v>
    <v>Monthly</v>
    <v>44197</v>
    <v>44227</v>
    <v>0</v>
    <v>1</v>
    <v>637474752000000000,639274822015526276,0</v>
    <v>0</v>
    <v>av932w</v>
    <v>EURUSD</v>
    <v>26</v>
  </rv>
  <rv s="8">
    <v>12</v>
    <v>EURUSD</v>
    <v>Monthly</v>
    <v>44166</v>
    <v>44196</v>
    <v>0</v>
    <v>1</v>
    <v>637449696000000000,639274715439048024,0</v>
    <v>0</v>
    <v>av932w</v>
    <v>EURUSD</v>
    <v>27</v>
  </rv>
  <rv s="8">
    <v>12</v>
    <v>EURUSD</v>
    <v>Monthly</v>
    <v>44136</v>
    <v>44165</v>
    <v>0</v>
    <v>1</v>
    <v>637422912000000000,639274715439223356,0</v>
    <v>0</v>
    <v>av932w</v>
    <v>EURUSD</v>
    <v>28</v>
  </rv>
  <rv s="8">
    <v>12</v>
    <v>EURUSD</v>
    <v>Monthly</v>
    <v>44105</v>
    <v>44135</v>
    <v>0</v>
    <v>1</v>
    <v>637396128000000000,639274822015780249,0</v>
    <v>0</v>
    <v>av932w</v>
    <v>EURUSD</v>
    <v>29</v>
  </rv>
  <rv s="8">
    <v>12</v>
    <v>EURUSD</v>
    <v>Monthly</v>
    <v>44075</v>
    <v>44104</v>
    <v>0</v>
    <v>1</v>
    <v>637370208000000000,639274715439547967,0</v>
    <v>0</v>
    <v>av932w</v>
    <v>EURUSD</v>
    <v>30</v>
  </rv>
  <rv s="8">
    <v>12</v>
    <v>EURUSD</v>
    <v>Monthly</v>
    <v>44044</v>
    <v>44074</v>
    <v>0</v>
    <v>1</v>
    <v>637344288000000000,639274715439717974,0</v>
    <v>0</v>
    <v>av932w</v>
    <v>EURUSD</v>
    <v>31</v>
  </rv>
  <rv s="8">
    <v>12</v>
    <v>EURUSD</v>
    <v>Monthly</v>
    <v>44013</v>
    <v>44043</v>
    <v>0</v>
    <v>1</v>
    <v>637317504000000000,639274715439887978,0</v>
    <v>0</v>
    <v>av932w</v>
    <v>EURUSD</v>
    <v>32</v>
  </rv>
  <rv s="8">
    <v>12</v>
    <v>EURUSD</v>
    <v>Monthly</v>
    <v>43983</v>
    <v>44012</v>
    <v>0</v>
    <v>1</v>
    <v>637290720000000000,639274715440053391,0</v>
    <v>0</v>
    <v>av932w</v>
    <v>EURUSD</v>
    <v>33</v>
  </rv>
  <rv s="8">
    <v>12</v>
    <v>EURUSD</v>
    <v>Monthly</v>
    <v>43952</v>
    <v>43982</v>
    <v>0</v>
    <v>1</v>
    <v>637263072000000000,639274822016146277,0</v>
    <v>0</v>
    <v>av932w</v>
    <v>EURUSD</v>
    <v>34</v>
  </rv>
  <rv s="8">
    <v>12</v>
    <v>EURUSD</v>
    <v>Monthly</v>
    <v>43922</v>
    <v>43951</v>
    <v>0</v>
    <v>1</v>
    <v>637238016000000000,639274715438754985,0</v>
    <v>0</v>
    <v>av932w</v>
    <v>EURUSD</v>
    <v>35</v>
  </rv>
  <rv s="8">
    <v>12</v>
    <v>EURUSD</v>
    <v>Monthly</v>
    <v>43891</v>
    <v>43921</v>
    <v>0</v>
    <v>1</v>
    <v>637212096000000000,639274715438917955,0</v>
    <v>0</v>
    <v>av932w</v>
    <v>EURUSD</v>
    <v>36</v>
  </rv>
  <rv s="8">
    <v>12</v>
    <v>EURUSD</v>
    <v>Monthly</v>
    <v>43862</v>
    <v>43890</v>
    <v>0</v>
    <v>1</v>
    <v>637184448000000000,639274822016433896,0</v>
    <v>0</v>
    <v>av932w</v>
    <v>EURUSD</v>
    <v>37</v>
  </rv>
  <rv s="8">
    <v>12</v>
    <v>EURUSD</v>
    <v>Monthly</v>
    <v>43831</v>
    <v>43861</v>
    <v>0</v>
    <v>1</v>
    <v>637160256000000000,639274715439255002,0</v>
    <v>0</v>
    <v>av932w</v>
    <v>EURUSD</v>
    <v>38</v>
  </rv>
  <rv s="8">
    <v>12</v>
    <v>EURUSD</v>
    <v>Monthly</v>
    <v>43800</v>
    <v>43830</v>
    <v>0</v>
    <v>1</v>
    <v>637133472000000000,639274715439417964,0</v>
    <v>0</v>
    <v>av932w</v>
    <v>EURUSD</v>
    <v>39</v>
  </rv>
  <rv s="8">
    <v>12</v>
    <v>EURUSD</v>
    <v>Monthly</v>
    <v>43770</v>
    <v>43799</v>
    <v>0</v>
    <v>1</v>
    <v>637105824000000000,639274822014380178,0</v>
    <v>0</v>
    <v>av932w</v>
    <v>EURUSD</v>
    <v>40</v>
  </rv>
  <rv s="8">
    <v>12</v>
    <v>EURUSD</v>
    <v>Monthly</v>
    <v>43739</v>
    <v>43769</v>
    <v>0</v>
    <v>1</v>
    <v>637080768000000000,639274715439753380,0</v>
    <v>0</v>
    <v>av932w</v>
    <v>EURUSD</v>
    <v>41</v>
  </rv>
  <rv s="8">
    <v>12</v>
    <v>EURUSD</v>
    <v>Monthly</v>
    <v>43709</v>
    <v>43738</v>
    <v>0</v>
    <v>1</v>
    <v>637053984000000000,639274715439918036,0</v>
    <v>0</v>
    <v>av932w</v>
    <v>EURUSD</v>
    <v>42</v>
  </rv>
  <rv s="8">
    <v>12</v>
    <v>EURUSD</v>
    <v>Monthly</v>
    <v>43678</v>
    <v>43708</v>
    <v>0</v>
    <v>1</v>
    <v>637027200000000000,639274822013186241,0</v>
    <v>0</v>
    <v>av932w</v>
    <v>EURUSD</v>
    <v>43</v>
  </rv>
  <rv s="8">
    <v>12</v>
    <v>EURUSD</v>
    <v>Monthly</v>
    <v>43647</v>
    <v>43677</v>
    <v>0</v>
    <v>1</v>
    <v>637001280000000000,639274715438593344,0</v>
    <v>0</v>
    <v>av932w</v>
    <v>EURUSD</v>
    <v>44</v>
  </rv>
  <rv s="8">
    <v>12</v>
    <v>EURUSD</v>
    <v>Monthly</v>
    <v>43617</v>
    <v>43646</v>
    <v>0</v>
    <v>1</v>
    <v>636972768000000000,639274822012920120,0</v>
    <v>0</v>
    <v>av932w</v>
    <v>EURUSD</v>
    <v>15</v>
  </rv>
  <rv s="8">
    <v>12</v>
    <v>EURUSD</v>
    <v>Monthly</v>
    <v>43586</v>
    <v>43616</v>
    <v>0</v>
    <v>1</v>
    <v>636948576000000000,639274715438927967,0</v>
    <v>0</v>
    <v>av932w</v>
    <v>EURUSD</v>
    <v>45</v>
  </rv>
  <rv s="8">
    <v>12</v>
    <v>EURUSD</v>
    <v>Monthly</v>
    <v>43556</v>
    <v>43585</v>
    <v>0</v>
    <v>1</v>
    <v>636921792000000000,639274715439095008,0</v>
    <v>0</v>
    <v>av932w</v>
    <v>EURUSD</v>
    <v>46</v>
  </rv>
  <rv s="8">
    <v>12</v>
    <v>EURUSD</v>
    <v>Monthly</v>
    <v>43525</v>
    <v>43555</v>
    <v>0</v>
    <v>1</v>
    <v>636894144000000000,639274822012840163,0</v>
    <v>0</v>
    <v>av932w</v>
    <v>EURUSD</v>
    <v>47</v>
  </rv>
  <rv s="8">
    <v>12</v>
    <v>EURUSD</v>
    <v>Monthly</v>
    <v>43344</v>
    <v>43373</v>
    <v>0</v>
    <v>1</v>
    <v>636736896000000000,639274822013390189,0</v>
    <v>0</v>
    <v>av932w</v>
    <v>EURUSD</v>
    <v>48</v>
  </rv>
  <rv s="8">
    <v>12</v>
    <v>EURUSD</v>
    <v>Monthly</v>
    <v>43282</v>
    <v>43312</v>
    <v>0</v>
    <v>1</v>
    <v>636685920000000000,639274811963218999,0</v>
    <v>0</v>
    <v>av932w</v>
    <v>EURUSD</v>
    <v>49</v>
  </rv>
  <rv s="8">
    <v>12</v>
    <v>EURUSD</v>
    <v>Monthly</v>
    <v>43191</v>
    <v>43220</v>
    <v>0</v>
    <v>1</v>
    <v>636606432000000000,639274811963379572,0</v>
    <v>0</v>
    <v>av932w</v>
    <v>EURUSD</v>
    <v>50</v>
  </rv>
  <rv s="8">
    <v>12</v>
    <v>EURUSD</v>
    <v>Monthly</v>
    <v>42887</v>
    <v>42916</v>
    <v>0</v>
    <v>1</v>
    <v>636343776000000000,639274811963718984,0</v>
    <v>0</v>
    <v>av932w</v>
    <v>EURUSD</v>
    <v>51</v>
  </rv>
  <rv s="8">
    <v>12</v>
    <v>EURUSD</v>
    <v>Monthly</v>
    <v>42522</v>
    <v>42551</v>
    <v>0</v>
    <v>1</v>
    <v>636028416000000000,639274811964282657,0</v>
    <v>0</v>
    <v>av932w</v>
    <v>EURUSD</v>
    <v>52</v>
  </rv>
  <rv s="8">
    <v>12</v>
    <v>EURUSD</v>
    <v>Monthly</v>
    <v>43405</v>
    <v>43434</v>
    <v>0</v>
    <v>1</v>
    <v>636791328000000000,639274811964969643,0</v>
    <v>0</v>
    <v>av932w</v>
    <v>EURUSD</v>
    <v>53</v>
  </rv>
  <rv s="8">
    <v>12</v>
    <v>EURUSD</v>
    <v>Monthly</v>
    <v>43313</v>
    <v>43343</v>
    <v>0</v>
    <v>1</v>
    <v>636712704000000000,639274811963338976,0</v>
    <v>0</v>
    <v>av932w</v>
    <v>EURUSD</v>
    <v>54</v>
  </rv>
  <rv s="8">
    <v>12</v>
    <v>EURUSD</v>
    <v>Monthly</v>
    <v>42278</v>
    <v>42308</v>
    <v>0</v>
    <v>1</v>
    <v>635817600000000000,639274822009510009,0</v>
    <v>0</v>
    <v>av932w</v>
    <v>EURUSD</v>
    <v>55</v>
  </rv>
  <rv s="8">
    <v>12</v>
    <v>EURUSD</v>
    <v>Monthly</v>
    <v>43497</v>
    <v>43524</v>
    <v>0</v>
    <v>1</v>
    <v>636869088000000000,639274811964389606,0</v>
    <v>0</v>
    <v>av932w</v>
    <v>EURUSD</v>
    <v>56</v>
  </rv>
  <rv s="8">
    <v>12</v>
    <v>EURUSD</v>
    <v>Monthly</v>
    <v>43374</v>
    <v>43404</v>
    <v>0</v>
    <v>1</v>
    <v>636765408000000000,639274811964719008,0</v>
    <v>0</v>
    <v>av932w</v>
    <v>EURUSD</v>
    <v>57</v>
  </rv>
  <rv s="8">
    <v>12</v>
    <v>EURUSD</v>
    <v>Monthly</v>
    <v>43160</v>
    <v>43190</v>
    <v>0</v>
    <v>1</v>
    <v>636579648000000000,639274822013696287,0</v>
    <v>0</v>
    <v>av932w</v>
    <v>EURUSD</v>
    <v>58</v>
  </rv>
  <rv s="8">
    <v>12</v>
    <v>EURUSD</v>
    <v>Monthly</v>
    <v>43040</v>
    <v>43069</v>
    <v>0</v>
    <v>1</v>
    <v>636475968000000000,639274811962912638,0</v>
    <v>0</v>
    <v>av932w</v>
    <v>EURUSD</v>
    <v>59</v>
  </rv>
  <rv s="8">
    <v>12</v>
    <v>EURUSD</v>
    <v>Monthly</v>
    <v>42856</v>
    <v>42886</v>
    <v>0</v>
    <v>1</v>
    <v>636317856000000000,639274811963318972,0</v>
    <v>0</v>
    <v>av932w</v>
    <v>EURUSD</v>
    <v>60</v>
  </rv>
  <rv s="8">
    <v>12</v>
    <v>EURUSD</v>
    <v>Monthly</v>
    <v>42644</v>
    <v>42674</v>
    <v>0</v>
    <v>1</v>
    <v>636134688000000000,639274811963492650,0</v>
    <v>0</v>
    <v>av932w</v>
    <v>EURUSD</v>
    <v>61</v>
  </rv>
  <rv s="8">
    <v>12</v>
    <v>EURUSD</v>
    <v>Monthly</v>
    <v>42583</v>
    <v>42613</v>
    <v>0</v>
    <v>1</v>
    <v>636081984000000000,639274811963828982,0</v>
    <v>0</v>
    <v>av932w</v>
    <v>EURUSD</v>
    <v>62</v>
  </rv>
  <rv s="8">
    <v>12</v>
    <v>EURUSD</v>
    <v>Monthly</v>
    <v>42461</v>
    <v>42490</v>
    <v>0</v>
    <v>1</v>
    <v>635974848000000000,639274822009286206,0</v>
    <v>0</v>
    <v>av932w</v>
    <v>EURUSD</v>
    <v>63</v>
  </rv>
  <rv s="8">
    <v>12</v>
    <v>EURUSD</v>
    <v>Monthly</v>
    <v>42370</v>
    <v>42400</v>
    <v>0</v>
    <v>1</v>
    <v>635896224000000000,639274822009186176,0</v>
    <v>0</v>
    <v>av932w</v>
    <v>EURUSD</v>
    <v>64</v>
  </rv>
  <rv s="8">
    <v>12</v>
    <v>EURUSD</v>
    <v>Monthly</v>
    <v>42217</v>
    <v>42247</v>
    <v>0</v>
    <v>1</v>
    <v>635765760000000000,639274811963399552,0</v>
    <v>0</v>
    <v>av932w</v>
    <v>EURUSD</v>
    <v>65</v>
  </rv>
  <rv s="8">
    <v>12</v>
    <v>EURUSD</v>
    <v>Monthly</v>
    <v>43435</v>
    <v>43465</v>
    <v>0</v>
    <v>1</v>
    <v>636818112000000000,639274811963918984,0</v>
    <v>0</v>
    <v>av932w</v>
    <v>EURUSD</v>
    <v>66</v>
  </rv>
  <rv s="8">
    <v>12</v>
    <v>EURUSD</v>
    <v>Monthly</v>
    <v>42705</v>
    <v>42735</v>
    <v>0</v>
    <v>1</v>
    <v>636186528000000000,639274822009933750,0</v>
    <v>0</v>
    <v>av932w</v>
    <v>EURUSD</v>
    <v>67</v>
  </rv>
  <rv s="8">
    <v>12</v>
    <v>EURUSD</v>
    <v>Monthly</v>
    <v>42614</v>
    <v>42643</v>
    <v>0</v>
    <v>1</v>
    <v>636107904000000000,639274811963632671,0</v>
    <v>0</v>
    <v>av932w</v>
    <v>EURUSD</v>
    <v>68</v>
  </rv>
  <rv s="8">
    <v>12</v>
    <v>EURUSD</v>
    <v>Monthly</v>
    <v>42095</v>
    <v>42124</v>
    <v>0</v>
    <v>1</v>
    <v>635659488000000000,639274811963798990,0</v>
    <v>0</v>
    <v>av932w</v>
    <v>EURUSD</v>
    <v>69</v>
  </rv>
  <rv s="8">
    <v>12</v>
    <v>EURUSD</v>
    <v>Monthly</v>
    <v>43252</v>
    <v>43281</v>
    <v>0</v>
    <v>1</v>
    <v>636658272000000000,639274822013390189,0</v>
    <v>0</v>
    <v>av932w</v>
    <v>EURUSD</v>
    <v>70</v>
  </rv>
  <rv s="8">
    <v>12</v>
    <v>EURUSD</v>
    <v>Monthly</v>
    <v>43009</v>
    <v>43039</v>
    <v>0</v>
    <v>1</v>
    <v>636450048000000000,639274811964149052,0</v>
    <v>0</v>
    <v>av932w</v>
    <v>EURUSD</v>
    <v>71</v>
  </rv>
  <rv s="8">
    <v>12</v>
    <v>EURUSD</v>
    <v>Monthly</v>
    <v>42826</v>
    <v>42855</v>
    <v>0</v>
    <v>1</v>
    <v>636289344000000000,639274822012836239,0</v>
    <v>0</v>
    <v>av932w</v>
    <v>EURUSD</v>
    <v>72</v>
  </rv>
  <rv s="8">
    <v>12</v>
    <v>EURUSD</v>
    <v>Monthly</v>
    <v>42736</v>
    <v>42766</v>
    <v>0</v>
    <v>1</v>
    <v>636214176000000000,639274811965869018,0</v>
    <v>0</v>
    <v>av932w</v>
    <v>EURUSD</v>
    <v>73</v>
  </rv>
  <rv s="8">
    <v>12</v>
    <v>EURUSD</v>
    <v>Monthly</v>
    <v>42430</v>
    <v>42460</v>
    <v>0</v>
    <v>1</v>
    <v>635949792000000000,639274811966539011,0</v>
    <v>0</v>
    <v>av932w</v>
    <v>EURUSD</v>
    <v>74</v>
  </rv>
  <rv s="8">
    <v>12</v>
    <v>EURUSD</v>
    <v>Monthly</v>
    <v>42339</v>
    <v>42369</v>
    <v>0</v>
    <v>1</v>
    <v>635871168000000000,639274811966869727,0</v>
    <v>0</v>
    <v>av932w</v>
    <v>EURUSD</v>
    <v>75</v>
  </rv>
  <rv s="8">
    <v>12</v>
    <v>EURUSD</v>
    <v>Monthly</v>
    <v>42309</v>
    <v>42338</v>
    <v>0</v>
    <v>1</v>
    <v>635844384000000000,639274811967042714,0</v>
    <v>0</v>
    <v>av932w</v>
    <v>EURUSD</v>
    <v>76</v>
  </rv>
  <rv s="8">
    <v>12</v>
    <v>EURUSD</v>
    <v>Monthly</v>
    <v>42156</v>
    <v>42185</v>
    <v>0</v>
    <v>1</v>
    <v>635712192000000000,639274811966289012,0</v>
    <v>0</v>
    <v>av932w</v>
    <v>EURUSD</v>
    <v>77</v>
  </rv>
  <rv s="8">
    <v>12</v>
    <v>EURUSD</v>
    <v>Monthly</v>
    <v>42125</v>
    <v>42155</v>
    <v>0</v>
    <v>1</v>
    <v>635684544000000000,639274822009846191,0</v>
    <v>0</v>
    <v>av932w</v>
    <v>EURUSD</v>
    <v>78</v>
  </rv>
  <rv s="8">
    <v>12</v>
    <v>EURUSD</v>
    <v>Monthly</v>
    <v>43221</v>
    <v>43251</v>
    <v>0</v>
    <v>1</v>
    <v>636633216000000000,639274811967129690,0</v>
    <v>0</v>
    <v>av932w</v>
    <v>EURUSD</v>
    <v>79</v>
  </rv>
  <rv s="8">
    <v>12</v>
    <v>EURUSD</v>
    <v>Monthly</v>
    <v>43070</v>
    <v>43100</v>
    <v>0</v>
    <v>1</v>
    <v>636501024000000000,639274822013636274,0</v>
    <v>0</v>
    <v>av932w</v>
    <v>EURUSD</v>
    <v>80</v>
  </rv>
  <rv s="8">
    <v>12</v>
    <v>EURUSD</v>
    <v>Monthly</v>
    <v>42795</v>
    <v>42825</v>
    <v>0</v>
    <v>1</v>
    <v>636265152000000000,639274811967802741,0</v>
    <v>0</v>
    <v>av932w</v>
    <v>EURUSD</v>
    <v>81</v>
  </rv>
  <rv s="8">
    <v>12</v>
    <v>EURUSD</v>
    <v>Monthly</v>
    <v>42767</v>
    <v>42794</v>
    <v>0</v>
    <v>1</v>
    <v>636238368000000000,639274811966112691,0</v>
    <v>0</v>
    <v>av932w</v>
    <v>EURUSD</v>
    <v>82</v>
  </rv>
  <rv s="8">
    <v>12</v>
    <v>EURUSD</v>
    <v>Monthly</v>
    <v>42248</v>
    <v>42277</v>
    <v>0</v>
    <v>1</v>
    <v>635791680000000000,639274811966789027,0</v>
    <v>0</v>
    <v>av932w</v>
    <v>EURUSD</v>
    <v>83</v>
  </rv>
  <rv s="8">
    <v>12</v>
    <v>EURUSD</v>
    <v>Monthly</v>
    <v>42064</v>
    <v>42094</v>
    <v>0</v>
    <v>1</v>
    <v>635633568000000000,639274811967129044,0</v>
    <v>0</v>
    <v>av932w</v>
    <v>EURUSD</v>
    <v>84</v>
  </rv>
  <rv s="8">
    <v>12</v>
    <v>EURUSD</v>
    <v>Monthly</v>
    <v>43466</v>
    <v>43496</v>
    <v>0</v>
    <v>1</v>
    <v>636844896000000000,639274811967299035,0</v>
    <v>0</v>
    <v>av932w</v>
    <v>EURUSD</v>
    <v>85</v>
  </rv>
  <rv s="8">
    <v>12</v>
    <v>EURUSD</v>
    <v>Monthly</v>
    <v>43132</v>
    <v>43159</v>
    <v>0</v>
    <v>1</v>
    <v>636553728000000000,639274811967639026,0</v>
    <v>0</v>
    <v>av932w</v>
    <v>EURUSD</v>
    <v>86</v>
  </rv>
  <rv s="8">
    <v>12</v>
    <v>EURUSD</v>
    <v>Monthly</v>
    <v>43101</v>
    <v>43131</v>
    <v>0</v>
    <v>1</v>
    <v>636529536000000000,639274811966329047,0</v>
    <v>0</v>
    <v>av932w</v>
    <v>EURUSD</v>
    <v>87</v>
  </rv>
  <rv s="8">
    <v>12</v>
    <v>EURUSD</v>
    <v>Monthly</v>
    <v>42979</v>
    <v>43008</v>
    <v>0</v>
    <v>1</v>
    <v>636422400000000000,639274822012143769,0</v>
    <v>0</v>
    <v>av932w</v>
    <v>EURUSD</v>
    <v>88</v>
  </rv>
  <rv s="8">
    <v>12</v>
    <v>EURUSD</v>
    <v>Monthly</v>
    <v>42948</v>
    <v>42978</v>
    <v>0</v>
    <v>1</v>
    <v>636397344000000000,639274811966659028,0</v>
    <v>0</v>
    <v>av932w</v>
    <v>EURUSD</v>
    <v>89</v>
  </rv>
  <rv s="8">
    <v>12</v>
    <v>EURUSD</v>
    <v>Monthly</v>
    <v>42917</v>
    <v>42947</v>
    <v>0</v>
    <v>1</v>
    <v>636370560000000000,639274811966899031,0</v>
    <v>0</v>
    <v>av932w</v>
    <v>EURUSD</v>
    <v>90</v>
  </rv>
  <rv s="8">
    <v>12</v>
    <v>EURUSD</v>
    <v>Monthly</v>
    <v>42675</v>
    <v>42704</v>
    <v>0</v>
    <v>1</v>
    <v>636160608000000000,639274811967229047,0</v>
    <v>0</v>
    <v>av932w</v>
    <v>EURUSD</v>
    <v>91</v>
  </rv>
  <rv s="8">
    <v>12</v>
    <v>EURUSD</v>
    <v>Monthly</v>
    <v>42552</v>
    <v>42582</v>
    <v>0</v>
    <v>1</v>
    <v>636053472000000000,639274822010440044,0</v>
    <v>0</v>
    <v>av932w</v>
    <v>EURUSD</v>
    <v>92</v>
  </rv>
  <rv s="8">
    <v>12</v>
    <v>EURUSD</v>
    <v>Monthly</v>
    <v>42491</v>
    <v>42521</v>
    <v>0</v>
    <v>1</v>
    <v>636002496000000000,639274811967559025,0</v>
    <v>0</v>
    <v>av932w</v>
    <v>EURUSD</v>
    <v>93</v>
  </rv>
  <rv s="8">
    <v>12</v>
    <v>EURUSD</v>
    <v>Monthly</v>
    <v>42401</v>
    <v>42429</v>
    <v>0</v>
    <v>1</v>
    <v>635923008000000000,639274811967729025,0</v>
    <v>0</v>
    <v>av932w</v>
    <v>EURUSD</v>
    <v>94</v>
  </rv>
  <rv s="8">
    <v>12</v>
    <v>EURUSD</v>
    <v>Monthly</v>
    <v>42186</v>
    <v>42216</v>
    <v>0</v>
    <v>1</v>
    <v>635738976000000000,639274811966459673,0</v>
    <v>0</v>
    <v>av932w</v>
    <v>EURUSD</v>
    <v>78</v>
  </rv>
  <rv s="8">
    <v>12</v>
    <v>EURUSD</v>
    <v>Monthly</v>
    <v>44986</v>
    <v>45016</v>
    <v>0</v>
    <v>1</v>
    <v>638158176000000000,639274812000480859,0</v>
    <v>0</v>
    <v>av932w</v>
    <v>EURUSD</v>
    <v>95</v>
  </rv>
  <rv s="8">
    <v>12</v>
    <v>EURUSD</v>
    <v>Monthly</v>
    <v>45017</v>
    <v>45046</v>
    <v>0</v>
    <v>1</v>
    <v>638182368000000000,639274822010450046,0</v>
    <v>0</v>
    <v>av932w</v>
    <v>EURUSD</v>
    <v>96</v>
  </rv>
  <rv s="8">
    <v>12</v>
    <v>EURUSD</v>
    <v>Monthly</v>
    <v>45047</v>
    <v>45077</v>
    <v>0</v>
    <v>1</v>
    <v>638210880000000000,639274812008703692,0</v>
    <v>0</v>
    <v>av932w</v>
    <v>EURUSD</v>
    <v>97</v>
  </rv>
  <rv s="8">
    <v>12</v>
    <v>EURUSD</v>
    <v>Monthly</v>
    <v>45078</v>
    <v>45107</v>
    <v>0</v>
    <v>1</v>
    <v>638236800000000000,639274812010051184,0</v>
    <v>0</v>
    <v>av932w</v>
    <v>EURUSD</v>
    <v>98</v>
  </rv>
  <rv s="8">
    <v>12</v>
    <v>EURUSD</v>
    <v>Monthly</v>
    <v>45108</v>
    <v>45138</v>
    <v>0</v>
    <v>1</v>
    <v>638263584000000000,639274812011851257,0</v>
    <v>0</v>
    <v>av932w</v>
    <v>EURUSD</v>
    <v>99</v>
  </rv>
  <rv s="8">
    <v>12</v>
    <v>EURUSD</v>
    <v>Monthly</v>
    <v>45139</v>
    <v>45169</v>
    <v>0</v>
    <v>1</v>
    <v>638290368000000000,639274812013271313,0</v>
    <v>0</v>
    <v>av932w</v>
    <v>EURUSD</v>
    <v>100</v>
  </rv>
  <rv s="8">
    <v>12</v>
    <v>EURUSD</v>
    <v>Monthly</v>
    <v>45170</v>
    <v>45199</v>
    <v>0</v>
    <v>1</v>
    <v>638315424000000000,639274822009453722,0</v>
    <v>0</v>
    <v>av932w</v>
    <v>EURUSD</v>
    <v>101</v>
  </rv>
  <rv s="8">
    <v>12</v>
    <v>EURUSD</v>
    <v>Monthly</v>
    <v>45200</v>
    <v>45230</v>
    <v>0</v>
    <v>1</v>
    <v>638343072000000000,639274812016759534,0</v>
    <v>0</v>
    <v>av932w</v>
    <v>EURUSD</v>
    <v>1</v>
  </rv>
  <rv s="8">
    <v>12</v>
    <v>EURUSD</v>
    <v>Monthly</v>
    <v>45231</v>
    <v>45260</v>
    <v>0</v>
    <v>1</v>
    <v>638368992000000000,639274812018609556,0</v>
    <v>0</v>
    <v>av932w</v>
    <v>EURUSD</v>
    <v>102</v>
  </rv>
  <rv s="8">
    <v>12</v>
    <v>EURUSD</v>
    <v>Monthly</v>
    <v>45261</v>
    <v>45291</v>
    <v>0</v>
    <v>1</v>
    <v>638394048000000000,639274822009526198,0</v>
    <v>0</v>
    <v>av932w</v>
    <v>EURUSD</v>
    <v>103</v>
  </rv>
  <rv s="8">
    <v>12</v>
    <v>EURUSD</v>
    <v>Monthly</v>
    <v>45292</v>
    <v>45322</v>
    <v>0</v>
    <v>1</v>
    <v>638422560000000000,639274812021693962,0</v>
    <v>0</v>
    <v>av932w</v>
    <v>EURUSD</v>
    <v>104</v>
  </rv>
  <rv s="8">
    <v>12</v>
    <v>EURUSD</v>
    <v>Monthly</v>
    <v>45323</v>
    <v>45351</v>
    <v>0</v>
    <v>1</v>
    <v>638447616000000000,639274812023791642,0</v>
    <v>0</v>
    <v>av932w</v>
    <v>EURUSD</v>
    <v>105</v>
  </rv>
  <rv s="8">
    <v>12</v>
    <v>EURUSD</v>
    <v>Monthly</v>
    <v>45352</v>
    <v>45382</v>
    <v>0</v>
    <v>1</v>
    <v>638472672000000000,639274822006766155,0</v>
    <v>0</v>
    <v>av932w</v>
    <v>EURUSD</v>
    <v>106</v>
  </rv>
  <rv s="8">
    <v>12</v>
    <v>EURUSD</v>
    <v>Monthly</v>
    <v>45383</v>
    <v>45412</v>
    <v>0</v>
    <v>1</v>
    <v>638500320000000000,639274812026601719,0</v>
    <v>0</v>
    <v>av932w</v>
    <v>EURUSD</v>
    <v>107</v>
  </rv>
  <rv s="8">
    <v>12</v>
    <v>EURUSD</v>
    <v>Monthly</v>
    <v>45413</v>
    <v>45443</v>
    <v>0</v>
    <v>1</v>
    <v>638527104000000000,639274812028261797,0</v>
    <v>0</v>
    <v>av932w</v>
    <v>EURUSD</v>
    <v>100</v>
  </rv>
  <rv s="8">
    <v>12</v>
    <v>EURUSD</v>
    <v>Monthly</v>
    <v>45444</v>
    <v>45473</v>
    <v>0</v>
    <v>1</v>
    <v>638551296000000000,639274822007126156,0</v>
    <v>0</v>
    <v>av932w</v>
    <v>EURUSD</v>
    <v>108</v>
  </rv>
  <rv s="8">
    <v>12</v>
    <v>EURUSD</v>
    <v>Monthly</v>
    <v>45474</v>
    <v>45504</v>
    <v>0</v>
    <v>1</v>
    <v>638579808000000000,639274812031559695,0</v>
    <v>0</v>
    <v>av932w</v>
    <v>EURUSD</v>
    <v>109</v>
  </rv>
  <rv s="8">
    <v>12</v>
    <v>EURUSD</v>
    <v>Monthly</v>
    <v>45505</v>
    <v>45535</v>
    <v>0</v>
    <v>1</v>
    <v>638605728000000000,639274822006116138,0</v>
    <v>0</v>
    <v>av932w</v>
    <v>EURUSD</v>
    <v>110</v>
  </rv>
  <rv s="8">
    <v>12</v>
    <v>EURUSD</v>
    <v>Monthly</v>
    <v>45536</v>
    <v>45565</v>
    <v>0</v>
    <v>1</v>
    <v>638632512000000000,639274812034894288,0</v>
    <v>0</v>
    <v>av932w</v>
    <v>EURUSD</v>
    <v>111</v>
  </rv>
  <rv s="8">
    <v>12</v>
    <v>EURUSD</v>
    <v>Monthly</v>
    <v>45566</v>
    <v>45596</v>
    <v>0</v>
    <v>1</v>
    <v>638659296000000000,639274812036412122,0</v>
    <v>0</v>
    <v>av932w</v>
    <v>EURUSD</v>
    <v>112</v>
  </rv>
  <rv s="8">
    <v>12</v>
    <v>EURUSD</v>
    <v>Monthly</v>
    <v>45597</v>
    <v>45626</v>
    <v>0</v>
    <v>1</v>
    <v>638684352000000000,639274822006276153,0</v>
    <v>0</v>
    <v>av932w</v>
    <v>EURUSD</v>
    <v>82</v>
  </rv>
  <rv s="8">
    <v>12</v>
    <v>EURUSD</v>
    <v>Monthly</v>
    <v>45627</v>
    <v>45657</v>
    <v>0</v>
    <v>1</v>
    <v>638712000000000000,639274812039849762,0</v>
    <v>0</v>
    <v>av932w</v>
    <v>EURUSD</v>
    <v>113</v>
  </rv>
  <rv s="8">
    <v>12</v>
    <v>EURUSD</v>
    <v>Monthly</v>
    <v>45658</v>
    <v>45688</v>
    <v>0</v>
    <v>1</v>
    <v>638738784000000000,639274812041314402,0</v>
    <v>0</v>
    <v>av932w</v>
    <v>EURUSD</v>
    <v>114</v>
  </rv>
  <rv s="8">
    <v>12</v>
    <v>EURUSD</v>
    <v>Monthly</v>
    <v>45689</v>
    <v>45716</v>
    <v>0</v>
    <v>1</v>
    <v>638762976000000000,639274812043474438,0</v>
    <v>0</v>
    <v>av932w</v>
    <v>EURUSD</v>
    <v>115</v>
  </rv>
  <rv s="8">
    <v>12</v>
    <v>EURUSD</v>
    <v>Monthly</v>
    <v>45717</v>
    <v>45747</v>
    <v>0</v>
    <v>1</v>
    <v>638789760000000000,639274812044689829,0</v>
    <v>0</v>
    <v>av932w</v>
    <v>EURUSD</v>
    <v>116</v>
  </rv>
  <rv s="8">
    <v>12</v>
    <v>EURUSD</v>
    <v>Monthly</v>
    <v>45748</v>
    <v>45777</v>
    <v>0</v>
    <v>1</v>
    <v>638815680000000000,639274812046334519,0</v>
    <v>0</v>
    <v>av932w</v>
    <v>EURUSD</v>
    <v>117</v>
  </rv>
  <rv s="8">
    <v>12</v>
    <v>EURUSD</v>
    <v>Monthly</v>
    <v>45778</v>
    <v>45808</v>
    <v>0</v>
    <v>1</v>
    <v>638841600000000000,639274822006366155,0</v>
    <v>0</v>
    <v>av932w</v>
    <v>EURUSD</v>
    <v>118</v>
  </rv>
  <rv s="8">
    <v>12</v>
    <v>EURUSD</v>
    <v>Monthly</v>
    <v>45809</v>
    <v>45838</v>
    <v>0</v>
    <v>1</v>
    <v>638868384000000000,639274812049679887,0</v>
    <v>0</v>
    <v>av932w</v>
    <v>EURUSD</v>
    <v>119</v>
  </rv>
  <rv s="8">
    <v>12</v>
    <v>EURUSD</v>
    <v>Monthly</v>
    <v>45839</v>
    <v>45869</v>
    <v>0</v>
    <v>1</v>
    <v>638895168000000000,639274812051659916,0</v>
    <v>0</v>
    <v>av932w</v>
    <v>EURUSD</v>
    <v>120</v>
  </rv>
  <rv s="8">
    <v>12</v>
    <v>EURUSD</v>
    <v>Monthly</v>
    <v>45870</v>
    <v>45900</v>
    <v>0</v>
    <v>1</v>
    <v>638920224000000000,639274822006629879,0</v>
    <v>0</v>
    <v>av932w</v>
    <v>EURUSD</v>
    <v>121</v>
  </rv>
  <rv s="8">
    <v>12</v>
    <v>EURUSD</v>
    <v>Monthly</v>
    <v>45901</v>
    <v>45930</v>
    <v>0</v>
    <v>1</v>
    <v>638947872000000000,639274812054964737,0</v>
    <v>0</v>
    <v>av932w</v>
    <v>EURUSD</v>
    <v>122</v>
  </rv>
  <rv s="8">
    <v>12</v>
    <v>EURUSD</v>
    <v>Monthly</v>
    <v>45931</v>
    <v>45961</v>
    <v>0</v>
    <v>1</v>
    <v>638974656000000000,639274812056494774,0</v>
    <v>0</v>
    <v>av932w</v>
    <v>EURUSD</v>
    <v>123</v>
  </rv>
  <rv s="8">
    <v>12</v>
    <v>EURUSD</v>
    <v>Monthly</v>
    <v>45962</v>
    <v>45991</v>
    <v>0</v>
    <v>1</v>
    <v>638998848000000000,639274822006753633,0</v>
    <v>0</v>
    <v>av932w</v>
    <v>EURUSD</v>
    <v>124</v>
  </rv>
  <rv s="8">
    <v>12</v>
    <v>EURUSD</v>
    <v>Monthly</v>
    <v>45992</v>
    <v>46022</v>
    <v>0</v>
    <v>1</v>
    <v>639027360000000000,639274812059909982,0</v>
    <v>0</v>
    <v>av932w</v>
    <v>EURUSD</v>
    <v>125</v>
  </rv>
  <rv s="8">
    <v>12</v>
    <v>EURUSD</v>
    <v>Monthly</v>
    <v>46023</v>
    <v>46053</v>
    <v>0</v>
    <v>1</v>
    <v>639053280000000000,639274822005909865,0</v>
    <v>0</v>
    <v>av932w</v>
    <v>EURUSD</v>
    <v>126</v>
  </rv>
  <rv s="8">
    <v>12</v>
    <v>EURUSD</v>
    <v>Monthly</v>
    <v>46054</v>
    <v>46081</v>
    <v>0</v>
    <v>1</v>
    <v>639077472000000000,639274822007066161,0</v>
    <v>0</v>
    <v>av932w</v>
    <v>EURUSD</v>
    <v>127</v>
  </rv>
  <rv s="8">
    <v>12</v>
    <v>EURUSD</v>
    <v>Monthly</v>
    <v>46082</v>
    <v>46112</v>
    <v>0</v>
    <v>1</v>
    <v>639105120000000000,639274812064710017,0</v>
    <v>0</v>
    <v>av932w</v>
    <v>EURUSD</v>
    <v>128</v>
  </rv>
  <rv s="8">
    <v>12</v>
    <v>EURUSD</v>
    <v>Monthly</v>
    <v>46113</v>
    <v>46142</v>
    <v>0</v>
    <v>1</v>
    <v>639131040000000000,639274812066555019,0</v>
    <v>0</v>
    <v>av932w</v>
    <v>EURUSD</v>
    <v>129</v>
  </rv>
  <rv s="8">
    <v>12</v>
    <v>EURUSD</v>
    <v>Monthly</v>
    <v>46143</v>
    <v>46173</v>
    <v>0</v>
    <v>1</v>
    <v>639156096000000000,639274822007546184,0</v>
    <v>0</v>
    <v>av932w</v>
    <v>EURUSD</v>
    <v>130</v>
  </rv>
  <rv s="8">
    <v>12</v>
    <v>EURUSD</v>
    <v>Monthly</v>
    <v>46174</v>
    <v>46203</v>
    <v>0</v>
    <v>1</v>
    <v>639183744000000000,639274812069880084,0</v>
    <v>0</v>
    <v>av932w</v>
    <v>EURUSD</v>
    <v>131</v>
  </rv>
  <rv s="8">
    <v>12</v>
    <v>EURUSD</v>
    <v>Monthly</v>
    <v>46204</v>
    <v>46234</v>
    <v>0</v>
    <v>1</v>
    <v>639210528000000000,639274812071225126,0</v>
    <v>0</v>
    <v>av932w</v>
    <v>EURUSD</v>
    <v>132</v>
  </rv>
  <rv s="8">
    <v>12</v>
    <v>EURUSD</v>
    <v>Monthly</v>
    <v>46235</v>
    <v>46265</v>
    <v>0</v>
    <v>1</v>
    <v>639237312000000000,639274812073403414,0</v>
    <v>0</v>
    <v>av932w</v>
    <v>EURUSD</v>
    <v>133</v>
  </rv>
  <rv s="8">
    <v>12</v>
    <v>EURUSD</v>
    <v>Monthly</v>
    <v>46266</v>
    <v>46295</v>
    <v>0</v>
    <v>1</v>
    <v>639263232000000000,639274812074480145,0</v>
    <v>0</v>
    <v>av932w</v>
    <v>EURUSD</v>
    <v>134</v>
  </rv>
  <rv s="8">
    <v>12</v>
    <v>EURUSD</v>
    <v>Monthly</v>
    <v>46296</v>
    <v>46326</v>
    <v>0</v>
    <v>1</v>
    <v>639273600000000000,639274822006496155,0</v>
    <v>0</v>
    <v>av932w</v>
    <v>EURUSD</v>
    <v>135</v>
  </rv>
  <rv s="8">
    <v>12</v>
    <v>RONUSD</v>
    <v>Monthly</v>
    <v>44958</v>
    <v>44985</v>
    <v>0</v>
    <v>1</v>
    <v>638131392000000000,639274715748005752,0</v>
    <v>0</v>
    <v>avqnkr</v>
    <v>RONUSD</v>
    <v>136</v>
  </rv>
  <rv s="8">
    <v>12</v>
    <v>RONUSD</v>
    <v>Monthly</v>
    <v>44896</v>
    <v>44926</v>
    <v>0</v>
    <v>1</v>
    <v>638079552000000000,639274822020006302,0</v>
    <v>0</v>
    <v>avqnkr</v>
    <v>RONUSD</v>
    <v>137</v>
  </rv>
  <rv s="8">
    <v>12</v>
    <v>RONUSD</v>
    <v>Monthly</v>
    <v>44835</v>
    <v>44865</v>
    <v>0</v>
    <v>1</v>
    <v>638027712000000000,639274715746705695,0</v>
    <v>0</v>
    <v>avqnkr</v>
    <v>RONUSD</v>
    <v>138</v>
  </rv>
  <rv s="8">
    <v>12</v>
    <v>RONUSD</v>
    <v>Monthly</v>
    <v>44774</v>
    <v>44804</v>
    <v>0</v>
    <v>1</v>
    <v>637975008000000000,639274715746871168,0</v>
    <v>0</v>
    <v>avqnkr</v>
    <v>RONUSD</v>
    <v>139</v>
  </rv>
  <rv s="8">
    <v>12</v>
    <v>RONUSD</v>
    <v>Monthly</v>
    <v>44713</v>
    <v>44742</v>
    <v>0</v>
    <v>1</v>
    <v>637921440000000000,639274715747041168,0</v>
    <v>0</v>
    <v>avqnkr</v>
    <v>RONUSD</v>
    <v>140</v>
  </rv>
  <rv s="8">
    <v>12</v>
    <v>RONUSD</v>
    <v>Monthly</v>
    <v>44652</v>
    <v>44681</v>
    <v>0</v>
    <v>1</v>
    <v>637867872000000000,639274822017626290,0</v>
    <v>0</v>
    <v>avqnkr</v>
    <v>RONUSD</v>
    <v>141</v>
  </rv>
  <rv s="8">
    <v>12</v>
    <v>RONUSD</v>
    <v>Monthly</v>
    <v>44593</v>
    <v>44620</v>
    <v>0</v>
    <v>1</v>
    <v>637816032000000000,639274715747375725,0</v>
    <v>0</v>
    <v>avqnkr</v>
    <v>RONUSD</v>
    <v>142</v>
  </rv>
  <rv s="8">
    <v>12</v>
    <v>RONUSD</v>
    <v>Monthly</v>
    <v>44531</v>
    <v>44561</v>
    <v>0</v>
    <v>1</v>
    <v>637765056000000000,639274715747550413,0</v>
    <v>0</v>
    <v>avqnkr</v>
    <v>RONUSD</v>
    <v>143</v>
  </rv>
  <rv s="8">
    <v>12</v>
    <v>RONUSD</v>
    <v>Monthly</v>
    <v>44470</v>
    <v>44500</v>
    <v>0</v>
    <v>1</v>
    <v>637710624000000000,639274822017493932,0</v>
    <v>0</v>
    <v>avqnkr</v>
    <v>RONUSD</v>
    <v>144</v>
  </rv>
  <rv s="8">
    <v>12</v>
    <v>RONUSD</v>
    <v>Monthly</v>
    <v>44440</v>
    <v>44469</v>
    <v>0</v>
    <v>1</v>
    <v>637685568000000000,639274715747895724,0</v>
    <v>0</v>
    <v>avqnkr</v>
    <v>RONUSD</v>
    <v>145</v>
  </rv>
  <rv s="8">
    <v>12</v>
    <v>RONUSD</v>
    <v>Monthly</v>
    <v>44378</v>
    <v>44408</v>
    <v>0</v>
    <v>1</v>
    <v>637632000000000000,639274822015640243,0</v>
    <v>0</v>
    <v>avqnkr</v>
    <v>RONUSD</v>
    <v>146</v>
  </rv>
  <rv s="8">
    <v>12</v>
    <v>RONUSD</v>
    <v>Monthly</v>
    <v>44317</v>
    <v>44347</v>
    <v>0</v>
    <v>1</v>
    <v>637580160000000000,639274715748221178,0</v>
    <v>0</v>
    <v>avqnkr</v>
    <v>RONUSD</v>
    <v>147</v>
  </rv>
  <rv s="8">
    <v>12</v>
    <v>RONUSD</v>
    <v>Monthly</v>
    <v>44256</v>
    <v>44286</v>
    <v>0</v>
    <v>1</v>
    <v>637527456000000000,639274715746750380,0</v>
    <v>0</v>
    <v>avqnkr</v>
    <v>RONUSD</v>
    <v>148</v>
  </rv>
  <rv s="8">
    <v>12</v>
    <v>RONUSD</v>
    <v>Monthly</v>
    <v>44197</v>
    <v>44227</v>
    <v>0</v>
    <v>1</v>
    <v>637474752000000000,639274822015363868,0</v>
    <v>0</v>
    <v>avqnkr</v>
    <v>RONUSD</v>
    <v>149</v>
  </rv>
  <rv s="8">
    <v>12</v>
    <v>RONUSD</v>
    <v>Monthly</v>
    <v>44136</v>
    <v>44165</v>
    <v>0</v>
    <v>1</v>
    <v>637422912000000000,639274715747090409,0</v>
    <v>0</v>
    <v>avqnkr</v>
    <v>RONUSD</v>
    <v>150</v>
  </rv>
  <rv s="8">
    <v>12</v>
    <v>RONUSD</v>
    <v>Monthly</v>
    <v>44075</v>
    <v>44104</v>
    <v>0</v>
    <v>1</v>
    <v>637370208000000000,639274715747500425,0</v>
    <v>0</v>
    <v>avqnkr</v>
    <v>RONUSD</v>
    <v>151</v>
  </rv>
  <rv s="8">
    <v>12</v>
    <v>RONUSD</v>
    <v>Monthly</v>
    <v>44013</v>
    <v>44043</v>
    <v>0</v>
    <v>1</v>
    <v>637317504000000000,639274715747671178,0</v>
    <v>0</v>
    <v>avqnkr</v>
    <v>RONUSD</v>
    <v>152</v>
  </rv>
  <rv s="8">
    <v>12</v>
    <v>RONUSD</v>
    <v>Monthly</v>
    <v>43952</v>
    <v>43982</v>
    <v>0</v>
    <v>1</v>
    <v>637263072000000000,639274822016486271,0</v>
    <v>0</v>
    <v>avqnkr</v>
    <v>RONUSD</v>
    <v>153</v>
  </rv>
  <rv s="8">
    <v>12</v>
    <v>RONUSD</v>
    <v>Monthly</v>
    <v>43891</v>
    <v>43921</v>
    <v>0</v>
    <v>1</v>
    <v>637212096000000000,639274715748011186,0</v>
    <v>0</v>
    <v>avqnkr</v>
    <v>RONUSD</v>
    <v>154</v>
  </rv>
  <rv s="8">
    <v>12</v>
    <v>RONUSD</v>
    <v>Monthly</v>
    <v>43831</v>
    <v>43861</v>
    <v>0</v>
    <v>1</v>
    <v>637160256000000000,639274715748171183,0</v>
    <v>0</v>
    <v>avqnkr</v>
    <v>RONUSD</v>
    <v>155</v>
  </rv>
  <rv s="8">
    <v>12</v>
    <v>RONUSD</v>
    <v>Monthly</v>
    <v>43770</v>
    <v>43799</v>
    <v>0</v>
    <v>1</v>
    <v>637105824000000000,639274822014546253,0</v>
    <v>0</v>
    <v>avqnkr</v>
    <v>RONUSD</v>
    <v>156</v>
  </rv>
  <rv s="8">
    <v>12</v>
    <v>RONUSD</v>
    <v>Monthly</v>
    <v>43709</v>
    <v>43738</v>
    <v>0</v>
    <v>1</v>
    <v>637053984000000000,639274715748501195,0</v>
    <v>0</v>
    <v>avqnkr</v>
    <v>RONUSD</v>
    <v>157</v>
  </rv>
  <rv s="8">
    <v>12</v>
    <v>RONUSD</v>
    <v>Monthly</v>
    <v>43647</v>
    <v>43677</v>
    <v>0</v>
    <v>1</v>
    <v>637001280000000000,639274715746675707,0</v>
    <v>0</v>
    <v>avqnkr</v>
    <v>RONUSD</v>
    <v>158</v>
  </rv>
  <rv s="8">
    <v>12</v>
    <v>RONUSD</v>
    <v>Monthly</v>
    <v>43556</v>
    <v>43585</v>
    <v>0</v>
    <v>1</v>
    <v>636921792000000000,639274715746841165,0</v>
    <v>0</v>
    <v>avqnkr</v>
    <v>RONUSD</v>
    <v>159</v>
  </rv>
  <rv s="8">
    <v>12</v>
    <v>RONUSD</v>
    <v>Monthly</v>
    <v>44927</v>
    <v>44957</v>
    <v>0</v>
    <v>1</v>
    <v>638107200000000000,639274715748091188,0</v>
    <v>0</v>
    <v>avqnkr</v>
    <v>RONUSD</v>
    <v>160</v>
  </rv>
  <rv s="8">
    <v>12</v>
    <v>RONUSD</v>
    <v>Monthly</v>
    <v>44866</v>
    <v>44895</v>
    <v>0</v>
    <v>1</v>
    <v>638053632000000000,639274715748260439,0</v>
    <v>0</v>
    <v>avqnkr</v>
    <v>RONUSD</v>
    <v>161</v>
  </rv>
  <rv s="8">
    <v>12</v>
    <v>RONUSD</v>
    <v>Monthly</v>
    <v>44805</v>
    <v>44834</v>
    <v>0</v>
    <v>1</v>
    <v>638000928000000000,639274715746721162,0</v>
    <v>0</v>
    <v>avqnkr</v>
    <v>RONUSD</v>
    <v>162</v>
  </rv>
  <rv s="8">
    <v>12</v>
    <v>RONUSD</v>
    <v>Monthly</v>
    <v>44743</v>
    <v>44773</v>
    <v>0</v>
    <v>1</v>
    <v>637946496000000000,639274822017463949,0</v>
    <v>0</v>
    <v>avqnkr</v>
    <v>RONUSD</v>
    <v>163</v>
  </rv>
  <rv s="8">
    <v>12</v>
    <v>RONUSD</v>
    <v>Monthly</v>
    <v>44682</v>
    <v>44712</v>
    <v>0</v>
    <v>1</v>
    <v>637895520000000000,639274715747051162,0</v>
    <v>0</v>
    <v>avqnkr</v>
    <v>RONUSD</v>
    <v>164</v>
  </rv>
  <rv s="8">
    <v>12</v>
    <v>RONUSD</v>
    <v>Monthly</v>
    <v>44621</v>
    <v>44651</v>
    <v>0</v>
    <v>1</v>
    <v>637842816000000000,639274715747221183,0</v>
    <v>0</v>
    <v>avqnkr</v>
    <v>RONUSD</v>
    <v>165</v>
  </rv>
  <rv s="8">
    <v>12</v>
    <v>RONUSD</v>
    <v>Monthly</v>
    <v>44562</v>
    <v>44592</v>
    <v>0</v>
    <v>1</v>
    <v>637791840000000000,639274715747381176,0</v>
    <v>0</v>
    <v>avqnkr</v>
    <v>RONUSD</v>
    <v>166</v>
  </rv>
  <rv s="8">
    <v>12</v>
    <v>RONUSD</v>
    <v>Monthly</v>
    <v>44501</v>
    <v>44530</v>
    <v>0</v>
    <v>1</v>
    <v>637738272000000000,639274715747551174,0</v>
    <v>0</v>
    <v>avqnkr</v>
    <v>RONUSD</v>
    <v>153</v>
  </rv>
  <rv s="8">
    <v>12</v>
    <v>RONUSD</v>
    <v>Monthly</v>
    <v>44409</v>
    <v>44439</v>
    <v>0</v>
    <v>1</v>
    <v>637659648000000000,639274715747710430,0</v>
    <v>0</v>
    <v>avqnkr</v>
    <v>RONUSD</v>
    <v>167</v>
  </rv>
  <rv s="8">
    <v>12</v>
    <v>RONUSD</v>
    <v>Monthly</v>
    <v>44348</v>
    <v>44377</v>
    <v>0</v>
    <v>1</v>
    <v>637606080000000000,639274715747875728,0</v>
    <v>0</v>
    <v>avqnkr</v>
    <v>RONUSD</v>
    <v>168</v>
  </rv>
  <rv s="8">
    <v>12</v>
    <v>RONUSD</v>
    <v>Monthly</v>
    <v>44287</v>
    <v>44316</v>
    <v>0</v>
    <v>1</v>
    <v>637553376000000000,639274715748041185,0</v>
    <v>0</v>
    <v>avqnkr</v>
    <v>RONUSD</v>
    <v>169</v>
  </rv>
  <rv s="8">
    <v>12</v>
    <v>RONUSD</v>
    <v>Monthly</v>
    <v>44228</v>
    <v>44255</v>
    <v>0</v>
    <v>1</v>
    <v>637498944000000000,639274822015980241,0</v>
    <v>0</v>
    <v>avqnkr</v>
    <v>RONUSD</v>
    <v>170</v>
  </rv>
  <rv s="8">
    <v>12</v>
    <v>RONUSD</v>
    <v>Monthly</v>
    <v>44166</v>
    <v>44196</v>
    <v>0</v>
    <v>1</v>
    <v>637449696000000000,639274715746665716,0</v>
    <v>0</v>
    <v>avqnkr</v>
    <v>RONUSD</v>
    <v>171</v>
  </rv>
  <rv s="8">
    <v>12</v>
    <v>RONUSD</v>
    <v>Monthly</v>
    <v>44105</v>
    <v>44135</v>
    <v>0</v>
    <v>1</v>
    <v>637396128000000000,639274822015443868,0</v>
    <v>0</v>
    <v>avqnkr</v>
    <v>RONUSD</v>
    <v>172</v>
  </rv>
  <rv s="8">
    <v>12</v>
    <v>RONUSD</v>
    <v>Monthly</v>
    <v>44044</v>
    <v>44074</v>
    <v>0</v>
    <v>1</v>
    <v>637344288000000000,639274715747011165,0</v>
    <v>0</v>
    <v>avqnkr</v>
    <v>RONUSD</v>
    <v>173</v>
  </rv>
  <rv s="8">
    <v>12</v>
    <v>RONUSD</v>
    <v>Monthly</v>
    <v>43983</v>
    <v>44012</v>
    <v>0</v>
    <v>1</v>
    <v>637290720000000000,639274715747175700,0</v>
    <v>0</v>
    <v>avqnkr</v>
    <v>RONUSD</v>
    <v>174</v>
  </rv>
  <rv s="8">
    <v>12</v>
    <v>RONUSD</v>
    <v>Monthly</v>
    <v>43922</v>
    <v>43951</v>
    <v>0</v>
    <v>1</v>
    <v>637238016000000000,639274715747340387,0</v>
    <v>0</v>
    <v>avqnkr</v>
    <v>RONUSD</v>
    <v>175</v>
  </rv>
  <rv s="8">
    <v>12</v>
    <v>RONUSD</v>
    <v>Monthly</v>
    <v>43862</v>
    <v>43890</v>
    <v>0</v>
    <v>1</v>
    <v>637184448000000000,639274822016600263,0</v>
    <v>0</v>
    <v>avqnkr</v>
    <v>RONUSD</v>
    <v>176</v>
  </rv>
  <rv s="8">
    <v>12</v>
    <v>RONUSD</v>
    <v>Monthly</v>
    <v>43800</v>
    <v>43830</v>
    <v>0</v>
    <v>1</v>
    <v>637133472000000000,639274715747675751,0</v>
    <v>0</v>
    <v>avqnkr</v>
    <v>RONUSD</v>
    <v>177</v>
  </rv>
  <rv s="8">
    <v>12</v>
    <v>RONUSD</v>
    <v>Monthly</v>
    <v>43739</v>
    <v>43769</v>
    <v>0</v>
    <v>1</v>
    <v>637080768000000000,639274715747850429,0</v>
    <v>0</v>
    <v>avqnkr</v>
    <v>RONUSD</v>
    <v>178</v>
  </rv>
  <rv s="8">
    <v>12</v>
    <v>RONUSD</v>
    <v>Monthly</v>
    <v>43678</v>
    <v>43708</v>
    <v>0</v>
    <v>1</v>
    <v>637027200000000000,639274822013016242,0</v>
    <v>0</v>
    <v>avqnkr</v>
    <v>RONUSD</v>
    <v>179</v>
  </rv>
  <rv s="8">
    <v>12</v>
    <v>RONUSD</v>
    <v>Monthly</v>
    <v>43617</v>
    <v>43646</v>
    <v>0</v>
    <v>1</v>
    <v>636972768000000000,639274822013090149,0</v>
    <v>0</v>
    <v>avqnkr</v>
    <v>RONUSD</v>
    <v>168</v>
  </rv>
  <rv s="8">
    <v>12</v>
    <v>RONUSD</v>
    <v>Monthly</v>
    <v>43525</v>
    <v>43555</v>
    <v>0</v>
    <v>1</v>
    <v>636894144000000000,639274822013180150,0</v>
    <v>0</v>
    <v>avqnkr</v>
    <v>RONUSD</v>
    <v>180</v>
  </rv>
  <rv s="8">
    <v>12</v>
    <v>RONUSD</v>
    <v>Monthly</v>
    <v>43586</v>
    <v>43616</v>
    <v>0</v>
    <v>1</v>
    <v>636948576000000000,639274715746935692,0</v>
    <v>0</v>
    <v>avqnkr</v>
    <v>RONUSD</v>
    <v>181</v>
  </rv>
  <rv s="8">
    <v>12</v>
    <v>RONUSD</v>
    <v>Monthly</v>
    <v>43497</v>
    <v>43524</v>
    <v>0</v>
    <v>1</v>
    <v>636869088000000000,639274811963238972,0</v>
    <v>0</v>
    <v>avqnkr</v>
    <v>RONUSD</v>
    <v>172</v>
  </rv>
  <rv s="8">
    <v>12</v>
    <v>RONUSD</v>
    <v>Monthly</v>
    <v>43221</v>
    <v>43251</v>
    <v>0</v>
    <v>1</v>
    <v>636633216000000000,639274811963408985,0</v>
    <v>0</v>
    <v>avqnkr</v>
    <v>RONUSD</v>
    <v>182</v>
  </rv>
  <rv s="8">
    <v>12</v>
    <v>RONUSD</v>
    <v>Monthly</v>
    <v>43101</v>
    <v>43131</v>
    <v>0</v>
    <v>1</v>
    <v>636529536000000000,639274811963578980,0</v>
    <v>0</v>
    <v>avqnkr</v>
    <v>RONUSD</v>
    <v>183</v>
  </rv>
  <rv s="8">
    <v>12</v>
    <v>RONUSD</v>
    <v>Monthly</v>
    <v>42948</v>
    <v>42978</v>
    <v>0</v>
    <v>1</v>
    <v>636397344000000000,639274811963739041,0</v>
    <v>0</v>
    <v>avqnkr</v>
    <v>RONUSD</v>
    <v>184</v>
  </rv>
  <rv s="8">
    <v>12</v>
    <v>RONUSD</v>
    <v>Monthly</v>
    <v>42856</v>
    <v>42886</v>
    <v>0</v>
    <v>1</v>
    <v>636317856000000000,639274811963919594,0</v>
    <v>0</v>
    <v>avqnkr</v>
    <v>RONUSD</v>
    <v>185</v>
  </rv>
  <rv s="8">
    <v>12</v>
    <v>RONUSD</v>
    <v>Monthly</v>
    <v>42795</v>
    <v>42825</v>
    <v>0</v>
    <v>1</v>
    <v>636265152000000000,639274811964088995,0</v>
    <v>0</v>
    <v>avqnkr</v>
    <v>RONUSD</v>
    <v>186</v>
  </rv>
  <rv s="8">
    <v>12</v>
    <v>RONUSD</v>
    <v>Monthly</v>
    <v>42705</v>
    <v>42735</v>
    <v>0</v>
    <v>1</v>
    <v>636186528000000000,639274822010280049,0</v>
    <v>0</v>
    <v>avqnkr</v>
    <v>RONUSD</v>
    <v>187</v>
  </rv>
  <rv s="8">
    <v>12</v>
    <v>RONUSD</v>
    <v>Monthly</v>
    <v>42675</v>
    <v>42704</v>
    <v>0</v>
    <v>1</v>
    <v>636160608000000000,639274811964422687,0</v>
    <v>0</v>
    <v>avqnkr</v>
    <v>RONUSD</v>
    <v>158</v>
  </rv>
  <rv s="8">
    <v>12</v>
    <v>RONUSD</v>
    <v>Monthly</v>
    <v>42583</v>
    <v>42613</v>
    <v>0</v>
    <v>1</v>
    <v>636081984000000000,639274811964819622,0</v>
    <v>0</v>
    <v>avqnkr</v>
    <v>RONUSD</v>
    <v>188</v>
  </rv>
  <rv s="8">
    <v>12</v>
    <v>RONUSD</v>
    <v>Monthly</v>
    <v>42552</v>
    <v>42582</v>
    <v>0</v>
    <v>1</v>
    <v>636053472000000000,639274822009349991,0</v>
    <v>0</v>
    <v>avqnkr</v>
    <v>RONUSD</v>
    <v>189</v>
  </rv>
  <rv s="8">
    <v>12</v>
    <v>RONUSD</v>
    <v>Monthly</v>
    <v>42522</v>
    <v>42551</v>
    <v>0</v>
    <v>1</v>
    <v>636028416000000000,639274811963078972,0</v>
    <v>0</v>
    <v>avqnkr</v>
    <v>RONUSD</v>
    <v>190</v>
  </rv>
  <rv s="8">
    <v>12</v>
    <v>RONUSD</v>
    <v>Monthly</v>
    <v>42461</v>
    <v>42490</v>
    <v>0</v>
    <v>1</v>
    <v>635974848000000000,639274822009116195,0</v>
    <v>0</v>
    <v>avqnkr</v>
    <v>RONUSD</v>
    <v>191</v>
  </rv>
  <rv s="8">
    <v>12</v>
    <v>RONUSD</v>
    <v>Monthly</v>
    <v>42370</v>
    <v>42400</v>
    <v>0</v>
    <v>1</v>
    <v>635896224000000000,639274822009013696,0</v>
    <v>0</v>
    <v>avqnkr</v>
    <v>RONUSD</v>
    <v>192</v>
  </rv>
  <rv s="8">
    <v>12</v>
    <v>RONUSD</v>
    <v>Monthly</v>
    <v>42186</v>
    <v>42216</v>
    <v>0</v>
    <v>1</v>
    <v>635738976000000000,639274811963639001,0</v>
    <v>0</v>
    <v>avqnkr</v>
    <v>RONUSD</v>
    <v>193</v>
  </rv>
  <rv s="8">
    <v>12</v>
    <v>RONUSD</v>
    <v>Monthly</v>
    <v>42095</v>
    <v>42124</v>
    <v>0</v>
    <v>1</v>
    <v>635659488000000000,639274811963808989,0</v>
    <v>0</v>
    <v>avqnkr</v>
    <v>RONUSD</v>
    <v>194</v>
  </rv>
  <rv s="8">
    <v>12</v>
    <v>RONUSD</v>
    <v>Monthly</v>
    <v>43435</v>
    <v>43465</v>
    <v>0</v>
    <v>1</v>
    <v>636818112000000000,639274811963979020,0</v>
    <v>0</v>
    <v>avqnkr</v>
    <v>RONUSD</v>
    <v>195</v>
  </rv>
  <rv s="8">
    <v>12</v>
    <v>RONUSD</v>
    <v>Monthly</v>
    <v>43313</v>
    <v>43343</v>
    <v>0</v>
    <v>1</v>
    <v>636712704000000000,639274811964142678,0</v>
    <v>0</v>
    <v>avqnkr</v>
    <v>RONUSD</v>
    <v>196</v>
  </rv>
  <rv s="8">
    <v>12</v>
    <v>RONUSD</v>
    <v>Monthly</v>
    <v>43252</v>
    <v>43281</v>
    <v>0</v>
    <v>1</v>
    <v>636658272000000000,639274822013560175,0</v>
    <v>0</v>
    <v>avqnkr</v>
    <v>RONUSD</v>
    <v>197</v>
  </rv>
  <rv s="8">
    <v>12</v>
    <v>RONUSD</v>
    <v>Monthly</v>
    <v>42887</v>
    <v>42916</v>
    <v>0</v>
    <v>1</v>
    <v>636343776000000000,639274811964489613,0</v>
    <v>0</v>
    <v>avqnkr</v>
    <v>RONUSD</v>
    <v>198</v>
  </rv>
  <rv s="8">
    <v>12</v>
    <v>RONUSD</v>
    <v>Monthly</v>
    <v>42767</v>
    <v>42794</v>
    <v>0</v>
    <v>1</v>
    <v>636238368000000000,639274811964662676,0</v>
    <v>0</v>
    <v>avqnkr</v>
    <v>RONUSD</v>
    <v>199</v>
  </rv>
  <rv s="8">
    <v>12</v>
    <v>RONUSD</v>
    <v>Monthly</v>
    <v>42614</v>
    <v>42643</v>
    <v>0</v>
    <v>1</v>
    <v>636107904000000000,639274811963168973,0</v>
    <v>0</v>
    <v>avqnkr</v>
    <v>RONUSD</v>
    <v>200</v>
  </rv>
  <rv s="8">
    <v>12</v>
    <v>RONUSD</v>
    <v>Monthly</v>
    <v>42491</v>
    <v>42521</v>
    <v>0</v>
    <v>1</v>
    <v>636002496000000000,639274811963339561,0</v>
    <v>0</v>
    <v>avqnkr</v>
    <v>RONUSD</v>
    <v>195</v>
  </rv>
  <rv s="8">
    <v>12</v>
    <v>RONUSD</v>
    <v>Monthly</v>
    <v>42430</v>
    <v>42460</v>
    <v>0</v>
    <v>1</v>
    <v>635949792000000000,639274811963509576,0</v>
    <v>0</v>
    <v>avqnkr</v>
    <v>RONUSD</v>
    <v>201</v>
  </rv>
  <rv s="8">
    <v>12</v>
    <v>RONUSD</v>
    <v>Monthly</v>
    <v>42309</v>
    <v>42338</v>
    <v>0</v>
    <v>1</v>
    <v>635844384000000000,639274811963668983,0</v>
    <v>0</v>
    <v>avqnkr</v>
    <v>RONUSD</v>
    <v>202</v>
  </rv>
  <rv s="8">
    <v>12</v>
    <v>RONUSD</v>
    <v>Monthly</v>
    <v>42248</v>
    <v>42277</v>
    <v>0</v>
    <v>1</v>
    <v>635791680000000000,639274811963839590,0</v>
    <v>0</v>
    <v>avqnkr</v>
    <v>RONUSD</v>
    <v>203</v>
  </rv>
  <rv s="8">
    <v>12</v>
    <v>RONUSD</v>
    <v>Monthly</v>
    <v>42217</v>
    <v>42247</v>
    <v>0</v>
    <v>1</v>
    <v>635765760000000000,639274811964008996,0</v>
    <v>0</v>
    <v>avqnkr</v>
    <v>RONUSD</v>
    <v>204</v>
  </rv>
  <rv s="8">
    <v>12</v>
    <v>RONUSD</v>
    <v>Monthly</v>
    <v>42125</v>
    <v>42155</v>
    <v>0</v>
    <v>1</v>
    <v>635684544000000000,639274822010193744,0</v>
    <v>0</v>
    <v>avqnkr</v>
    <v>RONUSD</v>
    <v>205</v>
  </rv>
  <rv s="8">
    <v>12</v>
    <v>RONUSD</v>
    <v>Monthly</v>
    <v>42064</v>
    <v>42094</v>
    <v>0</v>
    <v>1</v>
    <v>635633568000000000,639274811964342658,0</v>
    <v>0</v>
    <v>avqnkr</v>
    <v>RONUSD</v>
    <v>206</v>
  </rv>
  <rv s="8">
    <v>12</v>
    <v>RONUSD</v>
    <v>Monthly</v>
    <v>43466</v>
    <v>43496</v>
    <v>0</v>
    <v>1</v>
    <v>636844896000000000,639274811964508985,0</v>
    <v>0</v>
    <v>avqnkr</v>
    <v>RONUSD</v>
    <v>207</v>
  </rv>
  <rv s="8">
    <v>12</v>
    <v>RONUSD</v>
    <v>Monthly</v>
    <v>43405</v>
    <v>43434</v>
    <v>0</v>
    <v>1</v>
    <v>636791328000000000,639274811964669000,0</v>
    <v>0</v>
    <v>avqnkr</v>
    <v>RONUSD</v>
    <v>206</v>
  </rv>
  <rv s="8">
    <v>12</v>
    <v>RONUSD</v>
    <v>Monthly</v>
    <v>43374</v>
    <v>43404</v>
    <v>0</v>
    <v>1</v>
    <v>636765408000000000,639274811963242637,0</v>
    <v>0</v>
    <v>avqnkr</v>
    <v>RONUSD</v>
    <v>208</v>
  </rv>
  <rv s="8">
    <v>12</v>
    <v>RONUSD</v>
    <v>Monthly</v>
    <v>43344</v>
    <v>43373</v>
    <v>0</v>
    <v>1</v>
    <v>636736896000000000,639274822013723814,0</v>
    <v>0</v>
    <v>avqnkr</v>
    <v>RONUSD</v>
    <v>209</v>
  </rv>
  <rv s="8">
    <v>12</v>
    <v>RONUSD</v>
    <v>Monthly</v>
    <v>43282</v>
    <v>43312</v>
    <v>0</v>
    <v>1</v>
    <v>636685920000000000,639274811963582643,0</v>
    <v>0</v>
    <v>avqnkr</v>
    <v>RONUSD</v>
    <v>203</v>
  </rv>
  <rv s="8">
    <v>12</v>
    <v>RONUSD</v>
    <v>Monthly</v>
    <v>43191</v>
    <v>43220</v>
    <v>0</v>
    <v>1</v>
    <v>636606432000000000,639274811963749576,0</v>
    <v>0</v>
    <v>avqnkr</v>
    <v>RONUSD</v>
    <v>210</v>
  </rv>
  <rv s="8">
    <v>12</v>
    <v>RONUSD</v>
    <v>Monthly</v>
    <v>43160</v>
    <v>43190</v>
    <v>0</v>
    <v>1</v>
    <v>636579648000000000,639274822012083767,0</v>
    <v>0</v>
    <v>avqnkr</v>
    <v>RONUSD</v>
    <v>211</v>
  </rv>
  <rv s="8">
    <v>12</v>
    <v>RONUSD</v>
    <v>Monthly</v>
    <v>43132</v>
    <v>43159</v>
    <v>0</v>
    <v>1</v>
    <v>636553728000000000,639274811964298984,0</v>
    <v>0</v>
    <v>avqnkr</v>
    <v>RONUSD</v>
    <v>212</v>
  </rv>
  <rv s="8">
    <v>12</v>
    <v>RONUSD</v>
    <v>Monthly</v>
    <v>43070</v>
    <v>43100</v>
    <v>0</v>
    <v>1</v>
    <v>636501024000000000,639274822012536227,0</v>
    <v>0</v>
    <v>avqnkr</v>
    <v>RONUSD</v>
    <v>213</v>
  </rv>
  <rv s="8">
    <v>12</v>
    <v>RONUSD</v>
    <v>Monthly</v>
    <v>43040</v>
    <v>43069</v>
    <v>0</v>
    <v>1</v>
    <v>636475968000000000,639274811964638988,0</v>
    <v>0</v>
    <v>avqnkr</v>
    <v>RONUSD</v>
    <v>214</v>
  </rv>
  <rv s="8">
    <v>12</v>
    <v>RONUSD</v>
    <v>Monthly</v>
    <v>43009</v>
    <v>43039</v>
    <v>0</v>
    <v>1</v>
    <v>636450048000000000,639274811964799624,0</v>
    <v>0</v>
    <v>avqnkr</v>
    <v>RONUSD</v>
    <v>215</v>
  </rv>
  <rv s="8">
    <v>12</v>
    <v>RONUSD</v>
    <v>Monthly</v>
    <v>42979</v>
    <v>43008</v>
    <v>0</v>
    <v>1</v>
    <v>636422400000000000,639274822012486237,0</v>
    <v>0</v>
    <v>avqnkr</v>
    <v>RONUSD</v>
    <v>216</v>
  </rv>
  <rv s="8">
    <v>12</v>
    <v>RONUSD</v>
    <v>Monthly</v>
    <v>42917</v>
    <v>42947</v>
    <v>0</v>
    <v>1</v>
    <v>636370560000000000,639274811963278974,0</v>
    <v>0</v>
    <v>avqnkr</v>
    <v>RONUSD</v>
    <v>217</v>
  </rv>
  <rv s="8">
    <v>12</v>
    <v>RONUSD</v>
    <v>Monthly</v>
    <v>42826</v>
    <v>42855</v>
    <v>0</v>
    <v>1</v>
    <v>636289344000000000,639274822013176235,0</v>
    <v>0</v>
    <v>avqnkr</v>
    <v>RONUSD</v>
    <v>218</v>
  </rv>
  <rv s="8">
    <v>12</v>
    <v>RONUSD</v>
    <v>Monthly</v>
    <v>42736</v>
    <v>42766</v>
    <v>0</v>
    <v>1</v>
    <v>636214176000000000,639274811963608984,0</v>
    <v>0</v>
    <v>avqnkr</v>
    <v>RONUSD</v>
    <v>219</v>
  </rv>
  <rv s="8">
    <v>12</v>
    <v>RONUSD</v>
    <v>Monthly</v>
    <v>42644</v>
    <v>42674</v>
    <v>0</v>
    <v>1</v>
    <v>636134688000000000,639274811963772657,0</v>
    <v>0</v>
    <v>avqnkr</v>
    <v>RONUSD</v>
    <v>152</v>
  </rv>
  <rv s="8">
    <v>12</v>
    <v>RONUSD</v>
    <v>Monthly</v>
    <v>42401</v>
    <v>42429</v>
    <v>0</v>
    <v>1</v>
    <v>635923008000000000,639274811963938982,0</v>
    <v>0</v>
    <v>avqnkr</v>
    <v>RONUSD</v>
    <v>220</v>
  </rv>
  <rv s="8">
    <v>12</v>
    <v>RONUSD</v>
    <v>Monthly</v>
    <v>42339</v>
    <v>42369</v>
    <v>0</v>
    <v>1</v>
    <v>635871168000000000,639274811964109593,0</v>
    <v>0</v>
    <v>avqnkr</v>
    <v>RONUSD</v>
    <v>221</v>
  </rv>
  <rv s="8">
    <v>12</v>
    <v>RONUSD</v>
    <v>Monthly</v>
    <v>42278</v>
    <v>42308</v>
    <v>0</v>
    <v>1</v>
    <v>635817600000000000,639274822009156189,0</v>
    <v>0</v>
    <v>avqnkr</v>
    <v>RONUSD</v>
    <v>222</v>
  </rv>
  <rv s="8">
    <v>12</v>
    <v>RONUSD</v>
    <v>Monthly</v>
    <v>42156</v>
    <v>42185</v>
    <v>0</v>
    <v>1</v>
    <v>635712192000000000,639274811964438991,0</v>
    <v>0</v>
    <v>avqnkr</v>
    <v>RONUSD</v>
    <v>223</v>
  </rv>
  <rv s="8">
    <v>12</v>
    <v>RONUSD</v>
    <v>Monthly</v>
    <v>44986</v>
    <v>45016</v>
    <v>0</v>
    <v>1</v>
    <v>638158176000000000,639274812000843483,0</v>
    <v>0</v>
    <v>avqnkr</v>
    <v>RONUSD</v>
    <v>224</v>
  </rv>
  <rv s="8">
    <v>12</v>
    <v>RONUSD</v>
    <v>Monthly</v>
    <v>45017</v>
    <v>45046</v>
    <v>0</v>
    <v>1</v>
    <v>638182368000000000,639274822010103729,0</v>
    <v>0</v>
    <v>avqnkr</v>
    <v>RONUSD</v>
    <v>225</v>
  </rv>
  <rv s="8">
    <v>12</v>
    <v>RONUSD</v>
    <v>Monthly</v>
    <v>45047</v>
    <v>45077</v>
    <v>0</v>
    <v>1</v>
    <v>638210880000000000,639274812009043686,0</v>
    <v>0</v>
    <v>avqnkr</v>
    <v>RONUSD</v>
    <v>226</v>
  </rv>
  <rv s="8">
    <v>12</v>
    <v>RONUSD</v>
    <v>Monthly</v>
    <v>45078</v>
    <v>45107</v>
    <v>0</v>
    <v>1</v>
    <v>638236800000000000,639274812010561209,0</v>
    <v>0</v>
    <v>avqnkr</v>
    <v>RONUSD</v>
    <v>227</v>
  </rv>
  <rv s="8">
    <v>12</v>
    <v>RONUSD</v>
    <v>Monthly</v>
    <v>45108</v>
    <v>45138</v>
    <v>0</v>
    <v>1</v>
    <v>638263584000000000,639274812012241272,0</v>
    <v>0</v>
    <v>avqnkr</v>
    <v>RONUSD</v>
    <v>228</v>
  </rv>
  <rv s="8">
    <v>12</v>
    <v>RONUSD</v>
    <v>Monthly</v>
    <v>45139</v>
    <v>45169</v>
    <v>0</v>
    <v>1</v>
    <v>638290368000000000,639274812013609500,0</v>
    <v>0</v>
    <v>avqnkr</v>
    <v>RONUSD</v>
    <v>229</v>
  </rv>
  <rv s="8">
    <v>12</v>
    <v>RONUSD</v>
    <v>Monthly</v>
    <v>45170</v>
    <v>45199</v>
    <v>0</v>
    <v>1</v>
    <v>638315424000000000,639274822009783749,0</v>
    <v>0</v>
    <v>avqnkr</v>
    <v>RONUSD</v>
    <v>230</v>
  </rv>
  <rv s="8">
    <v>12</v>
    <v>RONUSD</v>
    <v>Monthly</v>
    <v>45200</v>
    <v>45230</v>
    <v>0</v>
    <v>1</v>
    <v>638343072000000000,639274812016591414,0</v>
    <v>0</v>
    <v>avqnkr</v>
    <v>RONUSD</v>
    <v>231</v>
  </rv>
  <rv s="8">
    <v>12</v>
    <v>RONUSD</v>
    <v>Monthly</v>
    <v>45231</v>
    <v>45260</v>
    <v>0</v>
    <v>1</v>
    <v>638368992000000000,639274812018429562,0</v>
    <v>0</v>
    <v>avqnkr</v>
    <v>RONUSD</v>
    <v>224</v>
  </rv>
  <rv s="8">
    <v>12</v>
    <v>RONUSD</v>
    <v>Monthly</v>
    <v>45261</v>
    <v>45291</v>
    <v>0</v>
    <v>1</v>
    <v>638394048000000000,639274822009700003,0</v>
    <v>0</v>
    <v>avqnkr</v>
    <v>RONUSD</v>
    <v>232</v>
  </rv>
  <rv s="8">
    <v>12</v>
    <v>RONUSD</v>
    <v>Monthly</v>
    <v>45292</v>
    <v>45322</v>
    <v>0</v>
    <v>1</v>
    <v>638422560000000000,639274812021861582,0</v>
    <v>0</v>
    <v>avqnkr</v>
    <v>RONUSD</v>
    <v>233</v>
  </rv>
  <rv s="8">
    <v>12</v>
    <v>RONUSD</v>
    <v>Monthly</v>
    <v>45323</v>
    <v>45351</v>
    <v>0</v>
    <v>1</v>
    <v>638447616000000000,639274812023631667,0</v>
    <v>0</v>
    <v>avqnkr</v>
    <v>RONUSD</v>
    <v>233</v>
  </rv>
  <rv s="8">
    <v>12</v>
    <v>RONUSD</v>
    <v>Monthly</v>
    <v>45352</v>
    <v>45382</v>
    <v>0</v>
    <v>1</v>
    <v>638472672000000000,639274822006606158,0</v>
    <v>0</v>
    <v>avqnkr</v>
    <v>RONUSD</v>
    <v>234</v>
  </rv>
  <rv s="8">
    <v>12</v>
    <v>RONUSD</v>
    <v>Monthly</v>
    <v>45383</v>
    <v>45412</v>
    <v>0</v>
    <v>1</v>
    <v>638500320000000000,639274812026959664,0</v>
    <v>0</v>
    <v>avqnkr</v>
    <v>RONUSD</v>
    <v>235</v>
  </rv>
  <rv s="8">
    <v>12</v>
    <v>RONUSD</v>
    <v>Monthly</v>
    <v>45413</v>
    <v>45443</v>
    <v>0</v>
    <v>1</v>
    <v>638527104000000000,639274812028604144,0</v>
    <v>0</v>
    <v>avqnkr</v>
    <v>RONUSD</v>
    <v>236</v>
  </rv>
  <rv s="8">
    <v>12</v>
    <v>RONUSD</v>
    <v>Monthly</v>
    <v>45444</v>
    <v>45473</v>
    <v>0</v>
    <v>1</v>
    <v>638551296000000000,639274822006793670,0</v>
    <v>0</v>
    <v>avqnkr</v>
    <v>RONUSD</v>
    <v>237</v>
  </rv>
  <rv s="8">
    <v>12</v>
    <v>RONUSD</v>
    <v>Monthly</v>
    <v>45474</v>
    <v>45504</v>
    <v>0</v>
    <v>1</v>
    <v>638579808000000000,639274812031889747,0</v>
    <v>0</v>
    <v>avqnkr</v>
    <v>RONUSD</v>
    <v>238</v>
  </rv>
  <rv s="8">
    <v>12</v>
    <v>RONUSD</v>
    <v>Monthly</v>
    <v>45505</v>
    <v>45535</v>
    <v>0</v>
    <v>1</v>
    <v>638605728000000000,639274822005949853,0</v>
    <v>0</v>
    <v>avqnkr</v>
    <v>RONUSD</v>
    <v>239</v>
  </rv>
  <rv s="8">
    <v>12</v>
    <v>RONUSD</v>
    <v>Monthly</v>
    <v>45536</v>
    <v>45565</v>
    <v>0</v>
    <v>1</v>
    <v>638632512000000000,639274812035074297,0</v>
    <v>0</v>
    <v>avqnkr</v>
    <v>RONUSD</v>
    <v>240</v>
  </rv>
  <rv s="8">
    <v>12</v>
    <v>RONUSD</v>
    <v>Monthly</v>
    <v>45566</v>
    <v>45596</v>
    <v>0</v>
    <v>1</v>
    <v>638659296000000000,639274812036752133,0</v>
    <v>0</v>
    <v>avqnkr</v>
    <v>RONUSD</v>
    <v>241</v>
  </rv>
  <rv s="8">
    <v>12</v>
    <v>RONUSD</v>
    <v>Monthly</v>
    <v>45597</v>
    <v>45626</v>
    <v>0</v>
    <v>1</v>
    <v>638684352000000000,639274822005929868,0</v>
    <v>0</v>
    <v>avqnkr</v>
    <v>RONUSD</v>
    <v>242</v>
  </rv>
  <rv s="8">
    <v>12</v>
    <v>RONUSD</v>
    <v>Monthly</v>
    <v>45627</v>
    <v>45657</v>
    <v>0</v>
    <v>1</v>
    <v>638712000000000000,639274812040024364,0</v>
    <v>0</v>
    <v>avqnkr</v>
    <v>RONUSD</v>
    <v>243</v>
  </rv>
  <rv s="8">
    <v>12</v>
    <v>RONUSD</v>
    <v>Monthly</v>
    <v>45658</v>
    <v>45688</v>
    <v>0</v>
    <v>1</v>
    <v>638738784000000000,639274812041489805,0</v>
    <v>0</v>
    <v>avqnkr</v>
    <v>RONUSD</v>
    <v>244</v>
  </rv>
  <rv s="8">
    <v>12</v>
    <v>RONUSD</v>
    <v>Monthly</v>
    <v>45689</v>
    <v>45716</v>
    <v>0</v>
    <v>1</v>
    <v>638762976000000000,639274812043304443,0</v>
    <v>0</v>
    <v>avqnkr</v>
    <v>RONUSD</v>
    <v>245</v>
  </rv>
  <rv s="8">
    <v>12</v>
    <v>RONUSD</v>
    <v>Monthly</v>
    <v>45717</v>
    <v>45747</v>
    <v>0</v>
    <v>1</v>
    <v>638789760000000000,639274812045032402,0</v>
    <v>0</v>
    <v>avqnkr</v>
    <v>RONUSD</v>
    <v>234</v>
  </rv>
  <rv s="8">
    <v>12</v>
    <v>RONUSD</v>
    <v>Monthly</v>
    <v>45748</v>
    <v>45777</v>
    <v>0</v>
    <v>1</v>
    <v>638815680000000000,639274812046674544,0</v>
    <v>0</v>
    <v>avqnkr</v>
    <v>RONUSD</v>
    <v>246</v>
  </rv>
  <rv s="8">
    <v>12</v>
    <v>RONUSD</v>
    <v>Monthly</v>
    <v>45778</v>
    <v>45808</v>
    <v>0</v>
    <v>1</v>
    <v>638841600000000000,639274822006539918,0</v>
    <v>0</v>
    <v>avqnkr</v>
    <v>RONUSD</v>
    <v>247</v>
  </rv>
  <rv s="8">
    <v>12</v>
    <v>RONUSD</v>
    <v>Monthly</v>
    <v>45809</v>
    <v>45838</v>
    <v>0</v>
    <v>1</v>
    <v>638868384000000000,639274812050032558,0</v>
    <v>0</v>
    <v>avqnkr</v>
    <v>RONUSD</v>
    <v>155</v>
  </rv>
  <rv s="8">
    <v>12</v>
    <v>RONUSD</v>
    <v>Monthly</v>
    <v>45839</v>
    <v>45869</v>
    <v>0</v>
    <v>1</v>
    <v>638895168000000000,639274812051492637,0</v>
    <v>0</v>
    <v>avqnkr</v>
    <v>RONUSD</v>
    <v>248</v>
  </rv>
  <rv s="8">
    <v>12</v>
    <v>RONUSD</v>
    <v>Monthly</v>
    <v>45870</v>
    <v>45900</v>
    <v>0</v>
    <v>1</v>
    <v>638920224000000000,639274822006279897,0</v>
    <v>0</v>
    <v>avqnkr</v>
    <v>RONUSD</v>
    <v>156</v>
  </rv>
  <rv s="8">
    <v>12</v>
    <v>RONUSD</v>
    <v>Monthly</v>
    <v>45901</v>
    <v>45930</v>
    <v>0</v>
    <v>1</v>
    <v>638947872000000000,639274812054624741,0</v>
    <v>0</v>
    <v>avqnkr</v>
    <v>RONUSD</v>
    <v>249</v>
  </rv>
  <rv s="8">
    <v>12</v>
    <v>RONUSD</v>
    <v>Monthly</v>
    <v>45931</v>
    <v>45961</v>
    <v>0</v>
    <v>1</v>
    <v>638974656000000000,639274812056322810,0</v>
    <v>0</v>
    <v>avqnkr</v>
    <v>RONUSD</v>
    <v>250</v>
  </rv>
  <rv s="8">
    <v>12</v>
    <v>RONUSD</v>
    <v>Monthly</v>
    <v>45962</v>
    <v>45991</v>
    <v>0</v>
    <v>1</v>
    <v>638998848000000000,639274822006586146,0</v>
    <v>0</v>
    <v>avqnkr</v>
    <v>RONUSD</v>
    <v>251</v>
  </rv>
  <rv s="8">
    <v>12</v>
    <v>RONUSD</v>
    <v>Monthly</v>
    <v>45992</v>
    <v>46022</v>
    <v>0</v>
    <v>1</v>
    <v>639027360000000000,639274812059739993,0</v>
    <v>0</v>
    <v>avqnkr</v>
    <v>RONUSD</v>
    <v>252</v>
  </rv>
  <rv s="8">
    <v>12</v>
    <v>RONUSD</v>
    <v>Monthly</v>
    <v>46023</v>
    <v>46053</v>
    <v>0</v>
    <v>1</v>
    <v>639053280000000000,639274822007233657,0</v>
    <v>0</v>
    <v>avqnkr</v>
    <v>RONUSD</v>
    <v>253</v>
  </rv>
  <rv s="8">
    <v>12</v>
    <v>RONUSD</v>
    <v>Monthly</v>
    <v>46054</v>
    <v>46081</v>
    <v>0</v>
    <v>1</v>
    <v>639077472000000000,639274822006733636,0</v>
    <v>0</v>
    <v>avqnkr</v>
    <v>RONUSD</v>
    <v>254</v>
  </rv>
  <rv s="8">
    <v>12</v>
    <v>RONUSD</v>
    <v>Monthly</v>
    <v>46082</v>
    <v>46112</v>
    <v>0</v>
    <v>1</v>
    <v>639105120000000000,639274812064543069,0</v>
    <v>0</v>
    <v>avqnkr</v>
    <v>RONUSD</v>
    <v>255</v>
  </rv>
  <rv s="8">
    <v>12</v>
    <v>RONUSD</v>
    <v>Monthly</v>
    <v>46113</v>
    <v>46142</v>
    <v>0</v>
    <v>1</v>
    <v>639131040000000000,639274812066210039,0</v>
    <v>0</v>
    <v>avqnkr</v>
    <v>RONUSD</v>
    <v>256</v>
  </rv>
  <rv s="8">
    <v>12</v>
    <v>RONUSD</v>
    <v>Monthly</v>
    <v>46143</v>
    <v>46173</v>
    <v>0</v>
    <v>1</v>
    <v>639156096000000000,639274822006873640,0</v>
    <v>0</v>
    <v>avqnkr</v>
    <v>RONUSD</v>
    <v>239</v>
  </rv>
  <rv s="8">
    <v>12</v>
    <v>RONUSD</v>
    <v>Monthly</v>
    <v>46174</v>
    <v>46203</v>
    <v>0</v>
    <v>1</v>
    <v>639183744000000000,639274812069705094,0</v>
    <v>0</v>
    <v>avqnkr</v>
    <v>RONUSD</v>
    <v>257</v>
  </rv>
  <rv s="8">
    <v>12</v>
    <v>RONUSD</v>
    <v>Monthly</v>
    <v>46204</v>
    <v>46234</v>
    <v>0</v>
    <v>1</v>
    <v>639210528000000000,639274812071565133,0</v>
    <v>0</v>
    <v>avqnkr</v>
    <v>RONUSD</v>
    <v>258</v>
  </rv>
  <rv s="8">
    <v>12</v>
    <v>RONUSD</v>
    <v>Monthly</v>
    <v>46235</v>
    <v>46265</v>
    <v>0</v>
    <v>1</v>
    <v>639237312000000000,639274812073010134,0</v>
    <v>0</v>
    <v>avqnkr</v>
    <v>RONUSD</v>
    <v>160</v>
  </rv>
  <rv s="8">
    <v>12</v>
    <v>RONUSD</v>
    <v>Monthly</v>
    <v>46266</v>
    <v>46295</v>
    <v>0</v>
    <v>1</v>
    <v>639263232000000000,639274812074830156,0</v>
    <v>0</v>
    <v>avqnkr</v>
    <v>RONUSD</v>
    <v>259</v>
  </rv>
  <rv s="8">
    <v>12</v>
    <v>RONUSD</v>
    <v>Monthly</v>
    <v>46296</v>
    <v>46326</v>
    <v>0</v>
    <v>1</v>
    <v>639273600000000000,639274822006153630,0</v>
    <v>0</v>
    <v>avqnkr</v>
    <v>RONUSD</v>
    <v>260</v>
  </rv>
  <rv s="8">
    <v>12</v>
    <v>HUFUSD</v>
    <v>Monthly</v>
    <v>44958</v>
    <v>44985</v>
    <v>0</v>
    <v>1</v>
    <v>638131392000000000,639274715627126288,0</v>
    <v>0</v>
    <v>avc477</v>
    <v>HUFUSD</v>
    <v>261</v>
  </rv>
  <rv s="8">
    <v>12</v>
    <v>HUFUSD</v>
    <v>Monthly</v>
    <v>44927</v>
    <v>44957</v>
    <v>0</v>
    <v>1</v>
    <v>638107200000000000,639274715627296316,0</v>
    <v>0</v>
    <v>avc477</v>
    <v>HUFUSD</v>
    <v>262</v>
  </rv>
  <rv s="8">
    <v>12</v>
    <v>HUFUSD</v>
    <v>Monthly</v>
    <v>44896</v>
    <v>44926</v>
    <v>0</v>
    <v>1</v>
    <v>638079552000000000,639274822018462160,0</v>
    <v>0</v>
    <v>avc477</v>
    <v>HUFUSD</v>
    <v>263</v>
  </rv>
  <rv s="8">
    <v>12</v>
    <v>HUFUSD</v>
    <v>Monthly</v>
    <v>44866</v>
    <v>44895</v>
    <v>0</v>
    <v>1</v>
    <v>638053632000000000,639274715625931866,0</v>
    <v>0</v>
    <v>avc477</v>
    <v>HUFUSD</v>
    <v>264</v>
  </rv>
  <rv s="8">
    <v>12</v>
    <v>HUFUSD</v>
    <v>Monthly</v>
    <v>44835</v>
    <v>44865</v>
    <v>0</v>
    <v>1</v>
    <v>638027712000000000,639274715626101863,0</v>
    <v>0</v>
    <v>avc477</v>
    <v>HUFUSD</v>
    <v>265</v>
  </rv>
  <rv s="8">
    <v>12</v>
    <v>HUFUSD</v>
    <v>Monthly</v>
    <v>44805</v>
    <v>44834</v>
    <v>0</v>
    <v>1</v>
    <v>638000928000000000,639274715626274872,0</v>
    <v>0</v>
    <v>avc477</v>
    <v>HUFUSD</v>
    <v>266</v>
  </rv>
  <rv s="8">
    <v>12</v>
    <v>HUFUSD</v>
    <v>Monthly</v>
    <v>44774</v>
    <v>44804</v>
    <v>0</v>
    <v>1</v>
    <v>637975008000000000,639274715626434847,0</v>
    <v>0</v>
    <v>avc477</v>
    <v>HUFUSD</v>
    <v>267</v>
  </rv>
  <rv s="8">
    <v>12</v>
    <v>HUFUSD</v>
    <v>Monthly</v>
    <v>44743</v>
    <v>44773</v>
    <v>0</v>
    <v>1</v>
    <v>637946496000000000,639274822017631714,0</v>
    <v>0</v>
    <v>avc477</v>
    <v>HUFUSD</v>
    <v>268</v>
  </rv>
  <rv s="8">
    <v>12</v>
    <v>HUFUSD</v>
    <v>Monthly</v>
    <v>44713</v>
    <v>44742</v>
    <v>0</v>
    <v>1</v>
    <v>637921440000000000,639274715626771889,0</v>
    <v>0</v>
    <v>avc477</v>
    <v>HUFUSD</v>
    <v>269</v>
  </rv>
  <rv s="8">
    <v>12</v>
    <v>HUFUSD</v>
    <v>Monthly</v>
    <v>44682</v>
    <v>44712</v>
    <v>0</v>
    <v>1</v>
    <v>637895520000000000,639274715626931877,0</v>
    <v>0</v>
    <v>avc477</v>
    <v>HUFUSD</v>
    <v>270</v>
  </rv>
  <rv s="8">
    <v>12</v>
    <v>HUFUSD</v>
    <v>Monthly</v>
    <v>44652</v>
    <v>44681</v>
    <v>0</v>
    <v>1</v>
    <v>637867872000000000,639274822017452170,0</v>
    <v>0</v>
    <v>avc477</v>
    <v>HUFUSD</v>
    <v>271</v>
  </rv>
  <rv s="8">
    <v>12</v>
    <v>HUFUSD</v>
    <v>Monthly</v>
    <v>44621</v>
    <v>44651</v>
    <v>0</v>
    <v>1</v>
    <v>637842816000000000,639274715627466296,0</v>
    <v>0</v>
    <v>avc477</v>
    <v>HUFUSD</v>
    <v>272</v>
  </rv>
  <rv s="8">
    <v>12</v>
    <v>HUFUSD</v>
    <v>Monthly</v>
    <v>44593</v>
    <v>44620</v>
    <v>0</v>
    <v>1</v>
    <v>637816032000000000,639274715625761851,0</v>
    <v>0</v>
    <v>avc477</v>
    <v>HUFUSD</v>
    <v>273</v>
  </rv>
  <rv s="8">
    <v>12</v>
    <v>HUFUSD</v>
    <v>Monthly</v>
    <v>44562</v>
    <v>44592</v>
    <v>0</v>
    <v>1</v>
    <v>637791840000000000,639274715625966259,0</v>
    <v>0</v>
    <v>avc477</v>
    <v>HUFUSD</v>
    <v>274</v>
  </rv>
  <rv s="8">
    <v>12</v>
    <v>HUFUSD</v>
    <v>Monthly</v>
    <v>44531</v>
    <v>44561</v>
    <v>0</v>
    <v>1</v>
    <v>637765056000000000,639274715626131860,0</v>
    <v>0</v>
    <v>avc477</v>
    <v>HUFUSD</v>
    <v>275</v>
  </rv>
  <rv s="8">
    <v>12</v>
    <v>HUFUSD</v>
    <v>Monthly</v>
    <v>44501</v>
    <v>44530</v>
    <v>0</v>
    <v>1</v>
    <v>637738272000000000,639274715626301865,0</v>
    <v>0</v>
    <v>avc477</v>
    <v>HUFUSD</v>
    <v>276</v>
  </rv>
  <rv s="8">
    <v>12</v>
    <v>HUFUSD</v>
    <v>Monthly</v>
    <v>44470</v>
    <v>44500</v>
    <v>0</v>
    <v>1</v>
    <v>637710624000000000,639274822017322153,0</v>
    <v>0</v>
    <v>avc477</v>
    <v>HUFUSD</v>
    <v>277</v>
  </rv>
  <rv s="8">
    <v>12</v>
    <v>HUFUSD</v>
    <v>Monthly</v>
    <v>44440</v>
    <v>44469</v>
    <v>0</v>
    <v>1</v>
    <v>637685568000000000,639274715626631877,0</v>
    <v>0</v>
    <v>avc477</v>
    <v>HUFUSD</v>
    <v>278</v>
  </rv>
  <rv s="8">
    <v>12</v>
    <v>HUFUSD</v>
    <v>Monthly</v>
    <v>44409</v>
    <v>44439</v>
    <v>0</v>
    <v>1</v>
    <v>637659648000000000,639274715626804856,0</v>
    <v>0</v>
    <v>avc477</v>
    <v>HUFUSD</v>
    <v>279</v>
  </rv>
  <rv s="8">
    <v>12</v>
    <v>HUFUSD</v>
    <v>Monthly</v>
    <v>44378</v>
    <v>44408</v>
    <v>0</v>
    <v>1</v>
    <v>637632000000000000,639274822017361751,0</v>
    <v>0</v>
    <v>avc477</v>
    <v>HUFUSD</v>
    <v>280</v>
  </rv>
  <rv s="8">
    <v>12</v>
    <v>HUFUSD</v>
    <v>Monthly</v>
    <v>44348</v>
    <v>44377</v>
    <v>0</v>
    <v>1</v>
    <v>637606080000000000,639274715627136280,0</v>
    <v>0</v>
    <v>avc477</v>
    <v>HUFUSD</v>
    <v>281</v>
  </rv>
  <rv s="8">
    <v>12</v>
    <v>HUFUSD</v>
    <v>Monthly</v>
    <v>44317</v>
    <v>44347</v>
    <v>0</v>
    <v>1</v>
    <v>637580160000000000,639274715627301885,0</v>
    <v>0</v>
    <v>avc477</v>
    <v>HUFUSD</v>
    <v>282</v>
  </rv>
  <rv s="8">
    <v>12</v>
    <v>HUFUSD</v>
    <v>Monthly</v>
    <v>44287</v>
    <v>44316</v>
    <v>0</v>
    <v>1</v>
    <v>637553376000000000,639274715625884833,0</v>
    <v>0</v>
    <v>avc477</v>
    <v>HUFUSD</v>
    <v>283</v>
  </rv>
  <rv s="8">
    <v>12</v>
    <v>HUFUSD</v>
    <v>Monthly</v>
    <v>44256</v>
    <v>44286</v>
    <v>0</v>
    <v>1</v>
    <v>637527456000000000,639274715626056270,0</v>
    <v>0</v>
    <v>avc477</v>
    <v>HUFUSD</v>
    <v>284</v>
  </rv>
  <rv s="8">
    <v>12</v>
    <v>HUFUSD</v>
    <v>Monthly</v>
    <v>44228</v>
    <v>44255</v>
    <v>0</v>
    <v>1</v>
    <v>637498944000000000,639274822016145053,0</v>
    <v>0</v>
    <v>avc477</v>
    <v>HUFUSD</v>
    <v>285</v>
  </rv>
  <rv s="8">
    <v>12</v>
    <v>HUFUSD</v>
    <v>Monthly</v>
    <v>44197</v>
    <v>44227</v>
    <v>0</v>
    <v>1</v>
    <v>637474752000000000,639274822015695014,0</v>
    <v>0</v>
    <v>avc477</v>
    <v>HUFUSD</v>
    <v>286</v>
  </rv>
  <rv s="8">
    <v>12</v>
    <v>HUFUSD</v>
    <v>Monthly</v>
    <v>44166</v>
    <v>44196</v>
    <v>0</v>
    <v>1</v>
    <v>637449696000000000,639274715626561867,0</v>
    <v>0</v>
    <v>avc477</v>
    <v>HUFUSD</v>
    <v>287</v>
  </rv>
  <rv s="8">
    <v>12</v>
    <v>HUFUSD</v>
    <v>Monthly</v>
    <v>44136</v>
    <v>44165</v>
    <v>0</v>
    <v>1</v>
    <v>637422912000000000,639274715626724865,0</v>
    <v>0</v>
    <v>avc477</v>
    <v>HUFUSD</v>
    <v>288</v>
  </rv>
  <rv s="8">
    <v>12</v>
    <v>HUFUSD</v>
    <v>Monthly</v>
    <v>44105</v>
    <v>44135</v>
    <v>0</v>
    <v>1</v>
    <v>637396128000000000,639274822015615022,0</v>
    <v>0</v>
    <v>avc477</v>
    <v>HUFUSD</v>
    <v>289</v>
  </rv>
  <rv s="8">
    <v>12</v>
    <v>HUFUSD</v>
    <v>Monthly</v>
    <v>44075</v>
    <v>44104</v>
    <v>0</v>
    <v>1</v>
    <v>637370208000000000,639274715627394883,0</v>
    <v>0</v>
    <v>avc477</v>
    <v>HUFUSD</v>
    <v>290</v>
  </rv>
  <rv s="8">
    <v>12</v>
    <v>HUFUSD</v>
    <v>Monthly</v>
    <v>44044</v>
    <v>44074</v>
    <v>0</v>
    <v>1</v>
    <v>637344288000000000,639274715627561890,0</v>
    <v>0</v>
    <v>avc477</v>
    <v>HUFUSD</v>
    <v>291</v>
  </rv>
  <rv s="8">
    <v>12</v>
    <v>HUFUSD</v>
    <v>Monthly</v>
    <v>44013</v>
    <v>44043</v>
    <v>0</v>
    <v>1</v>
    <v>637317504000000000,639274715627741894,0</v>
    <v>0</v>
    <v>avc477</v>
    <v>HUFUSD</v>
    <v>292</v>
  </rv>
  <rv s="8">
    <v>12</v>
    <v>HUFUSD</v>
    <v>Monthly</v>
    <v>43983</v>
    <v>44012</v>
    <v>0</v>
    <v>1</v>
    <v>637290720000000000,639274715625761851,0</v>
    <v>0</v>
    <v>avc477</v>
    <v>HUFUSD</v>
    <v>293</v>
  </rv>
  <rv s="8">
    <v>12</v>
    <v>HUFUSD</v>
    <v>Monthly</v>
    <v>43952</v>
    <v>43982</v>
    <v>0</v>
    <v>1</v>
    <v>637263072000000000,639274822016311699,0</v>
    <v>0</v>
    <v>avc477</v>
    <v>HUFUSD</v>
    <v>294</v>
  </rv>
  <rv s="8">
    <v>12</v>
    <v>HUFUSD</v>
    <v>Monthly</v>
    <v>43922</v>
    <v>43951</v>
    <v>0</v>
    <v>1</v>
    <v>637238016000000000,639274715626101863,0</v>
    <v>0</v>
    <v>avc477</v>
    <v>HUFUSD</v>
    <v>295</v>
  </rv>
  <rv s="8">
    <v>12</v>
    <v>HUFUSD</v>
    <v>Monthly</v>
    <v>43891</v>
    <v>43921</v>
    <v>0</v>
    <v>1</v>
    <v>637212096000000000,639274715626264851,0</v>
    <v>0</v>
    <v>avc477</v>
    <v>HUFUSD</v>
    <v>296</v>
  </rv>
  <rv s="8">
    <v>12</v>
    <v>HUFUSD</v>
    <v>Monthly</v>
    <v>43862</v>
    <v>43890</v>
    <v>0</v>
    <v>1</v>
    <v>637184448000000000,639274822016771722,0</v>
    <v>0</v>
    <v>avc477</v>
    <v>HUFUSD</v>
    <v>297</v>
  </rv>
  <rv s="8">
    <v>12</v>
    <v>HUFUSD</v>
    <v>Monthly</v>
    <v>43831</v>
    <v>43861</v>
    <v>0</v>
    <v>1</v>
    <v>637160256000000000,639274715626604853,0</v>
    <v>0</v>
    <v>avc477</v>
    <v>HUFUSD</v>
    <v>298</v>
  </rv>
  <rv s="8">
    <v>12</v>
    <v>HUFUSD</v>
    <v>Monthly</v>
    <v>43800</v>
    <v>43830</v>
    <v>0</v>
    <v>1</v>
    <v>637133472000000000,639274715626776279,0</v>
    <v>0</v>
    <v>avc477</v>
    <v>HUFUSD</v>
    <v>299</v>
  </rv>
  <rv s="8">
    <v>12</v>
    <v>HUFUSD</v>
    <v>Monthly</v>
    <v>43770</v>
    <v>43799</v>
    <v>0</v>
    <v>1</v>
    <v>637105824000000000,639274822015172120,0</v>
    <v>0</v>
    <v>avc477</v>
    <v>HUFUSD</v>
    <v>300</v>
  </rv>
  <rv s="8">
    <v>12</v>
    <v>HUFUSD</v>
    <v>Monthly</v>
    <v>43739</v>
    <v>43769</v>
    <v>0</v>
    <v>1</v>
    <v>637080768000000000,639274715627106287,0</v>
    <v>0</v>
    <v>avc477</v>
    <v>HUFUSD</v>
    <v>301</v>
  </rv>
  <rv s="8">
    <v>12</v>
    <v>HUFUSD</v>
    <v>Monthly</v>
    <v>43709</v>
    <v>43738</v>
    <v>0</v>
    <v>1</v>
    <v>637053984000000000,639274715627271883,0</v>
    <v>0</v>
    <v>avc477</v>
    <v>HUFUSD</v>
    <v>302</v>
  </rv>
  <rv s="8">
    <v>12</v>
    <v>HUFUSD</v>
    <v>Monthly</v>
    <v>43678</v>
    <v>43708</v>
    <v>0</v>
    <v>1</v>
    <v>637027200000000000,639274822014002138,0</v>
    <v>0</v>
    <v>avc477</v>
    <v>HUFUSD</v>
    <v>303</v>
  </rv>
  <rv s="8">
    <v>12</v>
    <v>HUFUSD</v>
    <v>Monthly</v>
    <v>43647</v>
    <v>43677</v>
    <v>0</v>
    <v>1</v>
    <v>637001280000000000,639274715625921856,0</v>
    <v>0</v>
    <v>avc477</v>
    <v>HUFUSD</v>
    <v>304</v>
  </rv>
  <rv s="8">
    <v>12</v>
    <v>HUFUSD</v>
    <v>Monthly</v>
    <v>43617</v>
    <v>43646</v>
    <v>0</v>
    <v>1</v>
    <v>636972768000000000,639274822013262095,0</v>
    <v>0</v>
    <v>avc477</v>
    <v>HUFUSD</v>
    <v>305</v>
  </rv>
  <rv s="8">
    <v>12</v>
    <v>HUFUSD</v>
    <v>Monthly</v>
    <v>43586</v>
    <v>43616</v>
    <v>0</v>
    <v>1</v>
    <v>636948576000000000,639274715626266343,0</v>
    <v>0</v>
    <v>avc477</v>
    <v>HUFUSD</v>
    <v>306</v>
  </rv>
  <rv s="8">
    <v>12</v>
    <v>HUFUSD</v>
    <v>Monthly</v>
    <v>43556</v>
    <v>43585</v>
    <v>0</v>
    <v>1</v>
    <v>636921792000000000,639274715626426276,0</v>
    <v>0</v>
    <v>avc477</v>
    <v>HUFUSD</v>
    <v>307</v>
  </rv>
  <rv s="8">
    <v>12</v>
    <v>HUFUSD</v>
    <v>Monthly</v>
    <v>43525</v>
    <v>43555</v>
    <v>0</v>
    <v>1</v>
    <v>636894144000000000,639274822013012130,0</v>
    <v>0</v>
    <v>avc477</v>
    <v>HUFUSD</v>
    <v>308</v>
  </rv>
  <rv s="8">
    <v>12</v>
    <v>HUFUSD</v>
    <v>Monthly</v>
    <v>43313</v>
    <v>43343</v>
    <v>0</v>
    <v>1</v>
    <v>636712704000000000,639274811964772824,0</v>
    <v>0</v>
    <v>avc477</v>
    <v>HUFUSD</v>
    <v>309</v>
  </rv>
  <rv s="8">
    <v>12</v>
    <v>HUFUSD</v>
    <v>Monthly</v>
    <v>43160</v>
    <v>43190</v>
    <v>0</v>
    <v>1</v>
    <v>636579648000000000,639274822014365005,0</v>
    <v>0</v>
    <v>avc477</v>
    <v>HUFUSD</v>
    <v>310</v>
  </rv>
  <rv s="8">
    <v>12</v>
    <v>HUFUSD</v>
    <v>Monthly</v>
    <v>42675</v>
    <v>42704</v>
    <v>0</v>
    <v>1</v>
    <v>636160608000000000,639274811964114884,0</v>
    <v>0</v>
    <v>avc477</v>
    <v>HUFUSD</v>
    <v>311</v>
  </rv>
  <rv s="8">
    <v>12</v>
    <v>HUFUSD</v>
    <v>Monthly</v>
    <v>42370</v>
    <v>42400</v>
    <v>0</v>
    <v>1</v>
    <v>635896224000000000,639274822009371561,0</v>
    <v>0</v>
    <v>avc477</v>
    <v>HUFUSD</v>
    <v>312</v>
  </rv>
  <rv s="8">
    <v>12</v>
    <v>HUFUSD</v>
    <v>Monthly</v>
    <v>42339</v>
    <v>42369</v>
    <v>0</v>
    <v>1</v>
    <v>635871168000000000,639274811964627738,0</v>
    <v>0</v>
    <v>avc477</v>
    <v>HUFUSD</v>
    <v>313</v>
  </rv>
  <rv s="8">
    <v>12</v>
    <v>HUFUSD</v>
    <v>Monthly</v>
    <v>42125</v>
    <v>42155</v>
    <v>0</v>
    <v>1</v>
    <v>635684544000000000,639274822010024900,0</v>
    <v>0</v>
    <v>avc477</v>
    <v>HUFUSD</v>
    <v>309</v>
  </rv>
  <rv s="8">
    <v>12</v>
    <v>HUFUSD</v>
    <v>Monthly</v>
    <v>43191</v>
    <v>43220</v>
    <v>0</v>
    <v>1</v>
    <v>636606432000000000,639274811963517751,0</v>
    <v>0</v>
    <v>avc477</v>
    <v>HUFUSD</v>
    <v>314</v>
  </rv>
  <rv s="8">
    <v>12</v>
    <v>HUFUSD</v>
    <v>Monthly</v>
    <v>43070</v>
    <v>43100</v>
    <v>0</v>
    <v>1</v>
    <v>636501024000000000,639274822012372082,0</v>
    <v>0</v>
    <v>avc477</v>
    <v>HUFUSD</v>
    <v>315</v>
  </rv>
  <rv s="8">
    <v>12</v>
    <v>HUFUSD</v>
    <v>Monthly</v>
    <v>42583</v>
    <v>42613</v>
    <v>0</v>
    <v>1</v>
    <v>636081984000000000,639274811963852808,0</v>
    <v>0</v>
    <v>avc477</v>
    <v>HUFUSD</v>
    <v>316</v>
  </rv>
  <rv s="8">
    <v>12</v>
    <v>HUFUSD</v>
    <v>Monthly</v>
    <v>42491</v>
    <v>42521</v>
    <v>0</v>
    <v>1</v>
    <v>636002496000000000,639274811964047741,0</v>
    <v>0</v>
    <v>avc477</v>
    <v>HUFUSD</v>
    <v>317</v>
  </rv>
  <rv s="8">
    <v>12</v>
    <v>HUFUSD</v>
    <v>Monthly</v>
    <v>43405</v>
    <v>43434</v>
    <v>0</v>
    <v>1</v>
    <v>636791328000000000,639274811964557765,0</v>
    <v>0</v>
    <v>avc477</v>
    <v>HUFUSD</v>
    <v>318</v>
  </rv>
  <rv s="8">
    <v>12</v>
    <v>HUFUSD</v>
    <v>Monthly</v>
    <v>43252</v>
    <v>43281</v>
    <v>0</v>
    <v>1</v>
    <v>636658272000000000,639274822013731653,0</v>
    <v>0</v>
    <v>avc477</v>
    <v>HUFUSD</v>
    <v>319</v>
  </rv>
  <rv s="8">
    <v>12</v>
    <v>HUFUSD</v>
    <v>Monthly</v>
    <v>43132</v>
    <v>43159</v>
    <v>0</v>
    <v>1</v>
    <v>636553728000000000,639274811962714885,0</v>
    <v>0</v>
    <v>avc477</v>
    <v>HUFUSD</v>
    <v>320</v>
  </rv>
  <rv s="8">
    <v>12</v>
    <v>HUFUSD</v>
    <v>Monthly</v>
    <v>42979</v>
    <v>43008</v>
    <v>0</v>
    <v>1</v>
    <v>636422400000000000,639274822012312089,0</v>
    <v>0</v>
    <v>avc477</v>
    <v>HUFUSD</v>
    <v>321</v>
  </rv>
  <rv s="8">
    <v>12</v>
    <v>HUFUSD</v>
    <v>Monthly</v>
    <v>42614</v>
    <v>42643</v>
    <v>0</v>
    <v>1</v>
    <v>636107904000000000,639274811963657730,0</v>
    <v>0</v>
    <v>avc477</v>
    <v>HUFUSD</v>
    <v>322</v>
  </rv>
  <rv s="8">
    <v>12</v>
    <v>HUFUSD</v>
    <v>Monthly</v>
    <v>42430</v>
    <v>42460</v>
    <v>0</v>
    <v>1</v>
    <v>635949792000000000,639274811964174872,0</v>
    <v>0</v>
    <v>avc477</v>
    <v>HUFUSD</v>
    <v>323</v>
  </rv>
  <rv s="8">
    <v>12</v>
    <v>HUFUSD</v>
    <v>Monthly</v>
    <v>42217</v>
    <v>42247</v>
    <v>0</v>
    <v>1</v>
    <v>635765760000000000,639274811963577718,0</v>
    <v>0</v>
    <v>avc477</v>
    <v>HUFUSD</v>
    <v>324</v>
  </rv>
  <rv s="8">
    <v>12</v>
    <v>HUFUSD</v>
    <v>Monthly</v>
    <v>43466</v>
    <v>43496</v>
    <v>0</v>
    <v>1</v>
    <v>636844896000000000,639274811963752789,0</v>
    <v>0</v>
    <v>avc477</v>
    <v>HUFUSD</v>
    <v>323</v>
  </rv>
  <rv s="8">
    <v>12</v>
    <v>HUFUSD</v>
    <v>Monthly</v>
    <v>43435</v>
    <v>43465</v>
    <v>0</v>
    <v>1</v>
    <v>636818112000000000,639274811964087738,0</v>
    <v>0</v>
    <v>avc477</v>
    <v>HUFUSD</v>
    <v>325</v>
  </rv>
  <rv s="8">
    <v>12</v>
    <v>HUFUSD</v>
    <v>Monthly</v>
    <v>43374</v>
    <v>43404</v>
    <v>0</v>
    <v>1</v>
    <v>636765408000000000,639274811964252794,0</v>
    <v>0</v>
    <v>avc477</v>
    <v>HUFUSD</v>
    <v>326</v>
  </rv>
  <rv s="8">
    <v>12</v>
    <v>HUFUSD</v>
    <v>Monthly</v>
    <v>43101</v>
    <v>43131</v>
    <v>0</v>
    <v>1</v>
    <v>636529536000000000,639274811964427736,0</v>
    <v>0</v>
    <v>avc477</v>
    <v>HUFUSD</v>
    <v>327</v>
  </rv>
  <rv s="8">
    <v>12</v>
    <v>HUFUSD</v>
    <v>Monthly</v>
    <v>43009</v>
    <v>43039</v>
    <v>0</v>
    <v>1</v>
    <v>636450048000000000,639274811964587751,0</v>
    <v>0</v>
    <v>avc477</v>
    <v>HUFUSD</v>
    <v>328</v>
  </rv>
  <rv s="8">
    <v>12</v>
    <v>HUFUSD</v>
    <v>Monthly</v>
    <v>42826</v>
    <v>42855</v>
    <v>0</v>
    <v>1</v>
    <v>636289344000000000,639274822013002122,0</v>
    <v>0</v>
    <v>avc477</v>
    <v>HUFUSD</v>
    <v>329</v>
  </rv>
  <rv s="8">
    <v>12</v>
    <v>HUFUSD</v>
    <v>Monthly</v>
    <v>42767</v>
    <v>42794</v>
    <v>0</v>
    <v>1</v>
    <v>636238368000000000,639274811963294878,0</v>
    <v>0</v>
    <v>avc477</v>
    <v>HUFUSD</v>
    <v>330</v>
  </rv>
  <rv s="8">
    <v>12</v>
    <v>HUFUSD</v>
    <v>Monthly</v>
    <v>42948</v>
    <v>42978</v>
    <v>0</v>
    <v>1</v>
    <v>636397344000000000,639274811964312812,0</v>
    <v>0</v>
    <v>avc477</v>
    <v>HUFUSD</v>
    <v>331</v>
  </rv>
  <rv s="8">
    <v>12</v>
    <v>HUFUSD</v>
    <v>Monthly</v>
    <v>42887</v>
    <v>42916</v>
    <v>0</v>
    <v>1</v>
    <v>636343776000000000,639274811964487739,0</v>
    <v>0</v>
    <v>avc477</v>
    <v>HUFUSD</v>
    <v>332</v>
  </rv>
  <rv s="8">
    <v>12</v>
    <v>HUFUSD</v>
    <v>Monthly</v>
    <v>42856</v>
    <v>42886</v>
    <v>0</v>
    <v>1</v>
    <v>636317856000000000,639274811964807738,0</v>
    <v>0</v>
    <v>avc477</v>
    <v>HUFUSD</v>
    <v>333</v>
  </rv>
  <rv s="8">
    <v>12</v>
    <v>HUFUSD</v>
    <v>Monthly</v>
    <v>42705</v>
    <v>42735</v>
    <v>0</v>
    <v>1</v>
    <v>636186528000000000,639274822010111567,0</v>
    <v>0</v>
    <v>avc477</v>
    <v>HUFUSD</v>
    <v>334</v>
  </rv>
  <rv s="8">
    <v>12</v>
    <v>HUFUSD</v>
    <v>Monthly</v>
    <v>42644</v>
    <v>42674</v>
    <v>0</v>
    <v>1</v>
    <v>636134688000000000,639274811966204916,0</v>
    <v>0</v>
    <v>avc477</v>
    <v>HUFUSD</v>
    <v>335</v>
  </rv>
  <rv s="8">
    <v>12</v>
    <v>HUFUSD</v>
    <v>Monthly</v>
    <v>42522</v>
    <v>42551</v>
    <v>0</v>
    <v>1</v>
    <v>636028416000000000,639274811966372848,0</v>
    <v>0</v>
    <v>avc477</v>
    <v>HUFUSD</v>
    <v>336</v>
  </rv>
  <rv s="8">
    <v>12</v>
    <v>HUFUSD</v>
    <v>Monthly</v>
    <v>42401</v>
    <v>42429</v>
    <v>0</v>
    <v>1</v>
    <v>635923008000000000,639274811966707782,0</v>
    <v>0</v>
    <v>avc477</v>
    <v>HUFUSD</v>
    <v>337</v>
  </rv>
  <rv s="8">
    <v>12</v>
    <v>HUFUSD</v>
    <v>Monthly</v>
    <v>42309</v>
    <v>42338</v>
    <v>0</v>
    <v>1</v>
    <v>635844384000000000,639274811967212857,0</v>
    <v>0</v>
    <v>avc477</v>
    <v>HUFUSD</v>
    <v>338</v>
  </rv>
  <rv s="8">
    <v>12</v>
    <v>HUFUSD</v>
    <v>Monthly</v>
    <v>42278</v>
    <v>42308</v>
    <v>0</v>
    <v>1</v>
    <v>635817600000000000,639274822009332049,0</v>
    <v>0</v>
    <v>avc477</v>
    <v>HUFUSD</v>
    <v>339</v>
  </rv>
  <rv s="8">
    <v>12</v>
    <v>HUFUSD</v>
    <v>Monthly</v>
    <v>43497</v>
    <v>43524</v>
    <v>0</v>
    <v>1</v>
    <v>636869088000000000,639274811966627763,0</v>
    <v>0</v>
    <v>avc477</v>
    <v>HUFUSD</v>
    <v>340</v>
  </rv>
  <rv s="8">
    <v>12</v>
    <v>HUFUSD</v>
    <v>Monthly</v>
    <v>43344</v>
    <v>43373</v>
    <v>0</v>
    <v>1</v>
    <v>636736896000000000,639274822013562097,0</v>
    <v>0</v>
    <v>avc477</v>
    <v>HUFUSD</v>
    <v>341</v>
  </rv>
  <rv s="8">
    <v>12</v>
    <v>HUFUSD</v>
    <v>Monthly</v>
    <v>43282</v>
    <v>43312</v>
    <v>0</v>
    <v>1</v>
    <v>636685920000000000,639274811966957771,0</v>
    <v>0</v>
    <v>avc477</v>
    <v>HUFUSD</v>
    <v>342</v>
  </rv>
  <rv s="8">
    <v>12</v>
    <v>HUFUSD</v>
    <v>Monthly</v>
    <v>43040</v>
    <v>43069</v>
    <v>0</v>
    <v>1</v>
    <v>636475968000000000,639274811967462865,0</v>
    <v>0</v>
    <v>avc477</v>
    <v>HUFUSD</v>
    <v>343</v>
  </rv>
  <rv s="8">
    <v>12</v>
    <v>HUFUSD</v>
    <v>Monthly</v>
    <v>42917</v>
    <v>42947</v>
    <v>0</v>
    <v>1</v>
    <v>636370560000000000,639274811967627777,0</v>
    <v>0</v>
    <v>avc477</v>
    <v>HUFUSD</v>
    <v>344</v>
  </rv>
  <rv s="8">
    <v>12</v>
    <v>HUFUSD</v>
    <v>Monthly</v>
    <v>42736</v>
    <v>42766</v>
    <v>0</v>
    <v>1</v>
    <v>636214176000000000,639274811966287758,0</v>
    <v>0</v>
    <v>avc477</v>
    <v>HUFUSD</v>
    <v>345</v>
  </rv>
  <rv s="8">
    <v>12</v>
    <v>HUFUSD</v>
    <v>Monthly</v>
    <v>42552</v>
    <v>42582</v>
    <v>0</v>
    <v>1</v>
    <v>636053472000000000,639274822010601608,0</v>
    <v>0</v>
    <v>avc477</v>
    <v>HUFUSD</v>
    <v>346</v>
  </rv>
  <rv s="8">
    <v>12</v>
    <v>HUFUSD</v>
    <v>Monthly</v>
    <v>42461</v>
    <v>42490</v>
    <v>0</v>
    <v>1</v>
    <v>635974848000000000,639274822010532057,0</v>
    <v>0</v>
    <v>avc477</v>
    <v>HUFUSD</v>
    <v>347</v>
  </rv>
  <rv s="8">
    <v>12</v>
    <v>HUFUSD</v>
    <v>Monthly</v>
    <v>42156</v>
    <v>42185</v>
    <v>0</v>
    <v>1</v>
    <v>635712192000000000,639274811966957771,0</v>
    <v>0</v>
    <v>avc477</v>
    <v>HUFUSD</v>
    <v>348</v>
  </rv>
  <rv s="8">
    <v>12</v>
    <v>HUFUSD</v>
    <v>Monthly</v>
    <v>43221</v>
    <v>43251</v>
    <v>0</v>
    <v>1</v>
    <v>636633216000000000,639274811967477809,0</v>
    <v>0</v>
    <v>avc477</v>
    <v>HUFUSD</v>
    <v>349</v>
  </rv>
  <rv s="8">
    <v>12</v>
    <v>HUFUSD</v>
    <v>Monthly</v>
    <v>42795</v>
    <v>42825</v>
    <v>0</v>
    <v>1</v>
    <v>636265152000000000,639274811967057777,0</v>
    <v>0</v>
    <v>avc477</v>
    <v>HUFUSD</v>
    <v>350</v>
  </rv>
  <rv s="8">
    <v>12</v>
    <v>HUFUSD</v>
    <v>Monthly</v>
    <v>42248</v>
    <v>42277</v>
    <v>0</v>
    <v>1</v>
    <v>635791680000000000,639274811967912865,0</v>
    <v>0</v>
    <v>avc477</v>
    <v>HUFUSD</v>
    <v>351</v>
  </rv>
  <rv s="8">
    <v>12</v>
    <v>HUFUSD</v>
    <v>Monthly</v>
    <v>42186</v>
    <v>42216</v>
    <v>0</v>
    <v>1</v>
    <v>635738976000000000,639274811966624925,0</v>
    <v>0</v>
    <v>avc477</v>
    <v>HUFUSD</v>
    <v>352</v>
  </rv>
  <rv s="8">
    <v>12</v>
    <v>HUFUSD</v>
    <v>Monthly</v>
    <v>42095</v>
    <v>42124</v>
    <v>0</v>
    <v>1</v>
    <v>635659488000000000,639274811966797761,0</v>
    <v>0</v>
    <v>avc477</v>
    <v>HUFUSD</v>
    <v>353</v>
  </rv>
  <rv s="8">
    <v>12</v>
    <v>HUFUSD</v>
    <v>Monthly</v>
    <v>42064</v>
    <v>42094</v>
    <v>0</v>
    <v>1</v>
    <v>635633568000000000,639274811966964929,0</v>
    <v>0</v>
    <v>avc477</v>
    <v>HUFUSD</v>
    <v>354</v>
  </rv>
  <rv s="8">
    <v>12</v>
    <v>HUFUSD</v>
    <v>Monthly</v>
    <v>44986</v>
    <v>45016</v>
    <v>0</v>
    <v>1</v>
    <v>638158176000000000,639274812000655676,0</v>
    <v>0</v>
    <v>avc477</v>
    <v>HUFUSD</v>
    <v>355</v>
  </rv>
  <rv s="8">
    <v>12</v>
    <v>HUFUSD</v>
    <v>Monthly</v>
    <v>45017</v>
    <v>45046</v>
    <v>0</v>
    <v>1</v>
    <v>638182368000000000,639274822010282053,0</v>
    <v>0</v>
    <v>avc477</v>
    <v>HUFUSD</v>
    <v>356</v>
  </rv>
  <rv s="8">
    <v>12</v>
    <v>HUFUSD</v>
    <v>Monthly</v>
    <v>45047</v>
    <v>45077</v>
    <v>0</v>
    <v>1</v>
    <v>638210880000000000,639274812008873638,0</v>
    <v>0</v>
    <v>avc477</v>
    <v>HUFUSD</v>
    <v>357</v>
  </rv>
  <rv s="8">
    <v>12</v>
    <v>HUFUSD</v>
    <v>Monthly</v>
    <v>45078</v>
    <v>45107</v>
    <v>0</v>
    <v>1</v>
    <v>638236800000000000,639274812010223689,0</v>
    <v>0</v>
    <v>avc477</v>
    <v>HUFUSD</v>
    <v>358</v>
  </rv>
  <rv s="8">
    <v>12</v>
    <v>HUFUSD</v>
    <v>Monthly</v>
    <v>45108</v>
    <v>45138</v>
    <v>0</v>
    <v>1</v>
    <v>638263584000000000,639274812012028496,0</v>
    <v>0</v>
    <v>avc477</v>
    <v>HUFUSD</v>
    <v>359</v>
  </rv>
  <rv s="8">
    <v>12</v>
    <v>HUFUSD</v>
    <v>Monthly</v>
    <v>45139</v>
    <v>45169</v>
    <v>0</v>
    <v>1</v>
    <v>638290368000000000,639274812013448485,0</v>
    <v>0</v>
    <v>avc477</v>
    <v>HUFUSD</v>
    <v>360</v>
  </rv>
  <rv s="8">
    <v>12</v>
    <v>HUFUSD</v>
    <v>Monthly</v>
    <v>45170</v>
    <v>45199</v>
    <v>0</v>
    <v>1</v>
    <v>638315424000000000,639274822009621577,0</v>
    <v>0</v>
    <v>avc477</v>
    <v>HUFUSD</v>
    <v>361</v>
  </rv>
  <rv s="8">
    <v>12</v>
    <v>HUFUSD</v>
    <v>Monthly</v>
    <v>45200</v>
    <v>45230</v>
    <v>0</v>
    <v>1</v>
    <v>638343072000000000,639274812016923850,0</v>
    <v>0</v>
    <v>avc477</v>
    <v>HUFUSD</v>
    <v>362</v>
  </rv>
  <rv s="8">
    <v>12</v>
    <v>HUFUSD</v>
    <v>Monthly</v>
    <v>45231</v>
    <v>45260</v>
    <v>0</v>
    <v>1</v>
    <v>638368992000000000,639274812018786082,0</v>
    <v>0</v>
    <v>avc477</v>
    <v>HUFUSD</v>
    <v>363</v>
  </rv>
  <rv s="8">
    <v>12</v>
    <v>HUFUSD</v>
    <v>Monthly</v>
    <v>45261</v>
    <v>45291</v>
    <v>0</v>
    <v>1</v>
    <v>638394048000000000,639274822009352097,0</v>
    <v>0</v>
    <v>avc477</v>
    <v>HUFUSD</v>
    <v>364</v>
  </rv>
  <rv s="8">
    <v>12</v>
    <v>HUFUSD</v>
    <v>Monthly</v>
    <v>45292</v>
    <v>45322</v>
    <v>0</v>
    <v>1</v>
    <v>638422560000000000,639274812021518660,0</v>
    <v>0</v>
    <v>avc477</v>
    <v>HUFUSD</v>
    <v>365</v>
  </rv>
  <rv s="8">
    <v>12</v>
    <v>HUFUSD</v>
    <v>Monthly</v>
    <v>45323</v>
    <v>45351</v>
    <v>0</v>
    <v>1</v>
    <v>638447616000000000,639274812023458641,0</v>
    <v>0</v>
    <v>avc477</v>
    <v>HUFUSD</v>
    <v>366</v>
  </rv>
  <rv s="8">
    <v>12</v>
    <v>HUFUSD</v>
    <v>Monthly</v>
    <v>45352</v>
    <v>45382</v>
    <v>0</v>
    <v>1</v>
    <v>638472672000000000,639274822006431982,0</v>
    <v>0</v>
    <v>avc477</v>
    <v>HUFUSD</v>
    <v>367</v>
  </rv>
  <rv s="8">
    <v>12</v>
    <v>HUFUSD</v>
    <v>Monthly</v>
    <v>45383</v>
    <v>45412</v>
    <v>0</v>
    <v>1</v>
    <v>638500320000000000,639274812026783991,0</v>
    <v>0</v>
    <v>avc477</v>
    <v>HUFUSD</v>
    <v>368</v>
  </rv>
  <rv s="8">
    <v>12</v>
    <v>HUFUSD</v>
    <v>Monthly</v>
    <v>45413</v>
    <v>45443</v>
    <v>0</v>
    <v>1</v>
    <v>638527104000000000,639274812028438743,0</v>
    <v>0</v>
    <v>avc477</v>
    <v>HUFUSD</v>
    <v>369</v>
  </rv>
  <rv s="8">
    <v>12</v>
    <v>HUFUSD</v>
    <v>Monthly</v>
    <v>45444</v>
    <v>45473</v>
    <v>0</v>
    <v>1</v>
    <v>638551296000000000,639274822006962010,0</v>
    <v>0</v>
    <v>avc477</v>
    <v>HUFUSD</v>
    <v>370</v>
  </rv>
  <rv s="8">
    <v>12</v>
    <v>HUFUSD</v>
    <v>Monthly</v>
    <v>45474</v>
    <v>45504</v>
    <v>0</v>
    <v>1</v>
    <v>638579808000000000,639274812031728814,0</v>
    <v>0</v>
    <v>avc477</v>
    <v>HUFUSD</v>
    <v>371</v>
  </rv>
  <rv s="8">
    <v>12</v>
    <v>HUFUSD</v>
    <v>Monthly</v>
    <v>45505</v>
    <v>45535</v>
    <v>0</v>
    <v>1</v>
    <v>638605728000000000,639274822007751545,0</v>
    <v>0</v>
    <v>avc477</v>
    <v>HUFUSD</v>
    <v>372</v>
  </rv>
  <rv s="8">
    <v>12</v>
    <v>HUFUSD</v>
    <v>Monthly</v>
    <v>45536</v>
    <v>45565</v>
    <v>0</v>
    <v>1</v>
    <v>638632512000000000,639274812035246441,0</v>
    <v>0</v>
    <v>avc477</v>
    <v>HUFUSD</v>
    <v>373</v>
  </rv>
  <rv s="8">
    <v>12</v>
    <v>HUFUSD</v>
    <v>Monthly</v>
    <v>45566</v>
    <v>45596</v>
    <v>0</v>
    <v>1</v>
    <v>638659296000000000,639274812036578855,0</v>
    <v>0</v>
    <v>avc477</v>
    <v>HUFUSD</v>
    <v>374</v>
  </rv>
  <rv s="8">
    <v>12</v>
    <v>HUFUSD</v>
    <v>Monthly</v>
    <v>45597</v>
    <v>45626</v>
    <v>0</v>
    <v>1</v>
    <v>638684352000000000,639274822006101978,0</v>
    <v>0</v>
    <v>avc477</v>
    <v>HUFUSD</v>
    <v>375</v>
  </rv>
  <rv s="8">
    <v>12</v>
    <v>HUFUSD</v>
    <v>Monthly</v>
    <v>45627</v>
    <v>45657</v>
    <v>0</v>
    <v>1</v>
    <v>638712000000000000,639274812040194253,0</v>
    <v>0</v>
    <v>avc477</v>
    <v>HUFUSD</v>
    <v>376</v>
  </rv>
  <rv s="8">
    <v>12</v>
    <v>HUFUSD</v>
    <v>Monthly</v>
    <v>45658</v>
    <v>45688</v>
    <v>0</v>
    <v>1</v>
    <v>638738784000000000,639274812041684280,0</v>
    <v>0</v>
    <v>avc477</v>
    <v>HUFUSD</v>
    <v>377</v>
  </rv>
  <rv s="8">
    <v>12</v>
    <v>HUFUSD</v>
    <v>Monthly</v>
    <v>45689</v>
    <v>45716</v>
    <v>0</v>
    <v>1</v>
    <v>638762976000000000,639274812043138951,0</v>
    <v>0</v>
    <v>avc477</v>
    <v>HUFUSD</v>
    <v>378</v>
  </rv>
  <rv s="8">
    <v>12</v>
    <v>HUFUSD</v>
    <v>Monthly</v>
    <v>45717</v>
    <v>45747</v>
    <v>0</v>
    <v>1</v>
    <v>638789760000000000,639274812044864342,0</v>
    <v>0</v>
    <v>avc477</v>
    <v>HUFUSD</v>
    <v>379</v>
  </rv>
  <rv s="8">
    <v>12</v>
    <v>HUFUSD</v>
    <v>Monthly</v>
    <v>45748</v>
    <v>45777</v>
    <v>0</v>
    <v>1</v>
    <v>638815680000000000,639274812046504366,0</v>
    <v>0</v>
    <v>avc477</v>
    <v>HUFUSD</v>
    <v>380</v>
  </rv>
  <rv s="8">
    <v>12</v>
    <v>HUFUSD</v>
    <v>Monthly</v>
    <v>45778</v>
    <v>45808</v>
    <v>0</v>
    <v>1</v>
    <v>638841600000000000,639274822006704832,0</v>
    <v>0</v>
    <v>avc477</v>
    <v>HUFUSD</v>
    <v>381</v>
  </rv>
  <rv s="8">
    <v>12</v>
    <v>HUFUSD</v>
    <v>Monthly</v>
    <v>45809</v>
    <v>45838</v>
    <v>0</v>
    <v>1</v>
    <v>638868384000000000,639274812049859037,0</v>
    <v>0</v>
    <v>avc477</v>
    <v>HUFUSD</v>
    <v>382</v>
  </rv>
  <rv s="8">
    <v>12</v>
    <v>HUFUSD</v>
    <v>Monthly</v>
    <v>45839</v>
    <v>45869</v>
    <v>0</v>
    <v>1</v>
    <v>638895168000000000,639274812051324470,0</v>
    <v>0</v>
    <v>avc477</v>
    <v>HUFUSD</v>
    <v>383</v>
  </rv>
  <rv s="8">
    <v>12</v>
    <v>HUFUSD</v>
    <v>Monthly</v>
    <v>45870</v>
    <v>45900</v>
    <v>0</v>
    <v>1</v>
    <v>638920224000000000,639274822006461525,0</v>
    <v>0</v>
    <v>avc477</v>
    <v>HUFUSD</v>
    <v>384</v>
  </rv>
  <rv s="8">
    <v>12</v>
    <v>HUFUSD</v>
    <v>Monthly</v>
    <v>45901</v>
    <v>45930</v>
    <v>0</v>
    <v>1</v>
    <v>638947872000000000,639274812054799160,0</v>
    <v>0</v>
    <v>avc477</v>
    <v>HUFUSD</v>
    <v>272</v>
  </rv>
  <rv s="8">
    <v>12</v>
    <v>HUFUSD</v>
    <v>Monthly</v>
    <v>45931</v>
    <v>45961</v>
    <v>0</v>
    <v>1</v>
    <v>638974656000000000,639274812056676914,0</v>
    <v>0</v>
    <v>avc477</v>
    <v>HUFUSD</v>
    <v>385</v>
  </rv>
  <rv s="8">
    <v>12</v>
    <v>HUFUSD</v>
    <v>Monthly</v>
    <v>45962</v>
    <v>45991</v>
    <v>0</v>
    <v>1</v>
    <v>638998848000000000,639274822006922079,0</v>
    <v>0</v>
    <v>avc477</v>
    <v>HUFUSD</v>
    <v>386</v>
  </rv>
  <rv s="8">
    <v>12</v>
    <v>HUFUSD</v>
    <v>Monthly</v>
    <v>45992</v>
    <v>46022</v>
    <v>0</v>
    <v>1</v>
    <v>639027360000000000,639274812059576994,0</v>
    <v>0</v>
    <v>avc477</v>
    <v>HUFUSD</v>
    <v>387</v>
  </rv>
  <rv s="8">
    <v>12</v>
    <v>HUFUSD</v>
    <v>Monthly</v>
    <v>46023</v>
    <v>46053</v>
    <v>0</v>
    <v>1</v>
    <v>639053280000000000,639274822005741970,0</v>
    <v>0</v>
    <v>avc477</v>
    <v>HUFUSD</v>
    <v>388</v>
  </rv>
  <rv s="8">
    <v>12</v>
    <v>HUFUSD</v>
    <v>Monthly</v>
    <v>46054</v>
    <v>46081</v>
    <v>0</v>
    <v>1</v>
    <v>639077472000000000,639274822006901535,0</v>
    <v>0</v>
    <v>avc477</v>
    <v>HUFUSD</v>
    <v>389</v>
  </rv>
  <rv s="8">
    <v>12</v>
    <v>HUFUSD</v>
    <v>Monthly</v>
    <v>46082</v>
    <v>46112</v>
    <v>0</v>
    <v>1</v>
    <v>639105120000000000,639274812064877067,0</v>
    <v>0</v>
    <v>avc477</v>
    <v>HUFUSD</v>
    <v>272</v>
  </rv>
  <rv s="8">
    <v>12</v>
    <v>HUFUSD</v>
    <v>Monthly</v>
    <v>46113</v>
    <v>46142</v>
    <v>0</v>
    <v>1</v>
    <v>639131040000000000,639274812066379301,0</v>
    <v>0</v>
    <v>avc477</v>
    <v>HUFUSD</v>
    <v>390</v>
  </rv>
  <rv s="8">
    <v>12</v>
    <v>HUFUSD</v>
    <v>Monthly</v>
    <v>46143</v>
    <v>46173</v>
    <v>0</v>
    <v>1</v>
    <v>639156096000000000,639274822007042006,0</v>
    <v>0</v>
    <v>avc477</v>
    <v>HUFUSD</v>
    <v>391</v>
  </rv>
  <rv s="8">
    <v>12</v>
    <v>HUFUSD</v>
    <v>Monthly</v>
    <v>46174</v>
    <v>46203</v>
    <v>0</v>
    <v>1</v>
    <v>639183744000000000,639274812069529344,0</v>
    <v>0</v>
    <v>avc477</v>
    <v>HUFUSD</v>
    <v>277</v>
  </rv>
  <rv s="8">
    <v>12</v>
    <v>HUFUSD</v>
    <v>Monthly</v>
    <v>46204</v>
    <v>46234</v>
    <v>0</v>
    <v>1</v>
    <v>639210528000000000,639274812071397231,0</v>
    <v>0</v>
    <v>avc477</v>
    <v>HUFUSD</v>
    <v>392</v>
  </rv>
  <rv s="8">
    <v>12</v>
    <v>HUFUSD</v>
    <v>Monthly</v>
    <v>46235</v>
    <v>46265</v>
    <v>0</v>
    <v>1</v>
    <v>639237312000000000,639274812073169412,0</v>
    <v>0</v>
    <v>avc477</v>
    <v>HUFUSD</v>
    <v>393</v>
  </rv>
  <rv s="8">
    <v>12</v>
    <v>HUFUSD</v>
    <v>Monthly</v>
    <v>46266</v>
    <v>46295</v>
    <v>0</v>
    <v>1</v>
    <v>639263232000000000,639274812074654920,0</v>
    <v>0</v>
    <v>avc477</v>
    <v>HUFUSD</v>
    <v>394</v>
  </rv>
  <rv s="8">
    <v>12</v>
    <v>HUFUSD</v>
    <v>Monthly</v>
    <v>46296</v>
    <v>46326</v>
    <v>0</v>
    <v>1</v>
    <v>639273600000000000,639274822006324831,0</v>
    <v>0</v>
    <v>avc477</v>
    <v>HUFUSD</v>
    <v>395</v>
  </rv>
</rvData>
</file>

<file path=xl/richData/rdrichvaluestructure.xml><?xml version="1.0" encoding="utf-8"?>
<rvStructures xmlns="http://schemas.microsoft.com/office/spreadsheetml/2017/richdata" count="9">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formattednumber">
    <k n="_Format" t="spb"/>
  </s>
  <s t="_error">
    <k n="errorType" t="i"/>
    <k n="subType" t="i"/>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spbArrays>
  <spbData count="13">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4">
      <v>Delayed 15 minutes</v>
      <v>from previous close</v>
      <v>from previous close</v>
      <v>Source: Nasdaq</v>
      <v>GMT</v>
    </spb>
    <spb s="0">
      <v>1</v>
      <v>Name</v>
      <v>LearnMoreOnLink</v>
    </spb>
    <spb s="5">
      <v>0</v>
      <v>0</v>
    </spb>
    <spb s="6">
      <v>7</v>
      <v>1</v>
      <v>1</v>
      <v>1</v>
      <v>1</v>
    </spb>
    <spb s="7">
      <v>1</v>
      <v>2</v>
      <v>2</v>
      <v>1</v>
      <v>3</v>
      <v>1</v>
      <v>10</v>
      <v>1</v>
      <v>1</v>
      <v>4</v>
      <v>4</v>
      <v>5</v>
      <v>6</v>
      <v>1</v>
      <v>1</v>
      <v>1</v>
      <v>4</v>
      <v>7</v>
      <v>8</v>
      <v>9</v>
      <v>4</v>
    </spb>
    <spb s="8">
      <v>Powered by Refinitiv</v>
    </spb>
    <spb s="9">
      <v>1</v>
    </spb>
    <spb s="10">
      <v>11</v>
      <v>1</v>
    </spb>
  </spbData>
</supportingPropertyBags>
</file>

<file path=xl/richData/rdsupportingpropertybagstructure.xml><?xml version="1.0" encoding="utf-8"?>
<spbStructures xmlns="http://schemas.microsoft.com/office/spreadsheetml/2017/richdata2" count="11">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4" formatCode="#,##0.00"/>
    </x:dxf>
    <x:dxf>
      <x:numFmt numFmtId="3" formatCode="#,##0"/>
    </x:dxf>
    <x:dxf>
      <x:numFmt numFmtId="14" formatCode="0.00%"/>
    </x:dxf>
    <x:dxf>
      <x:numFmt numFmtId="27" formatCode="m/d/yyyy\ h:mm"/>
    </x:dxf>
    <x:dxf>
      <x:numFmt numFmtId="1" formatCode="0"/>
    </x:dxf>
    <x:dxf>
      <x:numFmt numFmtId="2" formatCode="0.00"/>
    </x:dxf>
    <x:dxf>
      <x:numFmt numFmtId="19" formatCode="m/d/yyyy"/>
    </x:dxf>
  </dxfs>
  <richProperties>
    <rPr n="NumberFormat" t="s"/>
    <rPr n="IsTitleField" t="b"/>
    <rPr n="IsHeroField" t="b"/>
  </richProperties>
  <richStyles>
    <rSty dxfid="0">
      <rpv i="0">_([$$-en-US]* #,##0.00_);_([$$-en-US]* (#,##0.00);_([$$-en-US]* "-"??_);_(@_)</rpv>
    </rSty>
    <rSty dxfid="1">
      <rpv i="0">#,##0.00</rpv>
    </rSty>
    <rSty>
      <rpv i="1">1</rpv>
    </rSty>
    <rSty dxfid="2">
      <rpv i="0">#,##0</rpv>
    </rSty>
    <rSty dxfid="3"/>
    <rSty dxfid="0">
      <rpv i="0">_([$$-en-US]* #,##0_);_([$$-en-US]* (#,##0);_([$$-en-US]* "-"_);_(@_)</rpv>
    </rSty>
    <rSty dxfid="4"/>
    <rSty dxfid="5">
      <rpv i="0">0</rpv>
    </rSty>
    <rSty dxfid="6">
      <rpv i="0">0.00</rpv>
    </rSty>
    <rSty>
      <rpv i="2">1</rpv>
    </rSty>
    <rSty dxfid="7"/>
  </richStyles>
</richStyleSheet>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1C39DF-049B-410C-A367-A1AC5552741F}" name="CompanyDetailsList" displayName="CompanyDetailsList" ref="B4:Z24" totalsRowShown="0" headerRowDxfId="51" dataDxfId="50">
  <autoFilter ref="B4:Z24" xr:uid="{B01C39DF-049B-410C-A367-A1AC5552741F}"/>
  <sortState xmlns:xlrd2="http://schemas.microsoft.com/office/spreadsheetml/2017/richdata2" ref="B4:Z5">
    <sortCondition descending="1" ref="P4"/>
  </sortState>
  <tableColumns count="25">
    <tableColumn id="1" xr3:uid="{89E7DB76-003A-40B7-A307-FE20B999F342}" name="Company Ticker" dataDxfId="49"/>
    <tableColumn id="2" xr3:uid="{39F957AC-C1C8-429A-9793-B7A9A78D345D}" name="Official Name" dataDxfId="48"/>
    <tableColumn id="3" xr3:uid="{A8A698F1-8E49-4F9D-8F37-FBA8671D04A0}" name="Name" dataDxfId="47"/>
    <tableColumn id="5" xr3:uid="{AAE61A93-370B-429D-A3FC-665E0308E576}" name="Sector" dataDxfId="46"/>
    <tableColumn id="23" xr3:uid="{26DC0DF1-56B4-4BD8-A012-049588877A09}" name="HQ Address" dataDxfId="45"/>
    <tableColumn id="6" xr3:uid="{0447D28B-6CF3-4359-8FD3-A74F874E68D9}" name="HQ" dataDxfId="44"/>
    <tableColumn id="4" xr3:uid="{AA2353C5-470B-4BFD-9D06-5BAA4CA6A674}" name="Annual Dividend per Share" dataDxfId="43"/>
    <tableColumn id="7" xr3:uid="{AEEBFDB3-123C-4B82-B49A-801393F264F4}" name="Ownership" dataDxfId="42">
      <calculatedColumnFormula>IF(CompanyDetailsList[[#This Row],[Shares Owned]]=0,"Not Owning","Owning")</calculatedColumnFormula>
    </tableColumn>
    <tableColumn id="8" xr3:uid="{1725A181-4AC0-4099-A8D5-CD460F3E71F9}" name="Shares Owned" dataDxfId="41">
      <calculatedColumnFormula xml:space="preserve">
SUMIFS(StockTransactionsTable[Shares No.],StockTransactionsTable[Transaction Type],"Buy",StockTransactionsTable[Ticker],CompanyDetailsList[[#This Row],[Company Ticker]])
-
SUMIFS(StockTransactionsTable[Shares No.],StockTransactionsTable[Transaction Type],"Sell",StockTransactionsTable[Ticker],CompanyDetailsList[[#This Row],[Company Ticker]])</calculatedColumnFormula>
    </tableColumn>
    <tableColumn id="27" xr3:uid="{9537681B-CB76-4FBA-B6AE-6677375B219D}" name="Position Opened" dataDxfId="40">
      <calculatedColumnFormula>_xlfn.XLOOKUP(CompanyDetailsList[[#This Row],[Company Ticker]],StockTransactionsTable[Ticker],StockTransactionsTable[Date],,0,1)</calculatedColumnFormula>
    </tableColumn>
    <tableColumn id="26" xr3:uid="{576073DB-2CF3-465D-8525-FF066DB39A30}" name="Position Closed" dataDxfId="39">
      <calculatedColumnFormula>_xlfn.LET(
    _xlpm.t, CompanyDetailsList[[#This Row],[Company Ticker]],
    _xlpm.net,
        SUMIFS(StockTransactionsTable[Shares No.], StockTransactionsTable[Transaction Type], "Buy",  StockTransactionsTable[Ticker], _xlpm.t)
      - SUMIFS(StockTransactionsTable[Shares No.], StockTransactionsTable[Transaction Type], "Sell", StockTransactionsTable[Ticker], _xlpm.t),
    _xlpm.res,
        IF(
            _xlpm.net=0,
            IFERROR(
                _xlfn.MAXIFS(StockTransactionsTable[Date], StockTransactionsTable[Transaction Type], "Sell", StockTransactionsTable[Ticker], _xlpm.t),
                ""
            ),
            ""
        ),
    IF(_xlpm.res="", DATE(9999,12,31), _xlpm.res)
)</calculatedColumnFormula>
    </tableColumn>
    <tableColumn id="9" xr3:uid="{A95ACFE8-5320-432D-8EA5-6870EDC8F9E3}" name="Change Today (%)" dataDxfId="38">
      <calculatedColumnFormula array="1">_FV(CompanyDetailsList[[#This Row],[Official Name]],"Change (%)",TRUE)</calculatedColumnFormula>
    </tableColumn>
    <tableColumn id="10" xr3:uid="{6BEAD2B7-9C77-47E7-8269-6E475CA2A143}" name="Change Today" dataDxfId="37">
      <calculatedColumnFormula array="1">_FV(CompanyDetailsList[[#This Row],[Official Name]],"Change")</calculatedColumnFormula>
    </tableColumn>
    <tableColumn id="21" xr3:uid="{6272C8DD-BA70-4155-93FA-6E9F939632DC}" name="Change Today Total" dataDxfId="36">
      <calculatedColumnFormula>CompanyDetailsList[[#This Row],[Change Today]]*CompanyDetailsList[[#This Row],[Shares Owned]]</calculatedColumnFormula>
    </tableColumn>
    <tableColumn id="12" xr3:uid="{DF0325F2-8A63-40E7-A92C-B12259FBB29A}" name="Total Annual Dividend Before Tax" dataDxfId="35">
      <calculatedColumnFormula>CompanyDetailsList[[#This Row],[Annual Dividend per Share]]*CompanyDetailsList[[#This Row],[Shares Owned]]</calculatedColumnFormula>
    </tableColumn>
    <tableColumn id="13" xr3:uid="{6CB5FA65-B0E5-4C9B-8E8B-7E1BF3BF988A}" name="Total Annual Dividend" dataDxfId="34">
      <calculatedColumnFormula>CompanyDetailsList[[#This Row],[Total Annual Dividend Before Tax]]*0.9</calculatedColumnFormula>
    </tableColumn>
    <tableColumn id="14" xr3:uid="{2EC79BB7-E6AE-4E96-A1CC-7414F6E4999B}" name="Total Cost" dataDxfId="33" dataCellStyle="Comma">
      <calculatedColumnFormula>_xlfn.LET(
    _xlpm.t, CompanyDetailsList[[#This Row],[Company Ticker]],
    _xlpm.BuyQty, SUMIFS(StockTransactionsTable[Shares No.],
        StockTransactionsTable[Ticker], _xlpm.t,
        StockTransactionsTable[Transaction Type], "Buy"),
    _xlpm.SellQty, SUMIFS(StockTransactionsTable[Shares No.],
        StockTransactionsTable[Ticker], _xlpm.t,
        StockTransactionsTable[Transaction Type], "Sell"),
    _xlpm.BuyCost, SUMIFS(StockTransactionsTable[Total Amount with Fee],
        StockTransactionsTable[Ticker], _xlpm.t,
        StockTransactionsTable[Transaction Type], "Buy"),
    IF(_xlpm.BuyQty = 0, 0, _xlpm.BuyCost * (_xlpm.BuyQty - _xlpm.SellQty) / _xlpm.BuyQty)
)</calculatedColumnFormula>
    </tableColumn>
    <tableColumn id="15" xr3:uid="{A59ECFD1-307E-414F-B857-2373FCD8C67E}" name="Average Cost" dataDxfId="32" dataCellStyle="Comma">
      <calculatedColumnFormula>IF(CompanyDetailsList[[#This Row],[Ownership]]="Not Owning",0,CompanyDetailsList[[#This Row],[Total Cost]]/CompanyDetailsList[[#This Row],[Shares Owned]])</calculatedColumnFormula>
    </tableColumn>
    <tableColumn id="16" xr3:uid="{901D15F2-4704-460B-84D1-FA55BF55304E}" name="Price" dataDxfId="31" dataCellStyle="Comma">
      <calculatedColumnFormula array="1">_FV(CompanyDetailsList[[#This Row],[Official Name]],"Price")</calculatedColumnFormula>
    </tableColumn>
    <tableColumn id="20" xr3:uid="{FE1AC15D-FABE-4734-8793-35A46118B658}" name="Total Price" dataDxfId="30" dataCellStyle="Comma">
      <calculatedColumnFormula>CompanyDetailsList[[#This Row],[Price]]*CompanyDetailsList[[#This Row],[Shares Owned]]</calculatedColumnFormula>
    </tableColumn>
    <tableColumn id="17" xr3:uid="{DC84AE67-CD31-4F2C-A15E-4B629F5192F9}" name="Profit &amp; Loss per Share" dataDxfId="29" dataCellStyle="Comma">
      <calculatedColumnFormula>CompanyDetailsList[[#This Row],[Price]]-CompanyDetailsList[[#This Row],[Average Cost]]</calculatedColumnFormula>
    </tableColumn>
    <tableColumn id="18" xr3:uid="{069ED2B0-DEB7-4A89-8F99-0C5F476BD45A}" name="Profit &amp; Loss Total" dataDxfId="28" dataCellStyle="Comma">
      <calculatedColumnFormula>CompanyDetailsList[[#This Row],[Profit &amp; Loss per Share]]*CompanyDetailsList[[#This Row],[Shares Owned]]</calculatedColumnFormula>
    </tableColumn>
    <tableColumn id="19" xr3:uid="{852141ED-C057-44D4-9E5A-29B12A0E90D5}" name="Profit &amp; Loss %" dataDxfId="27" dataCellStyle="Percent">
      <calculatedColumnFormula>IF(CompanyDetailsList[[#This Row],[Ownership]]="Not Owning",0,CompanyDetailsList[[#This Row],[Price]]/CompanyDetailsList[[#This Row],[Average Cost]]-1)</calculatedColumnFormula>
    </tableColumn>
    <tableColumn id="25" xr3:uid="{9D2D1270-AE77-4DDC-8363-36F875520B5F}" name="52 week low" dataDxfId="26" dataCellStyle="Comma">
      <calculatedColumnFormula array="1">_FV(CompanyDetailsList[[#This Row],[Official Name]],"52 week low",TRUE)</calculatedColumnFormula>
    </tableColumn>
    <tableColumn id="22" xr3:uid="{2153CF0F-AE09-45CD-8E58-9DE864E048E6}" name="52 week high" dataDxfId="25" dataCellStyle="Comma">
      <calculatedColumnFormula array="1">_FV(CompanyDetailsList[[#This Row],[Official Name]],"52 week high",TRUE)</calculatedColumnFormula>
    </tableColumn>
  </tableColumns>
  <tableStyleInfo name="Table Style 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CA87FF4-25ED-45D7-AA1E-A41F3DC6FE7C}" name="CurrencyConversionFromUSDList" displayName="CurrencyConversionFromUSDList" ref="B5:F147" totalsRowShown="0" headerRowDxfId="24">
  <autoFilter ref="B5:F147" xr:uid="{1CA87FF4-25ED-45D7-AA1E-A41F3DC6FE7C}"/>
  <tableColumns count="5">
    <tableColumn id="1" xr3:uid="{C9C9E3C0-CCDE-48EF-87C8-E1E7B51771CD}" name="Date" dataDxfId="23">
      <calculatedColumnFormula>IF(
    AND(
        MONTH(EOMONTH(DATE(2015,1,31), ROW()-4)) = MONTH(TODAY()),
        YEAR(EOMONTH(DATE(2015,1,31), ROW()-4)) = YEAR(TODAY())
    ),
    TODAY(),
    EOMONTH(DATE(2015,1,31), ROW()-4)
)</calculatedColumnFormula>
    </tableColumn>
    <tableColumn id="3" xr3:uid="{A886C4AE-2E07-4241-A5A7-B8074676CBC0}" name="USD" dataDxfId="22" dataCellStyle="Comma">
      <calculatedColumnFormula>1</calculatedColumnFormula>
    </tableColumn>
    <tableColumn id="2" xr3:uid="{23690256-7D5E-4238-8C3B-D438AA70E4EB}" name="EUR" dataDxfId="21" dataCellStyle="Comma">
      <calculatedColumnFormula array="1">_xlfn.STOCKHISTORY("EURUSD",CurrencyConversionFromUSDList[[#This Row],[Date]],CurrencyConversionFromUSDList[[#This Row],[Date]],2,0,1)</calculatedColumnFormula>
    </tableColumn>
    <tableColumn id="4" xr3:uid="{BCFF008F-9A52-4785-B323-FDE1C997DC8F}" name="HUF" dataDxfId="20" dataCellStyle="Comma">
      <calculatedColumnFormula array="1">_xlfn.STOCKHISTORY("HUFUSD",CurrencyConversionFromUSDList[[#This Row],[Date]],CurrencyConversionFromUSDList[[#This Row],[Date]],2,0,1)</calculatedColumnFormula>
    </tableColumn>
    <tableColumn id="5" xr3:uid="{F2F9FA99-8E24-468D-81B4-3A9919029B17}" name="RON" dataDxfId="19" dataCellStyle="Comma">
      <calculatedColumnFormula array="1">_xlfn.STOCKHISTORY("RONUSD",CurrencyConversionFromUSDList[[#This Row],[Date]],CurrencyConversionFromUSDList[[#This Row],[Date]],2,0,1)</calculatedColumnFormula>
    </tableColumn>
  </tableColumns>
  <tableStyleInfo name="Table Style 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B171E4-B399-41A6-AACD-4874518A9664}" name="StockTransactionsTable" displayName="StockTransactionsTable" ref="B4:N993" totalsRowShown="0" headerRowDxfId="18" dataDxfId="17">
  <autoFilter ref="B4:N993" xr:uid="{5AB171E4-B399-41A6-AACD-4874518A9664}"/>
  <sortState xmlns:xlrd2="http://schemas.microsoft.com/office/spreadsheetml/2017/richdata2" ref="B5:N993">
    <sortCondition ref="B4:B993"/>
  </sortState>
  <tableColumns count="13">
    <tableColumn id="1" xr3:uid="{9C4771C5-593A-4267-87EE-C85E4721EAC9}" name="Date" dataDxfId="16"/>
    <tableColumn id="3" xr3:uid="{AED3790C-F9E3-4F0D-8491-7B59719D0B7A}" name="Ticker" dataDxfId="15" dataCellStyle="Comma"/>
    <tableColumn id="4" xr3:uid="{FECB1EF7-0C24-4DC4-87DD-424DCF24F04A}" name="Transaction Type" dataDxfId="14" dataCellStyle="Comma"/>
    <tableColumn id="7" xr3:uid="{51CC251A-CFC5-4553-B5A4-5714D04F1ADF}" name="Shares No." dataDxfId="13" dataCellStyle="Comma"/>
    <tableColumn id="9" xr3:uid="{06917F0B-EB81-43DC-BD86-FF3BF67D0F72}" name="Amount per Share" dataDxfId="12" dataCellStyle="Comma"/>
    <tableColumn id="8" xr3:uid="{EC7026D9-D320-4075-9CF4-5FBE2ED97A1D}" name="Total Amount" dataDxfId="11" dataCellStyle="Comma">
      <calculatedColumnFormula>StockTransactionsTable[[#This Row],[Shares No.]]*StockTransactionsTable[[#This Row],[Amount per Share]]</calculatedColumnFormula>
    </tableColumn>
    <tableColumn id="10" xr3:uid="{54976BE7-5544-414F-B33E-B9BA12C1E5E3}" name="Fee" dataDxfId="10" dataCellStyle="Comma"/>
    <tableColumn id="11" xr3:uid="{25A90E62-A357-45EA-878A-0E7506733D9B}" name="Total Amount with Fee" dataDxfId="9" dataCellStyle="Comma">
      <calculatedColumnFormula>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calculatedColumnFormula>
    </tableColumn>
    <tableColumn id="12" xr3:uid="{60C17F1E-3D40-4F58-BB75-B86C44DFFEBE}" name="Fee %" dataDxfId="8" dataCellStyle="Percent">
      <calculatedColumnFormula>StockTransactionsTable[[#This Row],[Fee]]/StockTransactionsTable[[#This Row],[Total Amount]]</calculatedColumnFormula>
    </tableColumn>
    <tableColumn id="13" xr3:uid="{5C5A0808-3D38-4D2F-8829-DA0FDFF2F505}" name="Accumulated cost buy basis" dataDxfId="7" dataCellStyle="Comma">
      <calculatedColumnFormula>IF(StockTransactionsTable[[#This Row],[Transaction Type]]="Buy", StockTransactionsTable[[#This Row],[Total Amount with Fee]] / StockTransactionsTable[[#This Row],[Shares No.]],0)</calculatedColumnFormula>
    </tableColumn>
    <tableColumn id="14" xr3:uid="{D521FBF4-69EF-4305-BA38-7E91A2233C20}" name="Profit &amp; Loss for Sales" dataDxfId="6" dataCellStyle="Comma">
      <calculatedColumnFormula>IF(StockTransactionsTable[[#This Row],[Transaction Type]]="Sell",
   (StockTransactionsTable[[#This Row],[Total Amount with Fee]]) - (StockTransactionsTable[[#This Row],[Shares No.]] * INDEX(StockTransactionsTable[Accumulated cost buy basis], MATCH(StockTransactionsTable[[#This Row],[Ticker]], StockTransactionsTable[Ticker], 0))),
   "")</calculatedColumnFormula>
    </tableColumn>
    <tableColumn id="5" xr3:uid="{2DA1E531-753B-4FC5-8C5B-66CB275A5934}" name="YearValue" dataDxfId="5">
      <calculatedColumnFormula>YEAR(StockTransactionsTable[[#This Row],[Date]])</calculatedColumnFormula>
    </tableColumn>
    <tableColumn id="6" xr3:uid="{9ABE251F-A320-41E0-A1C3-C0ACA39F6B8A}" name="MonthValue" dataDxfId="4">
      <calculatedColumnFormula>MONTH(StockTransactionsTable[[#This Row],[Date]])</calculatedColumnFormula>
    </tableColumn>
  </tableColumns>
  <tableStyleInfo name="Table Style 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180C1F6-2AD5-4A9E-92FD-9D63120F2974}" name="HistoricalStockProgress" displayName="HistoricalStockProgress" ref="B4:N2350" tableType="queryTable" totalsRowShown="0" headerRowDxfId="66" dataDxfId="65">
  <autoFilter ref="B4:N2350" xr:uid="{4180C1F6-2AD5-4A9E-92FD-9D63120F2974}"/>
  <sortState xmlns:xlrd2="http://schemas.microsoft.com/office/spreadsheetml/2017/richdata2" ref="B5:N2350">
    <sortCondition ref="B4:B2350"/>
  </sortState>
  <tableColumns count="13">
    <tableColumn id="1" xr3:uid="{C71DF8B1-83AF-4A9D-B72B-D5D792B640CB}" uniqueName="1" name="Date" queryTableFieldId="1" dataDxfId="64"/>
    <tableColumn id="2" xr3:uid="{6CDDF4A1-329B-4832-BA71-A12D9828A78B}" uniqueName="2" name="Company Ticker" queryTableFieldId="2" dataDxfId="63"/>
    <tableColumn id="3" xr3:uid="{5968A8E4-C7E0-4107-8E91-E0AE212F18C7}" uniqueName="3" name="Full Company Name" queryTableFieldId="3" dataDxfId="62">
      <calculatedColumnFormula>_xlfn.XLOOKUP(HistoricalStockProgress[[#This Row],[Company Ticker]],CompanyDetailsList[Company Ticker],CompanyDetailsList[Official Name],,0)</calculatedColumnFormula>
    </tableColumn>
    <tableColumn id="4" xr3:uid="{453068D9-5ECE-41EC-9CAC-9D168DD6F3CD}" uniqueName="4" name="No. of Shares" queryTableFieldId="4" dataDxfId="61" dataCellStyle="Comma">
      <calculatedColumnFormula>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calculatedColumnFormula>
    </tableColumn>
    <tableColumn id="7" xr3:uid="{C7AAD83B-E626-4201-AFEA-189A8AE66E18}" uniqueName="7" name="Cost of Shares" queryTableFieldId="7" dataDxfId="60" dataCellStyle="Comma">
      <calculatedColumnFormula>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calculatedColumnFormula>
    </tableColumn>
    <tableColumn id="6" xr3:uid="{00EA0F10-590A-41E8-9D24-0521DE6A7C97}" uniqueName="6" name="Avg Cost of Share per Stock" queryTableFieldId="26" dataDxfId="59" dataCellStyle="Comma">
      <calculatedColumnFormula>IFERROR(HistoricalStockProgress[[#This Row],[Cost of Shares]]/HistoricalStockProgress[[#This Row],[No. of Shares]],0)</calculatedColumnFormula>
    </tableColumn>
    <tableColumn id="8" xr3:uid="{6CB7A1C8-4D80-45C3-B516-02F6D840F841}" uniqueName="8" name="Price of Shares" queryTableFieldId="8" dataDxfId="58" dataCellStyle="Comma"/>
    <tableColumn id="9" xr3:uid="{8823A45E-A575-464D-9708-51802DF8523E}" uniqueName="9" name="Total Price of Shares" queryTableFieldId="9" dataDxfId="57" dataCellStyle="Comma">
      <calculatedColumnFormula>IF(HistoricalStockProgress[[#This Row],[No. of Shares]]&lt;&gt;0,HistoricalStockProgress[[#This Row],[Price of Shares]]*HistoricalStockProgress[[#This Row],[No. of Shares]],0)</calculatedColumnFormula>
    </tableColumn>
    <tableColumn id="11" xr3:uid="{86A3F48C-20DE-4822-A420-5B92259B3B0D}" uniqueName="11" name="Profit &amp; Loss per Share" queryTableFieldId="11" dataDxfId="56" dataCellStyle="Comma">
      <calculatedColumnFormula>IF(HistoricalStockProgress[[#This Row],[No. of Shares]]&lt;&gt;0,HistoricalStockProgress[[#This Row],[Price of Shares]]-HistoricalStockProgress[[#This Row],[Cost of Shares]]/HistoricalStockProgress[[#This Row],[No. of Shares]],0)</calculatedColumnFormula>
    </tableColumn>
    <tableColumn id="10" xr3:uid="{0E8F803B-D0D5-4E72-9413-70C1E6FD1321}" uniqueName="10" name="Total Profit &amp; Loss" queryTableFieldId="10" dataDxfId="55" dataCellStyle="Comma">
      <calculatedColumnFormula>IF(HistoricalStockProgress[[#This Row],[Total Price of Shares]]&lt;&gt;0,HistoricalStockProgress[[#This Row],[Total Price of Shares]]-HistoricalStockProgress[[#This Row],[Cost of Shares]],0)</calculatedColumnFormula>
    </tableColumn>
    <tableColumn id="5" xr3:uid="{AB0C0F5A-3F1D-4412-87D7-C4C6AC0DBD18}" uniqueName="5" name="Price Segmental" queryTableFieldId="25" dataDxfId="54">
      <calculatedColumnFormula array="1">IFERROR(IF(HistoricalStockProgress[[#This Row],[Price of Shares]]="",_xlfn.STOCKHISTORY(HistoricalStockProgress[[#This Row],[Full Company Name]],HistoricalStockProgress[[#This Row],[Date]],,2,0,1)),0)</calculatedColumnFormula>
    </tableColumn>
    <tableColumn id="12" xr3:uid="{EA2D7370-8535-457D-BAAC-24D4DAE2BF7C}" uniqueName="12" name="YearValue" queryTableFieldId="27" dataDxfId="53">
      <calculatedColumnFormula>YEAR(HistoricalStockProgress[[#This Row],[Date]])</calculatedColumnFormula>
    </tableColumn>
    <tableColumn id="13" xr3:uid="{6846F5A5-AB18-4000-ACFE-9459722D5305}" uniqueName="13" name="MONTH" queryTableFieldId="28" dataDxfId="52">
      <calculatedColumnFormula>MONTH(HistoricalStockProgress[[#This Row],[Date]])</calculatedColumnFormula>
    </tableColumn>
  </tableColumns>
  <tableStyleInfo name="Table Style 4"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44546A"/>
      </a:dk2>
      <a:lt2>
        <a:srgbClr val="E7E6E6"/>
      </a:lt2>
      <a:accent1>
        <a:srgbClr val="011F4B"/>
      </a:accent1>
      <a:accent2>
        <a:srgbClr val="005B96"/>
      </a:accent2>
      <a:accent3>
        <a:srgbClr val="B3CDE0"/>
      </a:accent3>
      <a:accent4>
        <a:srgbClr val="B2D8D8"/>
      </a:accent4>
      <a:accent5>
        <a:srgbClr val="008080"/>
      </a:accent5>
      <a:accent6>
        <a:srgbClr val="004C4C"/>
      </a:accent6>
      <a:hlink>
        <a:srgbClr val="0F131E"/>
      </a:hlink>
      <a:folHlink>
        <a:srgbClr val="93A1C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4">
    <wetp:webextensionref xmlns:r="http://schemas.openxmlformats.org/officeDocument/2006/relationships" r:id="rId1"/>
  </wetp:taskpane>
  <wetp:taskpane dockstate="right" visibility="0" width="350"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3A38160F-86E9-4486-BFEE-215B3226DD6A}">
  <we:reference id="wa200007436" version="1.0.0.0" store="en-US" storeType="OMEX"/>
  <we:alternateReferences>
    <we:reference id="wa200007436" version="1.0.0.0" store="wa200007436"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_xldudf_MFE_GSGETPLACEDETAILS</we:customFunctionIds>
        <we:customFunctionIds>_xldudf_MFE_GSGETPLACEDETAILSJSON</we:customFunctionIds>
        <we:customFunctionIds>_xldudf_MFE_GSGETPLACEPHOTO</we:customFunctionIds>
        <we:customFunctionIds>_xldudf_MFE_GSGETSTREETVIEW</we:customFunctionIds>
        <we:customFunctionIds>_xldudf_MFE_GSFINDPLACES</we:customFunctionIds>
        <we:customFunctionIds>_xldudf_MFE_GSGETPOINT</we:customFunctionIds>
        <we:customFunctionIds>_xldudf_MFE_GSPLUSCODE</we:customFunctionIds>
        <we:customFunctionIds>_xldudf_MFE_GSGETPLACEID</we:customFunctionIds>
        <we:customFunctionIds>_xldudf_MFE_GSGETLATLNG</we:customFunctionIds>
        <we:customFunctionIds>_xldudf_MFE_GSGEOCODE</we:customFunctionIds>
        <we:customFunctionIds>_xldudf_MFE_GSREVERSEGEOCODE</we:customFunctionIds>
        <we:customFunctionIds>_xldudf_MFE_GSPARSELATLNG</we:customFunctionIds>
        <we:customFunctionIds>_xldudf_MFE_GSGETADDRESS</we:customFunctionIds>
        <we:customFunctionIds>_xldudf_MFE_GSGETADDRESSCOMPONENTS</we:customFunctionIds>
        <we:customFunctionIds>_xldudf_MFE_HSFINDPLACES</we:customFunctionIds>
        <we:customFunctionIds>_xldudf_MFE_HSGETLATLNG</we:customFunctionIds>
        <we:customFunctionIds>_xldudf_MFE_HSGEOCODE</we:customFunctionIds>
        <we:customFunctionIds>_xldudf_MFE_HSGETADDRESSCOMPONENTS</we:customFunctionIds>
        <we:customFunctionIds>_xldudf_MFE_GSNEARBYPLACES</we:customFunctionIds>
        <we:customFunctionIds>_xldudf_MFE_GSGETISOLINEMAPFROM</we:customFunctionIds>
        <we:customFunctionIds>_xldudf_MFE_GSGETISOLINEMAPTO</we:customFunctionIds>
        <we:customFunctionIds>_xldudf_MFE_GSGETLINEARDISTANCE</we:customFunctionIds>
        <we:customFunctionIds>_xldudf_MFE_GSGETDISTANCELATLNG</we:customFunctionIds>
        <we:customFunctionIds>_xldudf_MFE_GSGETROUTEDISTANCE</we:customFunctionIds>
        <we:customFunctionIds>_xldudf_MFE_GSGETROUTETIME</we:customFunctionIds>
        <we:customFunctionIds>_xldudf_MFE_GSGETROUTECOST</we:customFunctionIds>
        <we:customFunctionIds>_xldudf_MFE_GSGETROUTEURL</we:customFunctionIds>
        <we:customFunctionIds>_xldudf_MFE_GSGETPLACEURL</we:customFunctionIds>
        <we:customFunctionIds>_xldudf_MFE_GSGETPOINTSMAP</we:customFunctionIds>
        <we:customFunctionIds>_xldudf_MFE_GSGETROUTEMAP</we:customFunctionIds>
        <we:customFunctionIds>_xldudf_MFE_GSCOMMUTEURL</we:customFunctionIds>
        <we:customFunctionIds>_xldudf_MFE_GSCOMMUTETIME</we:customFunctionIds>
        <we:customFunctionIds>_xldudf_MFE_GSCOMMUTEDISTANCE</we:customFunctionIds>
        <we:customFunctionIds>_xldudf_MFE_GSCOMMUTECOST</we:customFunctionIds>
        <we:customFunctionIds>_xldudf_MFE_GSCOMMUTEROUTEMAP</we:customFunctionIds>
        <we:customFunctionIds>_xldudf_MFE_GSINSERTHEATMAP</we:customFunctionIds>
        <we:customFunctionIds>_xldudf_MFE_GSINSERTIMAGE</we:customFunctionIds>
        <we:customFunctionIds>_xldudf_MFE_GSMULTIFINDPLACES</we:customFunctionIds>
        <we:customFunctionIds>_xldudf_MFE_GSMULTINEARBYPLACES</we:customFunctionIds>
        <we:customFunctionIds>_xldudf_MFE_GEOGETTYPE</we:customFunctionIds>
        <we:customFunctionIds>_xldudf_MFE_GEOLOADJSON</we:customFunctionIds>
        <we:customFunctionIds>_xldudf_MFE_GEOFLIP</we:customFunctionIds>
        <we:customFunctionIds>_xldudf_MFE_GEOGETCOORDS</we:customFunctionIds>
        <we:customFunctionIds>_xldudf_MFE_GEOLINKCONTAINED</we:customFunctionIds>
        <we:customFunctionIds>_xldudf_MFE_GEOLINKRESOLVE</we:customFunctionIds>
        <we:customFunctionIds>_xldudf_MFE_GEOCOLLECTION</we:customFunctionIds>
        <we:customFunctionIds>_xldudf_MFE_GEOISOLINEFROM</we:customFunctionIds>
        <we:customFunctionIds>_xldudf_MFE_GEOISOLINETO</we:customFunctionIds>
        <we:customFunctionIds>_xldudf_MFE_GEONEARBYPLACES</we:customFunctionIds>
        <we:customFunctionIds>_xldudf_MFE_GEOFINDPLACES</we:customFunctionIds>
        <we:customFunctionIds>_xldudf_MFE_GEOINTERSECT</we:customFunctionIds>
        <we:customFunctionIds>_xldudf_MFE_GEOGETCHILDS</we:customFunctionIds>
        <we:customFunctionIds>_xldudf_MFE_GEOCONTAINSPOINTS</we:customFunctionIds>
        <we:customFunctionIds>_xldudf_MFE_GEOPOINT</we:customFunctionIds>
        <we:customFunctionIds>_xldudf_MFE_GEOPOLYGON</we:customFunctionIds>
        <we:customFunctionIds>_xldudf_MFE_GEORECTANGLE</we:customFunctionIds>
        <we:customFunctionIds>_xldudf_MFE_GEOBBOX</we:customFunctionIds>
        <we:customFunctionIds>_xldudf_MFE_GEOCIRCLE</we:customFunctionIds>
        <we:customFunctionIds>_xldudf_MFE_GEOSETCOLOR</we:customFunctionIds>
        <we:customFunctionIds>_xldudf_MFE_GEOSETMARKERICON</we:customFunctionIds>
        <we:customFunctionIds>_xldudf_MFE_GEODISTANCE</we:customFunctionIds>
        <we:customFunctionIds>_xldudf_MFE_GEOGETAREA</we:customFunctionIds>
        <we:customFunctionIds>_xldudf_MFE_GEOGETCENTROID</we:customFunctionIds>
        <we:customFunctionIds>_xldudf_MFE_GEOGETCENTER</we:customFunctionIds>
        <we:customFunctionIds>_xldudf_MFE_GEOGETLATLNG</we:customFunctionIds>
        <we:customFunctionIds>_xldudf_MFE_GEOGETLATLNGSTRING</we:customFunctionIds>
        <we:customFunctionIds>_xldudf_MFE_GEOSHAPE</we:customFunctionIds>
        <we:customFunctionIds>_xldudf_MFE_GEOMAPOPTIONS</we:customFunctionIds>
        <we:customFunctionIds>_xldudf_MFE_GEOTOMAP</we:customFunctionIds>
        <we:customFunctionIds>_xldudf_MFE_GEOTOTABLE</we:customFunctionIds>
        <we:customFunctionIds>_xldudf_MFE_GEOPROPERTIES</we:customFunctionIds>
        <we:customFunctionIds>_xldudf_MFE_GEOGEOMETRY</we:customFunctionIds>
        <we:customFunctionIds>_xldudf_MFE_GEOSETPROPERTY</we:customFunctionIds>
        <we:customFunctionIds>_xldudf_MFE_GEOSETPROPERTIES</we:customFunctionIds>
        <we:customFunctionIds>_xldudf_MFE_GEOSIMPLIFY</we:customFunctionIds>
        <we:customFunctionIds>_xldudf_MFE_GEOGETRADIUS</we:customFunctionIds>
        <we:customFunctionIds>_xldudf_MFE_GEOCIRCUMCIRCLE</we:customFunctionIds>
        <we:customFunctionIds>_xldudf_MFE_GEOGETCOORDSSTRING</we:customFunctionIds>
        <we:customFunctionIds>_xldudf_MFE_GEOISCONTAIN</we:customFunctionIds>
        <we:customFunctionIds>_xldudf_MFE_GEOISOVERLAP</we:customFunctionIds>
        <we:customFunctionIds>_xldudf_MFE_GEOGETGRID</we:customFunctionIds>
        <we:customFunctionIds>_xldudf_MFE_GEOGETGRIDPOINTS</we:customFunctionIds>
        <we:customFunctionIds>_xldudf_MFE_GEOSUBTRACT</we:customFunctionIds>
        <we:customFunctionIds>_xldudf_MFE_GEOUNION</we:customFunctionIds>
        <we:customFunctionIds>_xldudf_MFE_HSREVERSEGEOCODE</we:customFunctionIds>
        <we:customFunctionIds>_xldudf_MFE_GEOTOKML</we:customFunctionIds>
        <we:customFunctionIds>_xldudf_MFE_GSFINDPLACEFROMTEXT</we:customFunctionIds>
        <we:customFunctionIds>_xldudf_MFE_BSDIRECTIONSDISTANCE</we:customFunctionIds>
        <we:customFunctionIds>_xldudf_MFE_BSDIRECTIONSTIME</we:customFunctionIds>
        <we:customFunctionIds>_xldudf_MFE_BSDIRECTIONSCOST</we:customFunctionIds>
        <we:customFunctionIds>_xldudf_MFE_BSDIRECTIONSREGIONTRAVELSUMMARY</we:customFunctionIds>
        <we:customFunctionIds>_xldudf_MFE_BSDIRECTIONSMAP</we:customFunctionIds>
        <we:customFunctionIds>_xldudf_MFE_BSDIRECTIONSURL</we:customFunctionIds>
        <we:customFunctionIds>_xldudf_MFE_BSGEOCODE</we:customFunctionIds>
        <we:customFunctionIds>_xldudf_MFE_BSGETLATLNG</we:customFunctionIds>
        <we:customFunctionIds>_xldudf_MFE_BSGETADDRESSCOMPONENTS</we:customFunctionIds>
        <we:customFunctionIds>_xldudf_MFE_BSREVERSEGEOCODE</we:customFunctionIds>
        <we:customFunctionIds>_xldudf_MFE_GENERATERGBAMONOCHROMATIC</we:customFunctionIds>
        <we:customFunctionIds>_xldudf_MFE_GEOBUFFER</we:customFunctionIds>
        <we:customFunctionIds>_xldudf_MFE_GEOLINESTRING</we:customFunctionIds>
        <we:customFunctionIds>_xldudf_MFE_GEOROUTELINE</we:customFunctionIds>
        <we:customFunctionIds>_xldudf_MFE_GEOCOMMUTELINE</we:customFunctionIds>
        <we:customFunctionIds>_xldudf_MFE_GEOFINDWITHINBOUNDARIES</we:customFunctionIds>
        <we:customFunctionIds>_xldudf_MFE_GEODRAW</we:customFunctionIds>
        <we:customFunctionIds>_xldudf_MFE_HIGHLIGHTDUPLICATES</we:customFunctionIds>
        <we:customFunctionIds>_xldudf_MFE_GSBOUNDARIES</we:customFunctionIds>
        <we:customFunctionIds>_xldudf_MFE_GEOBOUNDARIES</we:customFunctionIds>
        <we:customFunctionIds>_xldudf_MFE_GSNEARBYPLACES2</we:customFunctionIds>
        <we:customFunctionIds>_xldudf_MFE_GSFINDPLACES2</we:customFunctionIds>
        <we:customFunctionIds>_xldudf_MFE_GEOFINDPLACES2</we:customFunctionIds>
        <we:customFunctionIds>_xldudf_MFE_GENERATERGBACOLORS</we:customFunctionIds>
        <we:customFunctionIds>_xldudf_MFE_HSLTORGBA</we:customFunctionIds>
        <we:customFunctionIds>_xldudf_MFE_GSDOWNLOAD</we:customFunctionIds>
        <we:customFunctionIds>_xldudf_MFE_GSDOWNLOADPLACEPHOTO</we:customFunctionIds>
        <we:customFunctionIds>_xldudf_MFE_GSDOWNLOADSTREETVIEWIMAGE</we:customFunctionIds>
        <we:customFunctionIds>_xldudf_MFE_GSDOWNLOADACTIVERANGEIMAGES</we:customFunctionIds>
        <we:customFunctionIds>_xldudf_MFE_GSDOWNLOADFORMULAIMAGES</we:customFunctionIds>
        <we:customFunctionIds>_xldudf_MFE_GSDOWNLOADOVERGRIDIMAGES</we:customFunctionIds>
        <we:customFunctionIds>_xldudf_MFE_GSFORMULASTOGGLE</we:customFunctionIds>
        <we:customFunctionIds>_xldudf_MFE_GSFORMULASENABLE</we:customFunctionIds>
        <we:customFunctionIds>_xldudf_MFE_GSFORMULASDISABLE</we:customFunctionIds>
      </we:customFunctionIdList>
    </a:ext>
  </we:extLst>
</we:webextension>
</file>

<file path=xl/webextensions/webextension2.xml><?xml version="1.0" encoding="utf-8"?>
<we:webextension xmlns:we="http://schemas.microsoft.com/office/webextensions/webextension/2010/11" id="{4CB39188-5B1A-43BA-91AC-18F26C3FA03E}">
  <we:reference id="wa200010215" version="2.0.0.1" store="en-US" storeType="OMEX"/>
  <we:alternateReferences>
    <we:reference id="wa200010215" version="2.0.0.1" store="WA200010215" storeType="OMEX"/>
  </we:alternateReferences>
  <we:properties>
    <we:property name="bps.codex_control.document_id" value="&quot;26a43fe1-10c9-4d5e-813f-2cd6dc1aa587&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755C2-6B6E-416F-A062-33A2D55CC1BC}">
  <dimension ref="B1:B8"/>
  <sheetViews>
    <sheetView showGridLines="0" zoomScale="200" zoomScaleNormal="200" workbookViewId="0"/>
  </sheetViews>
  <sheetFormatPr defaultRowHeight="15"/>
  <cols>
    <col min="1" max="1" width="2.7109375" customWidth="1"/>
    <col min="2" max="2" width="53.85546875" bestFit="1" customWidth="1"/>
  </cols>
  <sheetData>
    <row r="1" spans="2:2" ht="15.75" thickBot="1"/>
    <row r="2" spans="2:2" ht="32.25" thickTop="1">
      <c r="B2" s="32" t="s">
        <v>115</v>
      </c>
    </row>
    <row r="3" spans="2:2" ht="15.75" thickBot="1">
      <c r="B3" s="26"/>
    </row>
    <row r="4" spans="2:2" ht="33" thickTop="1" thickBot="1">
      <c r="B4" s="29" t="s">
        <v>111</v>
      </c>
    </row>
    <row r="5" spans="2:2" ht="33" thickTop="1" thickBot="1">
      <c r="B5" s="29" t="s">
        <v>112</v>
      </c>
    </row>
    <row r="6" spans="2:2" ht="33" thickTop="1" thickBot="1">
      <c r="B6" s="29" t="s">
        <v>113</v>
      </c>
    </row>
    <row r="7" spans="2:2" ht="33" thickTop="1" thickBot="1">
      <c r="B7" s="29" t="s">
        <v>114</v>
      </c>
    </row>
    <row r="8" spans="2:2" ht="15.75" thickTop="1"/>
  </sheetData>
  <hyperlinks>
    <hyperlink ref="B4" location="'Stock Details'!A1" display="Stock Details" xr:uid="{0FD459ED-A733-4EF5-A784-6854209022AC}"/>
    <hyperlink ref="B5" location="'Stock Transactions'!A1" display="Stock Transactions" xr:uid="{D6A873D0-012D-4367-93BB-0FE8892CBA07}"/>
    <hyperlink ref="B6" location="'Historical Portfolio Value'!A1" display="Historical Portfolio Value" xr:uid="{CC29691F-2482-4FCE-B5DD-DE8A91FF460D}"/>
    <hyperlink ref="B7" location="'Exchange Tracker'!A1" display="Exchange Tracker" xr:uid="{B29239C1-0973-4333-A897-5A2D903F667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4D37D-E5C1-4B76-8FA9-4F338498F78C}">
  <sheetPr codeName="Sheet2"/>
  <dimension ref="A2:AA24"/>
  <sheetViews>
    <sheetView showGridLines="0" zoomScaleNormal="100" workbookViewId="0">
      <pane ySplit="4" topLeftCell="A5" activePane="bottomLeft" state="frozen"/>
      <selection pane="bottomLeft" activeCell="G13" sqref="G13"/>
    </sheetView>
  </sheetViews>
  <sheetFormatPr defaultRowHeight="15" customHeight="1"/>
  <cols>
    <col min="1" max="1" width="8.42578125" bestFit="1" customWidth="1"/>
    <col min="2" max="2" width="13.85546875" bestFit="1" customWidth="1"/>
    <col min="3" max="3" width="45.28515625" customWidth="1"/>
    <col min="4" max="4" width="12.42578125" customWidth="1"/>
    <col min="5" max="5" width="26.140625" customWidth="1"/>
    <col min="6" max="6" width="15.85546875" customWidth="1"/>
    <col min="7" max="9" width="12.42578125" customWidth="1"/>
    <col min="10" max="12" width="19.140625" customWidth="1"/>
    <col min="13" max="15" width="12.42578125" customWidth="1"/>
    <col min="16" max="16" width="13.85546875" customWidth="1"/>
    <col min="17" max="17" width="12.7109375" customWidth="1"/>
    <col min="19" max="19" width="9.42578125" customWidth="1"/>
    <col min="24" max="24" width="13.28515625" bestFit="1" customWidth="1"/>
    <col min="25" max="25" width="9.42578125" customWidth="1"/>
    <col min="26" max="26" width="9.28515625" customWidth="1"/>
    <col min="27" max="27" width="1.7109375" customWidth="1" collapsed="1"/>
  </cols>
  <sheetData>
    <row r="2" spans="1:26" s="25" customFormat="1">
      <c r="A2" s="30" t="s">
        <v>115</v>
      </c>
      <c r="B2" s="31" t="s">
        <v>110</v>
      </c>
    </row>
    <row r="4" spans="1:26" ht="44.25" customHeight="1">
      <c r="B4" s="20" t="s">
        <v>9</v>
      </c>
      <c r="C4" s="20" t="s">
        <v>10</v>
      </c>
      <c r="D4" s="20" t="s">
        <v>11</v>
      </c>
      <c r="E4" s="20" t="s">
        <v>24</v>
      </c>
      <c r="F4" s="20" t="s">
        <v>70</v>
      </c>
      <c r="G4" s="20" t="s">
        <v>25</v>
      </c>
      <c r="H4" s="20" t="s">
        <v>35</v>
      </c>
      <c r="I4" s="20" t="s">
        <v>27</v>
      </c>
      <c r="J4" s="20" t="s">
        <v>32</v>
      </c>
      <c r="K4" s="20" t="s">
        <v>77</v>
      </c>
      <c r="L4" s="20" t="s">
        <v>76</v>
      </c>
      <c r="M4" s="20" t="s">
        <v>33</v>
      </c>
      <c r="N4" s="20" t="s">
        <v>34</v>
      </c>
      <c r="O4" s="20" t="s">
        <v>53</v>
      </c>
      <c r="P4" s="20" t="s">
        <v>66</v>
      </c>
      <c r="Q4" s="20" t="s">
        <v>67</v>
      </c>
      <c r="R4" s="20" t="s">
        <v>37</v>
      </c>
      <c r="S4" s="20" t="s">
        <v>36</v>
      </c>
      <c r="T4" s="20" t="s">
        <v>38</v>
      </c>
      <c r="U4" s="20" t="s">
        <v>50</v>
      </c>
      <c r="V4" s="20" t="s">
        <v>39</v>
      </c>
      <c r="W4" s="20" t="s">
        <v>40</v>
      </c>
      <c r="X4" s="20" t="s">
        <v>41</v>
      </c>
      <c r="Y4" s="20" t="s">
        <v>75</v>
      </c>
      <c r="Z4" s="20" t="s">
        <v>69</v>
      </c>
    </row>
    <row r="5" spans="1:26" ht="15" customHeight="1">
      <c r="B5" s="7" t="s">
        <v>12</v>
      </c>
      <c r="C5" s="7" t="e" vm="1">
        <v>#VALUE!</v>
      </c>
      <c r="D5" s="7" t="s">
        <v>116</v>
      </c>
      <c r="E5" s="7" t="s">
        <v>61</v>
      </c>
      <c r="F5" s="7" t="s">
        <v>78</v>
      </c>
      <c r="G5" s="7" t="s">
        <v>26</v>
      </c>
      <c r="H5" s="7">
        <v>3.258</v>
      </c>
      <c r="I5" s="7" t="str">
        <f>IF(CompanyDetailsList[[#This Row],[Shares Owned]]=0,"Not Owning","Owning")</f>
        <v>Owning</v>
      </c>
      <c r="J5" s="8">
        <f xml:space="preserve">
SUMIFS(StockTransactionsTable[Shares No.],StockTransactionsTable[Transaction Type],"Buy",StockTransactionsTable[Ticker],CompanyDetailsList[[#This Row],[Company Ticker]])
-
SUMIFS(StockTransactionsTable[Shares No.],StockTransactionsTable[Transaction Type],"Sell",StockTransactionsTable[Ticker],CompanyDetailsList[[#This Row],[Company Ticker]])</f>
        <v>97</v>
      </c>
      <c r="K5" s="23">
        <f>_xlfn.XLOOKUP(CompanyDetailsList[[#This Row],[Company Ticker]],StockTransactionsTable[Ticker],StockTransactionsTable[Date],,0,1)</f>
        <v>42935</v>
      </c>
      <c r="L5" s="23">
        <f>_xlfn.LET(
    _xlpm.t, CompanyDetailsList[[#This Row],[Company Ticker]],
    _xlpm.net,
        SUMIFS(StockTransactionsTable[Shares No.], StockTransactionsTable[Transaction Type], "Buy",  StockTransactionsTable[Ticker], _xlpm.t)
      - SUMIFS(StockTransactionsTable[Shares No.], StockTransactionsTable[Transaction Type], "Sell", StockTransactionsTable[Ticker], _xlpm.t),
    _xlpm.res,
        IF(
            _xlpm.net=0,
            IFERROR(
                _xlfn.MAXIFS(StockTransactionsTable[Date], StockTransactionsTable[Transaction Type], "Sell", StockTransactionsTable[Ticker], _xlpm.t),
                ""
            ),
            ""
        ),
    IF(_xlpm.res="", DATE(9999,12,31), _xlpm.res)
)</f>
        <v>2958465</v>
      </c>
      <c r="M5" s="9" cm="1">
        <f t="array" aca="1" ref="M5" ca="1">_FV(CompanyDetailsList[[#This Row],[Official Name]],"Change (%)",TRUE)</f>
        <v>9.5980000000000006E-3</v>
      </c>
      <c r="N5" s="10" cm="1">
        <f t="array" aca="1" ref="N5" ca="1">_FV(CompanyDetailsList[[#This Row],[Official Name]],"Change")</f>
        <v>0.52</v>
      </c>
      <c r="O5" s="10">
        <f ca="1">CompanyDetailsList[[#This Row],[Change Today]]*CompanyDetailsList[[#This Row],[Shares Owned]]</f>
        <v>50.440000000000005</v>
      </c>
      <c r="P5" s="8">
        <f>CompanyDetailsList[[#This Row],[Annual Dividend per Share]]*CompanyDetailsList[[#This Row],[Shares Owned]]</f>
        <v>316.02600000000001</v>
      </c>
      <c r="Q5" s="12">
        <f>CompanyDetailsList[[#This Row],[Total Annual Dividend Before Tax]]*0.9</f>
        <v>284.42340000000002</v>
      </c>
      <c r="R5" s="13">
        <f>_xlfn.LET(
    _xlpm.t, CompanyDetailsList[[#This Row],[Company Ticker]],
    _xlpm.BuyQty, SUMIFS(StockTransactionsTable[Shares No.],
        StockTransactionsTable[Ticker], _xlpm.t,
        StockTransactionsTable[Transaction Type], "Buy"),
    _xlpm.SellQty, SUMIFS(StockTransactionsTable[Shares No.],
        StockTransactionsTable[Ticker], _xlpm.t,
        StockTransactionsTable[Transaction Type], "Sell"),
    _xlpm.BuyCost, SUMIFS(StockTransactionsTable[Total Amount with Fee],
        StockTransactionsTable[Ticker], _xlpm.t,
        StockTransactionsTable[Transaction Type], "Buy"),
    IF(_xlpm.BuyQty = 0, 0, _xlpm.BuyCost * (_xlpm.BuyQty - _xlpm.SellQty) / _xlpm.BuyQty)
)</f>
        <v>6263.6766415457378</v>
      </c>
      <c r="S5" s="13">
        <f>IF(CompanyDetailsList[[#This Row],[Ownership]]="Not Owning",0,CompanyDetailsList[[#This Row],[Total Cost]]/CompanyDetailsList[[#This Row],[Shares Owned]])</f>
        <v>64.573985995316889</v>
      </c>
      <c r="T5" s="13" cm="1">
        <f t="array" aca="1" ref="T5" ca="1">_FV(CompanyDetailsList[[#This Row],[Official Name]],"Price")</f>
        <v>54.7</v>
      </c>
      <c r="U5" s="13">
        <f ca="1">CompanyDetailsList[[#This Row],[Price]]*CompanyDetailsList[[#This Row],[Shares Owned]]</f>
        <v>5305.9000000000005</v>
      </c>
      <c r="V5" s="13">
        <f ca="1">CompanyDetailsList[[#This Row],[Price]]-CompanyDetailsList[[#This Row],[Average Cost]]</f>
        <v>-9.873985995316886</v>
      </c>
      <c r="W5" s="13">
        <f ca="1">CompanyDetailsList[[#This Row],[Profit &amp; Loss per Share]]*CompanyDetailsList[[#This Row],[Shares Owned]]</f>
        <v>-957.7766415457379</v>
      </c>
      <c r="X5" s="14">
        <f ca="1">IF(CompanyDetailsList[[#This Row],[Ownership]]="Not Owning",0,CompanyDetailsList[[#This Row],[Price]]/CompanyDetailsList[[#This Row],[Average Cost]]-1)</f>
        <v>-0.15290965615833252</v>
      </c>
      <c r="Y5" s="13" cm="1">
        <f t="array" aca="1" ref="Y5" ca="1">_FV(CompanyDetailsList[[#This Row],[Official Name]],"52 week low",TRUE)</f>
        <v>53.15</v>
      </c>
      <c r="Z5" s="13" cm="1">
        <f t="array" aca="1" ref="Z5" ca="1">_FV(CompanyDetailsList[[#This Row],[Official Name]],"52 week high",TRUE)</f>
        <v>67.935000000000002</v>
      </c>
    </row>
    <row r="6" spans="1:26" ht="15" customHeight="1">
      <c r="B6" s="7" t="s">
        <v>14</v>
      </c>
      <c r="C6" s="7" t="e" vm="2">
        <v>#VALUE!</v>
      </c>
      <c r="D6" s="7" t="s">
        <v>117</v>
      </c>
      <c r="E6" s="24" t="s">
        <v>73</v>
      </c>
      <c r="F6" s="24" t="s">
        <v>79</v>
      </c>
      <c r="G6" s="7" t="s">
        <v>26</v>
      </c>
      <c r="H6" s="7">
        <v>1.9</v>
      </c>
      <c r="I6" s="7" t="str">
        <f>IF(CompanyDetailsList[[#This Row],[Shares Owned]]=0,"Not Owning","Owning")</f>
        <v>Owning</v>
      </c>
      <c r="J6" s="8">
        <f xml:space="preserve">
SUMIFS(StockTransactionsTable[Shares No.],StockTransactionsTable[Transaction Type],"Buy",StockTransactionsTable[Ticker],CompanyDetailsList[[#This Row],[Company Ticker]])
-
SUMIFS(StockTransactionsTable[Shares No.],StockTransactionsTable[Transaction Type],"Sell",StockTransactionsTable[Ticker],CompanyDetailsList[[#This Row],[Company Ticker]])</f>
        <v>63</v>
      </c>
      <c r="K6" s="23">
        <f>_xlfn.XLOOKUP(CompanyDetailsList[[#This Row],[Company Ticker]],StockTransactionsTable[Ticker],StockTransactionsTable[Date],,0,1)</f>
        <v>44181</v>
      </c>
      <c r="L6" s="23">
        <f>_xlfn.LET(
    _xlpm.t, CompanyDetailsList[[#This Row],[Company Ticker]],
    _xlpm.net,
        SUMIFS(StockTransactionsTable[Shares No.], StockTransactionsTable[Transaction Type], "Buy",  StockTransactionsTable[Ticker], _xlpm.t)
      - SUMIFS(StockTransactionsTable[Shares No.], StockTransactionsTable[Transaction Type], "Sell", StockTransactionsTable[Ticker], _xlpm.t),
    _xlpm.res,
        IF(
            _xlpm.net=0,
            IFERROR(
                _xlfn.MAXIFS(StockTransactionsTable[Date], StockTransactionsTable[Transaction Type], "Sell", StockTransactionsTable[Ticker], _xlpm.t),
                ""
            ),
            ""
        ),
    IF(_xlpm.res="", DATE(9999,12,31), _xlpm.res)
)</f>
        <v>2958465</v>
      </c>
      <c r="M6" s="9" cm="1">
        <f t="array" aca="1" ref="M6" ca="1">_FV(CompanyDetailsList[[#This Row],[Official Name]],"Change (%)",TRUE)</f>
        <v>8.2810000000000002E-3</v>
      </c>
      <c r="N6" s="10" cm="1">
        <f t="array" aca="1" ref="N6" ca="1">_FV(CompanyDetailsList[[#This Row],[Official Name]],"Change")</f>
        <v>0.25</v>
      </c>
      <c r="O6" s="10">
        <f ca="1">CompanyDetailsList[[#This Row],[Change Today]]*CompanyDetailsList[[#This Row],[Shares Owned]]</f>
        <v>15.75</v>
      </c>
      <c r="P6" s="8">
        <f>CompanyDetailsList[[#This Row],[Annual Dividend per Share]]*CompanyDetailsList[[#This Row],[Shares Owned]]</f>
        <v>119.69999999999999</v>
      </c>
      <c r="Q6" s="12">
        <f>CompanyDetailsList[[#This Row],[Total Annual Dividend Before Tax]]*0.9</f>
        <v>107.72999999999999</v>
      </c>
      <c r="R6" s="13">
        <f>_xlfn.LET(
    _xlpm.t, CompanyDetailsList[[#This Row],[Company Ticker]],
    _xlpm.BuyQty, SUMIFS(StockTransactionsTable[Shares No.],
        StockTransactionsTable[Ticker], _xlpm.t,
        StockTransactionsTable[Transaction Type], "Buy"),
    _xlpm.SellQty, SUMIFS(StockTransactionsTable[Shares No.],
        StockTransactionsTable[Ticker], _xlpm.t,
        StockTransactionsTable[Transaction Type], "Sell"),
    _xlpm.BuyCost, SUMIFS(StockTransactionsTable[Total Amount with Fee],
        StockTransactionsTable[Ticker], _xlpm.t,
        StockTransactionsTable[Transaction Type], "Buy"),
    IF(_xlpm.BuyQty = 0, 0, _xlpm.BuyCost * (_xlpm.BuyQty - _xlpm.SellQty) / _xlpm.BuyQty)
)</f>
        <v>1689.6182533743654</v>
      </c>
      <c r="S6" s="13">
        <f>IF(CompanyDetailsList[[#This Row],[Ownership]]="Not Owning",0,CompanyDetailsList[[#This Row],[Total Cost]]/CompanyDetailsList[[#This Row],[Shares Owned]])</f>
        <v>26.819337355148658</v>
      </c>
      <c r="T6" s="13" cm="1">
        <f t="array" aca="1" ref="T6" ca="1">_FV(CompanyDetailsList[[#This Row],[Official Name]],"Price")</f>
        <v>30.44</v>
      </c>
      <c r="U6" s="13">
        <f ca="1">CompanyDetailsList[[#This Row],[Price]]*CompanyDetailsList[[#This Row],[Shares Owned]]</f>
        <v>1917.72</v>
      </c>
      <c r="V6" s="13">
        <f ca="1">CompanyDetailsList[[#This Row],[Price]]-CompanyDetailsList[[#This Row],[Average Cost]]</f>
        <v>3.6206626448513433</v>
      </c>
      <c r="W6" s="13">
        <f ca="1">CompanyDetailsList[[#This Row],[Profit &amp; Loss per Share]]*CompanyDetailsList[[#This Row],[Shares Owned]]</f>
        <v>228.10174662563463</v>
      </c>
      <c r="X6" s="14">
        <f ca="1">IF(CompanyDetailsList[[#This Row],[Ownership]]="Not Owning",0,CompanyDetailsList[[#This Row],[Price]]/CompanyDetailsList[[#This Row],[Average Cost]]-1)</f>
        <v>0.13500194269923926</v>
      </c>
      <c r="Y6" s="13" cm="1">
        <f t="array" aca="1" ref="Y6" ca="1">_FV(CompanyDetailsList[[#This Row],[Official Name]],"52 week low",TRUE)</f>
        <v>28.57</v>
      </c>
      <c r="Z6" s="13" cm="1">
        <f t="array" aca="1" ref="Z6" ca="1">_FV(CompanyDetailsList[[#This Row],[Official Name]],"52 week high",TRUE)</f>
        <v>41.74</v>
      </c>
    </row>
    <row r="7" spans="1:26" ht="15" customHeight="1">
      <c r="B7" s="7" t="s">
        <v>19</v>
      </c>
      <c r="C7" s="7" t="e" vm="3">
        <v>#VALUE!</v>
      </c>
      <c r="D7" s="7" t="s">
        <v>118</v>
      </c>
      <c r="E7" s="24" t="s">
        <v>59</v>
      </c>
      <c r="F7" s="24" t="s">
        <v>80</v>
      </c>
      <c r="G7" s="7" t="s">
        <v>26</v>
      </c>
      <c r="H7" s="7">
        <v>5</v>
      </c>
      <c r="I7" s="7" t="str">
        <f>IF(CompanyDetailsList[[#This Row],[Shares Owned]]=0,"Not Owning","Owning")</f>
        <v>Owning</v>
      </c>
      <c r="J7" s="8">
        <f xml:space="preserve">
SUMIFS(StockTransactionsTable[Shares No.],StockTransactionsTable[Transaction Type],"Buy",StockTransactionsTable[Ticker],CompanyDetailsList[[#This Row],[Company Ticker]])
-
SUMIFS(StockTransactionsTable[Shares No.],StockTransactionsTable[Transaction Type],"Sell",StockTransactionsTable[Ticker],CompanyDetailsList[[#This Row],[Company Ticker]])</f>
        <v>86</v>
      </c>
      <c r="K7" s="23">
        <f>_xlfn.XLOOKUP(CompanyDetailsList[[#This Row],[Company Ticker]],StockTransactionsTable[Ticker],StockTransactionsTable[Date],,0,1)</f>
        <v>43532</v>
      </c>
      <c r="L7" s="23">
        <f>_xlfn.LET(
    _xlpm.t, CompanyDetailsList[[#This Row],[Company Ticker]],
    _xlpm.net,
        SUMIFS(StockTransactionsTable[Shares No.], StockTransactionsTable[Transaction Type], "Buy",  StockTransactionsTable[Ticker], _xlpm.t)
      - SUMIFS(StockTransactionsTable[Shares No.], StockTransactionsTable[Transaction Type], "Sell", StockTransactionsTable[Ticker], _xlpm.t),
    _xlpm.res,
        IF(
            _xlpm.net=0,
            IFERROR(
                _xlfn.MAXIFS(StockTransactionsTable[Date], StockTransactionsTable[Transaction Type], "Sell", StockTransactionsTable[Ticker], _xlpm.t),
                ""
            ),
            ""
        ),
    IF(_xlpm.res="", DATE(9999,12,31), _xlpm.res)
)</f>
        <v>2958465</v>
      </c>
      <c r="M7" s="9" cm="1">
        <f t="array" aca="1" ref="M7" ca="1">_FV(CompanyDetailsList[[#This Row],[Official Name]],"Change (%)",TRUE)</f>
        <v>6.5630000000000003E-3</v>
      </c>
      <c r="N7" s="10" cm="1">
        <f t="array" aca="1" ref="N7" ca="1">_FV(CompanyDetailsList[[#This Row],[Official Name]],"Change")</f>
        <v>0.55000000000000004</v>
      </c>
      <c r="O7" s="10">
        <f ca="1">CompanyDetailsList[[#This Row],[Change Today]]*CompanyDetailsList[[#This Row],[Shares Owned]]</f>
        <v>47.300000000000004</v>
      </c>
      <c r="P7" s="8">
        <f>CompanyDetailsList[[#This Row],[Annual Dividend per Share]]*CompanyDetailsList[[#This Row],[Shares Owned]]</f>
        <v>430</v>
      </c>
      <c r="Q7" s="12">
        <f>CompanyDetailsList[[#This Row],[Total Annual Dividend Before Tax]]*0.9</f>
        <v>387</v>
      </c>
      <c r="R7" s="13">
        <f>_xlfn.LET(
    _xlpm.t, CompanyDetailsList[[#This Row],[Company Ticker]],
    _xlpm.BuyQty, SUMIFS(StockTransactionsTable[Shares No.],
        StockTransactionsTable[Ticker], _xlpm.t,
        StockTransactionsTable[Transaction Type], "Buy"),
    _xlpm.SellQty, SUMIFS(StockTransactionsTable[Shares No.],
        StockTransactionsTable[Ticker], _xlpm.t,
        StockTransactionsTable[Transaction Type], "Sell"),
    _xlpm.BuyCost, SUMIFS(StockTransactionsTable[Total Amount with Fee],
        StockTransactionsTable[Ticker], _xlpm.t,
        StockTransactionsTable[Transaction Type], "Buy"),
    IF(_xlpm.BuyQty = 0, 0, _xlpm.BuyCost * (_xlpm.BuyQty - _xlpm.SellQty) / _xlpm.BuyQty)
)</f>
        <v>13770.881426098098</v>
      </c>
      <c r="S7" s="13">
        <f>IF(CompanyDetailsList[[#This Row],[Ownership]]="Not Owning",0,CompanyDetailsList[[#This Row],[Total Cost]]/CompanyDetailsList[[#This Row],[Shares Owned]])</f>
        <v>160.12652821044301</v>
      </c>
      <c r="T7" s="13" cm="1">
        <f t="array" aca="1" ref="T7" ca="1">_FV(CompanyDetailsList[[#This Row],[Official Name]],"Price")</f>
        <v>84.35</v>
      </c>
      <c r="U7" s="13">
        <f ca="1">CompanyDetailsList[[#This Row],[Price]]*CompanyDetailsList[[#This Row],[Shares Owned]]</f>
        <v>7254.0999999999995</v>
      </c>
      <c r="V7" s="13">
        <f ca="1">CompanyDetailsList[[#This Row],[Price]]-CompanyDetailsList[[#This Row],[Average Cost]]</f>
        <v>-75.776528210443018</v>
      </c>
      <c r="W7" s="13">
        <f ca="1">CompanyDetailsList[[#This Row],[Profit &amp; Loss per Share]]*CompanyDetailsList[[#This Row],[Shares Owned]]</f>
        <v>-6516.7814260980995</v>
      </c>
      <c r="X7" s="14">
        <f ca="1">IF(CompanyDetailsList[[#This Row],[Ownership]]="Not Owning",0,CompanyDetailsList[[#This Row],[Price]]/CompanyDetailsList[[#This Row],[Average Cost]]-1)</f>
        <v>-0.47322907114338519</v>
      </c>
      <c r="Y7" s="13" cm="1">
        <f t="array" aca="1" ref="Y7" ca="1">_FV(CompanyDetailsList[[#This Row],[Official Name]],"52 week low",TRUE)</f>
        <v>79.12</v>
      </c>
      <c r="Z7" s="13" cm="1">
        <f t="array" aca="1" ref="Z7" ca="1">_FV(CompanyDetailsList[[#This Row],[Official Name]],"52 week high",TRUE)</f>
        <v>128.9</v>
      </c>
    </row>
    <row r="8" spans="1:26" ht="15" customHeight="1">
      <c r="B8" s="7" t="s">
        <v>23</v>
      </c>
      <c r="C8" s="7" t="e" vm="4">
        <v>#VALUE!</v>
      </c>
      <c r="D8" s="7" t="s">
        <v>119</v>
      </c>
      <c r="E8" s="24" t="s">
        <v>59</v>
      </c>
      <c r="F8" s="24" t="s">
        <v>81</v>
      </c>
      <c r="G8" s="7" t="s">
        <v>26</v>
      </c>
      <c r="H8" s="7">
        <v>2.12</v>
      </c>
      <c r="I8" s="7" t="str">
        <f>IF(CompanyDetailsList[[#This Row],[Shares Owned]]=0,"Not Owning","Owning")</f>
        <v>Owning</v>
      </c>
      <c r="J8" s="8">
        <f xml:space="preserve">
SUMIFS(StockTransactionsTable[Shares No.],StockTransactionsTable[Transaction Type],"Buy",StockTransactionsTable[Ticker],CompanyDetailsList[[#This Row],[Company Ticker]])
-
SUMIFS(StockTransactionsTable[Shares No.],StockTransactionsTable[Transaction Type],"Sell",StockTransactionsTable[Ticker],CompanyDetailsList[[#This Row],[Company Ticker]])</f>
        <v>111</v>
      </c>
      <c r="K8" s="23">
        <f>_xlfn.XLOOKUP(CompanyDetailsList[[#This Row],[Company Ticker]],StockTransactionsTable[Ticker],StockTransactionsTable[Date],,0,1)</f>
        <v>43201</v>
      </c>
      <c r="L8" s="23">
        <f>_xlfn.LET(
    _xlpm.t, CompanyDetailsList[[#This Row],[Company Ticker]],
    _xlpm.net,
        SUMIFS(StockTransactionsTable[Shares No.], StockTransactionsTable[Transaction Type], "Buy",  StockTransactionsTable[Ticker], _xlpm.t)
      - SUMIFS(StockTransactionsTable[Shares No.], StockTransactionsTable[Transaction Type], "Sell", StockTransactionsTable[Ticker], _xlpm.t),
    _xlpm.res,
        IF(
            _xlpm.net=0,
            IFERROR(
                _xlfn.MAXIFS(StockTransactionsTable[Date], StockTransactionsTable[Transaction Type], "Sell", StockTransactionsTable[Ticker], _xlpm.t),
                ""
            ),
            ""
        ),
    IF(_xlpm.res="", DATE(9999,12,31), _xlpm.res)
)</f>
        <v>2958465</v>
      </c>
      <c r="M8" s="9" cm="1">
        <f t="array" aca="1" ref="M8" ca="1">_FV(CompanyDetailsList[[#This Row],[Official Name]],"Change (%)",TRUE)</f>
        <v>1.9761000000000001E-2</v>
      </c>
      <c r="N8" s="10" cm="1">
        <f t="array" aca="1" ref="N8" ca="1">_FV(CompanyDetailsList[[#This Row],[Official Name]],"Change")</f>
        <v>1.74</v>
      </c>
      <c r="O8" s="10">
        <f ca="1">CompanyDetailsList[[#This Row],[Change Today]]*CompanyDetailsList[[#This Row],[Shares Owned]]</f>
        <v>193.14</v>
      </c>
      <c r="P8" s="8">
        <f>CompanyDetailsList[[#This Row],[Annual Dividend per Share]]*CompanyDetailsList[[#This Row],[Shares Owned]]</f>
        <v>235.32000000000002</v>
      </c>
      <c r="Q8" s="12">
        <f>CompanyDetailsList[[#This Row],[Total Annual Dividend Before Tax]]*0.9</f>
        <v>211.78800000000001</v>
      </c>
      <c r="R8" s="13">
        <f>_xlfn.LET(
    _xlpm.t, CompanyDetailsList[[#This Row],[Company Ticker]],
    _xlpm.BuyQty, SUMIFS(StockTransactionsTable[Shares No.],
        StockTransactionsTable[Ticker], _xlpm.t,
        StockTransactionsTable[Transaction Type], "Buy"),
    _xlpm.SellQty, SUMIFS(StockTransactionsTable[Shares No.],
        StockTransactionsTable[Ticker], _xlpm.t,
        StockTransactionsTable[Transaction Type], "Sell"),
    _xlpm.BuyCost, SUMIFS(StockTransactionsTable[Total Amount with Fee],
        StockTransactionsTable[Ticker], _xlpm.t,
        StockTransactionsTable[Transaction Type], "Buy"),
    IF(_xlpm.BuyQty = 0, 0, _xlpm.BuyCost * (_xlpm.BuyQty - _xlpm.SellQty) / _xlpm.BuyQty)
)</f>
        <v>5636.7217732526415</v>
      </c>
      <c r="S8" s="13">
        <f>IF(CompanyDetailsList[[#This Row],[Ownership]]="Not Owning",0,CompanyDetailsList[[#This Row],[Total Cost]]/CompanyDetailsList[[#This Row],[Shares Owned]])</f>
        <v>50.781277236510284</v>
      </c>
      <c r="T8" s="13" cm="1">
        <f t="array" aca="1" ref="T8" ca="1">_FV(CompanyDetailsList[[#This Row],[Official Name]],"Price")</f>
        <v>89.79</v>
      </c>
      <c r="U8" s="13">
        <f ca="1">CompanyDetailsList[[#This Row],[Price]]*CompanyDetailsList[[#This Row],[Shares Owned]]</f>
        <v>9966.69</v>
      </c>
      <c r="V8" s="13">
        <f ca="1">CompanyDetailsList[[#This Row],[Price]]-CompanyDetailsList[[#This Row],[Average Cost]]</f>
        <v>39.008722763489722</v>
      </c>
      <c r="W8" s="13">
        <f ca="1">CompanyDetailsList[[#This Row],[Profit &amp; Loss per Share]]*CompanyDetailsList[[#This Row],[Shares Owned]]</f>
        <v>4329.968226747359</v>
      </c>
      <c r="X8" s="14">
        <f ca="1">IF(CompanyDetailsList[[#This Row],[Ownership]]="Not Owning",0,CompanyDetailsList[[#This Row],[Price]]/CompanyDetailsList[[#This Row],[Average Cost]]-1)</f>
        <v>0.76817135933405711</v>
      </c>
      <c r="Y8" s="13" cm="1">
        <f t="array" aca="1" ref="Y8" ca="1">_FV(CompanyDetailsList[[#This Row],[Official Name]],"52 week low",TRUE)</f>
        <v>66</v>
      </c>
      <c r="Z8" s="13" cm="1">
        <f t="array" aca="1" ref="Z8" ca="1">_FV(CompanyDetailsList[[#This Row],[Official Name]],"52 week high",TRUE)</f>
        <v>92.49</v>
      </c>
    </row>
    <row r="9" spans="1:26" ht="15" customHeight="1">
      <c r="B9" s="7" t="s">
        <v>18</v>
      </c>
      <c r="C9" s="7" t="e" vm="5">
        <v>#VALUE!</v>
      </c>
      <c r="D9" s="7" t="s">
        <v>120</v>
      </c>
      <c r="E9" s="24" t="s">
        <v>59</v>
      </c>
      <c r="F9" s="24" t="s">
        <v>82</v>
      </c>
      <c r="G9" s="7" t="s">
        <v>26</v>
      </c>
      <c r="H9" s="7">
        <v>5.92</v>
      </c>
      <c r="I9" s="7" t="str">
        <f>IF(CompanyDetailsList[[#This Row],[Shares Owned]]=0,"Not Owning","Owning")</f>
        <v>Owning</v>
      </c>
      <c r="J9" s="8">
        <f xml:space="preserve">
SUMIFS(StockTransactionsTable[Shares No.],StockTransactionsTable[Transaction Type],"Buy",StockTransactionsTable[Ticker],CompanyDetailsList[[#This Row],[Company Ticker]])
-
SUMIFS(StockTransactionsTable[Shares No.],StockTransactionsTable[Transaction Type],"Sell",StockTransactionsTable[Ticker],CompanyDetailsList[[#This Row],[Company Ticker]])</f>
        <v>43</v>
      </c>
      <c r="K9" s="23">
        <f>_xlfn.XLOOKUP(CompanyDetailsList[[#This Row],[Company Ticker]],StockTransactionsTable[Ticker],StockTransactionsTable[Date],,0,1)</f>
        <v>44096</v>
      </c>
      <c r="L9" s="23">
        <f>_xlfn.LET(
    _xlpm.t, CompanyDetailsList[[#This Row],[Company Ticker]],
    _xlpm.net,
        SUMIFS(StockTransactionsTable[Shares No.], StockTransactionsTable[Transaction Type], "Buy",  StockTransactionsTable[Ticker], _xlpm.t)
      - SUMIFS(StockTransactionsTable[Shares No.], StockTransactionsTable[Transaction Type], "Sell", StockTransactionsTable[Ticker], _xlpm.t),
    _xlpm.res,
        IF(
            _xlpm.net=0,
            IFERROR(
                _xlfn.MAXIFS(StockTransactionsTable[Date], StockTransactionsTable[Transaction Type], "Sell", StockTransactionsTable[Ticker], _xlpm.t),
                ""
            ),
            ""
        ),
    IF(_xlpm.res="", DATE(9999,12,31), _xlpm.res)
)</f>
        <v>2958465</v>
      </c>
      <c r="M9" s="9" cm="1">
        <f t="array" aca="1" ref="M9" ca="1">_FV(CompanyDetailsList[[#This Row],[Official Name]],"Change (%)",TRUE)</f>
        <v>5.6359999999999995E-3</v>
      </c>
      <c r="N9" s="10" cm="1">
        <f t="array" aca="1" ref="N9" ca="1">_FV(CompanyDetailsList[[#This Row],[Official Name]],"Change")</f>
        <v>0.71</v>
      </c>
      <c r="O9" s="10">
        <f ca="1">CompanyDetailsList[[#This Row],[Change Today]]*CompanyDetailsList[[#This Row],[Shares Owned]]</f>
        <v>30.529999999999998</v>
      </c>
      <c r="P9" s="8">
        <f>CompanyDetailsList[[#This Row],[Annual Dividend per Share]]*CompanyDetailsList[[#This Row],[Shares Owned]]</f>
        <v>254.56</v>
      </c>
      <c r="Q9" s="12">
        <f>CompanyDetailsList[[#This Row],[Total Annual Dividend Before Tax]]*0.9</f>
        <v>229.10400000000001</v>
      </c>
      <c r="R9" s="13">
        <f>_xlfn.LET(
    _xlpm.t, CompanyDetailsList[[#This Row],[Company Ticker]],
    _xlpm.BuyQty, SUMIFS(StockTransactionsTable[Shares No.],
        StockTransactionsTable[Ticker], _xlpm.t,
        StockTransactionsTable[Transaction Type], "Buy"),
    _xlpm.SellQty, SUMIFS(StockTransactionsTable[Shares No.],
        StockTransactionsTable[Ticker], _xlpm.t,
        StockTransactionsTable[Transaction Type], "Sell"),
    _xlpm.BuyCost, SUMIFS(StockTransactionsTable[Total Amount with Fee],
        StockTransactionsTable[Ticker], _xlpm.t,
        StockTransactionsTable[Transaction Type], "Buy"),
    IF(_xlpm.BuyQty = 0, 0, _xlpm.BuyCost * (_xlpm.BuyQty - _xlpm.SellQty) / _xlpm.BuyQty)
)</f>
        <v>6918.0963124488062</v>
      </c>
      <c r="S9" s="13">
        <f>IF(CompanyDetailsList[[#This Row],[Ownership]]="Not Owning",0,CompanyDetailsList[[#This Row],[Total Cost]]/CompanyDetailsList[[#This Row],[Shares Owned]])</f>
        <v>160.8859607546234</v>
      </c>
      <c r="T9" s="13" cm="1">
        <f t="array" aca="1" ref="T9" ca="1">_FV(CompanyDetailsList[[#This Row],[Official Name]],"Price")</f>
        <v>126.68</v>
      </c>
      <c r="U9" s="13">
        <f ca="1">CompanyDetailsList[[#This Row],[Price]]*CompanyDetailsList[[#This Row],[Shares Owned]]</f>
        <v>5447.2400000000007</v>
      </c>
      <c r="V9" s="13">
        <f ca="1">CompanyDetailsList[[#This Row],[Price]]-CompanyDetailsList[[#This Row],[Average Cost]]</f>
        <v>-34.205960754623391</v>
      </c>
      <c r="W9" s="13">
        <f ca="1">CompanyDetailsList[[#This Row],[Profit &amp; Loss per Share]]*CompanyDetailsList[[#This Row],[Shares Owned]]</f>
        <v>-1470.8563124488057</v>
      </c>
      <c r="X9" s="14">
        <f ca="1">IF(CompanyDetailsList[[#This Row],[Ownership]]="Not Owning",0,CompanyDetailsList[[#This Row],[Price]]/CompanyDetailsList[[#This Row],[Average Cost]]-1)</f>
        <v>-0.21260997910683399</v>
      </c>
      <c r="Y9" s="13" cm="1">
        <f t="array" aca="1" ref="Y9" ca="1">_FV(CompanyDetailsList[[#This Row],[Official Name]],"52 week low",TRUE)</f>
        <v>123.47</v>
      </c>
      <c r="Z9" s="13" cm="1">
        <f t="array" aca="1" ref="Z9" ca="1">_FV(CompanyDetailsList[[#This Row],[Official Name]],"52 week high",TRUE)</f>
        <v>171.48</v>
      </c>
    </row>
    <row r="10" spans="1:26" ht="15" customHeight="1">
      <c r="B10" s="7" t="s">
        <v>21</v>
      </c>
      <c r="C10" s="7" t="e" vm="6">
        <v>#VALUE!</v>
      </c>
      <c r="D10" s="7" t="s">
        <v>121</v>
      </c>
      <c r="E10" s="24" t="s">
        <v>59</v>
      </c>
      <c r="F10" s="24" t="s">
        <v>83</v>
      </c>
      <c r="G10" s="7" t="s">
        <v>26</v>
      </c>
      <c r="H10" s="7">
        <v>4.3540000000000001</v>
      </c>
      <c r="I10" s="7" t="str">
        <f>IF(CompanyDetailsList[[#This Row],[Shares Owned]]=0,"Not Owning","Owning")</f>
        <v>Owning</v>
      </c>
      <c r="J10" s="8">
        <f xml:space="preserve">
SUMIFS(StockTransactionsTable[Shares No.],StockTransactionsTable[Transaction Type],"Buy",StockTransactionsTable[Ticker],CompanyDetailsList[[#This Row],[Company Ticker]])
-
SUMIFS(StockTransactionsTable[Shares No.],StockTransactionsTable[Transaction Type],"Sell",StockTransactionsTable[Ticker],CompanyDetailsList[[#This Row],[Company Ticker]])</f>
        <v>84</v>
      </c>
      <c r="K10" s="23">
        <f>_xlfn.XLOOKUP(CompanyDetailsList[[#This Row],[Company Ticker]],StockTransactionsTable[Ticker],StockTransactionsTable[Date],,0,1)</f>
        <v>43720</v>
      </c>
      <c r="L10" s="23">
        <f>_xlfn.LET(
    _xlpm.t, CompanyDetailsList[[#This Row],[Company Ticker]],
    _xlpm.net,
        SUMIFS(StockTransactionsTable[Shares No.], StockTransactionsTable[Transaction Type], "Buy",  StockTransactionsTable[Ticker], _xlpm.t)
      - SUMIFS(StockTransactionsTable[Shares No.], StockTransactionsTable[Transaction Type], "Sell", StockTransactionsTable[Ticker], _xlpm.t),
    _xlpm.res,
        IF(
            _xlpm.net=0,
            IFERROR(
                _xlfn.MAXIFS(StockTransactionsTable[Date], StockTransactionsTable[Transaction Type], "Sell", StockTransactionsTable[Ticker], _xlpm.t),
                ""
            ),
            ""
        ),
    IF(_xlpm.res="", DATE(9999,12,31), _xlpm.res)
)</f>
        <v>2958465</v>
      </c>
      <c r="M10" s="9" cm="1">
        <f t="array" aca="1" ref="M10" ca="1">_FV(CompanyDetailsList[[#This Row],[Official Name]],"Change (%)",TRUE)</f>
        <v>1.3027E-2</v>
      </c>
      <c r="N10" s="10" cm="1">
        <f t="array" aca="1" ref="N10" ca="1">_FV(CompanyDetailsList[[#This Row],[Official Name]],"Change")</f>
        <v>1.97</v>
      </c>
      <c r="O10" s="10">
        <f ca="1">CompanyDetailsList[[#This Row],[Change Today]]*CompanyDetailsList[[#This Row],[Shares Owned]]</f>
        <v>165.48</v>
      </c>
      <c r="P10" s="8">
        <f>CompanyDetailsList[[#This Row],[Annual Dividend per Share]]*CompanyDetailsList[[#This Row],[Shares Owned]]</f>
        <v>365.73599999999999</v>
      </c>
      <c r="Q10" s="12">
        <f>CompanyDetailsList[[#This Row],[Total Annual Dividend Before Tax]]*0.9</f>
        <v>329.16239999999999</v>
      </c>
      <c r="R10" s="13">
        <f>_xlfn.LET(
    _xlpm.t, CompanyDetailsList[[#This Row],[Company Ticker]],
    _xlpm.BuyQty, SUMIFS(StockTransactionsTable[Shares No.],
        StockTransactionsTable[Ticker], _xlpm.t,
        StockTransactionsTable[Transaction Type], "Buy"),
    _xlpm.SellQty, SUMIFS(StockTransactionsTable[Shares No.],
        StockTransactionsTable[Ticker], _xlpm.t,
        StockTransactionsTable[Transaction Type], "Sell"),
    _xlpm.BuyCost, SUMIFS(StockTransactionsTable[Total Amount with Fee],
        StockTransactionsTable[Ticker], _xlpm.t,
        StockTransactionsTable[Transaction Type], "Buy"),
    IF(_xlpm.BuyQty = 0, 0, _xlpm.BuyCost * (_xlpm.BuyQty - _xlpm.SellQty) / _xlpm.BuyQty)
)</f>
        <v>12738.215402497406</v>
      </c>
      <c r="S10" s="13">
        <f>IF(CompanyDetailsList[[#This Row],[Ownership]]="Not Owning",0,CompanyDetailsList[[#This Row],[Total Cost]]/CompanyDetailsList[[#This Row],[Shares Owned]])</f>
        <v>151.64542145830245</v>
      </c>
      <c r="T10" s="13" cm="1">
        <f t="array" aca="1" ref="T10" ca="1">_FV(CompanyDetailsList[[#This Row],[Official Name]],"Price")</f>
        <v>153.19999999999999</v>
      </c>
      <c r="U10" s="13">
        <f ca="1">CompanyDetailsList[[#This Row],[Price]]*CompanyDetailsList[[#This Row],[Shares Owned]]</f>
        <v>12868.8</v>
      </c>
      <c r="V10" s="13">
        <f ca="1">CompanyDetailsList[[#This Row],[Price]]-CompanyDetailsList[[#This Row],[Average Cost]]</f>
        <v>1.5545785416975377</v>
      </c>
      <c r="W10" s="13">
        <f ca="1">CompanyDetailsList[[#This Row],[Profit &amp; Loss per Share]]*CompanyDetailsList[[#This Row],[Shares Owned]]</f>
        <v>130.58459750259317</v>
      </c>
      <c r="X10" s="14">
        <f ca="1">IF(CompanyDetailsList[[#This Row],[Ownership]]="Not Owning",0,CompanyDetailsList[[#This Row],[Price]]/CompanyDetailsList[[#This Row],[Average Cost]]-1)</f>
        <v>1.0251404406067088E-2</v>
      </c>
      <c r="Y10" s="13" cm="1">
        <f t="array" aca="1" ref="Y10" ca="1">_FV(CompanyDetailsList[[#This Row],[Official Name]],"52 week low",TRUE)</f>
        <v>137.62</v>
      </c>
      <c r="Z10" s="13" cm="1">
        <f t="array" aca="1" ref="Z10" ca="1">_FV(CompanyDetailsList[[#This Row],[Official Name]],"52 week high",TRUE)</f>
        <v>167.25</v>
      </c>
    </row>
    <row r="11" spans="1:26" ht="15" customHeight="1">
      <c r="B11" s="7" t="s">
        <v>84</v>
      </c>
      <c r="C11" s="7" t="e" vm="7">
        <v>#VALUE!</v>
      </c>
      <c r="D11" s="7" t="s">
        <v>122</v>
      </c>
      <c r="E11" s="24" t="s">
        <v>60</v>
      </c>
      <c r="F11" s="24" t="s">
        <v>85</v>
      </c>
      <c r="G11" s="7" t="s">
        <v>26</v>
      </c>
      <c r="H11" s="7">
        <v>5.36</v>
      </c>
      <c r="I11" s="7" t="str">
        <f>IF(CompanyDetailsList[[#This Row],[Shares Owned]]=0,"Not Owning","Owning")</f>
        <v>Owning</v>
      </c>
      <c r="J11" s="8">
        <f xml:space="preserve">
SUMIFS(StockTransactionsTable[Shares No.],StockTransactionsTable[Transaction Type],"Buy",StockTransactionsTable[Ticker],CompanyDetailsList[[#This Row],[Company Ticker]])
-
SUMIFS(StockTransactionsTable[Shares No.],StockTransactionsTable[Transaction Type],"Sell",StockTransactionsTable[Ticker],CompanyDetailsList[[#This Row],[Company Ticker]])</f>
        <v>46</v>
      </c>
      <c r="K11" s="23">
        <f>_xlfn.XLOOKUP(CompanyDetailsList[[#This Row],[Company Ticker]],StockTransactionsTable[Ticker],StockTransactionsTable[Date],,0,1)</f>
        <v>42384</v>
      </c>
      <c r="L11" s="23">
        <f>_xlfn.LET(
    _xlpm.t, CompanyDetailsList[[#This Row],[Company Ticker]],
    _xlpm.net,
        SUMIFS(StockTransactionsTable[Shares No.], StockTransactionsTable[Transaction Type], "Buy",  StockTransactionsTable[Ticker], _xlpm.t)
      - SUMIFS(StockTransactionsTable[Shares No.], StockTransactionsTable[Transaction Type], "Sell", StockTransactionsTable[Ticker], _xlpm.t),
    _xlpm.res,
        IF(
            _xlpm.net=0,
            IFERROR(
                _xlfn.MAXIFS(StockTransactionsTable[Date], StockTransactionsTable[Transaction Type], "Sell", StockTransactionsTable[Ticker], _xlpm.t),
                ""
            ),
            ""
        ),
    IF(_xlpm.res="", DATE(9999,12,31), _xlpm.res)
)</f>
        <v>2958465</v>
      </c>
      <c r="M11" s="9" cm="1">
        <f t="array" aca="1" ref="M11" ca="1">_FV(CompanyDetailsList[[#This Row],[Official Name]],"Change (%)",TRUE)</f>
        <v>8.7589999999999994E-3</v>
      </c>
      <c r="N11" s="10" cm="1">
        <f t="array" aca="1" ref="N11" ca="1">_FV(CompanyDetailsList[[#This Row],[Official Name]],"Change")</f>
        <v>2.29</v>
      </c>
      <c r="O11" s="10">
        <f ca="1">CompanyDetailsList[[#This Row],[Change Today]]*CompanyDetailsList[[#This Row],[Shares Owned]]</f>
        <v>105.34</v>
      </c>
      <c r="P11" s="8">
        <f>CompanyDetailsList[[#This Row],[Annual Dividend per Share]]*CompanyDetailsList[[#This Row],[Shares Owned]]</f>
        <v>246.56</v>
      </c>
      <c r="Q11" s="12">
        <f>CompanyDetailsList[[#This Row],[Total Annual Dividend Before Tax]]*0.9</f>
        <v>221.904</v>
      </c>
      <c r="R11" s="13">
        <f>_xlfn.LET(
    _xlpm.t, CompanyDetailsList[[#This Row],[Company Ticker]],
    _xlpm.BuyQty, SUMIFS(StockTransactionsTable[Shares No.],
        StockTransactionsTable[Ticker], _xlpm.t,
        StockTransactionsTable[Transaction Type], "Buy"),
    _xlpm.SellQty, SUMIFS(StockTransactionsTable[Shares No.],
        StockTransactionsTable[Ticker], _xlpm.t,
        StockTransactionsTable[Transaction Type], "Sell"),
    _xlpm.BuyCost, SUMIFS(StockTransactionsTable[Total Amount with Fee],
        StockTransactionsTable[Ticker], _xlpm.t,
        StockTransactionsTable[Transaction Type], "Buy"),
    IF(_xlpm.BuyQty = 0, 0, _xlpm.BuyCost * (_xlpm.BuyQty - _xlpm.SellQty) / _xlpm.BuyQty)
)</f>
        <v>4792.320252277399</v>
      </c>
      <c r="S11" s="13">
        <f>IF(CompanyDetailsList[[#This Row],[Ownership]]="Not Owning",0,CompanyDetailsList[[#This Row],[Total Cost]]/CompanyDetailsList[[#This Row],[Shares Owned]])</f>
        <v>104.18087504950867</v>
      </c>
      <c r="T11" s="13" cm="1">
        <f t="array" aca="1" ref="T11" ca="1">_FV(CompanyDetailsList[[#This Row],[Official Name]],"Price")</f>
        <v>263.73</v>
      </c>
      <c r="U11" s="13">
        <f ca="1">CompanyDetailsList[[#This Row],[Price]]*CompanyDetailsList[[#This Row],[Shares Owned]]</f>
        <v>12131.580000000002</v>
      </c>
      <c r="V11" s="13">
        <f ca="1">CompanyDetailsList[[#This Row],[Price]]-CompanyDetailsList[[#This Row],[Average Cost]]</f>
        <v>159.54912495049135</v>
      </c>
      <c r="W11" s="13">
        <f ca="1">CompanyDetailsList[[#This Row],[Profit &amp; Loss per Share]]*CompanyDetailsList[[#This Row],[Shares Owned]]</f>
        <v>7339.2597477226018</v>
      </c>
      <c r="X11" s="14">
        <f ca="1">IF(CompanyDetailsList[[#This Row],[Ownership]]="Not Owning",0,CompanyDetailsList[[#This Row],[Price]]/CompanyDetailsList[[#This Row],[Average Cost]]-1)</f>
        <v>1.5314627072835649</v>
      </c>
      <c r="Y11" s="13" cm="1">
        <f t="array" aca="1" ref="Y11" ca="1">_FV(CompanyDetailsList[[#This Row],[Official Name]],"52 week low",TRUE)</f>
        <v>184.66</v>
      </c>
      <c r="Z11" s="13" cm="1">
        <f t="array" aca="1" ref="Z11" ca="1">_FV(CompanyDetailsList[[#This Row],[Official Name]],"52 week high",TRUE)</f>
        <v>281.07</v>
      </c>
    </row>
    <row r="12" spans="1:26" ht="15" customHeight="1">
      <c r="B12" s="7" t="s">
        <v>86</v>
      </c>
      <c r="C12" s="7" t="e" vm="8">
        <v>#VALUE!</v>
      </c>
      <c r="D12" s="7" t="s">
        <v>123</v>
      </c>
      <c r="E12" s="24" t="s">
        <v>60</v>
      </c>
      <c r="F12" s="24" t="s">
        <v>87</v>
      </c>
      <c r="G12" s="7" t="s">
        <v>26</v>
      </c>
      <c r="H12" s="7">
        <v>6.92</v>
      </c>
      <c r="I12" s="7" t="str">
        <f>IF(CompanyDetailsList[[#This Row],[Shares Owned]]=0,"Not Owning","Owning")</f>
        <v>Owning</v>
      </c>
      <c r="J12" s="8">
        <f xml:space="preserve">
SUMIFS(StockTransactionsTable[Shares No.],StockTransactionsTable[Transaction Type],"Buy",StockTransactionsTable[Ticker],CompanyDetailsList[[#This Row],[Company Ticker]])
-
SUMIFS(StockTransactionsTable[Shares No.],StockTransactionsTable[Transaction Type],"Sell",StockTransactionsTable[Ticker],CompanyDetailsList[[#This Row],[Company Ticker]])</f>
        <v>152</v>
      </c>
      <c r="K12" s="23">
        <f>_xlfn.XLOOKUP(CompanyDetailsList[[#This Row],[Company Ticker]],StockTransactionsTable[Ticker],StockTransactionsTable[Date],,0,1)</f>
        <v>42257</v>
      </c>
      <c r="L12" s="23">
        <f>_xlfn.LET(
    _xlpm.t, CompanyDetailsList[[#This Row],[Company Ticker]],
    _xlpm.net,
        SUMIFS(StockTransactionsTable[Shares No.], StockTransactionsTable[Transaction Type], "Buy",  StockTransactionsTable[Ticker], _xlpm.t)
      - SUMIFS(StockTransactionsTable[Shares No.], StockTransactionsTable[Transaction Type], "Sell", StockTransactionsTable[Ticker], _xlpm.t),
    _xlpm.res,
        IF(
            _xlpm.net=0,
            IFERROR(
                _xlfn.MAXIFS(StockTransactionsTable[Date], StockTransactionsTable[Transaction Type], "Sell", StockTransactionsTable[Ticker], _xlpm.t),
                ""
            ),
            ""
        ),
    IF(_xlpm.res="", DATE(9999,12,31), _xlpm.res)
)</f>
        <v>2958465</v>
      </c>
      <c r="M12" s="9" cm="1">
        <f t="array" aca="1" ref="M12" ca="1">_FV(CompanyDetailsList[[#This Row],[Official Name]],"Change (%)",TRUE)</f>
        <v>1.6819000000000001E-2</v>
      </c>
      <c r="N12" s="10" cm="1">
        <f t="array" aca="1" ref="N12" ca="1">_FV(CompanyDetailsList[[#This Row],[Official Name]],"Change")</f>
        <v>4.6500000000000004</v>
      </c>
      <c r="O12" s="10">
        <f ca="1">CompanyDetailsList[[#This Row],[Change Today]]*CompanyDetailsList[[#This Row],[Shares Owned]]</f>
        <v>706.80000000000007</v>
      </c>
      <c r="P12" s="8">
        <f>CompanyDetailsList[[#This Row],[Annual Dividend per Share]]*CompanyDetailsList[[#This Row],[Shares Owned]]</f>
        <v>1051.8399999999999</v>
      </c>
      <c r="Q12" s="12">
        <f>CompanyDetailsList[[#This Row],[Total Annual Dividend Before Tax]]*0.9</f>
        <v>946.65599999999995</v>
      </c>
      <c r="R12" s="13">
        <f>_xlfn.LET(
    _xlpm.t, CompanyDetailsList[[#This Row],[Company Ticker]],
    _xlpm.BuyQty, SUMIFS(StockTransactionsTable[Shares No.],
        StockTransactionsTable[Ticker], _xlpm.t,
        StockTransactionsTable[Transaction Type], "Buy"),
    _xlpm.SellQty, SUMIFS(StockTransactionsTable[Shares No.],
        StockTransactionsTable[Ticker], _xlpm.t,
        StockTransactionsTable[Transaction Type], "Sell"),
    _xlpm.BuyCost, SUMIFS(StockTransactionsTable[Total Amount with Fee],
        StockTransactionsTable[Ticker], _xlpm.t,
        StockTransactionsTable[Transaction Type], "Buy"),
    IF(_xlpm.BuyQty = 0, 0, _xlpm.BuyCost * (_xlpm.BuyQty - _xlpm.SellQty) / _xlpm.BuyQty)
)</f>
        <v>17554.435384774173</v>
      </c>
      <c r="S12" s="13">
        <f>IF(CompanyDetailsList[[#This Row],[Ownership]]="Not Owning",0,CompanyDetailsList[[#This Row],[Total Cost]]/CompanyDetailsList[[#This Row],[Shares Owned]])</f>
        <v>115.48970647877745</v>
      </c>
      <c r="T12" s="13" cm="1">
        <f t="array" aca="1" ref="T12" ca="1">_FV(CompanyDetailsList[[#This Row],[Official Name]],"Price")</f>
        <v>281.12</v>
      </c>
      <c r="U12" s="13">
        <f ca="1">CompanyDetailsList[[#This Row],[Price]]*CompanyDetailsList[[#This Row],[Shares Owned]]</f>
        <v>42730.239999999998</v>
      </c>
      <c r="V12" s="13">
        <f ca="1">CompanyDetailsList[[#This Row],[Price]]-CompanyDetailsList[[#This Row],[Average Cost]]</f>
        <v>165.63029352122254</v>
      </c>
      <c r="W12" s="13">
        <f ca="1">CompanyDetailsList[[#This Row],[Profit &amp; Loss per Share]]*CompanyDetailsList[[#This Row],[Shares Owned]]</f>
        <v>25175.804615225825</v>
      </c>
      <c r="X12" s="14">
        <f ca="1">IF(CompanyDetailsList[[#This Row],[Ownership]]="Not Owning",0,CompanyDetailsList[[#This Row],[Price]]/CompanyDetailsList[[#This Row],[Average Cost]]-1)</f>
        <v>1.4341563293492223</v>
      </c>
      <c r="Y12" s="13" cm="1">
        <f t="array" aca="1" ref="Y12" ca="1">_FV(CompanyDetailsList[[#This Row],[Official Name]],"52 week low",TRUE)</f>
        <v>190.75</v>
      </c>
      <c r="Z12" s="13" cm="1">
        <f t="array" aca="1" ref="Z12" ca="1">_FV(CompanyDetailsList[[#This Row],[Official Name]],"52 week high",TRUE)</f>
        <v>281.3</v>
      </c>
    </row>
    <row r="13" spans="1:26" ht="15" customHeight="1">
      <c r="B13" s="7" t="s">
        <v>88</v>
      </c>
      <c r="C13" s="7" t="e" vm="9">
        <v>#VALUE!</v>
      </c>
      <c r="D13" s="7" t="s">
        <v>124</v>
      </c>
      <c r="E13" s="24" t="s">
        <v>64</v>
      </c>
      <c r="F13" s="24" t="s">
        <v>89</v>
      </c>
      <c r="G13" s="7" t="s">
        <v>26</v>
      </c>
      <c r="H13" s="7">
        <v>7.44</v>
      </c>
      <c r="I13" s="7" t="str">
        <f>IF(CompanyDetailsList[[#This Row],[Shares Owned]]=0,"Not Owning","Owning")</f>
        <v>Owning</v>
      </c>
      <c r="J13" s="8">
        <f xml:space="preserve">
SUMIFS(StockTransactionsTable[Shares No.],StockTransactionsTable[Transaction Type],"Buy",StockTransactionsTable[Ticker],CompanyDetailsList[[#This Row],[Company Ticker]])
-
SUMIFS(StockTransactionsTable[Shares No.],StockTransactionsTable[Transaction Type],"Sell",StockTransactionsTable[Ticker],CompanyDetailsList[[#This Row],[Company Ticker]])</f>
        <v>95</v>
      </c>
      <c r="K13" s="23">
        <f>_xlfn.XLOOKUP(CompanyDetailsList[[#This Row],[Company Ticker]],StockTransactionsTable[Ticker],StockTransactionsTable[Date],,0,1)</f>
        <v>43683</v>
      </c>
      <c r="L13" s="23">
        <f>_xlfn.LET(
    _xlpm.t, CompanyDetailsList[[#This Row],[Company Ticker]],
    _xlpm.net,
        SUMIFS(StockTransactionsTable[Shares No.], StockTransactionsTable[Transaction Type], "Buy",  StockTransactionsTable[Ticker], _xlpm.t)
      - SUMIFS(StockTransactionsTable[Shares No.], StockTransactionsTable[Transaction Type], "Sell", StockTransactionsTable[Ticker], _xlpm.t),
    _xlpm.res,
        IF(
            _xlpm.net=0,
            IFERROR(
                _xlfn.MAXIFS(StockTransactionsTable[Date], StockTransactionsTable[Transaction Type], "Sell", StockTransactionsTable[Ticker], _xlpm.t),
                ""
            ),
            ""
        ),
    IF(_xlpm.res="", DATE(9999,12,31), _xlpm.res)
)</f>
        <v>2958465</v>
      </c>
      <c r="M13" s="9" cm="1">
        <f t="array" aca="1" ref="M13" ca="1">_FV(CompanyDetailsList[[#This Row],[Official Name]],"Change (%)",TRUE)</f>
        <v>1.7849999999999999E-3</v>
      </c>
      <c r="N13" s="10" cm="1">
        <f t="array" aca="1" ref="N13" ca="1">_FV(CompanyDetailsList[[#This Row],[Official Name]],"Change")</f>
        <v>0.42</v>
      </c>
      <c r="O13" s="10">
        <f ca="1">CompanyDetailsList[[#This Row],[Change Today]]*CompanyDetailsList[[#This Row],[Shares Owned]]</f>
        <v>39.9</v>
      </c>
      <c r="P13" s="8">
        <f>CompanyDetailsList[[#This Row],[Annual Dividend per Share]]*CompanyDetailsList[[#This Row],[Shares Owned]]</f>
        <v>706.80000000000007</v>
      </c>
      <c r="Q13" s="12">
        <f>CompanyDetailsList[[#This Row],[Total Annual Dividend Before Tax]]*0.9</f>
        <v>636.12000000000012</v>
      </c>
      <c r="R13" s="13">
        <f>_xlfn.LET(
    _xlpm.t, CompanyDetailsList[[#This Row],[Company Ticker]],
    _xlpm.BuyQty, SUMIFS(StockTransactionsTable[Shares No.],
        StockTransactionsTable[Ticker], _xlpm.t,
        StockTransactionsTable[Transaction Type], "Buy"),
    _xlpm.SellQty, SUMIFS(StockTransactionsTable[Shares No.],
        StockTransactionsTable[Ticker], _xlpm.t,
        StockTransactionsTable[Transaction Type], "Sell"),
    _xlpm.BuyCost, SUMIFS(StockTransactionsTable[Total Amount with Fee],
        StockTransactionsTable[Ticker], _xlpm.t,
        StockTransactionsTable[Transaction Type], "Buy"),
    IF(_xlpm.BuyQty = 0, 0, _xlpm.BuyCost * (_xlpm.BuyQty - _xlpm.SellQty) / _xlpm.BuyQty)
)</f>
        <v>21349.090502689694</v>
      </c>
      <c r="S13" s="13">
        <f>IF(CompanyDetailsList[[#This Row],[Ownership]]="Not Owning",0,CompanyDetailsList[[#This Row],[Total Cost]]/CompanyDetailsList[[#This Row],[Shares Owned]])</f>
        <v>224.7272684493652</v>
      </c>
      <c r="T13" s="13" cm="1">
        <f t="array" aca="1" ref="T13" ca="1">_FV(CompanyDetailsList[[#This Row],[Official Name]],"Price")</f>
        <v>235.65</v>
      </c>
      <c r="U13" s="13">
        <f ca="1">CompanyDetailsList[[#This Row],[Price]]*CompanyDetailsList[[#This Row],[Shares Owned]]</f>
        <v>22386.75</v>
      </c>
      <c r="V13" s="13">
        <f ca="1">CompanyDetailsList[[#This Row],[Price]]-CompanyDetailsList[[#This Row],[Average Cost]]</f>
        <v>10.922731550634808</v>
      </c>
      <c r="W13" s="13">
        <f ca="1">CompanyDetailsList[[#This Row],[Profit &amp; Loss per Share]]*CompanyDetailsList[[#This Row],[Shares Owned]]</f>
        <v>1037.6594973103067</v>
      </c>
      <c r="X13" s="14">
        <f ca="1">IF(CompanyDetailsList[[#This Row],[Ownership]]="Not Owning",0,CompanyDetailsList[[#This Row],[Price]]/CompanyDetailsList[[#This Row],[Average Cost]]-1)</f>
        <v>4.8604388893268125E-2</v>
      </c>
      <c r="Y13" s="13" cm="1">
        <f t="array" aca="1" ref="Y13" ca="1">_FV(CompanyDetailsList[[#This Row],[Official Name]],"52 week low",TRUE)</f>
        <v>229.2</v>
      </c>
      <c r="Z13" s="13" cm="1">
        <f t="array" aca="1" ref="Z13" ca="1">_FV(CompanyDetailsList[[#This Row],[Official Name]],"52 week high",TRUE)</f>
        <v>341.75</v>
      </c>
    </row>
    <row r="14" spans="1:26" ht="15" customHeight="1">
      <c r="B14" s="7" t="s">
        <v>22</v>
      </c>
      <c r="C14" s="7" t="e" vm="10">
        <v>#VALUE!</v>
      </c>
      <c r="D14" s="7" t="s">
        <v>125</v>
      </c>
      <c r="E14" s="24" t="s">
        <v>65</v>
      </c>
      <c r="F14" s="24" t="s">
        <v>90</v>
      </c>
      <c r="G14" s="7" t="s">
        <v>26</v>
      </c>
      <c r="H14" s="7">
        <v>6.52</v>
      </c>
      <c r="I14" s="7" t="str">
        <f>IF(CompanyDetailsList[[#This Row],[Shares Owned]]=0,"Not Owning","Owning")</f>
        <v>Owning</v>
      </c>
      <c r="J14" s="8">
        <f xml:space="preserve">
SUMIFS(StockTransactionsTable[Shares No.],StockTransactionsTable[Transaction Type],"Buy",StockTransactionsTable[Ticker],CompanyDetailsList[[#This Row],[Company Ticker]])
-
SUMIFS(StockTransactionsTable[Shares No.],StockTransactionsTable[Transaction Type],"Sell",StockTransactionsTable[Ticker],CompanyDetailsList[[#This Row],[Company Ticker]])</f>
        <v>119</v>
      </c>
      <c r="K14" s="23">
        <f>_xlfn.XLOOKUP(CompanyDetailsList[[#This Row],[Company Ticker]],StockTransactionsTable[Ticker],StockTransactionsTable[Date],,0,1)</f>
        <v>42068</v>
      </c>
      <c r="L14" s="23">
        <f>_xlfn.LET(
    _xlpm.t, CompanyDetailsList[[#This Row],[Company Ticker]],
    _xlpm.net,
        SUMIFS(StockTransactionsTable[Shares No.], StockTransactionsTable[Transaction Type], "Buy",  StockTransactionsTable[Ticker], _xlpm.t)
      - SUMIFS(StockTransactionsTable[Shares No.], StockTransactionsTable[Transaction Type], "Sell", StockTransactionsTable[Ticker], _xlpm.t),
    _xlpm.res,
        IF(
            _xlpm.net=0,
            IFERROR(
                _xlfn.MAXIFS(StockTransactionsTable[Date], StockTransactionsTable[Transaction Type], "Sell", StockTransactionsTable[Ticker], _xlpm.t),
                ""
            ),
            ""
        ),
    IF(_xlpm.res="", DATE(9999,12,31), _xlpm.res)
)</f>
        <v>2958465</v>
      </c>
      <c r="M14" s="9" cm="1">
        <f t="array" aca="1" ref="M14" ca="1">_FV(CompanyDetailsList[[#This Row],[Official Name]],"Change (%)",TRUE)</f>
        <v>-1.374E-3</v>
      </c>
      <c r="N14" s="10" cm="1">
        <f t="array" aca="1" ref="N14" ca="1">_FV(CompanyDetailsList[[#This Row],[Official Name]],"Change")</f>
        <v>-1.1000000000000001</v>
      </c>
      <c r="O14" s="10">
        <f ca="1">CompanyDetailsList[[#This Row],[Change Today]]*CompanyDetailsList[[#This Row],[Shares Owned]]</f>
        <v>-130.9</v>
      </c>
      <c r="P14" s="8">
        <f>CompanyDetailsList[[#This Row],[Annual Dividend per Share]]*CompanyDetailsList[[#This Row],[Shares Owned]]</f>
        <v>775.88</v>
      </c>
      <c r="Q14" s="12">
        <f>CompanyDetailsList[[#This Row],[Total Annual Dividend Before Tax]]*0.9</f>
        <v>698.29200000000003</v>
      </c>
      <c r="R14" s="13">
        <f>_xlfn.LET(
    _xlpm.t, CompanyDetailsList[[#This Row],[Company Ticker]],
    _xlpm.BuyQty, SUMIFS(StockTransactionsTable[Shares No.],
        StockTransactionsTable[Ticker], _xlpm.t,
        StockTransactionsTable[Transaction Type], "Buy"),
    _xlpm.SellQty, SUMIFS(StockTransactionsTable[Shares No.],
        StockTransactionsTable[Ticker], _xlpm.t,
        StockTransactionsTable[Transaction Type], "Sell"),
    _xlpm.BuyCost, SUMIFS(StockTransactionsTable[Total Amount with Fee],
        StockTransactionsTable[Ticker], _xlpm.t,
        StockTransactionsTable[Transaction Type], "Buy"),
    IF(_xlpm.BuyQty = 0, 0, _xlpm.BuyCost * (_xlpm.BuyQty - _xlpm.SellQty) / _xlpm.BuyQty)
)</f>
        <v>15493.543122702713</v>
      </c>
      <c r="S14" s="13">
        <f>IF(CompanyDetailsList[[#This Row],[Ownership]]="Not Owning",0,CompanyDetailsList[[#This Row],[Total Cost]]/CompanyDetailsList[[#This Row],[Shares Owned]])</f>
        <v>130.19784136724968</v>
      </c>
      <c r="T14" s="13" cm="1">
        <f t="array" aca="1" ref="T14" ca="1">_FV(CompanyDetailsList[[#This Row],[Official Name]],"Price")</f>
        <v>799.37</v>
      </c>
      <c r="U14" s="13">
        <f ca="1">CompanyDetailsList[[#This Row],[Price]]*CompanyDetailsList[[#This Row],[Shares Owned]]</f>
        <v>95125.03</v>
      </c>
      <c r="V14" s="13">
        <f ca="1">CompanyDetailsList[[#This Row],[Price]]-CompanyDetailsList[[#This Row],[Average Cost]]</f>
        <v>669.17215863275032</v>
      </c>
      <c r="W14" s="13">
        <f ca="1">CompanyDetailsList[[#This Row],[Profit &amp; Loss per Share]]*CompanyDetailsList[[#This Row],[Shares Owned]]</f>
        <v>79631.486877297284</v>
      </c>
      <c r="X14" s="14">
        <f ca="1">IF(CompanyDetailsList[[#This Row],[Ownership]]="Not Owning",0,CompanyDetailsList[[#This Row],[Price]]/CompanyDetailsList[[#This Row],[Average Cost]]-1)</f>
        <v>5.1396563230661654</v>
      </c>
      <c r="Y14" s="13" cm="1">
        <f t="array" aca="1" ref="Y14" ca="1">_FV(CompanyDetailsList[[#This Row],[Official Name]],"52 week low",TRUE)</f>
        <v>495.45</v>
      </c>
      <c r="Z14" s="13" cm="1">
        <f t="array" aca="1" ref="Z14" ca="1">_FV(CompanyDetailsList[[#This Row],[Official Name]],"52 week high",TRUE)</f>
        <v>1073.46</v>
      </c>
    </row>
    <row r="15" spans="1:26" ht="15" customHeight="1">
      <c r="B15" s="7" t="s">
        <v>91</v>
      </c>
      <c r="C15" s="7" t="e" vm="11">
        <v>#VALUE!</v>
      </c>
      <c r="D15" s="7" t="s">
        <v>126</v>
      </c>
      <c r="E15" s="7" t="s">
        <v>92</v>
      </c>
      <c r="F15" s="7" t="s">
        <v>93</v>
      </c>
      <c r="G15" s="7" t="s">
        <v>26</v>
      </c>
      <c r="H15" s="7">
        <v>3.92</v>
      </c>
      <c r="I15" s="7" t="str">
        <f>IF(CompanyDetailsList[[#This Row],[Shares Owned]]=0,"Not Owning","Owning")</f>
        <v>Owning</v>
      </c>
      <c r="J15" s="8">
        <f xml:space="preserve">
SUMIFS(StockTransactionsTable[Shares No.],StockTransactionsTable[Transaction Type],"Buy",StockTransactionsTable[Ticker],CompanyDetailsList[[#This Row],[Company Ticker]])
-
SUMIFS(StockTransactionsTable[Shares No.],StockTransactionsTable[Transaction Type],"Sell",StockTransactionsTable[Ticker],CompanyDetailsList[[#This Row],[Company Ticker]])</f>
        <v>203</v>
      </c>
      <c r="K15" s="23">
        <f>_xlfn.XLOOKUP(CompanyDetailsList[[#This Row],[Company Ticker]],StockTransactionsTable[Ticker],StockTransactionsTable[Date],,0,1)</f>
        <v>42355</v>
      </c>
      <c r="L15" s="23">
        <f>_xlfn.LET(
    _xlpm.t, CompanyDetailsList[[#This Row],[Company Ticker]],
    _xlpm.net,
        SUMIFS(StockTransactionsTable[Shares No.], StockTransactionsTable[Transaction Type], "Buy",  StockTransactionsTable[Ticker], _xlpm.t)
      - SUMIFS(StockTransactionsTable[Shares No.], StockTransactionsTable[Transaction Type], "Sell", StockTransactionsTable[Ticker], _xlpm.t),
    _xlpm.res,
        IF(
            _xlpm.net=0,
            IFERROR(
                _xlfn.MAXIFS(StockTransactionsTable[Date], StockTransactionsTable[Transaction Type], "Sell", StockTransactionsTable[Ticker], _xlpm.t),
                ""
            ),
            ""
        ),
    IF(_xlpm.res="", DATE(9999,12,31), _xlpm.res)
)</f>
        <v>2958465</v>
      </c>
      <c r="M15" s="9" cm="1">
        <f t="array" aca="1" ref="M15" ca="1">_FV(CompanyDetailsList[[#This Row],[Official Name]],"Change (%)",TRUE)</f>
        <v>1.1363000000000002E-2</v>
      </c>
      <c r="N15" s="10" cm="1">
        <f t="array" aca="1" ref="N15" ca="1">_FV(CompanyDetailsList[[#This Row],[Official Name]],"Change")</f>
        <v>6.08</v>
      </c>
      <c r="O15" s="10">
        <f ca="1">CompanyDetailsList[[#This Row],[Change Today]]*CompanyDetailsList[[#This Row],[Shares Owned]]</f>
        <v>1234.24</v>
      </c>
      <c r="P15" s="8">
        <f>CompanyDetailsList[[#This Row],[Annual Dividend per Share]]*CompanyDetailsList[[#This Row],[Shares Owned]]</f>
        <v>795.76</v>
      </c>
      <c r="Q15" s="12">
        <f>CompanyDetailsList[[#This Row],[Total Annual Dividend Before Tax]]*0.9</f>
        <v>716.18399999999997</v>
      </c>
      <c r="R15" s="13">
        <f>_xlfn.LET(
    _xlpm.t, CompanyDetailsList[[#This Row],[Company Ticker]],
    _xlpm.BuyQty, SUMIFS(StockTransactionsTable[Shares No.],
        StockTransactionsTable[Ticker], _xlpm.t,
        StockTransactionsTable[Transaction Type], "Buy"),
    _xlpm.SellQty, SUMIFS(StockTransactionsTable[Shares No.],
        StockTransactionsTable[Ticker], _xlpm.t,
        StockTransactionsTable[Transaction Type], "Sell"),
    _xlpm.BuyCost, SUMIFS(StockTransactionsTable[Total Amount with Fee],
        StockTransactionsTable[Ticker], _xlpm.t,
        StockTransactionsTable[Transaction Type], "Buy"),
    IF(_xlpm.BuyQty = 0, 0, _xlpm.BuyCost * (_xlpm.BuyQty - _xlpm.SellQty) / _xlpm.BuyQty)
)</f>
        <v>37263.08408940176</v>
      </c>
      <c r="S15" s="13">
        <f>IF(CompanyDetailsList[[#This Row],[Ownership]]="Not Owning",0,CompanyDetailsList[[#This Row],[Total Cost]]/CompanyDetailsList[[#This Row],[Shares Owned]])</f>
        <v>183.56199058818601</v>
      </c>
      <c r="T15" s="13" cm="1">
        <f t="array" aca="1" ref="T15" ca="1">_FV(CompanyDetailsList[[#This Row],[Official Name]],"Price")</f>
        <v>541.15</v>
      </c>
      <c r="U15" s="13">
        <f ca="1">CompanyDetailsList[[#This Row],[Price]]*CompanyDetailsList[[#This Row],[Shares Owned]]</f>
        <v>109853.45</v>
      </c>
      <c r="V15" s="13">
        <f ca="1">CompanyDetailsList[[#This Row],[Price]]-CompanyDetailsList[[#This Row],[Average Cost]]</f>
        <v>357.58800941181397</v>
      </c>
      <c r="W15" s="13">
        <f ca="1">CompanyDetailsList[[#This Row],[Profit &amp; Loss per Share]]*CompanyDetailsList[[#This Row],[Shares Owned]]</f>
        <v>72590.365910598237</v>
      </c>
      <c r="X15" s="14">
        <f ca="1">IF(CompanyDetailsList[[#This Row],[Ownership]]="Not Owning",0,CompanyDetailsList[[#This Row],[Price]]/CompanyDetailsList[[#This Row],[Average Cost]]-1)</f>
        <v>1.9480504012077771</v>
      </c>
      <c r="Y15" s="13" cm="1">
        <f t="array" aca="1" ref="Y15" ca="1">_FV(CompanyDetailsList[[#This Row],[Official Name]],"52 week low",TRUE)</f>
        <v>349.2</v>
      </c>
      <c r="Z15" s="13" cm="1">
        <f t="array" aca="1" ref="Z15" ca="1">_FV(CompanyDetailsList[[#This Row],[Official Name]],"52 week high",TRUE)</f>
        <v>553.72</v>
      </c>
    </row>
    <row r="16" spans="1:26" ht="15" customHeight="1">
      <c r="B16" s="7" t="s">
        <v>16</v>
      </c>
      <c r="C16" s="7" t="e" vm="12">
        <v>#VALUE!</v>
      </c>
      <c r="D16" s="7" t="s">
        <v>127</v>
      </c>
      <c r="E16" s="7" t="s">
        <v>62</v>
      </c>
      <c r="F16" s="7" t="s">
        <v>94</v>
      </c>
      <c r="G16" s="7" t="s">
        <v>26</v>
      </c>
      <c r="H16" s="7">
        <v>4.12</v>
      </c>
      <c r="I16" s="7" t="str">
        <f>IF(CompanyDetailsList[[#This Row],[Shares Owned]]=0,"Not Owning","Owning")</f>
        <v>Owning</v>
      </c>
      <c r="J16" s="8">
        <f xml:space="preserve">
SUMIFS(StockTransactionsTable[Shares No.],StockTransactionsTable[Transaction Type],"Buy",StockTransactionsTable[Ticker],CompanyDetailsList[[#This Row],[Company Ticker]])
-
SUMIFS(StockTransactionsTable[Shares No.],StockTransactionsTable[Transaction Type],"Sell",StockTransactionsTable[Ticker],CompanyDetailsList[[#This Row],[Company Ticker]])</f>
        <v>156</v>
      </c>
      <c r="K16" s="23">
        <f>_xlfn.XLOOKUP(CompanyDetailsList[[#This Row],[Company Ticker]],StockTransactionsTable[Ticker],StockTransactionsTable[Date],,0,1)</f>
        <v>42303</v>
      </c>
      <c r="L16" s="23">
        <f>_xlfn.LET(
    _xlpm.t, CompanyDetailsList[[#This Row],[Company Ticker]],
    _xlpm.net,
        SUMIFS(StockTransactionsTable[Shares No.], StockTransactionsTable[Transaction Type], "Buy",  StockTransactionsTable[Ticker], _xlpm.t)
      - SUMIFS(StockTransactionsTable[Shares No.], StockTransactionsTable[Transaction Type], "Sell", StockTransactionsTable[Ticker], _xlpm.t),
    _xlpm.res,
        IF(
            _xlpm.net=0,
            IFERROR(
                _xlfn.MAXIFS(StockTransactionsTable[Date], StockTransactionsTable[Transaction Type], "Sell", StockTransactionsTable[Ticker], _xlpm.t),
                ""
            ),
            ""
        ),
    IF(_xlpm.res="", DATE(9999,12,31), _xlpm.res)
)</f>
        <v>2958465</v>
      </c>
      <c r="M16" s="9" cm="1">
        <f t="array" aca="1" ref="M16" ca="1">_FV(CompanyDetailsList[[#This Row],[Official Name]],"Change (%)",TRUE)</f>
        <v>1.9001000000000001E-2</v>
      </c>
      <c r="N16" s="10" cm="1">
        <f t="array" aca="1" ref="N16" ca="1">_FV(CompanyDetailsList[[#This Row],[Official Name]],"Change")</f>
        <v>3.21</v>
      </c>
      <c r="O16" s="10">
        <f ca="1">CompanyDetailsList[[#This Row],[Change Today]]*CompanyDetailsList[[#This Row],[Shares Owned]]</f>
        <v>500.76</v>
      </c>
      <c r="P16" s="8">
        <f>CompanyDetailsList[[#This Row],[Annual Dividend per Share]]*CompanyDetailsList[[#This Row],[Shares Owned]]</f>
        <v>642.72</v>
      </c>
      <c r="Q16" s="12">
        <f>CompanyDetailsList[[#This Row],[Total Annual Dividend Before Tax]]*0.9</f>
        <v>578.44800000000009</v>
      </c>
      <c r="R16" s="13">
        <f>_xlfn.LET(
    _xlpm.t, CompanyDetailsList[[#This Row],[Company Ticker]],
    _xlpm.BuyQty, SUMIFS(StockTransactionsTable[Shares No.],
        StockTransactionsTable[Ticker], _xlpm.t,
        StockTransactionsTable[Transaction Type], "Buy"),
    _xlpm.SellQty, SUMIFS(StockTransactionsTable[Shares No.],
        StockTransactionsTable[Ticker], _xlpm.t,
        StockTransactionsTable[Transaction Type], "Sell"),
    _xlpm.BuyCost, SUMIFS(StockTransactionsTable[Total Amount with Fee],
        StockTransactionsTable[Ticker], _xlpm.t,
        StockTransactionsTable[Transaction Type], "Buy"),
    IF(_xlpm.BuyQty = 0, 0, _xlpm.BuyCost * (_xlpm.BuyQty - _xlpm.SellQty) / _xlpm.BuyQty)
)</f>
        <v>11718.360915660647</v>
      </c>
      <c r="S16" s="13">
        <f>IF(CompanyDetailsList[[#This Row],[Ownership]]="Not Owning",0,CompanyDetailsList[[#This Row],[Total Cost]]/CompanyDetailsList[[#This Row],[Shares Owned]])</f>
        <v>75.117698177311837</v>
      </c>
      <c r="T16" s="13" cm="1">
        <f t="array" aca="1" ref="T16" ca="1">_FV(CompanyDetailsList[[#This Row],[Official Name]],"Price")</f>
        <v>172.15</v>
      </c>
      <c r="U16" s="13">
        <f ca="1">CompanyDetailsList[[#This Row],[Price]]*CompanyDetailsList[[#This Row],[Shares Owned]]</f>
        <v>26855.4</v>
      </c>
      <c r="V16" s="13">
        <f ca="1">CompanyDetailsList[[#This Row],[Price]]-CompanyDetailsList[[#This Row],[Average Cost]]</f>
        <v>97.032301822688169</v>
      </c>
      <c r="W16" s="13">
        <f ca="1">CompanyDetailsList[[#This Row],[Profit &amp; Loss per Share]]*CompanyDetailsList[[#This Row],[Shares Owned]]</f>
        <v>15137.039084339354</v>
      </c>
      <c r="X16" s="14">
        <f ca="1">IF(CompanyDetailsList[[#This Row],[Ownership]]="Not Owning",0,CompanyDetailsList[[#This Row],[Price]]/CompanyDetailsList[[#This Row],[Average Cost]]-1)</f>
        <v>1.2917368899356836</v>
      </c>
      <c r="Y16" s="13" cm="1">
        <f t="array" aca="1" ref="Y16" ca="1">_FV(CompanyDetailsList[[#This Row],[Official Name]],"52 week low",TRUE)</f>
        <v>110.38500000000001</v>
      </c>
      <c r="Z16" s="13" cm="1">
        <f t="array" aca="1" ref="Z16" ca="1">_FV(CompanyDetailsList[[#This Row],[Official Name]],"52 week high",TRUE)</f>
        <v>176.41</v>
      </c>
    </row>
    <row r="17" spans="2:26" ht="15" customHeight="1">
      <c r="B17" s="7" t="s">
        <v>95</v>
      </c>
      <c r="C17" s="7" t="e" vm="13">
        <v>#VALUE!</v>
      </c>
      <c r="D17" s="7" t="s">
        <v>128</v>
      </c>
      <c r="E17" s="7" t="s">
        <v>64</v>
      </c>
      <c r="F17" s="7" t="s">
        <v>96</v>
      </c>
      <c r="G17" s="7" t="s">
        <v>26</v>
      </c>
      <c r="H17" s="7">
        <v>9.32</v>
      </c>
      <c r="I17" s="7" t="str">
        <f>IF(CompanyDetailsList[[#This Row],[Shares Owned]]=0,"Not Owning","Owning")</f>
        <v>Owning</v>
      </c>
      <c r="J17" s="8">
        <f xml:space="preserve">
SUMIFS(StockTransactionsTable[Shares No.],StockTransactionsTable[Transaction Type],"Buy",StockTransactionsTable[Ticker],CompanyDetailsList[[#This Row],[Company Ticker]])
-
SUMIFS(StockTransactionsTable[Shares No.],StockTransactionsTable[Transaction Type],"Sell",StockTransactionsTable[Ticker],CompanyDetailsList[[#This Row],[Company Ticker]])</f>
        <v>157</v>
      </c>
      <c r="K17" s="23">
        <f>_xlfn.XLOOKUP(CompanyDetailsList[[#This Row],[Company Ticker]],StockTransactionsTable[Ticker],StockTransactionsTable[Date],,0,1)</f>
        <v>42114</v>
      </c>
      <c r="L17" s="23">
        <f>_xlfn.LET(
    _xlpm.t, CompanyDetailsList[[#This Row],[Company Ticker]],
    _xlpm.net,
        SUMIFS(StockTransactionsTable[Shares No.], StockTransactionsTable[Transaction Type], "Buy",  StockTransactionsTable[Ticker], _xlpm.t)
      - SUMIFS(StockTransactionsTable[Shares No.], StockTransactionsTable[Transaction Type], "Sell", StockTransactionsTable[Ticker], _xlpm.t),
    _xlpm.res,
        IF(
            _xlpm.net=0,
            IFERROR(
                _xlfn.MAXIFS(StockTransactionsTable[Date], StockTransactionsTable[Transaction Type], "Sell", StockTransactionsTable[Ticker], _xlpm.t),
                ""
            ),
            ""
        ),
    IF(_xlpm.res="", DATE(9999,12,31), _xlpm.res)
)</f>
        <v>2958465</v>
      </c>
      <c r="M17" s="9" cm="1">
        <f t="array" aca="1" ref="M17" ca="1">_FV(CompanyDetailsList[[#This Row],[Official Name]],"Change (%)",TRUE)</f>
        <v>-4.127E-4</v>
      </c>
      <c r="N17" s="10" cm="1">
        <f t="array" aca="1" ref="N17" ca="1">_FV(CompanyDetailsList[[#This Row],[Official Name]],"Change")</f>
        <v>-0.12</v>
      </c>
      <c r="O17" s="10">
        <f ca="1">CompanyDetailsList[[#This Row],[Change Today]]*CompanyDetailsList[[#This Row],[Shares Owned]]</f>
        <v>-18.84</v>
      </c>
      <c r="P17" s="8">
        <f>CompanyDetailsList[[#This Row],[Annual Dividend per Share]]*CompanyDetailsList[[#This Row],[Shares Owned]]</f>
        <v>1463.24</v>
      </c>
      <c r="Q17" s="12">
        <f>CompanyDetailsList[[#This Row],[Total Annual Dividend Before Tax]]*0.9</f>
        <v>1316.9159999999999</v>
      </c>
      <c r="R17" s="13">
        <f>_xlfn.LET(
    _xlpm.t, CompanyDetailsList[[#This Row],[Company Ticker]],
    _xlpm.BuyQty, SUMIFS(StockTransactionsTable[Shares No.],
        StockTransactionsTable[Ticker], _xlpm.t,
        StockTransactionsTable[Transaction Type], "Buy"),
    _xlpm.SellQty, SUMIFS(StockTransactionsTable[Shares No.],
        StockTransactionsTable[Ticker], _xlpm.t,
        StockTransactionsTable[Transaction Type], "Sell"),
    _xlpm.BuyCost, SUMIFS(StockTransactionsTable[Total Amount with Fee],
        StockTransactionsTable[Ticker], _xlpm.t,
        StockTransactionsTable[Transaction Type], "Buy"),
    IF(_xlpm.BuyQty = 0, 0, _xlpm.BuyCost * (_xlpm.BuyQty - _xlpm.SellQty) / _xlpm.BuyQty)
)</f>
        <v>43247.259149794598</v>
      </c>
      <c r="S17" s="13">
        <f>IF(CompanyDetailsList[[#This Row],[Ownership]]="Not Owning",0,CompanyDetailsList[[#This Row],[Total Cost]]/CompanyDetailsList[[#This Row],[Shares Owned]])</f>
        <v>275.46024936174905</v>
      </c>
      <c r="T17" s="13" cm="1">
        <f t="array" aca="1" ref="T17" ca="1">_FV(CompanyDetailsList[[#This Row],[Official Name]],"Price")</f>
        <v>290.62</v>
      </c>
      <c r="U17" s="13">
        <f ca="1">CompanyDetailsList[[#This Row],[Price]]*CompanyDetailsList[[#This Row],[Shares Owned]]</f>
        <v>45627.340000000004</v>
      </c>
      <c r="V17" s="13">
        <f ca="1">CompanyDetailsList[[#This Row],[Price]]-CompanyDetailsList[[#This Row],[Average Cost]]</f>
        <v>15.159750638250955</v>
      </c>
      <c r="W17" s="13">
        <f ca="1">CompanyDetailsList[[#This Row],[Profit &amp; Loss per Share]]*CompanyDetailsList[[#This Row],[Shares Owned]]</f>
        <v>2380.0808502054001</v>
      </c>
      <c r="X17" s="14">
        <f ca="1">IF(CompanyDetailsList[[#This Row],[Ownership]]="Not Owning",0,CompanyDetailsList[[#This Row],[Price]]/CompanyDetailsList[[#This Row],[Average Cost]]-1)</f>
        <v>5.503425874831902E-2</v>
      </c>
      <c r="Y17" s="13" cm="1">
        <f t="array" aca="1" ref="Y17" ca="1">_FV(CompanyDetailsList[[#This Row],[Official Name]],"52 week low",TRUE)</f>
        <v>277.14999999999998</v>
      </c>
      <c r="Z17" s="13" cm="1">
        <f t="array" aca="1" ref="Z17" ca="1">_FV(CompanyDetailsList[[#This Row],[Official Name]],"52 week high",TRUE)</f>
        <v>397.63</v>
      </c>
    </row>
    <row r="18" spans="2:26" ht="15" customHeight="1">
      <c r="B18" s="7" t="s">
        <v>17</v>
      </c>
      <c r="C18" s="7" t="e" vm="14">
        <v>#VALUE!</v>
      </c>
      <c r="D18" s="7" t="s">
        <v>17</v>
      </c>
      <c r="E18" s="7" t="s">
        <v>92</v>
      </c>
      <c r="F18" s="7" t="s">
        <v>97</v>
      </c>
      <c r="G18" s="7" t="s">
        <v>26</v>
      </c>
      <c r="H18" s="7">
        <v>6.76</v>
      </c>
      <c r="I18" s="7" t="str">
        <f>IF(CompanyDetailsList[[#This Row],[Shares Owned]]=0,"Not Owning","Owning")</f>
        <v>Owning</v>
      </c>
      <c r="J18" s="8">
        <f xml:space="preserve">
SUMIFS(StockTransactionsTable[Shares No.],StockTransactionsTable[Transaction Type],"Buy",StockTransactionsTable[Ticker],CompanyDetailsList[[#This Row],[Company Ticker]])
-
SUMIFS(StockTransactionsTable[Shares No.],StockTransactionsTable[Transaction Type],"Sell",StockTransactionsTable[Ticker],CompanyDetailsList[[#This Row],[Company Ticker]])</f>
        <v>231</v>
      </c>
      <c r="K18" s="23">
        <f>_xlfn.XLOOKUP(CompanyDetailsList[[#This Row],[Company Ticker]],StockTransactionsTable[Ticker],StockTransactionsTable[Date],,0,1)</f>
        <v>42562</v>
      </c>
      <c r="L18" s="23">
        <f>_xlfn.LET(
    _xlpm.t, CompanyDetailsList[[#This Row],[Company Ticker]],
    _xlpm.net,
        SUMIFS(StockTransactionsTable[Shares No.], StockTransactionsTable[Transaction Type], "Buy",  StockTransactionsTable[Ticker], _xlpm.t)
      - SUMIFS(StockTransactionsTable[Shares No.], StockTransactionsTable[Transaction Type], "Sell", StockTransactionsTable[Ticker], _xlpm.t),
    _xlpm.res,
        IF(
            _xlpm.net=0,
            IFERROR(
                _xlfn.MAXIFS(StockTransactionsTable[Date], StockTransactionsTable[Transaction Type], "Sell", StockTransactionsTable[Ticker], _xlpm.t),
                ""
            ),
            ""
        ),
    IF(_xlpm.res="", DATE(9999,12,31), _xlpm.res)
)</f>
        <v>2958465</v>
      </c>
      <c r="M18" s="9" cm="1">
        <f t="array" aca="1" ref="M18" ca="1">_FV(CompanyDetailsList[[#This Row],[Official Name]],"Change (%)",TRUE)</f>
        <v>-4.8430000000000001E-4</v>
      </c>
      <c r="N18" s="10" cm="1">
        <f t="array" aca="1" ref="N18" ca="1">_FV(CompanyDetailsList[[#This Row],[Official Name]],"Change")</f>
        <v>-0.11</v>
      </c>
      <c r="O18" s="10">
        <f ca="1">CompanyDetailsList[[#This Row],[Change Today]]*CompanyDetailsList[[#This Row],[Shares Owned]]</f>
        <v>-25.41</v>
      </c>
      <c r="P18" s="8">
        <f>CompanyDetailsList[[#This Row],[Annual Dividend per Share]]*CompanyDetailsList[[#This Row],[Shares Owned]]</f>
        <v>1561.56</v>
      </c>
      <c r="Q18" s="12">
        <f>CompanyDetailsList[[#This Row],[Total Annual Dividend Before Tax]]*0.9</f>
        <v>1405.404</v>
      </c>
      <c r="R18" s="13">
        <f>_xlfn.LET(
    _xlpm.t, CompanyDetailsList[[#This Row],[Company Ticker]],
    _xlpm.BuyQty, SUMIFS(StockTransactionsTable[Shares No.],
        StockTransactionsTable[Ticker], _xlpm.t,
        StockTransactionsTable[Transaction Type], "Buy"),
    _xlpm.SellQty, SUMIFS(StockTransactionsTable[Shares No.],
        StockTransactionsTable[Ticker], _xlpm.t,
        StockTransactionsTable[Transaction Type], "Sell"),
    _xlpm.BuyCost, SUMIFS(StockTransactionsTable[Total Amount with Fee],
        StockTransactionsTable[Ticker], _xlpm.t,
        StockTransactionsTable[Transaction Type], "Buy"),
    IF(_xlpm.BuyQty = 0, 0, _xlpm.BuyCost * (_xlpm.BuyQty - _xlpm.SellQty) / _xlpm.BuyQty)
)</f>
        <v>33120.297712310705</v>
      </c>
      <c r="S18" s="13">
        <f>IF(CompanyDetailsList[[#This Row],[Ownership]]="Not Owning",0,CompanyDetailsList[[#This Row],[Total Cost]]/CompanyDetailsList[[#This Row],[Shares Owned]])</f>
        <v>143.37791217450521</v>
      </c>
      <c r="T18" s="13" cm="1">
        <f t="array" aca="1" ref="T18" ca="1">_FV(CompanyDetailsList[[#This Row],[Official Name]],"Price")</f>
        <v>227.02</v>
      </c>
      <c r="U18" s="13">
        <f ca="1">CompanyDetailsList[[#This Row],[Price]]*CompanyDetailsList[[#This Row],[Shares Owned]]</f>
        <v>52441.62</v>
      </c>
      <c r="V18" s="13">
        <f ca="1">CompanyDetailsList[[#This Row],[Price]]-CompanyDetailsList[[#This Row],[Average Cost]]</f>
        <v>83.642087825494798</v>
      </c>
      <c r="W18" s="13">
        <f ca="1">CompanyDetailsList[[#This Row],[Profit &amp; Loss per Share]]*CompanyDetailsList[[#This Row],[Shares Owned]]</f>
        <v>19321.322287689298</v>
      </c>
      <c r="X18" s="14">
        <f ca="1">IF(CompanyDetailsList[[#This Row],[Ownership]]="Not Owning",0,CompanyDetailsList[[#This Row],[Price]]/CompanyDetailsList[[#This Row],[Average Cost]]-1)</f>
        <v>0.58336801364281299</v>
      </c>
      <c r="Y18" s="13" cm="1">
        <f t="array" aca="1" ref="Y18" ca="1">_FV(CompanyDetailsList[[#This Row],[Official Name]],"52 week low",TRUE)</f>
        <v>199.19</v>
      </c>
      <c r="Z18" s="13" cm="1">
        <f t="array" aca="1" ref="Z18" ca="1">_FV(CompanyDetailsList[[#This Row],[Official Name]],"52 week high",TRUE)</f>
        <v>332.46</v>
      </c>
    </row>
    <row r="19" spans="2:26" ht="15" customHeight="1">
      <c r="B19" s="7" t="s">
        <v>98</v>
      </c>
      <c r="C19" s="7" t="e" vm="15">
        <v>#VALUE!</v>
      </c>
      <c r="D19" s="7" t="s">
        <v>129</v>
      </c>
      <c r="E19" s="7" t="s">
        <v>73</v>
      </c>
      <c r="F19" s="7" t="s">
        <v>99</v>
      </c>
      <c r="G19" s="7" t="s">
        <v>26</v>
      </c>
      <c r="H19" s="7">
        <v>2.4927999999999999</v>
      </c>
      <c r="I19" s="7" t="str">
        <f>IF(CompanyDetailsList[[#This Row],[Shares Owned]]=0,"Not Owning","Owning")</f>
        <v>Owning</v>
      </c>
      <c r="J19" s="8">
        <f xml:space="preserve">
SUMIFS(StockTransactionsTable[Shares No.],StockTransactionsTable[Transaction Type],"Buy",StockTransactionsTable[Ticker],CompanyDetailsList[[#This Row],[Company Ticker]])
-
SUMIFS(StockTransactionsTable[Shares No.],StockTransactionsTable[Transaction Type],"Sell",StockTransactionsTable[Ticker],CompanyDetailsList[[#This Row],[Company Ticker]])</f>
        <v>193</v>
      </c>
      <c r="K19" s="23">
        <f>_xlfn.XLOOKUP(CompanyDetailsList[[#This Row],[Company Ticker]],StockTransactionsTable[Ticker],StockTransactionsTable[Date],,0,1)</f>
        <v>42858</v>
      </c>
      <c r="L19" s="23">
        <f>_xlfn.LET(
    _xlpm.t, CompanyDetailsList[[#This Row],[Company Ticker]],
    _xlpm.net,
        SUMIFS(StockTransactionsTable[Shares No.], StockTransactionsTable[Transaction Type], "Buy",  StockTransactionsTable[Ticker], _xlpm.t)
      - SUMIFS(StockTransactionsTable[Shares No.], StockTransactionsTable[Transaction Type], "Sell", StockTransactionsTable[Ticker], _xlpm.t),
    _xlpm.res,
        IF(
            _xlpm.net=0,
            IFERROR(
                _xlfn.MAXIFS(StockTransactionsTable[Date], StockTransactionsTable[Transaction Type], "Sell", StockTransactionsTable[Ticker], _xlpm.t),
                ""
            ),
            ""
        ),
    IF(_xlpm.res="", DATE(9999,12,31), _xlpm.res)
)</f>
        <v>2958465</v>
      </c>
      <c r="M19" s="9" cm="1">
        <f t="array" aca="1" ref="M19" ca="1">_FV(CompanyDetailsList[[#This Row],[Official Name]],"Change (%)",TRUE)</f>
        <v>1.4603E-2</v>
      </c>
      <c r="N19" s="10" cm="1">
        <f t="array" aca="1" ref="N19" ca="1">_FV(CompanyDetailsList[[#This Row],[Official Name]],"Change")</f>
        <v>1.1299999999999999</v>
      </c>
      <c r="O19" s="10">
        <f ca="1">CompanyDetailsList[[#This Row],[Change Today]]*CompanyDetailsList[[#This Row],[Shares Owned]]</f>
        <v>218.08999999999997</v>
      </c>
      <c r="P19" s="8">
        <f>CompanyDetailsList[[#This Row],[Annual Dividend per Share]]*CompanyDetailsList[[#This Row],[Shares Owned]]</f>
        <v>481.11039999999997</v>
      </c>
      <c r="Q19" s="12">
        <f>CompanyDetailsList[[#This Row],[Total Annual Dividend Before Tax]]*0.9</f>
        <v>432.99935999999997</v>
      </c>
      <c r="R19" s="13">
        <f>_xlfn.LET(
    _xlpm.t, CompanyDetailsList[[#This Row],[Company Ticker]],
    _xlpm.BuyQty, SUMIFS(StockTransactionsTable[Shares No.],
        StockTransactionsTable[Ticker], _xlpm.t,
        StockTransactionsTable[Transaction Type], "Buy"),
    _xlpm.SellQty, SUMIFS(StockTransactionsTable[Shares No.],
        StockTransactionsTable[Ticker], _xlpm.t,
        StockTransactionsTable[Transaction Type], "Sell"),
    _xlpm.BuyCost, SUMIFS(StockTransactionsTable[Total Amount with Fee],
        StockTransactionsTable[Ticker], _xlpm.t,
        StockTransactionsTable[Transaction Type], "Buy"),
    IF(_xlpm.BuyQty = 0, 0, _xlpm.BuyCost * (_xlpm.BuyQty - _xlpm.SellQty) / _xlpm.BuyQty)
)</f>
        <v>11397.772474019517</v>
      </c>
      <c r="S19" s="13">
        <f>IF(CompanyDetailsList[[#This Row],[Ownership]]="Not Owning",0,CompanyDetailsList[[#This Row],[Total Cost]]/CompanyDetailsList[[#This Row],[Shares Owned]])</f>
        <v>59.055815927562264</v>
      </c>
      <c r="T19" s="13" cm="1">
        <f t="array" aca="1" ref="T19" ca="1">_FV(CompanyDetailsList[[#This Row],[Official Name]],"Price")</f>
        <v>78.510000000000005</v>
      </c>
      <c r="U19" s="13">
        <f ca="1">CompanyDetailsList[[#This Row],[Price]]*CompanyDetailsList[[#This Row],[Shares Owned]]</f>
        <v>15152.43</v>
      </c>
      <c r="V19" s="13">
        <f ca="1">CompanyDetailsList[[#This Row],[Price]]-CompanyDetailsList[[#This Row],[Average Cost]]</f>
        <v>19.454184072437741</v>
      </c>
      <c r="W19" s="13">
        <f ca="1">CompanyDetailsList[[#This Row],[Profit &amp; Loss per Share]]*CompanyDetailsList[[#This Row],[Shares Owned]]</f>
        <v>3754.657525980484</v>
      </c>
      <c r="X19" s="14">
        <f ca="1">IF(CompanyDetailsList[[#This Row],[Ownership]]="Not Owning",0,CompanyDetailsList[[#This Row],[Price]]/CompanyDetailsList[[#This Row],[Average Cost]]-1)</f>
        <v>0.32942029107345161</v>
      </c>
      <c r="Y19" s="13" cm="1">
        <f t="array" aca="1" ref="Y19" ca="1">_FV(CompanyDetailsList[[#This Row],[Official Name]],"52 week low",TRUE)</f>
        <v>74.41</v>
      </c>
      <c r="Z19" s="13" cm="1">
        <f t="array" aca="1" ref="Z19" ca="1">_FV(CompanyDetailsList[[#This Row],[Official Name]],"52 week high",TRUE)</f>
        <v>98.75</v>
      </c>
    </row>
    <row r="20" spans="2:26" ht="15" customHeight="1">
      <c r="B20" s="7" t="s">
        <v>100</v>
      </c>
      <c r="C20" s="7" t="e" vm="16">
        <v>#VALUE!</v>
      </c>
      <c r="D20" s="7" t="s">
        <v>130</v>
      </c>
      <c r="E20" s="7" t="s">
        <v>73</v>
      </c>
      <c r="F20" s="7" t="s">
        <v>101</v>
      </c>
      <c r="G20" s="7" t="s">
        <v>26</v>
      </c>
      <c r="H20" s="7">
        <v>4.34</v>
      </c>
      <c r="I20" s="7" t="str">
        <f>IF(CompanyDetailsList[[#This Row],[Shares Owned]]=0,"Not Owning","Owning")</f>
        <v>Owning</v>
      </c>
      <c r="J20" s="8">
        <f xml:space="preserve">
SUMIFS(StockTransactionsTable[Shares No.],StockTransactionsTable[Transaction Type],"Buy",StockTransactionsTable[Ticker],CompanyDetailsList[[#This Row],[Company Ticker]])
-
SUMIFS(StockTransactionsTable[Shares No.],StockTransactionsTable[Transaction Type],"Sell",StockTransactionsTable[Ticker],CompanyDetailsList[[#This Row],[Company Ticker]])</f>
        <v>250</v>
      </c>
      <c r="K20" s="23">
        <f>_xlfn.XLOOKUP(CompanyDetailsList[[#This Row],[Company Ticker]],StockTransactionsTable[Ticker],StockTransactionsTable[Date],,0,1)</f>
        <v>42011</v>
      </c>
      <c r="L20" s="23">
        <f>_xlfn.LET(
    _xlpm.t, CompanyDetailsList[[#This Row],[Company Ticker]],
    _xlpm.net,
        SUMIFS(StockTransactionsTable[Shares No.], StockTransactionsTable[Transaction Type], "Buy",  StockTransactionsTable[Ticker], _xlpm.t)
      - SUMIFS(StockTransactionsTable[Shares No.], StockTransactionsTable[Transaction Type], "Sell", StockTransactionsTable[Ticker], _xlpm.t),
    _xlpm.res,
        IF(
            _xlpm.net=0,
            IFERROR(
                _xlfn.MAXIFS(StockTransactionsTable[Date], StockTransactionsTable[Transaction Type], "Sell", StockTransactionsTable[Ticker], _xlpm.t),
                ""
            ),
            ""
        ),
    IF(_xlpm.res="", DATE(9999,12,31), _xlpm.res)
)</f>
        <v>2958465</v>
      </c>
      <c r="M20" s="9" cm="1">
        <f t="array" aca="1" ref="M20" ca="1">_FV(CompanyDetailsList[[#This Row],[Official Name]],"Change (%)",TRUE)</f>
        <v>8.9160000000000003E-3</v>
      </c>
      <c r="N20" s="10" cm="1">
        <f t="array" aca="1" ref="N20" ca="1">_FV(CompanyDetailsList[[#This Row],[Official Name]],"Change")</f>
        <v>1.04</v>
      </c>
      <c r="O20" s="10">
        <f ca="1">CompanyDetailsList[[#This Row],[Change Today]]*CompanyDetailsList[[#This Row],[Shares Owned]]</f>
        <v>260</v>
      </c>
      <c r="P20" s="8">
        <f>CompanyDetailsList[[#This Row],[Annual Dividend per Share]]*CompanyDetailsList[[#This Row],[Shares Owned]]</f>
        <v>1085</v>
      </c>
      <c r="Q20" s="12">
        <f>CompanyDetailsList[[#This Row],[Total Annual Dividend Before Tax]]*0.9</f>
        <v>976.5</v>
      </c>
      <c r="R20" s="13">
        <f>_xlfn.LET(
    _xlpm.t, CompanyDetailsList[[#This Row],[Company Ticker]],
    _xlpm.BuyQty, SUMIFS(StockTransactionsTable[Shares No.],
        StockTransactionsTable[Ticker], _xlpm.t,
        StockTransactionsTable[Transaction Type], "Buy"),
    _xlpm.SellQty, SUMIFS(StockTransactionsTable[Shares No.],
        StockTransactionsTable[Ticker], _xlpm.t,
        StockTransactionsTable[Transaction Type], "Sell"),
    _xlpm.BuyCost, SUMIFS(StockTransactionsTable[Total Amount with Fee],
        StockTransactionsTable[Ticker], _xlpm.t,
        StockTransactionsTable[Transaction Type], "Buy"),
    IF(_xlpm.BuyQty = 0, 0, _xlpm.BuyCost * (_xlpm.BuyQty - _xlpm.SellQty) / _xlpm.BuyQty)
)</f>
        <v>23039.087792179016</v>
      </c>
      <c r="S20" s="13">
        <f>IF(CompanyDetailsList[[#This Row],[Ownership]]="Not Owning",0,CompanyDetailsList[[#This Row],[Total Cost]]/CompanyDetailsList[[#This Row],[Shares Owned]])</f>
        <v>92.156351168716071</v>
      </c>
      <c r="T20" s="13" cm="1">
        <f t="array" aca="1" ref="T20" ca="1">_FV(CompanyDetailsList[[#This Row],[Official Name]],"Price")</f>
        <v>117.69</v>
      </c>
      <c r="U20" s="13">
        <f ca="1">CompanyDetailsList[[#This Row],[Price]]*CompanyDetailsList[[#This Row],[Shares Owned]]</f>
        <v>29422.5</v>
      </c>
      <c r="V20" s="13">
        <f ca="1">CompanyDetailsList[[#This Row],[Price]]-CompanyDetailsList[[#This Row],[Average Cost]]</f>
        <v>25.533648831283926</v>
      </c>
      <c r="W20" s="13">
        <f ca="1">CompanyDetailsList[[#This Row],[Profit &amp; Loss per Share]]*CompanyDetailsList[[#This Row],[Shares Owned]]</f>
        <v>6383.4122078209821</v>
      </c>
      <c r="X20" s="14">
        <f ca="1">IF(CompanyDetailsList[[#This Row],[Ownership]]="Not Owning",0,CompanyDetailsList[[#This Row],[Price]]/CompanyDetailsList[[#This Row],[Average Cost]]-1)</f>
        <v>0.27706879132549389</v>
      </c>
      <c r="Y20" s="13" cm="1">
        <f t="array" aca="1" ref="Y20" ca="1">_FV(CompanyDetailsList[[#This Row],[Official Name]],"52 week low",TRUE)</f>
        <v>112.4</v>
      </c>
      <c r="Z20" s="13" cm="1">
        <f t="array" aca="1" ref="Z20" ca="1">_FV(CompanyDetailsList[[#This Row],[Official Name]],"52 week high",TRUE)</f>
        <v>134.49</v>
      </c>
    </row>
    <row r="21" spans="2:26" ht="15" customHeight="1">
      <c r="B21" s="7" t="s">
        <v>15</v>
      </c>
      <c r="C21" s="7" t="e" vm="17">
        <v>#VALUE!</v>
      </c>
      <c r="D21" s="7" t="s">
        <v>131</v>
      </c>
      <c r="E21" s="7" t="s">
        <v>102</v>
      </c>
      <c r="F21" s="7" t="s">
        <v>103</v>
      </c>
      <c r="G21" s="7" t="s">
        <v>26</v>
      </c>
      <c r="H21" s="7">
        <v>1.1100000000000001</v>
      </c>
      <c r="I21" s="7" t="str">
        <f>IF(CompanyDetailsList[[#This Row],[Shares Owned]]=0,"Not Owning","Owning")</f>
        <v>Owning</v>
      </c>
      <c r="J21" s="8">
        <f xml:space="preserve">
SUMIFS(StockTransactionsTable[Shares No.],StockTransactionsTable[Transaction Type],"Buy",StockTransactionsTable[Ticker],CompanyDetailsList[[#This Row],[Company Ticker]])
-
SUMIFS(StockTransactionsTable[Shares No.],StockTransactionsTable[Transaction Type],"Sell",StockTransactionsTable[Ticker],CompanyDetailsList[[#This Row],[Company Ticker]])</f>
        <v>140</v>
      </c>
      <c r="K21" s="23">
        <f>_xlfn.XLOOKUP(CompanyDetailsList[[#This Row],[Company Ticker]],StockTransactionsTable[Ticker],StockTransactionsTable[Date],,0,1)</f>
        <v>42150</v>
      </c>
      <c r="L21" s="23">
        <f>_xlfn.LET(
    _xlpm.t, CompanyDetailsList[[#This Row],[Company Ticker]],
    _xlpm.net,
        SUMIFS(StockTransactionsTable[Shares No.], StockTransactionsTable[Transaction Type], "Buy",  StockTransactionsTable[Ticker], _xlpm.t)
      - SUMIFS(StockTransactionsTable[Shares No.], StockTransactionsTable[Transaction Type], "Sell", StockTransactionsTable[Ticker], _xlpm.t),
    _xlpm.res,
        IF(
            _xlpm.net=0,
            IFERROR(
                _xlfn.MAXIFS(StockTransactionsTable[Date], StockTransactionsTable[Transaction Type], "Sell", StockTransactionsTable[Ticker], _xlpm.t),
                ""
            ),
            ""
        ),
    IF(_xlpm.res="", DATE(9999,12,31), _xlpm.res)
)</f>
        <v>2958465</v>
      </c>
      <c r="M21" s="9" cm="1">
        <f t="array" aca="1" ref="M21" ca="1">_FV(CompanyDetailsList[[#This Row],[Official Name]],"Change (%)",TRUE)</f>
        <v>1.3750999999999999E-2</v>
      </c>
      <c r="N21" s="10" cm="1">
        <f t="array" aca="1" ref="N21" ca="1">_FV(CompanyDetailsList[[#This Row],[Official Name]],"Change")</f>
        <v>0.30499999999999999</v>
      </c>
      <c r="O21" s="10">
        <f ca="1">CompanyDetailsList[[#This Row],[Change Today]]*CompanyDetailsList[[#This Row],[Shares Owned]]</f>
        <v>42.699999999999996</v>
      </c>
      <c r="P21" s="8">
        <f>CompanyDetailsList[[#This Row],[Annual Dividend per Share]]*CompanyDetailsList[[#This Row],[Shares Owned]]</f>
        <v>155.4</v>
      </c>
      <c r="Q21" s="12">
        <f>CompanyDetailsList[[#This Row],[Total Annual Dividend Before Tax]]*0.9</f>
        <v>139.86000000000001</v>
      </c>
      <c r="R21" s="13">
        <f>_xlfn.LET(
    _xlpm.t, CompanyDetailsList[[#This Row],[Company Ticker]],
    _xlpm.BuyQty, SUMIFS(StockTransactionsTable[Shares No.],
        StockTransactionsTable[Ticker], _xlpm.t,
        StockTransactionsTable[Transaction Type], "Buy"),
    _xlpm.SellQty, SUMIFS(StockTransactionsTable[Shares No.],
        StockTransactionsTable[Ticker], _xlpm.t,
        StockTransactionsTable[Transaction Type], "Sell"),
    _xlpm.BuyCost, SUMIFS(StockTransactionsTable[Total Amount with Fee],
        StockTransactionsTable[Ticker], _xlpm.t,
        StockTransactionsTable[Transaction Type], "Buy"),
    IF(_xlpm.BuyQty = 0, 0, _xlpm.BuyCost * (_xlpm.BuyQty - _xlpm.SellQty) / _xlpm.BuyQty)
)</f>
        <v>3479.0458726436</v>
      </c>
      <c r="S21" s="13">
        <f>IF(CompanyDetailsList[[#This Row],[Ownership]]="Not Owning",0,CompanyDetailsList[[#This Row],[Total Cost]]/CompanyDetailsList[[#This Row],[Shares Owned]])</f>
        <v>24.85032766174</v>
      </c>
      <c r="T21" s="13" cm="1">
        <f t="array" aca="1" ref="T21" ca="1">_FV(CompanyDetailsList[[#This Row],[Official Name]],"Price")</f>
        <v>22.484999999999999</v>
      </c>
      <c r="U21" s="13">
        <f ca="1">CompanyDetailsList[[#This Row],[Price]]*CompanyDetailsList[[#This Row],[Shares Owned]]</f>
        <v>3147.9</v>
      </c>
      <c r="V21" s="13">
        <f ca="1">CompanyDetailsList[[#This Row],[Price]]-CompanyDetailsList[[#This Row],[Average Cost]]</f>
        <v>-2.3653276617400003</v>
      </c>
      <c r="W21" s="13">
        <f ca="1">CompanyDetailsList[[#This Row],[Profit &amp; Loss per Share]]*CompanyDetailsList[[#This Row],[Shares Owned]]</f>
        <v>-331.14587264360006</v>
      </c>
      <c r="X21" s="14">
        <f ca="1">IF(CompanyDetailsList[[#This Row],[Ownership]]="Not Owning",0,CompanyDetailsList[[#This Row],[Price]]/CompanyDetailsList[[#This Row],[Average Cost]]-1)</f>
        <v>-9.5182956697255183E-2</v>
      </c>
      <c r="Y21" s="13" cm="1">
        <f t="array" aca="1" ref="Y21" ca="1">_FV(CompanyDetailsList[[#This Row],[Official Name]],"52 week low",TRUE)</f>
        <v>19.89</v>
      </c>
      <c r="Z21" s="13" cm="1">
        <f t="array" aca="1" ref="Z21" ca="1">_FV(CompanyDetailsList[[#This Row],[Official Name]],"52 week high",TRUE)</f>
        <v>29.434999999999999</v>
      </c>
    </row>
    <row r="22" spans="2:26" ht="15" customHeight="1">
      <c r="B22" s="7" t="s">
        <v>13</v>
      </c>
      <c r="C22" s="7" t="e" vm="18">
        <v>#VALUE!</v>
      </c>
      <c r="D22" s="7" t="s">
        <v>132</v>
      </c>
      <c r="E22" s="7" t="s">
        <v>60</v>
      </c>
      <c r="F22" s="7" t="s">
        <v>104</v>
      </c>
      <c r="G22" s="7" t="s">
        <v>26</v>
      </c>
      <c r="H22" s="7">
        <v>1.72</v>
      </c>
      <c r="I22" s="7" t="str">
        <f>IF(CompanyDetailsList[[#This Row],[Shares Owned]]=0,"Not Owning","Owning")</f>
        <v>Owning</v>
      </c>
      <c r="J22" s="8">
        <f xml:space="preserve">
SUMIFS(StockTransactionsTable[Shares No.],StockTransactionsTable[Transaction Type],"Buy",StockTransactionsTable[Ticker],CompanyDetailsList[[#This Row],[Company Ticker]])
-
SUMIFS(StockTransactionsTable[Shares No.],StockTransactionsTable[Transaction Type],"Sell",StockTransactionsTable[Ticker],CompanyDetailsList[[#This Row],[Company Ticker]])</f>
        <v>106</v>
      </c>
      <c r="K22" s="23">
        <f>_xlfn.XLOOKUP(CompanyDetailsList[[#This Row],[Company Ticker]],StockTransactionsTable[Ticker],StockTransactionsTable[Date],,0,1)</f>
        <v>42031</v>
      </c>
      <c r="L22" s="23">
        <f>_xlfn.LET(
    _xlpm.t, CompanyDetailsList[[#This Row],[Company Ticker]],
    _xlpm.net,
        SUMIFS(StockTransactionsTable[Shares No.], StockTransactionsTable[Transaction Type], "Buy",  StockTransactionsTable[Ticker], _xlpm.t)
      - SUMIFS(StockTransactionsTable[Shares No.], StockTransactionsTable[Transaction Type], "Sell", StockTransactionsTable[Ticker], _xlpm.t),
    _xlpm.res,
        IF(
            _xlpm.net=0,
            IFERROR(
                _xlfn.MAXIFS(StockTransactionsTable[Date], StockTransactionsTable[Transaction Type], "Sell", StockTransactionsTable[Ticker], _xlpm.t),
                ""
            ),
            ""
        ),
    IF(_xlpm.res="", DATE(9999,12,31), _xlpm.res)
)</f>
        <v>2958465</v>
      </c>
      <c r="M22" s="9" cm="1">
        <f t="array" aca="1" ref="M22" ca="1">_FV(CompanyDetailsList[[#This Row],[Official Name]],"Change (%)",TRUE)</f>
        <v>4.2430000000000002E-3</v>
      </c>
      <c r="N22" s="10" cm="1">
        <f t="array" aca="1" ref="N22" ca="1">_FV(CompanyDetailsList[[#This Row],[Official Name]],"Change")</f>
        <v>0.12</v>
      </c>
      <c r="O22" s="10">
        <f ca="1">CompanyDetailsList[[#This Row],[Change Today]]*CompanyDetailsList[[#This Row],[Shares Owned]]</f>
        <v>12.719999999999999</v>
      </c>
      <c r="P22" s="8">
        <f>CompanyDetailsList[[#This Row],[Annual Dividend per Share]]*CompanyDetailsList[[#This Row],[Shares Owned]]</f>
        <v>182.32</v>
      </c>
      <c r="Q22" s="12">
        <f>CompanyDetailsList[[#This Row],[Total Annual Dividend Before Tax]]*0.9</f>
        <v>164.08799999999999</v>
      </c>
      <c r="R22" s="13">
        <f>_xlfn.LET(
    _xlpm.t, CompanyDetailsList[[#This Row],[Company Ticker]],
    _xlpm.BuyQty, SUMIFS(StockTransactionsTable[Shares No.],
        StockTransactionsTable[Ticker], _xlpm.t,
        StockTransactionsTable[Transaction Type], "Buy"),
    _xlpm.SellQty, SUMIFS(StockTransactionsTable[Shares No.],
        StockTransactionsTable[Ticker], _xlpm.t,
        StockTransactionsTable[Transaction Type], "Sell"),
    _xlpm.BuyCost, SUMIFS(StockTransactionsTable[Total Amount with Fee],
        StockTransactionsTable[Ticker], _xlpm.t,
        StockTransactionsTable[Transaction Type], "Buy"),
    IF(_xlpm.BuyQty = 0, 0, _xlpm.BuyCost * (_xlpm.BuyQty - _xlpm.SellQty) / _xlpm.BuyQty)
)</f>
        <v>3394.2551594478332</v>
      </c>
      <c r="S22" s="13">
        <f>IF(CompanyDetailsList[[#This Row],[Ownership]]="Not Owning",0,CompanyDetailsList[[#This Row],[Total Cost]]/CompanyDetailsList[[#This Row],[Shares Owned]])</f>
        <v>32.021275089130505</v>
      </c>
      <c r="T22" s="13" cm="1">
        <f t="array" aca="1" ref="T22" ca="1">_FV(CompanyDetailsList[[#This Row],[Official Name]],"Price")</f>
        <v>28.4</v>
      </c>
      <c r="U22" s="13">
        <f ca="1">CompanyDetailsList[[#This Row],[Price]]*CompanyDetailsList[[#This Row],[Shares Owned]]</f>
        <v>3010.3999999999996</v>
      </c>
      <c r="V22" s="13">
        <f ca="1">CompanyDetailsList[[#This Row],[Price]]-CompanyDetailsList[[#This Row],[Average Cost]]</f>
        <v>-3.6212750891305063</v>
      </c>
      <c r="W22" s="13">
        <f ca="1">CompanyDetailsList[[#This Row],[Profit &amp; Loss per Share]]*CompanyDetailsList[[#This Row],[Shares Owned]]</f>
        <v>-383.85515944783367</v>
      </c>
      <c r="X22" s="14">
        <f ca="1">IF(CompanyDetailsList[[#This Row],[Ownership]]="Not Owning",0,CompanyDetailsList[[#This Row],[Price]]/CompanyDetailsList[[#This Row],[Average Cost]]-1)</f>
        <v>-0.11308965926718306</v>
      </c>
      <c r="Y22" s="13" cm="1">
        <f t="array" aca="1" ref="Y22" ca="1">_FV(CompanyDetailsList[[#This Row],[Official Name]],"52 week low",TRUE)</f>
        <v>23.62</v>
      </c>
      <c r="Z22" s="13" cm="1">
        <f t="array" aca="1" ref="Z22" ca="1">_FV(CompanyDetailsList[[#This Row],[Official Name]],"52 week high",TRUE)</f>
        <v>29.21</v>
      </c>
    </row>
    <row r="23" spans="2:26" ht="15" customHeight="1">
      <c r="B23" s="7" t="s">
        <v>20</v>
      </c>
      <c r="C23" s="7" t="e" vm="19">
        <v>#VALUE!</v>
      </c>
      <c r="D23" s="7" t="s">
        <v>133</v>
      </c>
      <c r="E23" s="7" t="s">
        <v>58</v>
      </c>
      <c r="F23" s="7" t="s">
        <v>105</v>
      </c>
      <c r="G23" s="7" t="s">
        <v>26</v>
      </c>
      <c r="H23" s="7">
        <v>6.6</v>
      </c>
      <c r="I23" s="7" t="str">
        <f>IF(CompanyDetailsList[[#This Row],[Shares Owned]]=0,"Not Owning","Owning")</f>
        <v>Owning</v>
      </c>
      <c r="J23" s="8">
        <f xml:space="preserve">
SUMIFS(StockTransactionsTable[Shares No.],StockTransactionsTable[Transaction Type],"Buy",StockTransactionsTable[Ticker],CompanyDetailsList[[#This Row],[Company Ticker]])
-
SUMIFS(StockTransactionsTable[Shares No.],StockTransactionsTable[Transaction Type],"Sell",StockTransactionsTable[Ticker],CompanyDetailsList[[#This Row],[Company Ticker]])</f>
        <v>116</v>
      </c>
      <c r="K23" s="23">
        <f>_xlfn.XLOOKUP(CompanyDetailsList[[#This Row],[Company Ticker]],StockTransactionsTable[Ticker],StockTransactionsTable[Date],,0,1)</f>
        <v>42233</v>
      </c>
      <c r="L23" s="23">
        <f>_xlfn.LET(
    _xlpm.t, CompanyDetailsList[[#This Row],[Company Ticker]],
    _xlpm.net,
        SUMIFS(StockTransactionsTable[Shares No.], StockTransactionsTable[Transaction Type], "Buy",  StockTransactionsTable[Ticker], _xlpm.t)
      - SUMIFS(StockTransactionsTable[Shares No.], StockTransactionsTable[Transaction Type], "Sell", StockTransactionsTable[Ticker], _xlpm.t),
    _xlpm.res,
        IF(
            _xlpm.net=0,
            IFERROR(
                _xlfn.MAXIFS(StockTransactionsTable[Date], StockTransactionsTable[Transaction Type], "Sell", StockTransactionsTable[Ticker], _xlpm.t),
                ""
            ),
            ""
        ),
    IF(_xlpm.res="", DATE(9999,12,31), _xlpm.res)
)</f>
        <v>2958465</v>
      </c>
      <c r="M23" s="9" cm="1">
        <f t="array" aca="1" ref="M23" ca="1">_FV(CompanyDetailsList[[#This Row],[Official Name]],"Change (%)",TRUE)</f>
        <v>3.934E-3</v>
      </c>
      <c r="N23" s="10" cm="1">
        <f t="array" aca="1" ref="N23" ca="1">_FV(CompanyDetailsList[[#This Row],[Official Name]],"Change")</f>
        <v>1.31</v>
      </c>
      <c r="O23" s="10">
        <f ca="1">CompanyDetailsList[[#This Row],[Change Today]]*CompanyDetailsList[[#This Row],[Shares Owned]]</f>
        <v>151.96</v>
      </c>
      <c r="P23" s="8">
        <f>CompanyDetailsList[[#This Row],[Annual Dividend per Share]]*CompanyDetailsList[[#This Row],[Shares Owned]]</f>
        <v>765.59999999999991</v>
      </c>
      <c r="Q23" s="12">
        <f>CompanyDetailsList[[#This Row],[Total Annual Dividend Before Tax]]*0.9</f>
        <v>689.04</v>
      </c>
      <c r="R23" s="13">
        <f>_xlfn.LET(
    _xlpm.t, CompanyDetailsList[[#This Row],[Company Ticker]],
    _xlpm.BuyQty, SUMIFS(StockTransactionsTable[Shares No.],
        StockTransactionsTable[Ticker], _xlpm.t,
        StockTransactionsTable[Transaction Type], "Buy"),
    _xlpm.SellQty, SUMIFS(StockTransactionsTable[Shares No.],
        StockTransactionsTable[Ticker], _xlpm.t,
        StockTransactionsTable[Transaction Type], "Sell"),
    _xlpm.BuyCost, SUMIFS(StockTransactionsTable[Total Amount with Fee],
        StockTransactionsTable[Ticker], _xlpm.t,
        StockTransactionsTable[Transaction Type], "Buy"),
    IF(_xlpm.BuyQty = 0, 0, _xlpm.BuyCost * (_xlpm.BuyQty - _xlpm.SellQty) / _xlpm.BuyQty)
)</f>
        <v>12548.424902422968</v>
      </c>
      <c r="S23" s="13">
        <f>IF(CompanyDetailsList[[#This Row],[Ownership]]="Not Owning",0,CompanyDetailsList[[#This Row],[Total Cost]]/CompanyDetailsList[[#This Row],[Shares Owned]])</f>
        <v>108.1760767450256</v>
      </c>
      <c r="T23" s="13" cm="1">
        <f t="array" aca="1" ref="T23" ca="1">_FV(CompanyDetailsList[[#This Row],[Official Name]],"Price")</f>
        <v>334.3</v>
      </c>
      <c r="U23" s="13">
        <f ca="1">CompanyDetailsList[[#This Row],[Price]]*CompanyDetailsList[[#This Row],[Shares Owned]]</f>
        <v>38778.800000000003</v>
      </c>
      <c r="V23" s="13">
        <f ca="1">CompanyDetailsList[[#This Row],[Price]]-CompanyDetailsList[[#This Row],[Average Cost]]</f>
        <v>226.12392325497441</v>
      </c>
      <c r="W23" s="13">
        <f ca="1">CompanyDetailsList[[#This Row],[Profit &amp; Loss per Share]]*CompanyDetailsList[[#This Row],[Shares Owned]]</f>
        <v>26230.375097577031</v>
      </c>
      <c r="X23" s="14">
        <f ca="1">IF(CompanyDetailsList[[#This Row],[Ownership]]="Not Owning",0,CompanyDetailsList[[#This Row],[Price]]/CompanyDetailsList[[#This Row],[Average Cost]]-1)</f>
        <v>2.0903320776547996</v>
      </c>
      <c r="Y23" s="13" cm="1">
        <f t="array" aca="1" ref="Y23" ca="1">_FV(CompanyDetailsList[[#This Row],[Official Name]],"52 week low",TRUE)</f>
        <v>279.10000000000002</v>
      </c>
      <c r="Z23" s="13" cm="1">
        <f t="array" aca="1" ref="Z23" ca="1">_FV(CompanyDetailsList[[#This Row],[Official Name]],"52 week high",TRUE)</f>
        <v>366.5</v>
      </c>
    </row>
    <row r="24" spans="2:26" ht="15" customHeight="1">
      <c r="B24" s="7" t="s">
        <v>106</v>
      </c>
      <c r="C24" s="7" t="e" vm="20">
        <v>#VALUE!</v>
      </c>
      <c r="D24" s="7" t="s">
        <v>134</v>
      </c>
      <c r="E24" s="7" t="s">
        <v>63</v>
      </c>
      <c r="F24" s="7" t="s">
        <v>107</v>
      </c>
      <c r="G24" s="7" t="s">
        <v>26</v>
      </c>
      <c r="H24" s="7">
        <v>2.96</v>
      </c>
      <c r="I24" s="7" t="str">
        <f>IF(CompanyDetailsList[[#This Row],[Shares Owned]]=0,"Not Owning","Owning")</f>
        <v>Owning</v>
      </c>
      <c r="J24" s="8">
        <f xml:space="preserve">
SUMIFS(StockTransactionsTable[Shares No.],StockTransactionsTable[Transaction Type],"Buy",StockTransactionsTable[Ticker],CompanyDetailsList[[#This Row],[Company Ticker]])
-
SUMIFS(StockTransactionsTable[Shares No.],StockTransactionsTable[Transaction Type],"Sell",StockTransactionsTable[Ticker],CompanyDetailsList[[#This Row],[Company Ticker]])</f>
        <v>79</v>
      </c>
      <c r="K24" s="23">
        <f>_xlfn.XLOOKUP(CompanyDetailsList[[#This Row],[Company Ticker]],StockTransactionsTable[Ticker],StockTransactionsTable[Date],,0,1)</f>
        <v>42583</v>
      </c>
      <c r="L24" s="23">
        <f>_xlfn.LET(
    _xlpm.t, CompanyDetailsList[[#This Row],[Company Ticker]],
    _xlpm.net,
        SUMIFS(StockTransactionsTable[Shares No.], StockTransactionsTable[Transaction Type], "Buy",  StockTransactionsTable[Ticker], _xlpm.t)
      - SUMIFS(StockTransactionsTable[Shares No.], StockTransactionsTable[Transaction Type], "Sell", StockTransactionsTable[Ticker], _xlpm.t),
    _xlpm.res,
        IF(
            _xlpm.net=0,
            IFERROR(
                _xlfn.MAXIFS(StockTransactionsTable[Date], StockTransactionsTable[Transaction Type], "Sell", StockTransactionsTable[Ticker], _xlpm.t),
                ""
            ),
            ""
        ),
    IF(_xlpm.res="", DATE(9999,12,31), _xlpm.res)
)</f>
        <v>2958465</v>
      </c>
      <c r="M24" s="9" cm="1">
        <f t="array" aca="1" ref="M24" ca="1">_FV(CompanyDetailsList[[#This Row],[Official Name]],"Change (%)",TRUE)</f>
        <v>-2.405E-3</v>
      </c>
      <c r="N24" s="10" cm="1">
        <f t="array" aca="1" ref="N24" ca="1">_FV(CompanyDetailsList[[#This Row],[Official Name]],"Change")</f>
        <v>-0.25</v>
      </c>
      <c r="O24" s="10">
        <f ca="1">CompanyDetailsList[[#This Row],[Change Today]]*CompanyDetailsList[[#This Row],[Shares Owned]]</f>
        <v>-19.75</v>
      </c>
      <c r="P24" s="8">
        <f>CompanyDetailsList[[#This Row],[Annual Dividend per Share]]*CompanyDetailsList[[#This Row],[Shares Owned]]</f>
        <v>233.84</v>
      </c>
      <c r="Q24" s="12">
        <f>CompanyDetailsList[[#This Row],[Total Annual Dividend Before Tax]]*0.9</f>
        <v>210.45600000000002</v>
      </c>
      <c r="R24" s="13">
        <f>_xlfn.LET(
    _xlpm.t, CompanyDetailsList[[#This Row],[Company Ticker]],
    _xlpm.BuyQty, SUMIFS(StockTransactionsTable[Shares No.],
        StockTransactionsTable[Ticker], _xlpm.t,
        StockTransactionsTable[Transaction Type], "Buy"),
    _xlpm.SellQty, SUMIFS(StockTransactionsTable[Shares No.],
        StockTransactionsTable[Ticker], _xlpm.t,
        StockTransactionsTable[Transaction Type], "Sell"),
    _xlpm.BuyCost, SUMIFS(StockTransactionsTable[Total Amount with Fee],
        StockTransactionsTable[Ticker], _xlpm.t,
        StockTransactionsTable[Transaction Type], "Buy"),
    IF(_xlpm.BuyQty = 0, 0, _xlpm.BuyCost * (_xlpm.BuyQty - _xlpm.SellQty) / _xlpm.BuyQty)
)</f>
        <v>8575.3478914575226</v>
      </c>
      <c r="S24" s="13">
        <f>IF(CompanyDetailsList[[#This Row],[Ownership]]="Not Owning",0,CompanyDetailsList[[#This Row],[Total Cost]]/CompanyDetailsList[[#This Row],[Shares Owned]])</f>
        <v>108.54870748680408</v>
      </c>
      <c r="T24" s="13" cm="1">
        <f t="array" aca="1" ref="T24" ca="1">_FV(CompanyDetailsList[[#This Row],[Official Name]],"Price")</f>
        <v>103.71</v>
      </c>
      <c r="U24" s="13">
        <f ca="1">CompanyDetailsList[[#This Row],[Price]]*CompanyDetailsList[[#This Row],[Shares Owned]]</f>
        <v>8193.09</v>
      </c>
      <c r="V24" s="13">
        <f ca="1">CompanyDetailsList[[#This Row],[Price]]-CompanyDetailsList[[#This Row],[Average Cost]]</f>
        <v>-4.8387074868040827</v>
      </c>
      <c r="W24" s="13">
        <f ca="1">CompanyDetailsList[[#This Row],[Profit &amp; Loss per Share]]*CompanyDetailsList[[#This Row],[Shares Owned]]</f>
        <v>-382.25789145752253</v>
      </c>
      <c r="X24" s="14">
        <f ca="1">IF(CompanyDetailsList[[#This Row],[Ownership]]="Not Owning",0,CompanyDetailsList[[#This Row],[Price]]/CompanyDetailsList[[#This Row],[Average Cost]]-1)</f>
        <v>-4.4576371279154148E-2</v>
      </c>
      <c r="Y24" s="13" cm="1">
        <f t="array" aca="1" ref="Y24" ca="1">_FV(CompanyDetailsList[[#This Row],[Official Name]],"52 week low",TRUE)</f>
        <v>93.385000000000005</v>
      </c>
      <c r="Z24" s="13" cm="1">
        <f t="array" aca="1" ref="Z24" ca="1">_FV(CompanyDetailsList[[#This Row],[Official Name]],"52 week high",TRUE)</f>
        <v>133.43</v>
      </c>
    </row>
  </sheetData>
  <phoneticPr fontId="4" type="noConversion"/>
  <conditionalFormatting sqref="B5:Z24">
    <cfRule type="expression" dxfId="3" priority="10">
      <formula>$J5=0</formula>
    </cfRule>
  </conditionalFormatting>
  <hyperlinks>
    <hyperlink ref="A2" location="Menu!A1" display="☰ Menu" xr:uid="{24382137-61D1-4C19-B965-21153CD2EB44}"/>
  </hyperlink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48F71-2095-475C-9E03-5EF95C6E8351}">
  <dimension ref="A2:F147"/>
  <sheetViews>
    <sheetView showGridLines="0" topLeftCell="A130" zoomScaleNormal="100" workbookViewId="0">
      <selection activeCell="E144" sqref="E144"/>
    </sheetView>
  </sheetViews>
  <sheetFormatPr defaultRowHeight="15"/>
  <cols>
    <col min="1" max="1" width="8.7109375" bestFit="1" customWidth="1"/>
    <col min="2" max="2" width="17.28515625" customWidth="1"/>
    <col min="3" max="3" width="9.5703125" bestFit="1" customWidth="1"/>
    <col min="4" max="4" width="11.5703125" bestFit="1" customWidth="1"/>
    <col min="6" max="7" width="9.28515625" bestFit="1" customWidth="1"/>
    <col min="8" max="8" width="9.5703125" bestFit="1" customWidth="1"/>
    <col min="10" max="10" width="35.7109375" bestFit="1" customWidth="1"/>
    <col min="12" max="13" width="9.28515625" bestFit="1" customWidth="1"/>
    <col min="14" max="14" width="9.5703125" bestFit="1" customWidth="1"/>
  </cols>
  <sheetData>
    <row r="2" spans="1:6" s="25" customFormat="1">
      <c r="A2" s="30" t="s">
        <v>115</v>
      </c>
      <c r="B2" s="31" t="s">
        <v>108</v>
      </c>
    </row>
    <row r="4" spans="1:6">
      <c r="B4" s="27" t="s">
        <v>52</v>
      </c>
      <c r="C4" s="26"/>
      <c r="D4" s="26"/>
      <c r="E4" s="26"/>
      <c r="F4" s="26"/>
    </row>
    <row r="5" spans="1:6">
      <c r="B5" s="2" t="s">
        <v>0</v>
      </c>
      <c r="C5" s="2" t="s">
        <v>43</v>
      </c>
      <c r="D5" s="2" t="s">
        <v>42</v>
      </c>
      <c r="E5" s="2" t="s">
        <v>44</v>
      </c>
      <c r="F5" s="2" t="s">
        <v>51</v>
      </c>
    </row>
    <row r="6" spans="1:6">
      <c r="B6" s="1">
        <f t="shared" ref="B6:B37" ca="1" si="0">IF(
    AND(
        MONTH(EOMONTH(DATE(2015,1,31), ROW()-4)) = MONTH(TODAY()),
        YEAR(EOMONTH(DATE(2015,1,31), ROW()-4)) = YEAR(TODAY())
    ),
    TODAY(),
    EOMONTH(DATE(2015,1,31), ROW()-4)
)</f>
        <v>42094</v>
      </c>
      <c r="C6" s="18">
        <f>1</f>
        <v>1</v>
      </c>
      <c r="D6" s="18" cm="1" vm="21">
        <f t="array" aca="1" ref="D6" ca="1">_xlfn.STOCKHISTORY("EURUSD",CurrencyConversionFromUSDList[[#This Row],[Date]],CurrencyConversionFromUSDList[[#This Row],[Date]],2,0,1)</f>
        <v>1.073</v>
      </c>
      <c r="E6" s="22" cm="1" vm="22">
        <f t="array" aca="1" ref="E6" ca="1">_xlfn.STOCKHISTORY("HUFUSD",CurrencyConversionFromUSDList[[#This Row],[Date]],CurrencyConversionFromUSDList[[#This Row],[Date]],2,0,1)</f>
        <v>3.5690000000000001E-3</v>
      </c>
      <c r="F6" s="21" cm="1" vm="23">
        <f t="array" aca="1" ref="F6" ca="1">_xlfn.STOCKHISTORY("RONUSD",CurrencyConversionFromUSDList[[#This Row],[Date]],CurrencyConversionFromUSDList[[#This Row],[Date]],2,0,1)</f>
        <v>0.24299999999999999</v>
      </c>
    </row>
    <row r="7" spans="1:6">
      <c r="B7" s="1">
        <f t="shared" ca="1" si="0"/>
        <v>42124</v>
      </c>
      <c r="C7" s="18">
        <f>1</f>
        <v>1</v>
      </c>
      <c r="D7" s="18" cm="1" vm="24">
        <f t="array" aca="1" ref="D7" ca="1">_xlfn.STOCKHISTORY("EURUSD",CurrencyConversionFromUSDList[[#This Row],[Date]],CurrencyConversionFromUSDList[[#This Row],[Date]],2,0,1)</f>
        <v>1.1222000000000001</v>
      </c>
      <c r="E7" s="22" cm="1" vm="25">
        <f t="array" aca="1" ref="E7" ca="1">_xlfn.STOCKHISTORY("HUFUSD",CurrencyConversionFromUSDList[[#This Row],[Date]],CurrencyConversionFromUSDList[[#This Row],[Date]],2,0,1)</f>
        <v>3.6930000000000001E-3</v>
      </c>
      <c r="F7" s="21" cm="1" vm="26">
        <f t="array" aca="1" ref="F7" ca="1">_xlfn.STOCKHISTORY("RONUSD",CurrencyConversionFromUSDList[[#This Row],[Date]],CurrencyConversionFromUSDList[[#This Row],[Date]],2,0,1)</f>
        <v>0.25390000000000001</v>
      </c>
    </row>
    <row r="8" spans="1:6">
      <c r="B8" s="1">
        <f t="shared" ca="1" si="0"/>
        <v>42155</v>
      </c>
      <c r="C8" s="18">
        <f>1</f>
        <v>1</v>
      </c>
      <c r="D8" s="18" cm="1" vm="27">
        <f t="array" aca="1" ref="D8" ca="1">_xlfn.STOCKHISTORY("EURUSD",CurrencyConversionFromUSDList[[#This Row],[Date]],CurrencyConversionFromUSDList[[#This Row],[Date]],2,0,1)</f>
        <v>1.0987</v>
      </c>
      <c r="E8" s="22" cm="1" vm="28">
        <f t="array" aca="1" ref="E8" ca="1">_xlfn.STOCKHISTORY("HUFUSD",CurrencyConversionFromUSDList[[#This Row],[Date]],CurrencyConversionFromUSDList[[#This Row],[Date]],2,0,1)</f>
        <v>3.5490000000000001E-3</v>
      </c>
      <c r="F8" s="21" cm="1" vm="29">
        <f t="array" aca="1" ref="F8" ca="1">_xlfn.STOCKHISTORY("RONUSD",CurrencyConversionFromUSDList[[#This Row],[Date]],CurrencyConversionFromUSDList[[#This Row],[Date]],2,0,1)</f>
        <v>0.2472</v>
      </c>
    </row>
    <row r="9" spans="1:6">
      <c r="B9" s="1">
        <f t="shared" ca="1" si="0"/>
        <v>42185</v>
      </c>
      <c r="C9" s="18">
        <f>1</f>
        <v>1</v>
      </c>
      <c r="D9" s="18" cm="1" vm="30">
        <f t="array" aca="1" ref="D9" ca="1">_xlfn.STOCKHISTORY("EURUSD",CurrencyConversionFromUSDList[[#This Row],[Date]],CurrencyConversionFromUSDList[[#This Row],[Date]],2,0,1)</f>
        <v>1.1134999999999999</v>
      </c>
      <c r="E9" s="22" cm="1" vm="31">
        <f t="array" aca="1" ref="E9" ca="1">_xlfn.STOCKHISTORY("HUFUSD",CurrencyConversionFromUSDList[[#This Row],[Date]],CurrencyConversionFromUSDList[[#This Row],[Date]],2,0,1)</f>
        <v>3.5309999999999999E-3</v>
      </c>
      <c r="F9" s="21" cm="1" vm="32">
        <f t="array" aca="1" ref="F9" ca="1">_xlfn.STOCKHISTORY("RONUSD",CurrencyConversionFromUSDList[[#This Row],[Date]],CurrencyConversionFromUSDList[[#This Row],[Date]],2,0,1)</f>
        <v>0.24879999999999999</v>
      </c>
    </row>
    <row r="10" spans="1:6">
      <c r="B10" s="1">
        <f t="shared" ca="1" si="0"/>
        <v>42216</v>
      </c>
      <c r="C10" s="18">
        <f>1</f>
        <v>1</v>
      </c>
      <c r="D10" s="18" cm="1" vm="27">
        <f t="array" aca="1" ref="D10" ca="1">_xlfn.STOCKHISTORY("EURUSD",CurrencyConversionFromUSDList[[#This Row],[Date]],CurrencyConversionFromUSDList[[#This Row],[Date]],2,0,1)</f>
        <v>1.0987</v>
      </c>
      <c r="E10" s="22" cm="1" vm="33">
        <f t="array" aca="1" ref="E10" ca="1">_xlfn.STOCKHISTORY("HUFUSD",CurrencyConversionFromUSDList[[#This Row],[Date]],CurrencyConversionFromUSDList[[#This Row],[Date]],2,0,1)</f>
        <v>3.5739999999999999E-3</v>
      </c>
      <c r="F10" s="21" cm="1" vm="34">
        <f t="array" aca="1" ref="F10" ca="1">_xlfn.STOCKHISTORY("RONUSD",CurrencyConversionFromUSDList[[#This Row],[Date]],CurrencyConversionFromUSDList[[#This Row],[Date]],2,0,1)</f>
        <v>0.249</v>
      </c>
    </row>
    <row r="11" spans="1:6">
      <c r="B11" s="1">
        <f t="shared" ca="1" si="0"/>
        <v>42247</v>
      </c>
      <c r="C11" s="18">
        <f>1</f>
        <v>1</v>
      </c>
      <c r="D11" s="18" cm="1" vm="35">
        <f t="array" aca="1" ref="D11" ca="1">_xlfn.STOCKHISTORY("EURUSD",CurrencyConversionFromUSDList[[#This Row],[Date]],CurrencyConversionFromUSDList[[#This Row],[Date]],2,0,1)</f>
        <v>1.1211</v>
      </c>
      <c r="E11" s="22" cm="1" vm="36">
        <f t="array" aca="1" ref="E11" ca="1">_xlfn.STOCKHISTORY("HUFUSD",CurrencyConversionFromUSDList[[#This Row],[Date]],CurrencyConversionFromUSDList[[#This Row],[Date]],2,0,1)</f>
        <v>3.5729999999999998E-3</v>
      </c>
      <c r="F11" s="21" cm="1" vm="37">
        <f t="array" aca="1" ref="F11" ca="1">_xlfn.STOCKHISTORY("RONUSD",CurrencyConversionFromUSDList[[#This Row],[Date]],CurrencyConversionFromUSDList[[#This Row],[Date]],2,0,1)</f>
        <v>0.25290000000000001</v>
      </c>
    </row>
    <row r="12" spans="1:6">
      <c r="B12" s="1">
        <f t="shared" ca="1" si="0"/>
        <v>42277</v>
      </c>
      <c r="C12" s="18">
        <f>1</f>
        <v>1</v>
      </c>
      <c r="D12" s="18" cm="1" vm="38">
        <f t="array" aca="1" ref="D12" ca="1">_xlfn.STOCKHISTORY("EURUSD",CurrencyConversionFromUSDList[[#This Row],[Date]],CurrencyConversionFromUSDList[[#This Row],[Date]],2,0,1)</f>
        <v>1.1175999999999999</v>
      </c>
      <c r="E12" s="22" cm="1" vm="39">
        <f t="array" aca="1" ref="E12" ca="1">_xlfn.STOCKHISTORY("HUFUSD",CurrencyConversionFromUSDList[[#This Row],[Date]],CurrencyConversionFromUSDList[[#This Row],[Date]],2,0,1)</f>
        <v>3.5599999999999998E-3</v>
      </c>
      <c r="F12" s="21" cm="1" vm="40">
        <f t="array" aca="1" ref="F12" ca="1">_xlfn.STOCKHISTORY("RONUSD",CurrencyConversionFromUSDList[[#This Row],[Date]],CurrencyConversionFromUSDList[[#This Row],[Date]],2,0,1)</f>
        <v>0.25269999999999998</v>
      </c>
    </row>
    <row r="13" spans="1:6">
      <c r="B13" s="1">
        <f t="shared" ca="1" si="0"/>
        <v>42308</v>
      </c>
      <c r="C13" s="18">
        <f>1</f>
        <v>1</v>
      </c>
      <c r="D13" s="18" cm="1" vm="41">
        <f t="array" aca="1" ref="D13" ca="1">_xlfn.STOCKHISTORY("EURUSD",CurrencyConversionFromUSDList[[#This Row],[Date]],CurrencyConversionFromUSDList[[#This Row],[Date]],2,0,1)</f>
        <v>1.1005</v>
      </c>
      <c r="E13" s="22" cm="1" vm="42">
        <f t="array" aca="1" ref="E13" ca="1">_xlfn.STOCKHISTORY("HUFUSD",CurrencyConversionFromUSDList[[#This Row],[Date]],CurrencyConversionFromUSDList[[#This Row],[Date]],2,0,1)</f>
        <v>3.5409999999999999E-3</v>
      </c>
      <c r="F13" s="21" cm="1" vm="43">
        <f t="array" aca="1" ref="F13" ca="1">_xlfn.STOCKHISTORY("RONUSD",CurrencyConversionFromUSDList[[#This Row],[Date]],CurrencyConversionFromUSDList[[#This Row],[Date]],2,0,1)</f>
        <v>0.24809999999999999</v>
      </c>
    </row>
    <row r="14" spans="1:6">
      <c r="B14" s="1">
        <f t="shared" ca="1" si="0"/>
        <v>42338</v>
      </c>
      <c r="C14" s="18">
        <f>1</f>
        <v>1</v>
      </c>
      <c r="D14" s="18" cm="1" vm="44">
        <f t="array" aca="1" ref="D14" ca="1">_xlfn.STOCKHISTORY("EURUSD",CurrencyConversionFromUSDList[[#This Row],[Date]],CurrencyConversionFromUSDList[[#This Row],[Date]],2,0,1)</f>
        <v>1.0563</v>
      </c>
      <c r="E14" s="22" cm="1" vm="45">
        <f t="array" aca="1" ref="E14" ca="1">_xlfn.STOCKHISTORY("HUFUSD",CurrencyConversionFromUSDList[[#This Row],[Date]],CurrencyConversionFromUSDList[[#This Row],[Date]],2,0,1)</f>
        <v>3.3939999999999999E-3</v>
      </c>
      <c r="F14" s="21" cm="1" vm="46">
        <f t="array" aca="1" ref="F14" ca="1">_xlfn.STOCKHISTORY("RONUSD",CurrencyConversionFromUSDList[[#This Row],[Date]],CurrencyConversionFromUSDList[[#This Row],[Date]],2,0,1)</f>
        <v>0.23680000000000001</v>
      </c>
    </row>
    <row r="15" spans="1:6">
      <c r="B15" s="1">
        <f t="shared" ca="1" si="0"/>
        <v>42369</v>
      </c>
      <c r="C15" s="18">
        <f>1</f>
        <v>1</v>
      </c>
      <c r="D15" s="18" cm="1" vm="47">
        <f t="array" aca="1" ref="D15" ca="1">_xlfn.STOCKHISTORY("EURUSD",CurrencyConversionFromUSDList[[#This Row],[Date]],CurrencyConversionFromUSDList[[#This Row],[Date]],2,0,1)</f>
        <v>1.0860000000000001</v>
      </c>
      <c r="E15" s="22" cm="1" vm="48">
        <f t="array" aca="1" ref="E15" ca="1">_xlfn.STOCKHISTORY("HUFUSD",CurrencyConversionFromUSDList[[#This Row],[Date]],CurrencyConversionFromUSDList[[#This Row],[Date]],2,0,1)</f>
        <v>3.4329999999999999E-3</v>
      </c>
      <c r="F15" s="21" cm="1" vm="49">
        <f t="array" aca="1" ref="F15" ca="1">_xlfn.STOCKHISTORY("RONUSD",CurrencyConversionFromUSDList[[#This Row],[Date]],CurrencyConversionFromUSDList[[#This Row],[Date]],2,0,1)</f>
        <v>0.24030000000000001</v>
      </c>
    </row>
    <row r="16" spans="1:6">
      <c r="B16" s="1">
        <f t="shared" ca="1" si="0"/>
        <v>42400</v>
      </c>
      <c r="C16" s="18">
        <f>1</f>
        <v>1</v>
      </c>
      <c r="D16" s="18" cm="1" vm="50">
        <f t="array" aca="1" ref="D16" ca="1">_xlfn.STOCKHISTORY("EURUSD",CurrencyConversionFromUSDList[[#This Row],[Date]],CurrencyConversionFromUSDList[[#This Row],[Date]],2,0,1)</f>
        <v>1.0833999999999999</v>
      </c>
      <c r="E16" s="22" cm="1" vm="51">
        <f t="array" aca="1" ref="E16" ca="1">_xlfn.STOCKHISTORY("HUFUSD",CurrencyConversionFromUSDList[[#This Row],[Date]],CurrencyConversionFromUSDList[[#This Row],[Date]],2,0,1)</f>
        <v>3.4740000000000001E-3</v>
      </c>
      <c r="F16" s="21" cm="1" vm="52">
        <f t="array" aca="1" ref="F16" ca="1">_xlfn.STOCKHISTORY("RONUSD",CurrencyConversionFromUSDList[[#This Row],[Date]],CurrencyConversionFromUSDList[[#This Row],[Date]],2,0,1)</f>
        <v>0.23860000000000001</v>
      </c>
    </row>
    <row r="17" spans="2:6">
      <c r="B17" s="1">
        <f t="shared" ca="1" si="0"/>
        <v>42429</v>
      </c>
      <c r="C17" s="18">
        <f>1</f>
        <v>1</v>
      </c>
      <c r="D17" s="18" cm="1" vm="53">
        <f t="array" aca="1" ref="D17" ca="1">_xlfn.STOCKHISTORY("EURUSD",CurrencyConversionFromUSDList[[#This Row],[Date]],CurrencyConversionFromUSDList[[#This Row],[Date]],2,0,1)</f>
        <v>1.0871</v>
      </c>
      <c r="E17" s="22" cm="1" vm="54">
        <f t="array" aca="1" ref="E17" ca="1">_xlfn.STOCKHISTORY("HUFUSD",CurrencyConversionFromUSDList[[#This Row],[Date]],CurrencyConversionFromUSDList[[#This Row],[Date]],2,0,1)</f>
        <v>3.5000000000000001E-3</v>
      </c>
      <c r="F17" s="21" cm="1" vm="55">
        <f t="array" aca="1" ref="F17" ca="1">_xlfn.STOCKHISTORY("RONUSD",CurrencyConversionFromUSDList[[#This Row],[Date]],CurrencyConversionFromUSDList[[#This Row],[Date]],2,0,1)</f>
        <v>0.2429</v>
      </c>
    </row>
    <row r="18" spans="2:6">
      <c r="B18" s="1">
        <f t="shared" ca="1" si="0"/>
        <v>42460</v>
      </c>
      <c r="C18" s="18">
        <f>1</f>
        <v>1</v>
      </c>
      <c r="D18" s="18" cm="1" vm="56">
        <f t="array" aca="1" ref="D18" ca="1">_xlfn.STOCKHISTORY("EURUSD",CurrencyConversionFromUSDList[[#This Row],[Date]],CurrencyConversionFromUSDList[[#This Row],[Date]],2,0,1)</f>
        <v>1.1377999999999999</v>
      </c>
      <c r="E18" s="22" cm="1" vm="57">
        <f t="array" aca="1" ref="E18" ca="1">_xlfn.STOCKHISTORY("HUFUSD",CurrencyConversionFromUSDList[[#This Row],[Date]],CurrencyConversionFromUSDList[[#This Row],[Date]],2,0,1)</f>
        <v>3.62E-3</v>
      </c>
      <c r="F18" s="21" cm="1" vm="58">
        <f t="array" aca="1" ref="F18" ca="1">_xlfn.STOCKHISTORY("RONUSD",CurrencyConversionFromUSDList[[#This Row],[Date]],CurrencyConversionFromUSDList[[#This Row],[Date]],2,0,1)</f>
        <v>0.25430000000000003</v>
      </c>
    </row>
    <row r="19" spans="2:6">
      <c r="B19" s="1">
        <f t="shared" ca="1" si="0"/>
        <v>42490</v>
      </c>
      <c r="C19" s="18">
        <f>1</f>
        <v>1</v>
      </c>
      <c r="D19" s="18" cm="1" vm="59">
        <f t="array" aca="1" ref="D19" ca="1">_xlfn.STOCKHISTORY("EURUSD",CurrencyConversionFromUSDList[[#This Row],[Date]],CurrencyConversionFromUSDList[[#This Row],[Date]],2,0,1)</f>
        <v>1.1454</v>
      </c>
      <c r="E19" s="22" cm="1" vm="60">
        <f t="array" aca="1" ref="E19" ca="1">_xlfn.STOCKHISTORY("HUFUSD",CurrencyConversionFromUSDList[[#This Row],[Date]],CurrencyConversionFromUSDList[[#This Row],[Date]],2,0,1)</f>
        <v>3.6649999999999999E-3</v>
      </c>
      <c r="F19" s="21" cm="1" vm="61">
        <f t="array" aca="1" ref="F19" ca="1">_xlfn.STOCKHISTORY("RONUSD",CurrencyConversionFromUSDList[[#This Row],[Date]],CurrencyConversionFromUSDList[[#This Row],[Date]],2,0,1)</f>
        <v>0.2555</v>
      </c>
    </row>
    <row r="20" spans="2:6">
      <c r="B20" s="1">
        <f t="shared" ca="1" si="0"/>
        <v>42521</v>
      </c>
      <c r="C20" s="18">
        <f>1</f>
        <v>1</v>
      </c>
      <c r="D20" s="18" cm="1" vm="62">
        <f t="array" aca="1" ref="D20" ca="1">_xlfn.STOCKHISTORY("EURUSD",CurrencyConversionFromUSDList[[#This Row],[Date]],CurrencyConversionFromUSDList[[#This Row],[Date]],2,0,1)</f>
        <v>1.1129</v>
      </c>
      <c r="E20" s="22" cm="1" vm="63">
        <f t="array" aca="1" ref="E20" ca="1">_xlfn.STOCKHISTORY("HUFUSD",CurrencyConversionFromUSDList[[#This Row],[Date]],CurrencyConversionFromUSDList[[#This Row],[Date]],2,0,1)</f>
        <v>3.5469999999999998E-3</v>
      </c>
      <c r="F20" s="21" cm="1" vm="64">
        <f t="array" aca="1" ref="F20" ca="1">_xlfn.STOCKHISTORY("RONUSD",CurrencyConversionFromUSDList[[#This Row],[Date]],CurrencyConversionFromUSDList[[#This Row],[Date]],2,0,1)</f>
        <v>0.2462</v>
      </c>
    </row>
    <row r="21" spans="2:6">
      <c r="B21" s="1">
        <f t="shared" ca="1" si="0"/>
        <v>42551</v>
      </c>
      <c r="C21" s="18">
        <f>1</f>
        <v>1</v>
      </c>
      <c r="D21" s="18" cm="1" vm="65">
        <f t="array" aca="1" ref="D21" ca="1">_xlfn.STOCKHISTORY("EURUSD",CurrencyConversionFromUSDList[[#This Row],[Date]],CurrencyConversionFromUSDList[[#This Row],[Date]],2,0,1)</f>
        <v>1.1104000000000001</v>
      </c>
      <c r="E21" s="22" cm="1" vm="66">
        <f t="array" aca="1" ref="E21" ca="1">_xlfn.STOCKHISTORY("HUFUSD",CurrencyConversionFromUSDList[[#This Row],[Date]],CurrencyConversionFromUSDList[[#This Row],[Date]],2,0,1)</f>
        <v>3.5119999999999999E-3</v>
      </c>
      <c r="F21" s="21" cm="1" vm="67">
        <f t="array" aca="1" ref="F21" ca="1">_xlfn.STOCKHISTORY("RONUSD",CurrencyConversionFromUSDList[[#This Row],[Date]],CurrencyConversionFromUSDList[[#This Row],[Date]],2,0,1)</f>
        <v>0.24529999999999999</v>
      </c>
    </row>
    <row r="22" spans="2:6">
      <c r="B22" s="1">
        <f t="shared" ca="1" si="0"/>
        <v>42582</v>
      </c>
      <c r="C22" s="18">
        <f>1</f>
        <v>1</v>
      </c>
      <c r="D22" s="18" cm="1" vm="68">
        <f t="array" aca="1" ref="D22" ca="1">_xlfn.STOCKHISTORY("EURUSD",CurrencyConversionFromUSDList[[#This Row],[Date]],CurrencyConversionFromUSDList[[#This Row],[Date]],2,0,1)</f>
        <v>1.117</v>
      </c>
      <c r="E22" s="22" cm="1" vm="69">
        <f t="array" aca="1" ref="E22" ca="1">_xlfn.STOCKHISTORY("HUFUSD",CurrencyConversionFromUSDList[[#This Row],[Date]],CurrencyConversionFromUSDList[[#This Row],[Date]],2,0,1)</f>
        <v>3.5799999999999998E-3</v>
      </c>
      <c r="F22" s="21" cm="1" vm="70">
        <f t="array" aca="1" ref="F22" ca="1">_xlfn.STOCKHISTORY("RONUSD",CurrencyConversionFromUSDList[[#This Row],[Date]],CurrencyConversionFromUSDList[[#This Row],[Date]],2,0,1)</f>
        <v>0.24979999999999999</v>
      </c>
    </row>
    <row r="23" spans="2:6">
      <c r="B23" s="1">
        <f t="shared" ca="1" si="0"/>
        <v>42613</v>
      </c>
      <c r="C23" s="18">
        <f>1</f>
        <v>1</v>
      </c>
      <c r="D23" s="18" cm="1" vm="71">
        <f t="array" aca="1" ref="D23" ca="1">_xlfn.STOCKHISTORY("EURUSD",CurrencyConversionFromUSDList[[#This Row],[Date]],CurrencyConversionFromUSDList[[#This Row],[Date]],2,0,1)</f>
        <v>1.1155999999999999</v>
      </c>
      <c r="E23" s="22" cm="1" vm="72">
        <f t="array" aca="1" ref="E23" ca="1">_xlfn.STOCKHISTORY("HUFUSD",CurrencyConversionFromUSDList[[#This Row],[Date]],CurrencyConversionFromUSDList[[#This Row],[Date]],2,0,1)</f>
        <v>3.5990000000000002E-3</v>
      </c>
      <c r="F23" s="21" cm="1" vm="73">
        <f t="array" aca="1" ref="F23" ca="1">_xlfn.STOCKHISTORY("RONUSD",CurrencyConversionFromUSDList[[#This Row],[Date]],CurrencyConversionFromUSDList[[#This Row],[Date]],2,0,1)</f>
        <v>0.25030000000000002</v>
      </c>
    </row>
    <row r="24" spans="2:6">
      <c r="B24" s="1">
        <f t="shared" ca="1" si="0"/>
        <v>42643</v>
      </c>
      <c r="C24" s="18">
        <f>1</f>
        <v>1</v>
      </c>
      <c r="D24" s="18" cm="1" vm="74">
        <f t="array" aca="1" ref="D24" ca="1">_xlfn.STOCKHISTORY("EURUSD",CurrencyConversionFromUSDList[[#This Row],[Date]],CurrencyConversionFromUSDList[[#This Row],[Date]],2,0,1)</f>
        <v>1.1237999999999999</v>
      </c>
      <c r="E24" s="22" cm="1" vm="75">
        <f t="array" aca="1" ref="E24" ca="1">_xlfn.STOCKHISTORY("HUFUSD",CurrencyConversionFromUSDList[[#This Row],[Date]],CurrencyConversionFromUSDList[[#This Row],[Date]],2,0,1)</f>
        <v>3.6459999999999999E-3</v>
      </c>
      <c r="F24" s="21" cm="1" vm="76">
        <f t="array" aca="1" ref="F24" ca="1">_xlfn.STOCKHISTORY("RONUSD",CurrencyConversionFromUSDList[[#This Row],[Date]],CurrencyConversionFromUSDList[[#This Row],[Date]],2,0,1)</f>
        <v>0.25280000000000002</v>
      </c>
    </row>
    <row r="25" spans="2:6">
      <c r="B25" s="1">
        <f t="shared" ca="1" si="0"/>
        <v>42674</v>
      </c>
      <c r="C25" s="18">
        <f>1</f>
        <v>1</v>
      </c>
      <c r="D25" s="18" cm="1" vm="77">
        <f t="array" aca="1" ref="D25" ca="1">_xlfn.STOCKHISTORY("EURUSD",CurrencyConversionFromUSDList[[#This Row],[Date]],CurrencyConversionFromUSDList[[#This Row],[Date]],2,0,1)</f>
        <v>1.0979000000000001</v>
      </c>
      <c r="E25" s="22" cm="1" vm="78">
        <f t="array" aca="1" ref="E25" ca="1">_xlfn.STOCKHISTORY("HUFUSD",CurrencyConversionFromUSDList[[#This Row],[Date]],CurrencyConversionFromUSDList[[#This Row],[Date]],2,0,1)</f>
        <v>3.5569999999999998E-3</v>
      </c>
      <c r="F25" s="21" cm="1" vm="79">
        <f t="array" aca="1" ref="F25" ca="1">_xlfn.STOCKHISTORY("RONUSD",CurrencyConversionFromUSDList[[#This Row],[Date]],CurrencyConversionFromUSDList[[#This Row],[Date]],2,0,1)</f>
        <v>0.24360000000000001</v>
      </c>
    </row>
    <row r="26" spans="2:6">
      <c r="B26" s="1">
        <f t="shared" ca="1" si="0"/>
        <v>42704</v>
      </c>
      <c r="C26" s="18">
        <f>1</f>
        <v>1</v>
      </c>
      <c r="D26" s="18" cm="1" vm="80">
        <f t="array" aca="1" ref="D26" ca="1">_xlfn.STOCKHISTORY("EURUSD",CurrencyConversionFromUSDList[[#This Row],[Date]],CurrencyConversionFromUSDList[[#This Row],[Date]],2,0,1)</f>
        <v>1.0585</v>
      </c>
      <c r="E26" s="22" cm="1" vm="81">
        <f t="array" aca="1" ref="E26" ca="1">_xlfn.STOCKHISTORY("HUFUSD",CurrencyConversionFromUSDList[[#This Row],[Date]],CurrencyConversionFromUSDList[[#This Row],[Date]],2,0,1)</f>
        <v>3.3830000000000002E-3</v>
      </c>
      <c r="F26" s="21" cm="1" vm="82">
        <f t="array" aca="1" ref="F26" ca="1">_xlfn.STOCKHISTORY("RONUSD",CurrencyConversionFromUSDList[[#This Row],[Date]],CurrencyConversionFromUSDList[[#This Row],[Date]],2,0,1)</f>
        <v>0.2341</v>
      </c>
    </row>
    <row r="27" spans="2:6">
      <c r="B27" s="1">
        <f t="shared" ca="1" si="0"/>
        <v>42735</v>
      </c>
      <c r="C27" s="18">
        <f>1</f>
        <v>1</v>
      </c>
      <c r="D27" s="18" cm="1" vm="83">
        <f t="array" aca="1" ref="D27" ca="1">_xlfn.STOCKHISTORY("EURUSD",CurrencyConversionFromUSDList[[#This Row],[Date]],CurrencyConversionFromUSDList[[#This Row],[Date]],2,0,1)</f>
        <v>1.0512999999999999</v>
      </c>
      <c r="E27" s="22" cm="1" vm="84">
        <f t="array" aca="1" ref="E27" ca="1">_xlfn.STOCKHISTORY("HUFUSD",CurrencyConversionFromUSDList[[#This Row],[Date]],CurrencyConversionFromUSDList[[#This Row],[Date]],2,0,1)</f>
        <v>3.3960000000000001E-3</v>
      </c>
      <c r="F27" s="21" cm="1" vm="85">
        <f t="array" aca="1" ref="F27" ca="1">_xlfn.STOCKHISTORY("RONUSD",CurrencyConversionFromUSDList[[#This Row],[Date]],CurrencyConversionFromUSDList[[#This Row],[Date]],2,0,1)</f>
        <v>0.2316</v>
      </c>
    </row>
    <row r="28" spans="2:6">
      <c r="B28" s="1">
        <f t="shared" ca="1" si="0"/>
        <v>42766</v>
      </c>
      <c r="C28" s="18">
        <f>1</f>
        <v>1</v>
      </c>
      <c r="D28" s="18" cm="1" vm="86">
        <f t="array" aca="1" ref="D28" ca="1">_xlfn.STOCKHISTORY("EURUSD",CurrencyConversionFromUSDList[[#This Row],[Date]],CurrencyConversionFromUSDList[[#This Row],[Date]],2,0,1)</f>
        <v>1.0794999999999999</v>
      </c>
      <c r="E28" s="22" cm="1" vm="87">
        <f t="array" aca="1" ref="E28" ca="1">_xlfn.STOCKHISTORY("HUFUSD",CurrencyConversionFromUSDList[[#This Row],[Date]],CurrencyConversionFromUSDList[[#This Row],[Date]],2,0,1)</f>
        <v>3.4780000000000002E-3</v>
      </c>
      <c r="F28" s="21" cm="1" vm="88">
        <f t="array" aca="1" ref="F28" ca="1">_xlfn.STOCKHISTORY("RONUSD",CurrencyConversionFromUSDList[[#This Row],[Date]],CurrencyConversionFromUSDList[[#This Row],[Date]],2,0,1)</f>
        <v>0.2397</v>
      </c>
    </row>
    <row r="29" spans="2:6">
      <c r="B29" s="1">
        <f t="shared" ca="1" si="0"/>
        <v>42794</v>
      </c>
      <c r="C29" s="18">
        <f>1</f>
        <v>1</v>
      </c>
      <c r="D29" s="18" cm="1" vm="89">
        <f t="array" aca="1" ref="D29" ca="1">_xlfn.STOCKHISTORY("EURUSD",CurrencyConversionFromUSDList[[#This Row],[Date]],CurrencyConversionFromUSDList[[#This Row],[Date]],2,0,1)</f>
        <v>1.0575000000000001</v>
      </c>
      <c r="E29" s="22" cm="1" vm="90">
        <f t="array" aca="1" ref="E29" ca="1">_xlfn.STOCKHISTORY("HUFUSD",CurrencyConversionFromUSDList[[#This Row],[Date]],CurrencyConversionFromUSDList[[#This Row],[Date]],2,0,1)</f>
        <v>3.4290000000000002E-3</v>
      </c>
      <c r="F29" s="21" cm="1" vm="91">
        <f t="array" aca="1" ref="F29" ca="1">_xlfn.STOCKHISTORY("RONUSD",CurrencyConversionFromUSDList[[#This Row],[Date]],CurrencyConversionFromUSDList[[#This Row],[Date]],2,0,1)</f>
        <v>0.23369999999999999</v>
      </c>
    </row>
    <row r="30" spans="2:6">
      <c r="B30" s="1">
        <f t="shared" ca="1" si="0"/>
        <v>42825</v>
      </c>
      <c r="C30" s="18">
        <f>1</f>
        <v>1</v>
      </c>
      <c r="D30" s="18" cm="1" vm="92">
        <f t="array" aca="1" ref="D30" ca="1">_xlfn.STOCKHISTORY("EURUSD",CurrencyConversionFromUSDList[[#This Row],[Date]],CurrencyConversionFromUSDList[[#This Row],[Date]],2,0,1)</f>
        <v>1.0649</v>
      </c>
      <c r="E30" s="22" cm="1" vm="93">
        <f t="array" aca="1" ref="E30" ca="1">_xlfn.STOCKHISTORY("HUFUSD",CurrencyConversionFromUSDList[[#This Row],[Date]],CurrencyConversionFromUSDList[[#This Row],[Date]],2,0,1)</f>
        <v>3.4489999999999998E-3</v>
      </c>
      <c r="F30" s="21" cm="1" vm="94">
        <f t="array" aca="1" ref="F30" ca="1">_xlfn.STOCKHISTORY("RONUSD",CurrencyConversionFromUSDList[[#This Row],[Date]],CurrencyConversionFromUSDList[[#This Row],[Date]],2,0,1)</f>
        <v>0.23380000000000001</v>
      </c>
    </row>
    <row r="31" spans="2:6">
      <c r="B31" s="1">
        <f t="shared" ca="1" si="0"/>
        <v>42855</v>
      </c>
      <c r="C31" s="18">
        <f>1</f>
        <v>1</v>
      </c>
      <c r="D31" s="18" cm="1" vm="95">
        <f t="array" aca="1" ref="D31" ca="1">_xlfn.STOCKHISTORY("EURUSD",CurrencyConversionFromUSDList[[#This Row],[Date]],CurrencyConversionFromUSDList[[#This Row],[Date]],2,0,1)</f>
        <v>1.0894999999999999</v>
      </c>
      <c r="E31" s="22" cm="1" vm="96">
        <f t="array" aca="1" ref="E31" ca="1">_xlfn.STOCKHISTORY("HUFUSD",CurrencyConversionFromUSDList[[#This Row],[Date]],CurrencyConversionFromUSDList[[#This Row],[Date]],2,0,1)</f>
        <v>3.4789999999999999E-3</v>
      </c>
      <c r="F31" s="21" cm="1" vm="97">
        <f t="array" aca="1" ref="F31" ca="1">_xlfn.STOCKHISTORY("RONUSD",CurrencyConversionFromUSDList[[#This Row],[Date]],CurrencyConversionFromUSDList[[#This Row],[Date]],2,0,1)</f>
        <v>0.24010000000000001</v>
      </c>
    </row>
    <row r="32" spans="2:6">
      <c r="B32" s="1">
        <f t="shared" ca="1" si="0"/>
        <v>42886</v>
      </c>
      <c r="C32" s="18">
        <f>1</f>
        <v>1</v>
      </c>
      <c r="D32" s="18" cm="1" vm="98">
        <f t="array" aca="1" ref="D32" ca="1">_xlfn.STOCKHISTORY("EURUSD",CurrencyConversionFromUSDList[[#This Row],[Date]],CurrencyConversionFromUSDList[[#This Row],[Date]],2,0,1)</f>
        <v>1.1241000000000001</v>
      </c>
      <c r="E32" s="22" cm="1" vm="99">
        <f t="array" aca="1" ref="E32" ca="1">_xlfn.STOCKHISTORY("HUFUSD",CurrencyConversionFromUSDList[[#This Row],[Date]],CurrencyConversionFromUSDList[[#This Row],[Date]],2,0,1)</f>
        <v>3.6449999999999998E-3</v>
      </c>
      <c r="F32" s="21" cm="1" vm="100">
        <f t="array" aca="1" ref="F32" ca="1">_xlfn.STOCKHISTORY("RONUSD",CurrencyConversionFromUSDList[[#This Row],[Date]],CurrencyConversionFromUSDList[[#This Row],[Date]],2,0,1)</f>
        <v>0.24590000000000001</v>
      </c>
    </row>
    <row r="33" spans="2:6">
      <c r="B33" s="1">
        <f t="shared" ca="1" si="0"/>
        <v>42916</v>
      </c>
      <c r="C33" s="18">
        <f>1</f>
        <v>1</v>
      </c>
      <c r="D33" s="18" cm="1" vm="101">
        <f t="array" aca="1" ref="D33" ca="1">_xlfn.STOCKHISTORY("EURUSD",CurrencyConversionFromUSDList[[#This Row],[Date]],CurrencyConversionFromUSDList[[#This Row],[Date]],2,0,1)</f>
        <v>1.1423000000000001</v>
      </c>
      <c r="E33" s="22" cm="1" vm="102">
        <f t="array" aca="1" ref="E33" ca="1">_xlfn.STOCKHISTORY("HUFUSD",CurrencyConversionFromUSDList[[#This Row],[Date]],CurrencyConversionFromUSDList[[#This Row],[Date]],2,0,1)</f>
        <v>3.6979999999999999E-3</v>
      </c>
      <c r="F33" s="21" cm="1" vm="103">
        <f t="array" aca="1" ref="F33" ca="1">_xlfn.STOCKHISTORY("RONUSD",CurrencyConversionFromUSDList[[#This Row],[Date]],CurrencyConversionFromUSDList[[#This Row],[Date]],2,0,1)</f>
        <v>0.25019999999999998</v>
      </c>
    </row>
    <row r="34" spans="2:6">
      <c r="B34" s="1">
        <f t="shared" ca="1" si="0"/>
        <v>42947</v>
      </c>
      <c r="C34" s="18">
        <f>1</f>
        <v>1</v>
      </c>
      <c r="D34" s="18" cm="1" vm="104">
        <f t="array" aca="1" ref="D34" ca="1">_xlfn.STOCKHISTORY("EURUSD",CurrencyConversionFromUSDList[[#This Row],[Date]],CurrencyConversionFromUSDList[[#This Row],[Date]],2,0,1)</f>
        <v>1.1839999999999999</v>
      </c>
      <c r="E34" s="22" cm="1" vm="105">
        <f t="array" aca="1" ref="E34" ca="1">_xlfn.STOCKHISTORY("HUFUSD",CurrencyConversionFromUSDList[[#This Row],[Date]],CurrencyConversionFromUSDList[[#This Row],[Date]],2,0,1)</f>
        <v>3.8909999999999999E-3</v>
      </c>
      <c r="F34" s="21" cm="1" vm="106">
        <f t="array" aca="1" ref="F34" ca="1">_xlfn.STOCKHISTORY("RONUSD",CurrencyConversionFromUSDList[[#This Row],[Date]],CurrencyConversionFromUSDList[[#This Row],[Date]],2,0,1)</f>
        <v>0.25950000000000001</v>
      </c>
    </row>
    <row r="35" spans="2:6">
      <c r="B35" s="1">
        <f t="shared" ca="1" si="0"/>
        <v>42978</v>
      </c>
      <c r="C35" s="18">
        <f>1</f>
        <v>1</v>
      </c>
      <c r="D35" s="18" cm="1" vm="107">
        <f t="array" aca="1" ref="D35" ca="1">_xlfn.STOCKHISTORY("EURUSD",CurrencyConversionFromUSDList[[#This Row],[Date]],CurrencyConversionFromUSDList[[#This Row],[Date]],2,0,1)</f>
        <v>1.1908000000000001</v>
      </c>
      <c r="E35" s="22" cm="1" vm="108">
        <f t="array" aca="1" ref="E35" ca="1">_xlfn.STOCKHISTORY("HUFUSD",CurrencyConversionFromUSDList[[#This Row],[Date]],CurrencyConversionFromUSDList[[#This Row],[Date]],2,0,1)</f>
        <v>3.8920000000000001E-3</v>
      </c>
      <c r="F35" s="21" cm="1" vm="109">
        <f t="array" aca="1" ref="F35" ca="1">_xlfn.STOCKHISTORY("RONUSD",CurrencyConversionFromUSDList[[#This Row],[Date]],CurrencyConversionFromUSDList[[#This Row],[Date]],2,0,1)</f>
        <v>0.25890000000000002</v>
      </c>
    </row>
    <row r="36" spans="2:6">
      <c r="B36" s="1">
        <f t="shared" ca="1" si="0"/>
        <v>43008</v>
      </c>
      <c r="C36" s="18">
        <f>1</f>
        <v>1</v>
      </c>
      <c r="D36" s="18" cm="1" vm="110">
        <f t="array" aca="1" ref="D36" ca="1">_xlfn.STOCKHISTORY("EURUSD",CurrencyConversionFromUSDList[[#This Row],[Date]],CurrencyConversionFromUSDList[[#This Row],[Date]],2,0,1)</f>
        <v>1.1812</v>
      </c>
      <c r="E36" s="22" cm="1" vm="111">
        <f t="array" aca="1" ref="E36" ca="1">_xlfn.STOCKHISTORY("HUFUSD",CurrencyConversionFromUSDList[[#This Row],[Date]],CurrencyConversionFromUSDList[[#This Row],[Date]],2,0,1)</f>
        <v>3.787E-3</v>
      </c>
      <c r="F36" s="21" cm="1" vm="112">
        <f t="array" aca="1" ref="F36" ca="1">_xlfn.STOCKHISTORY("RONUSD",CurrencyConversionFromUSDList[[#This Row],[Date]],CurrencyConversionFromUSDList[[#This Row],[Date]],2,0,1)</f>
        <v>0.25679999999999997</v>
      </c>
    </row>
    <row r="37" spans="2:6">
      <c r="B37" s="1">
        <f t="shared" ca="1" si="0"/>
        <v>43039</v>
      </c>
      <c r="C37" s="18">
        <f>1</f>
        <v>1</v>
      </c>
      <c r="D37" s="18" cm="1" vm="113">
        <f t="array" aca="1" ref="D37" ca="1">_xlfn.STOCKHISTORY("EURUSD",CurrencyConversionFromUSDList[[#This Row],[Date]],CurrencyConversionFromUSDList[[#This Row],[Date]],2,0,1)</f>
        <v>1.1644000000000001</v>
      </c>
      <c r="E37" s="22" cm="1" vm="114">
        <f t="array" aca="1" ref="E37" ca="1">_xlfn.STOCKHISTORY("HUFUSD",CurrencyConversionFromUSDList[[#This Row],[Date]],CurrencyConversionFromUSDList[[#This Row],[Date]],2,0,1)</f>
        <v>3.7369999999999999E-3</v>
      </c>
      <c r="F37" s="21" cm="1" vm="115">
        <f t="array" aca="1" ref="F37" ca="1">_xlfn.STOCKHISTORY("RONUSD",CurrencyConversionFromUSDList[[#This Row],[Date]],CurrencyConversionFromUSDList[[#This Row],[Date]],2,0,1)</f>
        <v>0.253</v>
      </c>
    </row>
    <row r="38" spans="2:6">
      <c r="B38" s="1">
        <f t="shared" ref="B38:B69" ca="1" si="1">IF(
    AND(
        MONTH(EOMONTH(DATE(2015,1,31), ROW()-4)) = MONTH(TODAY()),
        YEAR(EOMONTH(DATE(2015,1,31), ROW()-4)) = YEAR(TODAY())
    ),
    TODAY(),
    EOMONTH(DATE(2015,1,31), ROW()-4)
)</f>
        <v>43069</v>
      </c>
      <c r="C38" s="18">
        <f>1</f>
        <v>1</v>
      </c>
      <c r="D38" s="18" cm="1" vm="116">
        <f t="array" aca="1" ref="D38" ca="1">_xlfn.STOCKHISTORY("EURUSD",CurrencyConversionFromUSDList[[#This Row],[Date]],CurrencyConversionFromUSDList[[#This Row],[Date]],2,0,1)</f>
        <v>1.1901999999999999</v>
      </c>
      <c r="E38" s="22" cm="1" vm="117">
        <f t="array" aca="1" ref="E38" ca="1">_xlfn.STOCKHISTORY("HUFUSD",CurrencyConversionFromUSDList[[#This Row],[Date]],CurrencyConversionFromUSDList[[#This Row],[Date]],2,0,1)</f>
        <v>3.7989999999999999E-3</v>
      </c>
      <c r="F38" s="21" cm="1" vm="118">
        <f t="array" aca="1" ref="F38" ca="1">_xlfn.STOCKHISTORY("RONUSD",CurrencyConversionFromUSDList[[#This Row],[Date]],CurrencyConversionFromUSDList[[#This Row],[Date]],2,0,1)</f>
        <v>0.25619999999999998</v>
      </c>
    </row>
    <row r="39" spans="2:6">
      <c r="B39" s="1">
        <f t="shared" ca="1" si="1"/>
        <v>43100</v>
      </c>
      <c r="C39" s="18">
        <f>1</f>
        <v>1</v>
      </c>
      <c r="D39" s="18" cm="1" vm="119">
        <f t="array" aca="1" ref="D39" ca="1">_xlfn.STOCKHISTORY("EURUSD",CurrencyConversionFromUSDList[[#This Row],[Date]],CurrencyConversionFromUSDList[[#This Row],[Date]],2,0,1)</f>
        <v>1.1996</v>
      </c>
      <c r="E39" s="22" cm="1" vm="120">
        <f t="array" aca="1" ref="E39" ca="1">_xlfn.STOCKHISTORY("HUFUSD",CurrencyConversionFromUSDList[[#This Row],[Date]],CurrencyConversionFromUSDList[[#This Row],[Date]],2,0,1)</f>
        <v>3.8570000000000002E-3</v>
      </c>
      <c r="F39" s="21" cm="1" vm="121">
        <f t="array" aca="1" ref="F39" ca="1">_xlfn.STOCKHISTORY("RONUSD",CurrencyConversionFromUSDList[[#This Row],[Date]],CurrencyConversionFromUSDList[[#This Row],[Date]],2,0,1)</f>
        <v>0.25700000000000001</v>
      </c>
    </row>
    <row r="40" spans="2:6">
      <c r="B40" s="1">
        <f t="shared" ca="1" si="1"/>
        <v>43131</v>
      </c>
      <c r="C40" s="18">
        <f>1</f>
        <v>1</v>
      </c>
      <c r="D40" s="18" cm="1" vm="122">
        <f t="array" aca="1" ref="D40" ca="1">_xlfn.STOCKHISTORY("EURUSD",CurrencyConversionFromUSDList[[#This Row],[Date]],CurrencyConversionFromUSDList[[#This Row],[Date]],2,0,1)</f>
        <v>1.242</v>
      </c>
      <c r="E40" s="22" cm="1" vm="123">
        <f t="array" aca="1" ref="E40" ca="1">_xlfn.STOCKHISTORY("HUFUSD",CurrencyConversionFromUSDList[[#This Row],[Date]],CurrencyConversionFromUSDList[[#This Row],[Date]],2,0,1)</f>
        <v>4.0010000000000002E-3</v>
      </c>
      <c r="F40" s="21" cm="1" vm="124">
        <f t="array" aca="1" ref="F40" ca="1">_xlfn.STOCKHISTORY("RONUSD",CurrencyConversionFromUSDList[[#This Row],[Date]],CurrencyConversionFromUSDList[[#This Row],[Date]],2,0,1)</f>
        <v>0.26669999999999999</v>
      </c>
    </row>
    <row r="41" spans="2:6">
      <c r="B41" s="1">
        <f t="shared" ca="1" si="1"/>
        <v>43159</v>
      </c>
      <c r="C41" s="18">
        <f>1</f>
        <v>1</v>
      </c>
      <c r="D41" s="18" cm="1" vm="125">
        <f t="array" aca="1" ref="D41" ca="1">_xlfn.STOCKHISTORY("EURUSD",CurrencyConversionFromUSDList[[#This Row],[Date]],CurrencyConversionFromUSDList[[#This Row],[Date]],2,0,1)</f>
        <v>1.2193000000000001</v>
      </c>
      <c r="E41" s="22" cm="1" vm="126">
        <f t="array" aca="1" ref="E41" ca="1">_xlfn.STOCKHISTORY("HUFUSD",CurrencyConversionFromUSDList[[#This Row],[Date]],CurrencyConversionFromUSDList[[#This Row],[Date]],2,0,1)</f>
        <v>3.882E-3</v>
      </c>
      <c r="F41" s="21" cm="1" vm="127">
        <f t="array" aca="1" ref="F41" ca="1">_xlfn.STOCKHISTORY("RONUSD",CurrencyConversionFromUSDList[[#This Row],[Date]],CurrencyConversionFromUSDList[[#This Row],[Date]],2,0,1)</f>
        <v>0.26169999999999999</v>
      </c>
    </row>
    <row r="42" spans="2:6">
      <c r="B42" s="1">
        <f t="shared" ca="1" si="1"/>
        <v>43190</v>
      </c>
      <c r="C42" s="18">
        <f>1</f>
        <v>1</v>
      </c>
      <c r="D42" s="18" cm="1" vm="128">
        <f t="array" aca="1" ref="D42" ca="1">_xlfn.STOCKHISTORY("EURUSD",CurrencyConversionFromUSDList[[#This Row],[Date]],CurrencyConversionFromUSDList[[#This Row],[Date]],2,0,1)</f>
        <v>1.2321</v>
      </c>
      <c r="E42" s="22" cm="1" vm="129">
        <f t="array" aca="1" ref="E42" ca="1">_xlfn.STOCKHISTORY("HUFUSD",CurrencyConversionFromUSDList[[#This Row],[Date]],CurrencyConversionFromUSDList[[#This Row],[Date]],2,0,1)</f>
        <v>3.9379999999999997E-3</v>
      </c>
      <c r="F42" s="21" cm="1" vm="130">
        <f t="array" aca="1" ref="F42" ca="1">_xlfn.STOCKHISTORY("RONUSD",CurrencyConversionFromUSDList[[#This Row],[Date]],CurrencyConversionFromUSDList[[#This Row],[Date]],2,0,1)</f>
        <v>0.2646</v>
      </c>
    </row>
    <row r="43" spans="2:6">
      <c r="B43" s="1">
        <f t="shared" ca="1" si="1"/>
        <v>43220</v>
      </c>
      <c r="C43" s="18">
        <f>1</f>
        <v>1</v>
      </c>
      <c r="D43" s="18" cm="1" vm="131">
        <f t="array" aca="1" ref="D43" ca="1">_xlfn.STOCKHISTORY("EURUSD",CurrencyConversionFromUSDList[[#This Row],[Date]],CurrencyConversionFromUSDList[[#This Row],[Date]],2,0,1)</f>
        <v>1.2077</v>
      </c>
      <c r="E43" s="22" cm="1" vm="132">
        <f t="array" aca="1" ref="E43" ca="1">_xlfn.STOCKHISTORY("HUFUSD",CurrencyConversionFromUSDList[[#This Row],[Date]],CurrencyConversionFromUSDList[[#This Row],[Date]],2,0,1)</f>
        <v>3.849E-3</v>
      </c>
      <c r="F43" s="21" cm="1" vm="133">
        <f t="array" aca="1" ref="F43" ca="1">_xlfn.STOCKHISTORY("RONUSD",CurrencyConversionFromUSDList[[#This Row],[Date]],CurrencyConversionFromUSDList[[#This Row],[Date]],2,0,1)</f>
        <v>0.25900000000000001</v>
      </c>
    </row>
    <row r="44" spans="2:6">
      <c r="B44" s="1">
        <f t="shared" ca="1" si="1"/>
        <v>43251</v>
      </c>
      <c r="C44" s="18">
        <f>1</f>
        <v>1</v>
      </c>
      <c r="D44" s="18" cm="1" vm="134">
        <f t="array" aca="1" ref="D44" ca="1">_xlfn.STOCKHISTORY("EURUSD",CurrencyConversionFromUSDList[[#This Row],[Date]],CurrencyConversionFromUSDList[[#This Row],[Date]],2,0,1)</f>
        <v>1.169</v>
      </c>
      <c r="E44" s="22" cm="1" vm="135">
        <f t="array" aca="1" ref="E44" ca="1">_xlfn.STOCKHISTORY("HUFUSD",CurrencyConversionFromUSDList[[#This Row],[Date]],CurrencyConversionFromUSDList[[#This Row],[Date]],2,0,1)</f>
        <v>3.6549999999999998E-3</v>
      </c>
      <c r="F44" s="21" cm="1" vm="136">
        <f t="array" aca="1" ref="F44" ca="1">_xlfn.STOCKHISTORY("RONUSD",CurrencyConversionFromUSDList[[#This Row],[Date]],CurrencyConversionFromUSDList[[#This Row],[Date]],2,0,1)</f>
        <v>0.25069999999999998</v>
      </c>
    </row>
    <row r="45" spans="2:6">
      <c r="B45" s="1">
        <f t="shared" ca="1" si="1"/>
        <v>43281</v>
      </c>
      <c r="C45" s="18">
        <f>1</f>
        <v>1</v>
      </c>
      <c r="D45" s="18" cm="1" vm="137">
        <f t="array" aca="1" ref="D45" ca="1">_xlfn.STOCKHISTORY("EURUSD",CurrencyConversionFromUSDList[[#This Row],[Date]],CurrencyConversionFromUSDList[[#This Row],[Date]],2,0,1)</f>
        <v>1.1682999999999999</v>
      </c>
      <c r="E45" s="22" cm="1" vm="138">
        <f t="array" aca="1" ref="E45" ca="1">_xlfn.STOCKHISTORY("HUFUSD",CurrencyConversionFromUSDList[[#This Row],[Date]],CurrencyConversionFromUSDList[[#This Row],[Date]],2,0,1)</f>
        <v>3.5460000000000001E-3</v>
      </c>
      <c r="F45" s="21" cm="1" vm="139">
        <f t="array" aca="1" ref="F45" ca="1">_xlfn.STOCKHISTORY("RONUSD",CurrencyConversionFromUSDList[[#This Row],[Date]],CurrencyConversionFromUSDList[[#This Row],[Date]],2,0,1)</f>
        <v>0.25040000000000001</v>
      </c>
    </row>
    <row r="46" spans="2:6">
      <c r="B46" s="1">
        <f t="shared" ca="1" si="1"/>
        <v>43312</v>
      </c>
      <c r="C46" s="18">
        <f>1</f>
        <v>1</v>
      </c>
      <c r="D46" s="18" cm="1" vm="140">
        <f t="array" aca="1" ref="D46" ca="1">_xlfn.STOCKHISTORY("EURUSD",CurrencyConversionFromUSDList[[#This Row],[Date]],CurrencyConversionFromUSDList[[#This Row],[Date]],2,0,1)</f>
        <v>1.1691</v>
      </c>
      <c r="E46" s="22" cm="1" vm="141">
        <f t="array" aca="1" ref="E46" ca="1">_xlfn.STOCKHISTORY("HUFUSD",CurrencyConversionFromUSDList[[#This Row],[Date]],CurrencyConversionFromUSDList[[#This Row],[Date]],2,0,1)</f>
        <v>3.6419999999999998E-3</v>
      </c>
      <c r="F46" s="21" cm="1" vm="40">
        <f t="array" aca="1" ref="F46" ca="1">_xlfn.STOCKHISTORY("RONUSD",CurrencyConversionFromUSDList[[#This Row],[Date]],CurrencyConversionFromUSDList[[#This Row],[Date]],2,0,1)</f>
        <v>0.25269999999999998</v>
      </c>
    </row>
    <row r="47" spans="2:6">
      <c r="B47" s="1">
        <f t="shared" ca="1" si="1"/>
        <v>43343</v>
      </c>
      <c r="C47" s="18">
        <f>1</f>
        <v>1</v>
      </c>
      <c r="D47" s="18" cm="1" vm="142">
        <f t="array" aca="1" ref="D47" ca="1">_xlfn.STOCKHISTORY("EURUSD",CurrencyConversionFromUSDList[[#This Row],[Date]],CurrencyConversionFromUSDList[[#This Row],[Date]],2,0,1)</f>
        <v>1.1598999999999999</v>
      </c>
      <c r="E47" s="22" cm="1" vm="28">
        <f t="array" aca="1" ref="E47" ca="1">_xlfn.STOCKHISTORY("HUFUSD",CurrencyConversionFromUSDList[[#This Row],[Date]],CurrencyConversionFromUSDList[[#This Row],[Date]],2,0,1)</f>
        <v>3.5490000000000001E-3</v>
      </c>
      <c r="F47" s="21" cm="1" vm="143">
        <f t="array" aca="1" ref="F47" ca="1">_xlfn.STOCKHISTORY("RONUSD",CurrencyConversionFromUSDList[[#This Row],[Date]],CurrencyConversionFromUSDList[[#This Row],[Date]],2,0,1)</f>
        <v>0.24990000000000001</v>
      </c>
    </row>
    <row r="48" spans="2:6">
      <c r="B48" s="1">
        <f t="shared" ca="1" si="1"/>
        <v>43373</v>
      </c>
      <c r="C48" s="18">
        <f>1</f>
        <v>1</v>
      </c>
      <c r="D48" s="18" cm="1" vm="144">
        <f t="array" aca="1" ref="D48" ca="1">_xlfn.STOCKHISTORY("EURUSD",CurrencyConversionFromUSDList[[#This Row],[Date]],CurrencyConversionFromUSDList[[#This Row],[Date]],2,0,1)</f>
        <v>1.1608000000000001</v>
      </c>
      <c r="E48" s="22" cm="1" vm="145">
        <f t="array" aca="1" ref="E48" ca="1">_xlfn.STOCKHISTORY("HUFUSD",CurrencyConversionFromUSDList[[#This Row],[Date]],CurrencyConversionFromUSDList[[#This Row],[Date]],2,0,1)</f>
        <v>3.5860000000000002E-3</v>
      </c>
      <c r="F48" s="21" cm="1" vm="146">
        <f t="array" aca="1" ref="F48" ca="1">_xlfn.STOCKHISTORY("RONUSD",CurrencyConversionFromUSDList[[#This Row],[Date]],CurrencyConversionFromUSDList[[#This Row],[Date]],2,0,1)</f>
        <v>0.2492</v>
      </c>
    </row>
    <row r="49" spans="2:6">
      <c r="B49" s="1">
        <f t="shared" ca="1" si="1"/>
        <v>43404</v>
      </c>
      <c r="C49" s="18">
        <f>1</f>
        <v>1</v>
      </c>
      <c r="D49" s="18" cm="1" vm="147">
        <f t="array" aca="1" ref="D49" ca="1">_xlfn.STOCKHISTORY("EURUSD",CurrencyConversionFromUSDList[[#This Row],[Date]],CurrencyConversionFromUSDList[[#This Row],[Date]],2,0,1)</f>
        <v>1.131</v>
      </c>
      <c r="E49" s="22" cm="1" vm="148">
        <f t="array" aca="1" ref="E49" ca="1">_xlfn.STOCKHISTORY("HUFUSD",CurrencyConversionFromUSDList[[#This Row],[Date]],CurrencyConversionFromUSDList[[#This Row],[Date]],2,0,1)</f>
        <v>3.4819999999999999E-3</v>
      </c>
      <c r="F49" s="21" cm="1" vm="149">
        <f t="array" aca="1" ref="F49" ca="1">_xlfn.STOCKHISTORY("RONUSD",CurrencyConversionFromUSDList[[#This Row],[Date]],CurrencyConversionFromUSDList[[#This Row],[Date]],2,0,1)</f>
        <v>0.2424</v>
      </c>
    </row>
    <row r="50" spans="2:6">
      <c r="B50" s="1">
        <f t="shared" ca="1" si="1"/>
        <v>43434</v>
      </c>
      <c r="C50" s="18">
        <f>1</f>
        <v>1</v>
      </c>
      <c r="D50" s="18" cm="1" vm="150">
        <f t="array" aca="1" ref="D50" ca="1">_xlfn.STOCKHISTORY("EURUSD",CurrencyConversionFromUSDList[[#This Row],[Date]],CurrencyConversionFromUSDList[[#This Row],[Date]],2,0,1)</f>
        <v>1.1315</v>
      </c>
      <c r="E50" s="22" cm="1" vm="151">
        <f t="array" aca="1" ref="E50" ca="1">_xlfn.STOCKHISTORY("HUFUSD",CurrencyConversionFromUSDList[[#This Row],[Date]],CurrencyConversionFromUSDList[[#This Row],[Date]],2,0,1)</f>
        <v>3.4949999999999998E-3</v>
      </c>
      <c r="F50" s="21" cm="1" vm="23">
        <f t="array" aca="1" ref="F50" ca="1">_xlfn.STOCKHISTORY("RONUSD",CurrencyConversionFromUSDList[[#This Row],[Date]],CurrencyConversionFromUSDList[[#This Row],[Date]],2,0,1)</f>
        <v>0.24299999999999999</v>
      </c>
    </row>
    <row r="51" spans="2:6">
      <c r="B51" s="1">
        <f t="shared" ca="1" si="1"/>
        <v>43465</v>
      </c>
      <c r="C51" s="18">
        <f>1</f>
        <v>1</v>
      </c>
      <c r="D51" s="18" cm="1" vm="152">
        <f t="array" aca="1" ref="D51" ca="1">_xlfn.STOCKHISTORY("EURUSD",CurrencyConversionFromUSDList[[#This Row],[Date]],CurrencyConversionFromUSDList[[#This Row],[Date]],2,0,1)</f>
        <v>1.1469</v>
      </c>
      <c r="E51" s="22" cm="1" vm="153">
        <f t="array" aca="1" ref="E51" ca="1">_xlfn.STOCKHISTORY("HUFUSD",CurrencyConversionFromUSDList[[#This Row],[Date]],CurrencyConversionFromUSDList[[#This Row],[Date]],2,0,1)</f>
        <v>3.568E-3</v>
      </c>
      <c r="F51" s="21" cm="1" vm="64">
        <f t="array" aca="1" ref="F51" ca="1">_xlfn.STOCKHISTORY("RONUSD",CurrencyConversionFromUSDList[[#This Row],[Date]],CurrencyConversionFromUSDList[[#This Row],[Date]],2,0,1)</f>
        <v>0.2462</v>
      </c>
    </row>
    <row r="52" spans="2:6">
      <c r="B52" s="1">
        <f t="shared" ca="1" si="1"/>
        <v>43496</v>
      </c>
      <c r="C52" s="18">
        <f>1</f>
        <v>1</v>
      </c>
      <c r="D52" s="18" cm="1" vm="154">
        <f t="array" aca="1" ref="D52" ca="1">_xlfn.STOCKHISTORY("EURUSD",CurrencyConversionFromUSDList[[#This Row],[Date]],CurrencyConversionFromUSDList[[#This Row],[Date]],2,0,1)</f>
        <v>1.1444000000000001</v>
      </c>
      <c r="E52" s="22" cm="1" vm="57">
        <f t="array" aca="1" ref="E52" ca="1">_xlfn.STOCKHISTORY("HUFUSD",CurrencyConversionFromUSDList[[#This Row],[Date]],CurrencyConversionFromUSDList[[#This Row],[Date]],2,0,1)</f>
        <v>3.62E-3</v>
      </c>
      <c r="F52" s="21" cm="1" vm="155">
        <f t="array" aca="1" ref="F52" ca="1">_xlfn.STOCKHISTORY("RONUSD",CurrencyConversionFromUSDList[[#This Row],[Date]],CurrencyConversionFromUSDList[[#This Row],[Date]],2,0,1)</f>
        <v>0.24160000000000001</v>
      </c>
    </row>
    <row r="53" spans="2:6">
      <c r="B53" s="1">
        <f t="shared" ca="1" si="1"/>
        <v>43524</v>
      </c>
      <c r="C53" s="18">
        <f>1</f>
        <v>1</v>
      </c>
      <c r="D53" s="18" cm="1" vm="156">
        <f t="array" aca="1" ref="D53" ca="1">_xlfn.STOCKHISTORY("EURUSD",CurrencyConversionFromUSDList[[#This Row],[Date]],CurrencyConversionFromUSDList[[#This Row],[Date]],2,0,1)</f>
        <v>1.137</v>
      </c>
      <c r="E53" s="22" cm="1" vm="157">
        <f t="array" aca="1" ref="E53" ca="1">_xlfn.STOCKHISTORY("HUFUSD",CurrencyConversionFromUSDList[[#This Row],[Date]],CurrencyConversionFromUSDList[[#This Row],[Date]],2,0,1)</f>
        <v>3.5980000000000001E-3</v>
      </c>
      <c r="F53" s="21" cm="1" vm="158">
        <f t="array" aca="1" ref="F53" ca="1">_xlfn.STOCKHISTORY("RONUSD",CurrencyConversionFromUSDList[[#This Row],[Date]],CurrencyConversionFromUSDList[[#This Row],[Date]],2,0,1)</f>
        <v>0.2394</v>
      </c>
    </row>
    <row r="54" spans="2:6">
      <c r="B54" s="1">
        <f t="shared" ca="1" si="1"/>
        <v>43555</v>
      </c>
      <c r="C54" s="18">
        <f>1</f>
        <v>1</v>
      </c>
      <c r="D54" s="18" cm="1" vm="159">
        <f t="array" aca="1" ref="D54" ca="1">_xlfn.STOCKHISTORY("EURUSD",CurrencyConversionFromUSDList[[#This Row],[Date]],CurrencyConversionFromUSDList[[#This Row],[Date]],2,0,1)</f>
        <v>1.1216999999999999</v>
      </c>
      <c r="E54" s="22" cm="1" vm="160">
        <f t="array" aca="1" ref="E54" ca="1">_xlfn.STOCKHISTORY("HUFUSD",CurrencyConversionFromUSDList[[#This Row],[Date]],CurrencyConversionFromUSDList[[#This Row],[Date]],2,0,1)</f>
        <v>3.4910000000000002E-3</v>
      </c>
      <c r="F54" s="21" cm="1" vm="161">
        <f t="array" aca="1" ref="F54" ca="1">_xlfn.STOCKHISTORY("RONUSD",CurrencyConversionFromUSDList[[#This Row],[Date]],CurrencyConversionFromUSDList[[#This Row],[Date]],2,0,1)</f>
        <v>0.2349</v>
      </c>
    </row>
    <row r="55" spans="2:6">
      <c r="B55" s="1">
        <f t="shared" ca="1" si="1"/>
        <v>43585</v>
      </c>
      <c r="C55" s="18">
        <f>1</f>
        <v>1</v>
      </c>
      <c r="D55" s="18" cm="1" vm="162">
        <f t="array" aca="1" ref="D55" ca="1">_xlfn.STOCKHISTORY("EURUSD",CurrencyConversionFromUSDList[[#This Row],[Date]],CurrencyConversionFromUSDList[[#This Row],[Date]],2,0,1)</f>
        <v>1.1214999999999999</v>
      </c>
      <c r="E55" s="22" cm="1" vm="163">
        <f t="array" aca="1" ref="E55" ca="1">_xlfn.STOCKHISTORY("HUFUSD",CurrencyConversionFromUSDList[[#This Row],[Date]],CurrencyConversionFromUSDList[[#This Row],[Date]],2,0,1)</f>
        <v>3.46E-3</v>
      </c>
      <c r="F55" s="21" cm="1" vm="164">
        <f t="array" aca="1" ref="F55" ca="1">_xlfn.STOCKHISTORY("RONUSD",CurrencyConversionFromUSDList[[#This Row],[Date]],CurrencyConversionFromUSDList[[#This Row],[Date]],2,0,1)</f>
        <v>0.2356</v>
      </c>
    </row>
    <row r="56" spans="2:6">
      <c r="B56" s="1">
        <f t="shared" ca="1" si="1"/>
        <v>43616</v>
      </c>
      <c r="C56" s="18">
        <f>1</f>
        <v>1</v>
      </c>
      <c r="D56" s="18" cm="1" vm="165">
        <f t="array" aca="1" ref="D56" ca="1">_xlfn.STOCKHISTORY("EURUSD",CurrencyConversionFromUSDList[[#This Row],[Date]],CurrencyConversionFromUSDList[[#This Row],[Date]],2,0,1)</f>
        <v>1.1167</v>
      </c>
      <c r="E56" s="22" cm="1" vm="166">
        <f t="array" aca="1" ref="E56" ca="1">_xlfn.STOCKHISTORY("HUFUSD",CurrencyConversionFromUSDList[[#This Row],[Date]],CurrencyConversionFromUSDList[[#This Row],[Date]],2,0,1)</f>
        <v>3.4350000000000001E-3</v>
      </c>
      <c r="F56" s="21" cm="1" vm="167">
        <f t="array" aca="1" ref="F56" ca="1">_xlfn.STOCKHISTORY("RONUSD",CurrencyConversionFromUSDList[[#This Row],[Date]],CurrencyConversionFromUSDList[[#This Row],[Date]],2,0,1)</f>
        <v>0.2351</v>
      </c>
    </row>
    <row r="57" spans="2:6">
      <c r="B57" s="1">
        <f t="shared" ca="1" si="1"/>
        <v>43646</v>
      </c>
      <c r="C57" s="18">
        <f>1</f>
        <v>1</v>
      </c>
      <c r="D57" s="18" cm="1" vm="168">
        <f t="array" aca="1" ref="D57" ca="1">_xlfn.STOCKHISTORY("EURUSD",CurrencyConversionFromUSDList[[#This Row],[Date]],CurrencyConversionFromUSDList[[#This Row],[Date]],2,0,1)</f>
        <v>1.1368</v>
      </c>
      <c r="E57" s="22" cm="1" vm="169">
        <f t="array" aca="1" ref="E57" ca="1">_xlfn.STOCKHISTORY("HUFUSD",CurrencyConversionFromUSDList[[#This Row],[Date]],CurrencyConversionFromUSDList[[#This Row],[Date]],2,0,1)</f>
        <v>3.5179999999999999E-3</v>
      </c>
      <c r="F57" s="21" cm="1" vm="170">
        <f t="array" aca="1" ref="F57" ca="1">_xlfn.STOCKHISTORY("RONUSD",CurrencyConversionFromUSDList[[#This Row],[Date]],CurrencyConversionFromUSDList[[#This Row],[Date]],2,0,1)</f>
        <v>0.24049999999999999</v>
      </c>
    </row>
    <row r="58" spans="2:6">
      <c r="B58" s="1">
        <f t="shared" ca="1" si="1"/>
        <v>43677</v>
      </c>
      <c r="C58" s="18">
        <f>1</f>
        <v>1</v>
      </c>
      <c r="D58" s="18" cm="1" vm="171">
        <f t="array" aca="1" ref="D58" ca="1">_xlfn.STOCKHISTORY("EURUSD",CurrencyConversionFromUSDList[[#This Row],[Date]],CurrencyConversionFromUSDList[[#This Row],[Date]],2,0,1)</f>
        <v>1.1073999999999999</v>
      </c>
      <c r="E58" s="22" cm="1" vm="172">
        <f t="array" aca="1" ref="E58" ca="1">_xlfn.STOCKHISTORY("HUFUSD",CurrencyConversionFromUSDList[[#This Row],[Date]],CurrencyConversionFromUSDList[[#This Row],[Date]],2,0,1)</f>
        <v>3.395E-3</v>
      </c>
      <c r="F58" s="21" cm="1" vm="82">
        <f t="array" aca="1" ref="F58" ca="1">_xlfn.STOCKHISTORY("RONUSD",CurrencyConversionFromUSDList[[#This Row],[Date]],CurrencyConversionFromUSDList[[#This Row],[Date]],2,0,1)</f>
        <v>0.2341</v>
      </c>
    </row>
    <row r="59" spans="2:6">
      <c r="B59" s="1">
        <f t="shared" ca="1" si="1"/>
        <v>43708</v>
      </c>
      <c r="C59" s="18">
        <f>1</f>
        <v>1</v>
      </c>
      <c r="D59" s="18" cm="1" vm="173">
        <f t="array" aca="1" ref="D59" ca="1">_xlfn.STOCKHISTORY("EURUSD",CurrencyConversionFromUSDList[[#This Row],[Date]],CurrencyConversionFromUSDList[[#This Row],[Date]],2,0,1)</f>
        <v>1.0989</v>
      </c>
      <c r="E59" s="22" cm="1" vm="174">
        <f t="array" aca="1" ref="E59" ca="1">_xlfn.STOCKHISTORY("HUFUSD",CurrencyConversionFromUSDList[[#This Row],[Date]],CurrencyConversionFromUSDList[[#This Row],[Date]],2,0,1)</f>
        <v>3.3149999999999998E-3</v>
      </c>
      <c r="F59" s="21" cm="1" vm="175">
        <f t="array" aca="1" ref="F59" ca="1">_xlfn.STOCKHISTORY("RONUSD",CurrencyConversionFromUSDList[[#This Row],[Date]],CurrencyConversionFromUSDList[[#This Row],[Date]],2,0,1)</f>
        <v>0.2324</v>
      </c>
    </row>
    <row r="60" spans="2:6">
      <c r="B60" s="1">
        <f t="shared" ca="1" si="1"/>
        <v>43738</v>
      </c>
      <c r="C60" s="18">
        <f>1</f>
        <v>1</v>
      </c>
      <c r="D60" s="18" cm="1" vm="176">
        <f t="array" aca="1" ref="D60" ca="1">_xlfn.STOCKHISTORY("EURUSD",CurrencyConversionFromUSDList[[#This Row],[Date]],CurrencyConversionFromUSDList[[#This Row],[Date]],2,0,1)</f>
        <v>1.0898000000000001</v>
      </c>
      <c r="E60" s="22" cm="1" vm="177">
        <f t="array" aca="1" ref="E60" ca="1">_xlfn.STOCKHISTORY("HUFUSD",CurrencyConversionFromUSDList[[#This Row],[Date]],CurrencyConversionFromUSDList[[#This Row],[Date]],2,0,1)</f>
        <v>3.2529999999999998E-3</v>
      </c>
      <c r="F60" s="21" cm="1" vm="178">
        <f t="array" aca="1" ref="F60" ca="1">_xlfn.STOCKHISTORY("RONUSD",CurrencyConversionFromUSDList[[#This Row],[Date]],CurrencyConversionFromUSDList[[#This Row],[Date]],2,0,1)</f>
        <v>0.22950000000000001</v>
      </c>
    </row>
    <row r="61" spans="2:6">
      <c r="B61" s="1">
        <f t="shared" ca="1" si="1"/>
        <v>43769</v>
      </c>
      <c r="C61" s="18">
        <f>1</f>
        <v>1</v>
      </c>
      <c r="D61" s="18" cm="1" vm="179">
        <f t="array" aca="1" ref="D61" ca="1">_xlfn.STOCKHISTORY("EURUSD",CurrencyConversionFromUSDList[[#This Row],[Date]],CurrencyConversionFromUSDList[[#This Row],[Date]],2,0,1)</f>
        <v>1.115</v>
      </c>
      <c r="E61" s="22" cm="1" vm="180">
        <f t="array" aca="1" ref="E61" ca="1">_xlfn.STOCKHISTORY("HUFUSD",CurrencyConversionFromUSDList[[#This Row],[Date]],CurrencyConversionFromUSDList[[#This Row],[Date]],2,0,1)</f>
        <v>3.3909999999999999E-3</v>
      </c>
      <c r="F61" s="21" cm="1" vm="181">
        <f t="array" aca="1" ref="F61" ca="1">_xlfn.STOCKHISTORY("RONUSD",CurrencyConversionFromUSDList[[#This Row],[Date]],CurrencyConversionFromUSDList[[#This Row],[Date]],2,0,1)</f>
        <v>0.2344</v>
      </c>
    </row>
    <row r="62" spans="2:6">
      <c r="B62" s="1">
        <f t="shared" ca="1" si="1"/>
        <v>43799</v>
      </c>
      <c r="C62" s="18">
        <f>1</f>
        <v>1</v>
      </c>
      <c r="D62" s="18" cm="1" vm="182">
        <f t="array" aca="1" ref="D62" ca="1">_xlfn.STOCKHISTORY("EURUSD",CurrencyConversionFromUSDList[[#This Row],[Date]],CurrencyConversionFromUSDList[[#This Row],[Date]],2,0,1)</f>
        <v>1.1014999999999999</v>
      </c>
      <c r="E62" s="22" cm="1" vm="183">
        <f t="array" aca="1" ref="E62" ca="1">_xlfn.STOCKHISTORY("HUFUSD",CurrencyConversionFromUSDList[[#This Row],[Date]],CurrencyConversionFromUSDList[[#This Row],[Date]],2,0,1)</f>
        <v>3.2889999999999998E-3</v>
      </c>
      <c r="F62" s="21" cm="1" vm="184">
        <f t="array" aca="1" ref="F62" ca="1">_xlfn.STOCKHISTORY("RONUSD",CurrencyConversionFromUSDList[[#This Row],[Date]],CurrencyConversionFromUSDList[[#This Row],[Date]],2,0,1)</f>
        <v>0.23019999999999999</v>
      </c>
    </row>
    <row r="63" spans="2:6">
      <c r="B63" s="1">
        <f t="shared" ca="1" si="1"/>
        <v>43830</v>
      </c>
      <c r="C63" s="18">
        <f>1</f>
        <v>1</v>
      </c>
      <c r="D63" s="18" cm="1" vm="185">
        <f t="array" aca="1" ref="D63" ca="1">_xlfn.STOCKHISTORY("EURUSD",CurrencyConversionFromUSDList[[#This Row],[Date]],CurrencyConversionFromUSDList[[#This Row],[Date]],2,0,1)</f>
        <v>1.121</v>
      </c>
      <c r="E63" s="22" cm="1" vm="186">
        <f t="array" aca="1" ref="E63" ca="1">_xlfn.STOCKHISTORY("HUFUSD",CurrencyConversionFromUSDList[[#This Row],[Date]],CurrencyConversionFromUSDList[[#This Row],[Date]],2,0,1)</f>
        <v>3.3839999999999999E-3</v>
      </c>
      <c r="F63" s="21" cm="1" vm="187">
        <f t="array" aca="1" ref="F63" ca="1">_xlfn.STOCKHISTORY("RONUSD",CurrencyConversionFromUSDList[[#This Row],[Date]],CurrencyConversionFromUSDList[[#This Row],[Date]],2,0,1)</f>
        <v>0.23400000000000001</v>
      </c>
    </row>
    <row r="64" spans="2:6">
      <c r="B64" s="1">
        <f t="shared" ca="1" si="1"/>
        <v>43861</v>
      </c>
      <c r="C64" s="18">
        <f>1</f>
        <v>1</v>
      </c>
      <c r="D64" s="18" cm="1" vm="188">
        <f t="array" aca="1" ref="D64" ca="1">_xlfn.STOCKHISTORY("EURUSD",CurrencyConversionFromUSDList[[#This Row],[Date]],CurrencyConversionFromUSDList[[#This Row],[Date]],2,0,1)</f>
        <v>1.1093</v>
      </c>
      <c r="E64" s="22" cm="1" vm="189">
        <f t="array" aca="1" ref="E64" ca="1">_xlfn.STOCKHISTORY("HUFUSD",CurrencyConversionFromUSDList[[#This Row],[Date]],CurrencyConversionFromUSDList[[#This Row],[Date]],2,0,1)</f>
        <v>3.287E-3</v>
      </c>
      <c r="F64" s="21" cm="1" vm="190">
        <f t="array" aca="1" ref="F64" ca="1">_xlfn.STOCKHISTORY("RONUSD",CurrencyConversionFromUSDList[[#This Row],[Date]],CurrencyConversionFromUSDList[[#This Row],[Date]],2,0,1)</f>
        <v>0.23200000000000001</v>
      </c>
    </row>
    <row r="65" spans="2:6">
      <c r="B65" s="1">
        <f t="shared" ca="1" si="1"/>
        <v>43890</v>
      </c>
      <c r="C65" s="18">
        <f>1</f>
        <v>1</v>
      </c>
      <c r="D65" s="18" cm="1" vm="191">
        <f t="array" aca="1" ref="D65" ca="1">_xlfn.STOCKHISTORY("EURUSD",CurrencyConversionFromUSDList[[#This Row],[Date]],CurrencyConversionFromUSDList[[#This Row],[Date]],2,0,1)</f>
        <v>1.1025</v>
      </c>
      <c r="E65" s="22" cm="1" vm="192">
        <f t="array" aca="1" ref="E65" ca="1">_xlfn.STOCKHISTORY("HUFUSD",CurrencyConversionFromUSDList[[#This Row],[Date]],CurrencyConversionFromUSDList[[#This Row],[Date]],2,0,1)</f>
        <v>3.2590000000000002E-3</v>
      </c>
      <c r="F65" s="21" cm="1" vm="193">
        <f t="array" aca="1" ref="F65" ca="1">_xlfn.STOCKHISTORY("RONUSD",CurrencyConversionFromUSDList[[#This Row],[Date]],CurrencyConversionFromUSDList[[#This Row],[Date]],2,0,1)</f>
        <v>0.22889999999999999</v>
      </c>
    </row>
    <row r="66" spans="2:6">
      <c r="B66" s="1">
        <f t="shared" ca="1" si="1"/>
        <v>43921</v>
      </c>
      <c r="C66" s="18">
        <f>1</f>
        <v>1</v>
      </c>
      <c r="D66" s="18" cm="1" vm="194">
        <f t="array" aca="1" ref="D66" ca="1">_xlfn.STOCKHISTORY("EURUSD",CurrencyConversionFromUSDList[[#This Row],[Date]],CurrencyConversionFromUSDList[[#This Row],[Date]],2,0,1)</f>
        <v>1.1029</v>
      </c>
      <c r="E66" s="22" cm="1" vm="195">
        <f t="array" aca="1" ref="E66" ca="1">_xlfn.STOCKHISTORY("HUFUSD",CurrencyConversionFromUSDList[[#This Row],[Date]],CurrencyConversionFromUSDList[[#This Row],[Date]],2,0,1)</f>
        <v>3.0539999999999999E-3</v>
      </c>
      <c r="F66" s="21" cm="1" vm="196">
        <f t="array" aca="1" ref="F66" ca="1">_xlfn.STOCKHISTORY("RONUSD",CurrencyConversionFromUSDList[[#This Row],[Date]],CurrencyConversionFromUSDList[[#This Row],[Date]],2,0,1)</f>
        <v>0.2281</v>
      </c>
    </row>
    <row r="67" spans="2:6">
      <c r="B67" s="1">
        <f t="shared" ca="1" si="1"/>
        <v>43951</v>
      </c>
      <c r="C67" s="18">
        <f>1</f>
        <v>1</v>
      </c>
      <c r="D67" s="18" cm="1" vm="197">
        <f t="array" aca="1" ref="D67" ca="1">_xlfn.STOCKHISTORY("EURUSD",CurrencyConversionFromUSDList[[#This Row],[Date]],CurrencyConversionFromUSDList[[#This Row],[Date]],2,0,1)</f>
        <v>1.0954999999999999</v>
      </c>
      <c r="E67" s="22" cm="1" vm="198">
        <f t="array" aca="1" ref="E67" ca="1">_xlfn.STOCKHISTORY("HUFUSD",CurrencyConversionFromUSDList[[#This Row],[Date]],CurrencyConversionFromUSDList[[#This Row],[Date]],2,0,1)</f>
        <v>3.1029999999999999E-3</v>
      </c>
      <c r="F67" s="21" cm="1" vm="199">
        <f t="array" aca="1" ref="F67" ca="1">_xlfn.STOCKHISTORY("RONUSD",CurrencyConversionFromUSDList[[#This Row],[Date]],CurrencyConversionFromUSDList[[#This Row],[Date]],2,0,1)</f>
        <v>0.22620000000000001</v>
      </c>
    </row>
    <row r="68" spans="2:6">
      <c r="B68" s="1">
        <f t="shared" ca="1" si="1"/>
        <v>43982</v>
      </c>
      <c r="C68" s="18">
        <f>1</f>
        <v>1</v>
      </c>
      <c r="D68" s="18" cm="1" vm="200">
        <f t="array" aca="1" ref="D68" ca="1">_xlfn.STOCKHISTORY("EURUSD",CurrencyConversionFromUSDList[[#This Row],[Date]],CurrencyConversionFromUSDList[[#This Row],[Date]],2,0,1)</f>
        <v>1.1097999999999999</v>
      </c>
      <c r="E68" s="22" cm="1" vm="201">
        <f t="array" aca="1" ref="E68" ca="1">_xlfn.STOCKHISTORY("HUFUSD",CurrencyConversionFromUSDList[[#This Row],[Date]],CurrencyConversionFromUSDList[[#This Row],[Date]],2,0,1)</f>
        <v>3.2009999999999999E-3</v>
      </c>
      <c r="F68" s="21" cm="1" vm="202">
        <f t="array" aca="1" ref="F68" ca="1">_xlfn.STOCKHISTORY("RONUSD",CurrencyConversionFromUSDList[[#This Row],[Date]],CurrencyConversionFromUSDList[[#This Row],[Date]],2,0,1)</f>
        <v>0.22900000000000001</v>
      </c>
    </row>
    <row r="69" spans="2:6">
      <c r="B69" s="1">
        <f t="shared" ca="1" si="1"/>
        <v>44012</v>
      </c>
      <c r="C69" s="18">
        <f>1</f>
        <v>1</v>
      </c>
      <c r="D69" s="18" cm="1" vm="203">
        <f t="array" aca="1" ref="D69" ca="1">_xlfn.STOCKHISTORY("EURUSD",CurrencyConversionFromUSDList[[#This Row],[Date]],CurrencyConversionFromUSDList[[#This Row],[Date]],2,0,1)</f>
        <v>1.1231</v>
      </c>
      <c r="E69" s="22" cm="1" vm="204">
        <f t="array" aca="1" ref="E69" ca="1">_xlfn.STOCKHISTORY("HUFUSD",CurrencyConversionFromUSDList[[#This Row],[Date]],CurrencyConversionFromUSDList[[#This Row],[Date]],2,0,1)</f>
        <v>3.1679999999999998E-3</v>
      </c>
      <c r="F69" s="21" cm="1" vm="205">
        <f t="array" aca="1" ref="F69" ca="1">_xlfn.STOCKHISTORY("RONUSD",CurrencyConversionFromUSDList[[#This Row],[Date]],CurrencyConversionFromUSDList[[#This Row],[Date]],2,0,1)</f>
        <v>0.2321</v>
      </c>
    </row>
    <row r="70" spans="2:6">
      <c r="B70" s="1">
        <f t="shared" ref="B70:B101" ca="1" si="2">IF(
    AND(
        MONTH(EOMONTH(DATE(2015,1,31), ROW()-4)) = MONTH(TODAY()),
        YEAR(EOMONTH(DATE(2015,1,31), ROW()-4)) = YEAR(TODAY())
    ),
    TODAY(),
    EOMONTH(DATE(2015,1,31), ROW()-4)
)</f>
        <v>44043</v>
      </c>
      <c r="C70" s="18">
        <f>1</f>
        <v>1</v>
      </c>
      <c r="D70" s="18" cm="1" vm="206">
        <f t="array" aca="1" ref="D70" ca="1">_xlfn.STOCKHISTORY("EURUSD",CurrencyConversionFromUSDList[[#This Row],[Date]],CurrencyConversionFromUSDList[[#This Row],[Date]],2,0,1)</f>
        <v>1.1774</v>
      </c>
      <c r="E70" s="22" cm="1" vm="207">
        <f t="array" aca="1" ref="E70" ca="1">_xlfn.STOCKHISTORY("HUFUSD",CurrencyConversionFromUSDList[[#This Row],[Date]],CurrencyConversionFromUSDList[[#This Row],[Date]],2,0,1)</f>
        <v>3.4199999999999999E-3</v>
      </c>
      <c r="F70" s="21" cm="1" vm="79">
        <f t="array" aca="1" ref="F70" ca="1">_xlfn.STOCKHISTORY("RONUSD",CurrencyConversionFromUSDList[[#This Row],[Date]],CurrencyConversionFromUSDList[[#This Row],[Date]],2,0,1)</f>
        <v>0.24360000000000001</v>
      </c>
    </row>
    <row r="71" spans="2:6">
      <c r="B71" s="1">
        <f t="shared" ca="1" si="2"/>
        <v>44074</v>
      </c>
      <c r="C71" s="18">
        <f>1</f>
        <v>1</v>
      </c>
      <c r="D71" s="18" cm="1" vm="208">
        <f t="array" aca="1" ref="D71" ca="1">_xlfn.STOCKHISTORY("EURUSD",CurrencyConversionFromUSDList[[#This Row],[Date]],CurrencyConversionFromUSDList[[#This Row],[Date]],2,0,1)</f>
        <v>1.1936</v>
      </c>
      <c r="E71" s="22" cm="1" vm="209">
        <f t="array" aca="1" ref="E71" ca="1">_xlfn.STOCKHISTORY("HUFUSD",CurrencyConversionFromUSDList[[#This Row],[Date]],CurrencyConversionFromUSDList[[#This Row],[Date]],2,0,1)</f>
        <v>3.356E-3</v>
      </c>
      <c r="F71" s="21" cm="1" vm="210">
        <f t="array" aca="1" ref="F71" ca="1">_xlfn.STOCKHISTORY("RONUSD",CurrencyConversionFromUSDList[[#This Row],[Date]],CurrencyConversionFromUSDList[[#This Row],[Date]],2,0,1)</f>
        <v>0.2465</v>
      </c>
    </row>
    <row r="72" spans="2:6">
      <c r="B72" s="1">
        <f t="shared" ca="1" si="2"/>
        <v>44104</v>
      </c>
      <c r="C72" s="18">
        <f>1</f>
        <v>1</v>
      </c>
      <c r="D72" s="18" cm="1" vm="211">
        <f t="array" aca="1" ref="D72" ca="1">_xlfn.STOCKHISTORY("EURUSD",CurrencyConversionFromUSDList[[#This Row],[Date]],CurrencyConversionFromUSDList[[#This Row],[Date]],2,0,1)</f>
        <v>1.1718</v>
      </c>
      <c r="E72" s="22" cm="1" vm="212">
        <f t="array" aca="1" ref="E72" ca="1">_xlfn.STOCKHISTORY("HUFUSD",CurrencyConversionFromUSDList[[#This Row],[Date]],CurrencyConversionFromUSDList[[#This Row],[Date]],2,0,1)</f>
        <v>3.222E-3</v>
      </c>
      <c r="F72" s="21" cm="1" vm="213">
        <f t="array" aca="1" ref="F72" ca="1">_xlfn.STOCKHISTORY("RONUSD",CurrencyConversionFromUSDList[[#This Row],[Date]],CurrencyConversionFromUSDList[[#This Row],[Date]],2,0,1)</f>
        <v>0.2404</v>
      </c>
    </row>
    <row r="73" spans="2:6">
      <c r="B73" s="1">
        <f t="shared" ca="1" si="2"/>
        <v>44135</v>
      </c>
      <c r="C73" s="18">
        <f>1</f>
        <v>1</v>
      </c>
      <c r="D73" s="18" cm="1" vm="214">
        <f t="array" aca="1" ref="D73" ca="1">_xlfn.STOCKHISTORY("EURUSD",CurrencyConversionFromUSDList[[#This Row],[Date]],CurrencyConversionFromUSDList[[#This Row],[Date]],2,0,1)</f>
        <v>1.1647000000000001</v>
      </c>
      <c r="E73" s="22" cm="1" vm="215">
        <f t="array" aca="1" ref="E73" ca="1">_xlfn.STOCKHISTORY("HUFUSD",CurrencyConversionFromUSDList[[#This Row],[Date]],CurrencyConversionFromUSDList[[#This Row],[Date]],2,0,1)</f>
        <v>3.1770000000000001E-3</v>
      </c>
      <c r="F73" s="21" cm="1" vm="158">
        <f t="array" aca="1" ref="F73" ca="1">_xlfn.STOCKHISTORY("RONUSD",CurrencyConversionFromUSDList[[#This Row],[Date]],CurrencyConversionFromUSDList[[#This Row],[Date]],2,0,1)</f>
        <v>0.2394</v>
      </c>
    </row>
    <row r="74" spans="2:6">
      <c r="B74" s="1">
        <f t="shared" ca="1" si="2"/>
        <v>44165</v>
      </c>
      <c r="C74" s="18">
        <f>1</f>
        <v>1</v>
      </c>
      <c r="D74" s="18" cm="1" vm="216">
        <f t="array" aca="1" ref="D74" ca="1">_xlfn.STOCKHISTORY("EURUSD",CurrencyConversionFromUSDList[[#This Row],[Date]],CurrencyConversionFromUSDList[[#This Row],[Date]],2,0,1)</f>
        <v>1.1928000000000001</v>
      </c>
      <c r="E74" s="22" cm="1" vm="217">
        <f t="array" aca="1" ref="E74" ca="1">_xlfn.STOCKHISTORY("HUFUSD",CurrencyConversionFromUSDList[[#This Row],[Date]],CurrencyConversionFromUSDList[[#This Row],[Date]],2,0,1)</f>
        <v>3.3240000000000001E-3</v>
      </c>
      <c r="F74" s="21" cm="1" vm="218">
        <f t="array" aca="1" ref="F74" ca="1">_xlfn.STOCKHISTORY("RONUSD",CurrencyConversionFromUSDList[[#This Row],[Date]],CurrencyConversionFromUSDList[[#This Row],[Date]],2,0,1)</f>
        <v>0.2445</v>
      </c>
    </row>
    <row r="75" spans="2:6">
      <c r="B75" s="1">
        <f t="shared" ca="1" si="2"/>
        <v>44196</v>
      </c>
      <c r="C75" s="18">
        <f>1</f>
        <v>1</v>
      </c>
      <c r="D75" s="18" cm="1" vm="219">
        <f t="array" aca="1" ref="D75" ca="1">_xlfn.STOCKHISTORY("EURUSD",CurrencyConversionFromUSDList[[#This Row],[Date]],CurrencyConversionFromUSDList[[#This Row],[Date]],2,0,1)</f>
        <v>1.2213000000000001</v>
      </c>
      <c r="E75" s="22" cm="1" vm="220">
        <f t="array" aca="1" ref="E75" ca="1">_xlfn.STOCKHISTORY("HUFUSD",CurrencyConversionFromUSDList[[#This Row],[Date]],CurrencyConversionFromUSDList[[#This Row],[Date]],2,0,1)</f>
        <v>3.3639999999999998E-3</v>
      </c>
      <c r="F75" s="21" cm="1" vm="221">
        <f t="array" aca="1" ref="F75" ca="1">_xlfn.STOCKHISTORY("RONUSD",CurrencyConversionFromUSDList[[#This Row],[Date]],CurrencyConversionFromUSDList[[#This Row],[Date]],2,0,1)</f>
        <v>0.25090000000000001</v>
      </c>
    </row>
    <row r="76" spans="2:6">
      <c r="B76" s="1">
        <f t="shared" ca="1" si="2"/>
        <v>44227</v>
      </c>
      <c r="C76" s="18">
        <f>1</f>
        <v>1</v>
      </c>
      <c r="D76" s="18" cm="1" vm="222">
        <f t="array" aca="1" ref="D76" ca="1">_xlfn.STOCKHISTORY("EURUSD",CurrencyConversionFromUSDList[[#This Row],[Date]],CurrencyConversionFromUSDList[[#This Row],[Date]],2,0,1)</f>
        <v>1.2136</v>
      </c>
      <c r="E76" s="22" cm="1" vm="223">
        <f t="array" aca="1" ref="E76" ca="1">_xlfn.STOCKHISTORY("HUFUSD",CurrencyConversionFromUSDList[[#This Row],[Date]],CurrencyConversionFromUSDList[[#This Row],[Date]],2,0,1)</f>
        <v>3.3930000000000002E-3</v>
      </c>
      <c r="F76" s="21" cm="1" vm="224">
        <f t="array" aca="1" ref="F76" ca="1">_xlfn.STOCKHISTORY("RONUSD",CurrencyConversionFromUSDList[[#This Row],[Date]],CurrencyConversionFromUSDList[[#This Row],[Date]],2,0,1)</f>
        <v>0.24890000000000001</v>
      </c>
    </row>
    <row r="77" spans="2:6">
      <c r="B77" s="1">
        <f t="shared" ca="1" si="2"/>
        <v>44255</v>
      </c>
      <c r="C77" s="18">
        <f>1</f>
        <v>1</v>
      </c>
      <c r="D77" s="18" cm="1" vm="225">
        <f t="array" aca="1" ref="D77" ca="1">_xlfn.STOCKHISTORY("EURUSD",CurrencyConversionFromUSDList[[#This Row],[Date]],CurrencyConversionFromUSDList[[#This Row],[Date]],2,0,1)</f>
        <v>1.2074</v>
      </c>
      <c r="E77" s="22" cm="1" vm="226">
        <f t="array" aca="1" ref="E77" ca="1">_xlfn.STOCKHISTORY("HUFUSD",CurrencyConversionFromUSDList[[#This Row],[Date]],CurrencyConversionFromUSDList[[#This Row],[Date]],2,0,1)</f>
        <v>3.3289999999999999E-3</v>
      </c>
      <c r="F77" s="21" cm="1" vm="227">
        <f t="array" aca="1" ref="F77" ca="1">_xlfn.STOCKHISTORY("RONUSD",CurrencyConversionFromUSDList[[#This Row],[Date]],CurrencyConversionFromUSDList[[#This Row],[Date]],2,0,1)</f>
        <v>0.2475</v>
      </c>
    </row>
    <row r="78" spans="2:6">
      <c r="B78" s="1">
        <f t="shared" ca="1" si="2"/>
        <v>44286</v>
      </c>
      <c r="C78" s="18">
        <f>1</f>
        <v>1</v>
      </c>
      <c r="D78" s="18" cm="1" vm="228">
        <f t="array" aca="1" ref="D78" ca="1">_xlfn.STOCKHISTORY("EURUSD",CurrencyConversionFromUSDList[[#This Row],[Date]],CurrencyConversionFromUSDList[[#This Row],[Date]],2,0,1)</f>
        <v>1.1728000000000001</v>
      </c>
      <c r="E78" s="22" cm="1" vm="229">
        <f t="array" aca="1" ref="E78" ca="1">_xlfn.STOCKHISTORY("HUFUSD",CurrencyConversionFromUSDList[[#This Row],[Date]],CurrencyConversionFromUSDList[[#This Row],[Date]],2,0,1)</f>
        <v>3.2369999999999999E-3</v>
      </c>
      <c r="F78" s="21" cm="1" vm="230">
        <f t="array" aca="1" ref="F78" ca="1">_xlfn.STOCKHISTORY("RONUSD",CurrencyConversionFromUSDList[[#This Row],[Date]],CurrencyConversionFromUSDList[[#This Row],[Date]],2,0,1)</f>
        <v>0.23830000000000001</v>
      </c>
    </row>
    <row r="79" spans="2:6">
      <c r="B79" s="1">
        <f t="shared" ca="1" si="2"/>
        <v>44316</v>
      </c>
      <c r="C79" s="18">
        <f>1</f>
        <v>1</v>
      </c>
      <c r="D79" s="18" cm="1" vm="231">
        <f t="array" aca="1" ref="D79" ca="1">_xlfn.STOCKHISTORY("EURUSD",CurrencyConversionFromUSDList[[#This Row],[Date]],CurrencyConversionFromUSDList[[#This Row],[Date]],2,0,1)</f>
        <v>1.2018</v>
      </c>
      <c r="E79" s="22" cm="1" vm="232">
        <f t="array" aca="1" ref="E79" ca="1">_xlfn.STOCKHISTORY("HUFUSD",CurrencyConversionFromUSDList[[#This Row],[Date]],CurrencyConversionFromUSDList[[#This Row],[Date]],2,0,1)</f>
        <v>3.3349999999999999E-3</v>
      </c>
      <c r="F79" s="21" cm="1" vm="233">
        <f t="array" aca="1" ref="F79" ca="1">_xlfn.STOCKHISTORY("RONUSD",CurrencyConversionFromUSDList[[#This Row],[Date]],CurrencyConversionFromUSDList[[#This Row],[Date]],2,0,1)</f>
        <v>0.24390000000000001</v>
      </c>
    </row>
    <row r="80" spans="2:6">
      <c r="B80" s="1">
        <f t="shared" ca="1" si="2"/>
        <v>44347</v>
      </c>
      <c r="C80" s="18">
        <f>1</f>
        <v>1</v>
      </c>
      <c r="D80" s="18" cm="1" vm="234">
        <f t="array" aca="1" ref="D80" ca="1">_xlfn.STOCKHISTORY("EURUSD",CurrencyConversionFromUSDList[[#This Row],[Date]],CurrencyConversionFromUSDList[[#This Row],[Date]],2,0,1)</f>
        <v>1.2224999999999999</v>
      </c>
      <c r="E80" s="22" cm="1" vm="235">
        <f t="array" aca="1" ref="E80" ca="1">_xlfn.STOCKHISTORY("HUFUSD",CurrencyConversionFromUSDList[[#This Row],[Date]],CurrencyConversionFromUSDList[[#This Row],[Date]],2,0,1)</f>
        <v>3.5149999999999999E-3</v>
      </c>
      <c r="F80" s="21" cm="1" vm="236">
        <f t="array" aca="1" ref="F80" ca="1">_xlfn.STOCKHISTORY("RONUSD",CurrencyConversionFromUSDList[[#This Row],[Date]],CurrencyConversionFromUSDList[[#This Row],[Date]],2,0,1)</f>
        <v>0.2485</v>
      </c>
    </row>
    <row r="81" spans="2:6">
      <c r="B81" s="1">
        <f t="shared" ca="1" si="2"/>
        <v>44377</v>
      </c>
      <c r="C81" s="18">
        <f>1</f>
        <v>1</v>
      </c>
      <c r="D81" s="18" cm="1" vm="237">
        <f t="array" aca="1" ref="D81" ca="1">_xlfn.STOCKHISTORY("EURUSD",CurrencyConversionFromUSDList[[#This Row],[Date]],CurrencyConversionFromUSDList[[#This Row],[Date]],2,0,1)</f>
        <v>1.1855</v>
      </c>
      <c r="E81" s="22" cm="1" vm="238">
        <f t="array" aca="1" ref="E81" ca="1">_xlfn.STOCKHISTORY("HUFUSD",CurrencyConversionFromUSDList[[#This Row],[Date]],CurrencyConversionFromUSDList[[#This Row],[Date]],2,0,1)</f>
        <v>3.3709999999999999E-3</v>
      </c>
      <c r="F81" s="21" cm="1" vm="170">
        <f t="array" aca="1" ref="F81" ca="1">_xlfn.STOCKHISTORY("RONUSD",CurrencyConversionFromUSDList[[#This Row],[Date]],CurrencyConversionFromUSDList[[#This Row],[Date]],2,0,1)</f>
        <v>0.24049999999999999</v>
      </c>
    </row>
    <row r="82" spans="2:6">
      <c r="B82" s="1">
        <f t="shared" ca="1" si="2"/>
        <v>44408</v>
      </c>
      <c r="C82" s="18">
        <f>1</f>
        <v>1</v>
      </c>
      <c r="D82" s="18" cm="1" vm="239">
        <f t="array" aca="1" ref="D82" ca="1">_xlfn.STOCKHISTORY("EURUSD",CurrencyConversionFromUSDList[[#This Row],[Date]],CurrencyConversionFromUSDList[[#This Row],[Date]],2,0,1)</f>
        <v>1.1870000000000001</v>
      </c>
      <c r="E82" s="22" cm="1" vm="240">
        <f t="array" aca="1" ref="E82" ca="1">_xlfn.STOCKHISTORY("HUFUSD",CurrencyConversionFromUSDList[[#This Row],[Date]],CurrencyConversionFromUSDList[[#This Row],[Date]],2,0,1)</f>
        <v>3.3089999999999999E-3</v>
      </c>
      <c r="F82" s="21" cm="1" vm="241">
        <f t="array" aca="1" ref="F82" ca="1">_xlfn.STOCKHISTORY("RONUSD",CurrencyConversionFromUSDList[[#This Row],[Date]],CurrencyConversionFromUSDList[[#This Row],[Date]],2,0,1)</f>
        <v>0.24129999999999999</v>
      </c>
    </row>
    <row r="83" spans="2:6">
      <c r="B83" s="1">
        <f t="shared" ca="1" si="2"/>
        <v>44439</v>
      </c>
      <c r="C83" s="18">
        <f>1</f>
        <v>1</v>
      </c>
      <c r="D83" s="18" cm="1" vm="242">
        <f t="array" aca="1" ref="D83" ca="1">_xlfn.STOCKHISTORY("EURUSD",CurrencyConversionFromUSDList[[#This Row],[Date]],CurrencyConversionFromUSDList[[#This Row],[Date]],2,0,1)</f>
        <v>1.1807000000000001</v>
      </c>
      <c r="E83" s="22" cm="1" vm="243">
        <f t="array" aca="1" ref="E83" ca="1">_xlfn.STOCKHISTORY("HUFUSD",CurrencyConversionFromUSDList[[#This Row],[Date]],CurrencyConversionFromUSDList[[#This Row],[Date]],2,0,1)</f>
        <v>3.3800000000000002E-3</v>
      </c>
      <c r="F83" s="21" cm="1" vm="244">
        <f t="array" aca="1" ref="F83" ca="1">_xlfn.STOCKHISTORY("RONUSD",CurrencyConversionFromUSDList[[#This Row],[Date]],CurrencyConversionFromUSDList[[#This Row],[Date]],2,0,1)</f>
        <v>0.2392</v>
      </c>
    </row>
    <row r="84" spans="2:6">
      <c r="B84" s="1">
        <f t="shared" ca="1" si="2"/>
        <v>44469</v>
      </c>
      <c r="C84" s="18">
        <f>1</f>
        <v>1</v>
      </c>
      <c r="D84" s="18" cm="1" vm="245">
        <f t="array" aca="1" ref="D84" ca="1">_xlfn.STOCKHISTORY("EURUSD",CurrencyConversionFromUSDList[[#This Row],[Date]],CurrencyConversionFromUSDList[[#This Row],[Date]],2,0,1)</f>
        <v>1.1580999999999999</v>
      </c>
      <c r="E84" s="22" cm="1" vm="246">
        <f t="array" aca="1" ref="E84" ca="1">_xlfn.STOCKHISTORY("HUFUSD",CurrencyConversionFromUSDList[[#This Row],[Date]],CurrencyConversionFromUSDList[[#This Row],[Date]],2,0,1)</f>
        <v>3.2190000000000001E-3</v>
      </c>
      <c r="F84" s="21" cm="1" vm="247">
        <f t="array" aca="1" ref="F84" ca="1">_xlfn.STOCKHISTORY("RONUSD",CurrencyConversionFromUSDList[[#This Row],[Date]],CurrencyConversionFromUSDList[[#This Row],[Date]],2,0,1)</f>
        <v>0.2339</v>
      </c>
    </row>
    <row r="85" spans="2:6">
      <c r="B85" s="1">
        <f t="shared" ca="1" si="2"/>
        <v>44500</v>
      </c>
      <c r="C85" s="18">
        <f>1</f>
        <v>1</v>
      </c>
      <c r="D85" s="18" cm="1" vm="248">
        <f t="array" aca="1" ref="D85" ca="1">_xlfn.STOCKHISTORY("EURUSD",CurrencyConversionFromUSDList[[#This Row],[Date]],CurrencyConversionFromUSDList[[#This Row],[Date]],2,0,1)</f>
        <v>1.1560999999999999</v>
      </c>
      <c r="E85" s="22" cm="1" vm="249">
        <f t="array" aca="1" ref="E85" ca="1">_xlfn.STOCKHISTORY("HUFUSD",CurrencyConversionFromUSDList[[#This Row],[Date]],CurrencyConversionFromUSDList[[#This Row],[Date]],2,0,1)</f>
        <v>3.2100000000000002E-3</v>
      </c>
      <c r="F85" s="21" cm="1" vm="250">
        <f t="array" aca="1" ref="F85" ca="1">_xlfn.STOCKHISTORY("RONUSD",CurrencyConversionFromUSDList[[#This Row],[Date]],CurrencyConversionFromUSDList[[#This Row],[Date]],2,0,1)</f>
        <v>0.23350000000000001</v>
      </c>
    </row>
    <row r="86" spans="2:6">
      <c r="B86" s="1">
        <f t="shared" ca="1" si="2"/>
        <v>44530</v>
      </c>
      <c r="C86" s="18">
        <f>1</f>
        <v>1</v>
      </c>
      <c r="D86" s="18" cm="1" vm="251">
        <f t="array" aca="1" ref="D86" ca="1">_xlfn.STOCKHISTORY("EURUSD",CurrencyConversionFromUSDList[[#This Row],[Date]],CurrencyConversionFromUSDList[[#This Row],[Date]],2,0,1)</f>
        <v>1.1335999999999999</v>
      </c>
      <c r="E86" s="22" cm="1" vm="252">
        <f t="array" aca="1" ref="E86" ca="1">_xlfn.STOCKHISTORY("HUFUSD",CurrencyConversionFromUSDList[[#This Row],[Date]],CurrencyConversionFromUSDList[[#This Row],[Date]],2,0,1)</f>
        <v>3.1050000000000001E-3</v>
      </c>
      <c r="F86" s="21" cm="1" vm="202">
        <f t="array" aca="1" ref="F86" ca="1">_xlfn.STOCKHISTORY("RONUSD",CurrencyConversionFromUSDList[[#This Row],[Date]],CurrencyConversionFromUSDList[[#This Row],[Date]],2,0,1)</f>
        <v>0.22900000000000001</v>
      </c>
    </row>
    <row r="87" spans="2:6">
      <c r="B87" s="1">
        <f t="shared" ca="1" si="2"/>
        <v>44561</v>
      </c>
      <c r="C87" s="18">
        <f>1</f>
        <v>1</v>
      </c>
      <c r="D87" s="18" cm="1" vm="168">
        <f t="array" aca="1" ref="D87" ca="1">_xlfn.STOCKHISTORY("EURUSD",CurrencyConversionFromUSDList[[#This Row],[Date]],CurrencyConversionFromUSDList[[#This Row],[Date]],2,0,1)</f>
        <v>1.1368</v>
      </c>
      <c r="E87" s="22" cm="1" vm="253">
        <f t="array" aca="1" ref="E87" ca="1">_xlfn.STOCKHISTORY("HUFUSD",CurrencyConversionFromUSDList[[#This Row],[Date]],CurrencyConversionFromUSDList[[#This Row],[Date]],2,0,1)</f>
        <v>3.078E-3</v>
      </c>
      <c r="F87" s="21" cm="1" vm="254">
        <f t="array" aca="1" ref="F87" ca="1">_xlfn.STOCKHISTORY("RONUSD",CurrencyConversionFromUSDList[[#This Row],[Date]],CurrencyConversionFromUSDList[[#This Row],[Date]],2,0,1)</f>
        <v>0.22969999999999999</v>
      </c>
    </row>
    <row r="88" spans="2:6">
      <c r="B88" s="1">
        <f t="shared" ca="1" si="2"/>
        <v>44592</v>
      </c>
      <c r="C88" s="18">
        <f>1</f>
        <v>1</v>
      </c>
      <c r="D88" s="18" cm="1" vm="255">
        <f t="array" aca="1" ref="D88" ca="1">_xlfn.STOCKHISTORY("EURUSD",CurrencyConversionFromUSDList[[#This Row],[Date]],CurrencyConversionFromUSDList[[#This Row],[Date]],2,0,1)</f>
        <v>1.1233</v>
      </c>
      <c r="E88" s="22" cm="1" vm="256">
        <f t="array" aca="1" ref="E88" ca="1">_xlfn.STOCKHISTORY("HUFUSD",CurrencyConversionFromUSDList[[#This Row],[Date]],CurrencyConversionFromUSDList[[#This Row],[Date]],2,0,1)</f>
        <v>3.16E-3</v>
      </c>
      <c r="F88" s="21" cm="1" vm="257">
        <f t="array" aca="1" ref="F88" ca="1">_xlfn.STOCKHISTORY("RONUSD",CurrencyConversionFromUSDList[[#This Row],[Date]],CurrencyConversionFromUSDList[[#This Row],[Date]],2,0,1)</f>
        <v>0.22700000000000001</v>
      </c>
    </row>
    <row r="89" spans="2:6">
      <c r="B89" s="1">
        <f t="shared" ca="1" si="2"/>
        <v>44620</v>
      </c>
      <c r="C89" s="18">
        <f>1</f>
        <v>1</v>
      </c>
      <c r="D89" s="18" cm="1" vm="258">
        <f t="array" aca="1" ref="D89" ca="1">_xlfn.STOCKHISTORY("EURUSD",CurrencyConversionFromUSDList[[#This Row],[Date]],CurrencyConversionFromUSDList[[#This Row],[Date]],2,0,1)</f>
        <v>1.1218999999999999</v>
      </c>
      <c r="E89" s="22" cm="1" vm="259">
        <f t="array" aca="1" ref="E89" ca="1">_xlfn.STOCKHISTORY("HUFUSD",CurrencyConversionFromUSDList[[#This Row],[Date]],CurrencyConversionFromUSDList[[#This Row],[Date]],2,0,1)</f>
        <v>3.019E-3</v>
      </c>
      <c r="F89" s="21" cm="1" vm="260">
        <f t="array" aca="1" ref="F89" ca="1">_xlfn.STOCKHISTORY("RONUSD",CurrencyConversionFromUSDList[[#This Row],[Date]],CurrencyConversionFromUSDList[[#This Row],[Date]],2,0,1)</f>
        <v>0.2266</v>
      </c>
    </row>
    <row r="90" spans="2:6">
      <c r="B90" s="1">
        <f t="shared" ca="1" si="2"/>
        <v>44651</v>
      </c>
      <c r="C90" s="18">
        <f>1</f>
        <v>1</v>
      </c>
      <c r="D90" s="18" cm="1" vm="261">
        <f t="array" aca="1" ref="D90" ca="1">_xlfn.STOCKHISTORY("EURUSD",CurrencyConversionFromUSDList[[#This Row],[Date]],CurrencyConversionFromUSDList[[#This Row],[Date]],2,0,1)</f>
        <v>1.1065</v>
      </c>
      <c r="E90" s="22" cm="1" vm="262">
        <f t="array" aca="1" ref="E90" ca="1">_xlfn.STOCKHISTORY("HUFUSD",CurrencyConversionFromUSDList[[#This Row],[Date]],CurrencyConversionFromUSDList[[#This Row],[Date]],2,0,1)</f>
        <v>3.0070000000000001E-3</v>
      </c>
      <c r="F90" s="21" cm="1" vm="263">
        <f t="array" aca="1" ref="F90" ca="1">_xlfn.STOCKHISTORY("RONUSD",CurrencyConversionFromUSDList[[#This Row],[Date]],CurrencyConversionFromUSDList[[#This Row],[Date]],2,0,1)</f>
        <v>0.2238</v>
      </c>
    </row>
    <row r="91" spans="2:6">
      <c r="B91" s="1">
        <f t="shared" ca="1" si="2"/>
        <v>44681</v>
      </c>
      <c r="C91" s="18">
        <f>1</f>
        <v>1</v>
      </c>
      <c r="D91" s="18" cm="1" vm="264">
        <f t="array" aca="1" ref="D91" ca="1">_xlfn.STOCKHISTORY("EURUSD",CurrencyConversionFromUSDList[[#This Row],[Date]],CurrencyConversionFromUSDList[[#This Row],[Date]],2,0,1)</f>
        <v>1.0541</v>
      </c>
      <c r="E91" s="22" cm="1" vm="265">
        <f t="array" aca="1" ref="E91" ca="1">_xlfn.STOCKHISTORY("HUFUSD",CurrencyConversionFromUSDList[[#This Row],[Date]],CurrencyConversionFromUSDList[[#This Row],[Date]],2,0,1)</f>
        <v>2.7850000000000001E-3</v>
      </c>
      <c r="F91" s="21" cm="1" vm="266">
        <f t="array" aca="1" ref="F91" ca="1">_xlfn.STOCKHISTORY("RONUSD",CurrencyConversionFromUSDList[[#This Row],[Date]],CurrencyConversionFromUSDList[[#This Row],[Date]],2,0,1)</f>
        <v>0.21299999999999999</v>
      </c>
    </row>
    <row r="92" spans="2:6">
      <c r="B92" s="1">
        <f t="shared" ca="1" si="2"/>
        <v>44712</v>
      </c>
      <c r="C92" s="18">
        <f>1</f>
        <v>1</v>
      </c>
      <c r="D92" s="18" cm="1" vm="267">
        <f t="array" aca="1" ref="D92" ca="1">_xlfn.STOCKHISTORY("EURUSD",CurrencyConversionFromUSDList[[#This Row],[Date]],CurrencyConversionFromUSDList[[#This Row],[Date]],2,0,1)</f>
        <v>1.0732999999999999</v>
      </c>
      <c r="E92" s="22" cm="1" vm="268">
        <f t="array" aca="1" ref="E92" ca="1">_xlfn.STOCKHISTORY("HUFUSD",CurrencyConversionFromUSDList[[#This Row],[Date]],CurrencyConversionFromUSDList[[#This Row],[Date]],2,0,1)</f>
        <v>2.7009999999999998E-3</v>
      </c>
      <c r="F92" s="21" cm="1" vm="269">
        <f t="array" aca="1" ref="F92" ca="1">_xlfn.STOCKHISTORY("RONUSD",CurrencyConversionFromUSDList[[#This Row],[Date]],CurrencyConversionFromUSDList[[#This Row],[Date]],2,0,1)</f>
        <v>0.217</v>
      </c>
    </row>
    <row r="93" spans="2:6">
      <c r="B93" s="1">
        <f t="shared" ca="1" si="2"/>
        <v>44742</v>
      </c>
      <c r="C93" s="18">
        <f>1</f>
        <v>1</v>
      </c>
      <c r="D93" s="18" cm="1" vm="270">
        <f t="array" aca="1" ref="D93" ca="1">_xlfn.STOCKHISTORY("EURUSD",CurrencyConversionFromUSDList[[#This Row],[Date]],CurrencyConversionFromUSDList[[#This Row],[Date]],2,0,1)</f>
        <v>1.0482</v>
      </c>
      <c r="E93" s="22" cm="1" vm="271">
        <f t="array" aca="1" ref="E93" ca="1">_xlfn.STOCKHISTORY("HUFUSD",CurrencyConversionFromUSDList[[#This Row],[Date]],CurrencyConversionFromUSDList[[#This Row],[Date]],2,0,1)</f>
        <v>2.643E-3</v>
      </c>
      <c r="F93" s="21" cm="1" vm="272">
        <f t="array" aca="1" ref="F93" ca="1">_xlfn.STOCKHISTORY("RONUSD",CurrencyConversionFromUSDList[[#This Row],[Date]],CurrencyConversionFromUSDList[[#This Row],[Date]],2,0,1)</f>
        <v>0.21179999999999999</v>
      </c>
    </row>
    <row r="94" spans="2:6">
      <c r="B94" s="1">
        <f t="shared" ca="1" si="2"/>
        <v>44773</v>
      </c>
      <c r="C94" s="18">
        <f>1</f>
        <v>1</v>
      </c>
      <c r="D94" s="18" cm="1" vm="273">
        <f t="array" aca="1" ref="D94" ca="1">_xlfn.STOCKHISTORY("EURUSD",CurrencyConversionFromUSDList[[#This Row],[Date]],CurrencyConversionFromUSDList[[#This Row],[Date]],2,0,1)</f>
        <v>1.0218</v>
      </c>
      <c r="E94" s="22" cm="1" vm="274">
        <f t="array" aca="1" ref="E94" ca="1">_xlfn.STOCKHISTORY("HUFUSD",CurrencyConversionFromUSDList[[#This Row],[Date]],CurrencyConversionFromUSDList[[#This Row],[Date]],2,0,1)</f>
        <v>2.5279999999999999E-3</v>
      </c>
      <c r="F94" s="21" cm="1" vm="275">
        <f t="array" aca="1" ref="F94" ca="1">_xlfn.STOCKHISTORY("RONUSD",CurrencyConversionFromUSDList[[#This Row],[Date]],CurrencyConversionFromUSDList[[#This Row],[Date]],2,0,1)</f>
        <v>0.20730000000000001</v>
      </c>
    </row>
    <row r="95" spans="2:6">
      <c r="B95" s="1">
        <f t="shared" ca="1" si="2"/>
        <v>44804</v>
      </c>
      <c r="C95" s="18">
        <f>1</f>
        <v>1</v>
      </c>
      <c r="D95" s="18" cm="1" vm="276">
        <f t="array" aca="1" ref="D95" ca="1">_xlfn.STOCKHISTORY("EURUSD",CurrencyConversionFromUSDList[[#This Row],[Date]],CurrencyConversionFromUSDList[[#This Row],[Date]],2,0,1)</f>
        <v>1.0057</v>
      </c>
      <c r="E95" s="22" cm="1" vm="277">
        <f t="array" aca="1" ref="E95" ca="1">_xlfn.STOCKHISTORY("HUFUSD",CurrencyConversionFromUSDList[[#This Row],[Date]],CurrencyConversionFromUSDList[[#This Row],[Date]],2,0,1)</f>
        <v>2.506E-3</v>
      </c>
      <c r="F95" s="21" cm="1" vm="278">
        <f t="array" aca="1" ref="F95" ca="1">_xlfn.STOCKHISTORY("RONUSD",CurrencyConversionFromUSDList[[#This Row],[Date]],CurrencyConversionFromUSDList[[#This Row],[Date]],2,0,1)</f>
        <v>0.20749999999999999</v>
      </c>
    </row>
    <row r="96" spans="2:6">
      <c r="B96" s="1">
        <f t="shared" ca="1" si="2"/>
        <v>44834</v>
      </c>
      <c r="C96" s="18">
        <f>1</f>
        <v>1</v>
      </c>
      <c r="D96" s="18" cm="1" vm="279">
        <f t="array" aca="1" ref="D96" ca="1">_xlfn.STOCKHISTORY("EURUSD",CurrencyConversionFromUSDList[[#This Row],[Date]],CurrencyConversionFromUSDList[[#This Row],[Date]],2,0,1)</f>
        <v>0.97989999999999999</v>
      </c>
      <c r="E96" s="22" cm="1" vm="280">
        <f t="array" aca="1" ref="E96" ca="1">_xlfn.STOCKHISTORY("HUFUSD",CurrencyConversionFromUSDList[[#This Row],[Date]],CurrencyConversionFromUSDList[[#This Row],[Date]],2,0,1)</f>
        <v>2.3159999999999999E-3</v>
      </c>
      <c r="F96" s="21" cm="1" vm="281">
        <f t="array" aca="1" ref="F96" ca="1">_xlfn.STOCKHISTORY("RONUSD",CurrencyConversionFromUSDList[[#This Row],[Date]],CurrencyConversionFromUSDList[[#This Row],[Date]],2,0,1)</f>
        <v>0.19789999999999999</v>
      </c>
    </row>
    <row r="97" spans="2:6">
      <c r="B97" s="1">
        <f t="shared" ca="1" si="2"/>
        <v>44865</v>
      </c>
      <c r="C97" s="18">
        <f>1</f>
        <v>1</v>
      </c>
      <c r="D97" s="18" cm="1" vm="282">
        <f t="array" aca="1" ref="D97" ca="1">_xlfn.STOCKHISTORY("EURUSD",CurrencyConversionFromUSDList[[#This Row],[Date]],CurrencyConversionFromUSDList[[#This Row],[Date]],2,0,1)</f>
        <v>0.98829999999999996</v>
      </c>
      <c r="E97" s="22" cm="1" vm="283">
        <f t="array" aca="1" ref="E97" ca="1">_xlfn.STOCKHISTORY("HUFUSD",CurrencyConversionFromUSDList[[#This Row],[Date]],CurrencyConversionFromUSDList[[#This Row],[Date]],2,0,1)</f>
        <v>2.4120000000000001E-3</v>
      </c>
      <c r="F97" s="21" cm="1" vm="284">
        <f t="array" aca="1" ref="F97" ca="1">_xlfn.STOCKHISTORY("RONUSD",CurrencyConversionFromUSDList[[#This Row],[Date]],CurrencyConversionFromUSDList[[#This Row],[Date]],2,0,1)</f>
        <v>0.2011</v>
      </c>
    </row>
    <row r="98" spans="2:6">
      <c r="B98" s="1">
        <f t="shared" ca="1" si="2"/>
        <v>44895</v>
      </c>
      <c r="C98" s="18">
        <f>1</f>
        <v>1</v>
      </c>
      <c r="D98" s="18" cm="1" vm="285">
        <f t="array" aca="1" ref="D98" ca="1">_xlfn.STOCKHISTORY("EURUSD",CurrencyConversionFromUSDList[[#This Row],[Date]],CurrencyConversionFromUSDList[[#This Row],[Date]],2,0,1)</f>
        <v>1.0405</v>
      </c>
      <c r="E98" s="22" cm="1" vm="286">
        <f t="array" aca="1" ref="E98" ca="1">_xlfn.STOCKHISTORY("HUFUSD",CurrencyConversionFromUSDList[[#This Row],[Date]],CurrencyConversionFromUSDList[[#This Row],[Date]],2,0,1)</f>
        <v>2.5439999999999998E-3</v>
      </c>
      <c r="F98" s="21" cm="1" vm="287">
        <f t="array" aca="1" ref="F98" ca="1">_xlfn.STOCKHISTORY("RONUSD",CurrencyConversionFromUSDList[[#This Row],[Date]],CurrencyConversionFromUSDList[[#This Row],[Date]],2,0,1)</f>
        <v>0.21099999999999999</v>
      </c>
    </row>
    <row r="99" spans="2:6">
      <c r="B99" s="1">
        <f t="shared" ca="1" si="2"/>
        <v>44926</v>
      </c>
      <c r="C99" s="18">
        <f>1</f>
        <v>1</v>
      </c>
      <c r="D99" s="18" cm="1" vm="288">
        <f t="array" aca="1" ref="D99" ca="1">_xlfn.STOCKHISTORY("EURUSD",CurrencyConversionFromUSDList[[#This Row],[Date]],CurrencyConversionFromUSDList[[#This Row],[Date]],2,0,1)</f>
        <v>1.0702</v>
      </c>
      <c r="E99" s="22" cm="1" vm="289">
        <f t="array" aca="1" ref="E99" ca="1">_xlfn.STOCKHISTORY("HUFUSD",CurrencyConversionFromUSDList[[#This Row],[Date]],CurrencyConversionFromUSDList[[#This Row],[Date]],2,0,1)</f>
        <v>2.6770000000000001E-3</v>
      </c>
      <c r="F99" s="21" cm="1" vm="290">
        <f t="array" aca="1" ref="F99" ca="1">_xlfn.STOCKHISTORY("RONUSD",CurrencyConversionFromUSDList[[#This Row],[Date]],CurrencyConversionFromUSDList[[#This Row],[Date]],2,0,1)</f>
        <v>0.21629999999999999</v>
      </c>
    </row>
    <row r="100" spans="2:6">
      <c r="B100" s="1">
        <f t="shared" ca="1" si="2"/>
        <v>44957</v>
      </c>
      <c r="C100" s="18">
        <f>1</f>
        <v>1</v>
      </c>
      <c r="D100" s="18" cm="1" vm="291">
        <f t="array" aca="1" ref="D100" ca="1">_xlfn.STOCKHISTORY("EURUSD",CurrencyConversionFromUSDList[[#This Row],[Date]],CurrencyConversionFromUSDList[[#This Row],[Date]],2,0,1)</f>
        <v>1.0862000000000001</v>
      </c>
      <c r="E100" s="22" cm="1" vm="292">
        <f t="array" aca="1" ref="E100" ca="1">_xlfn.STOCKHISTORY("HUFUSD",CurrencyConversionFromUSDList[[#This Row],[Date]],CurrencyConversionFromUSDList[[#This Row],[Date]],2,0,1)</f>
        <v>2.7729999999999999E-3</v>
      </c>
      <c r="F100" s="21" cm="1" vm="293">
        <f t="array" aca="1" ref="F100" ca="1">_xlfn.STOCKHISTORY("RONUSD",CurrencyConversionFromUSDList[[#This Row],[Date]],CurrencyConversionFromUSDList[[#This Row],[Date]],2,0,1)</f>
        <v>0.22070000000000001</v>
      </c>
    </row>
    <row r="101" spans="2:6">
      <c r="B101" s="1">
        <f t="shared" ca="1" si="2"/>
        <v>44985</v>
      </c>
      <c r="C101" s="18">
        <f>1</f>
        <v>1</v>
      </c>
      <c r="D101" s="18" cm="1" vm="294">
        <f t="array" aca="1" ref="D101" ca="1">_xlfn.STOCKHISTORY("EURUSD",CurrencyConversionFromUSDList[[#This Row],[Date]],CurrencyConversionFromUSDList[[#This Row],[Date]],2,0,1)</f>
        <v>1.0576000000000001</v>
      </c>
      <c r="E101" s="22" cm="1" vm="295">
        <f t="array" aca="1" ref="E101" ca="1">_xlfn.STOCKHISTORY("HUFUSD",CurrencyConversionFromUSDList[[#This Row],[Date]],CurrencyConversionFromUSDList[[#This Row],[Date]],2,0,1)</f>
        <v>2.7929999999999999E-3</v>
      </c>
      <c r="F101" s="21" cm="1" vm="296">
        <f t="array" aca="1" ref="F101" ca="1">_xlfn.STOCKHISTORY("RONUSD",CurrencyConversionFromUSDList[[#This Row],[Date]],CurrencyConversionFromUSDList[[#This Row],[Date]],2,0,1)</f>
        <v>0.21460000000000001</v>
      </c>
    </row>
    <row r="102" spans="2:6">
      <c r="B102" s="1">
        <f t="shared" ref="B102:B147" ca="1" si="3">IF(
    AND(
        MONTH(EOMONTH(DATE(2015,1,31), ROW()-4)) = MONTH(TODAY()),
        YEAR(EOMONTH(DATE(2015,1,31), ROW()-4)) = YEAR(TODAY())
    ),
    TODAY(),
    EOMONTH(DATE(2015,1,31), ROW()-4)
)</f>
        <v>45016</v>
      </c>
      <c r="C102" s="18">
        <f>1</f>
        <v>1</v>
      </c>
      <c r="D102" s="18" cm="1" vm="297">
        <f t="array" aca="1" ref="D102" ca="1">_xlfn.STOCKHISTORY("EURUSD",CurrencyConversionFromUSDList[[#This Row],[Date]],CurrencyConversionFromUSDList[[#This Row],[Date]],2,0,1)</f>
        <v>1.0839000000000001</v>
      </c>
      <c r="E102" s="22" cm="1" vm="298">
        <f t="array" aca="1" ref="E102" ca="1">_xlfn.STOCKHISTORY("HUFUSD",CurrencyConversionFromUSDList[[#This Row],[Date]],CurrencyConversionFromUSDList[[#This Row],[Date]],2,0,1)</f>
        <v>2.8519999999999999E-3</v>
      </c>
      <c r="F102" s="21" cm="1" vm="299">
        <f t="array" aca="1" ref="F102" ca="1">_xlfn.STOCKHISTORY("RONUSD",CurrencyConversionFromUSDList[[#This Row],[Date]],CurrencyConversionFromUSDList[[#This Row],[Date]],2,0,1)</f>
        <v>0.219</v>
      </c>
    </row>
    <row r="103" spans="2:6">
      <c r="B103" s="1">
        <f t="shared" ca="1" si="3"/>
        <v>45046</v>
      </c>
      <c r="C103" s="18">
        <f>1</f>
        <v>1</v>
      </c>
      <c r="D103" s="18" cm="1" vm="300">
        <f t="array" aca="1" ref="D103" ca="1">_xlfn.STOCKHISTORY("EURUSD",CurrencyConversionFromUSDList[[#This Row],[Date]],CurrencyConversionFromUSDList[[#This Row],[Date]],2,0,1)</f>
        <v>1.1020000000000001</v>
      </c>
      <c r="E103" s="22" cm="1" vm="301">
        <f t="array" aca="1" ref="E103" ca="1">_xlfn.STOCKHISTORY("HUFUSD",CurrencyConversionFromUSDList[[#This Row],[Date]],CurrencyConversionFromUSDList[[#This Row],[Date]],2,0,1)</f>
        <v>2.9510000000000001E-3</v>
      </c>
      <c r="F103" s="21" cm="1" vm="302">
        <f t="array" aca="1" ref="F103" ca="1">_xlfn.STOCKHISTORY("RONUSD",CurrencyConversionFromUSDList[[#This Row],[Date]],CurrencyConversionFromUSDList[[#This Row],[Date]],2,0,1)</f>
        <v>0.2233</v>
      </c>
    </row>
    <row r="104" spans="2:6">
      <c r="B104" s="1">
        <f t="shared" ca="1" si="3"/>
        <v>45077</v>
      </c>
      <c r="C104" s="18">
        <f>1</f>
        <v>1</v>
      </c>
      <c r="D104" s="18" cm="1" vm="303">
        <f t="array" aca="1" ref="D104" ca="1">_xlfn.STOCKHISTORY("EURUSD",CurrencyConversionFromUSDList[[#This Row],[Date]],CurrencyConversionFromUSDList[[#This Row],[Date]],2,0,1)</f>
        <v>1.0688</v>
      </c>
      <c r="E104" s="22" cm="1" vm="304">
        <f t="array" aca="1" ref="E104" ca="1">_xlfn.STOCKHISTORY("HUFUSD",CurrencyConversionFromUSDList[[#This Row],[Date]],CurrencyConversionFromUSDList[[#This Row],[Date]],2,0,1)</f>
        <v>2.8830000000000001E-3</v>
      </c>
      <c r="F104" s="21" cm="1" vm="305">
        <f t="array" aca="1" ref="F104" ca="1">_xlfn.STOCKHISTORY("RONUSD",CurrencyConversionFromUSDList[[#This Row],[Date]],CurrencyConversionFromUSDList[[#This Row],[Date]],2,0,1)</f>
        <v>0.215</v>
      </c>
    </row>
    <row r="105" spans="2:6">
      <c r="B105" s="1">
        <f t="shared" ca="1" si="3"/>
        <v>45107</v>
      </c>
      <c r="C105" s="18">
        <f>1</f>
        <v>1</v>
      </c>
      <c r="D105" s="18" cm="1" vm="306">
        <f t="array" aca="1" ref="D105" ca="1">_xlfn.STOCKHISTORY("EURUSD",CurrencyConversionFromUSDList[[#This Row],[Date]],CurrencyConversionFromUSDList[[#This Row],[Date]],2,0,1)</f>
        <v>1.091</v>
      </c>
      <c r="E105" s="22" cm="1" vm="307">
        <f t="array" aca="1" ref="E105" ca="1">_xlfn.STOCKHISTORY("HUFUSD",CurrencyConversionFromUSDList[[#This Row],[Date]],CurrencyConversionFromUSDList[[#This Row],[Date]],2,0,1)</f>
        <v>2.9239999999999999E-3</v>
      </c>
      <c r="F105" s="21" cm="1" vm="308">
        <f t="array" aca="1" ref="F105" ca="1">_xlfn.STOCKHISTORY("RONUSD",CurrencyConversionFromUSDList[[#This Row],[Date]],CurrencyConversionFromUSDList[[#This Row],[Date]],2,0,1)</f>
        <v>0.21990000000000001</v>
      </c>
    </row>
    <row r="106" spans="2:6">
      <c r="B106" s="1">
        <f t="shared" ca="1" si="3"/>
        <v>45138</v>
      </c>
      <c r="C106" s="18">
        <f>1</f>
        <v>1</v>
      </c>
      <c r="D106" s="18" cm="1" vm="309">
        <f t="array" aca="1" ref="D106" ca="1">_xlfn.STOCKHISTORY("EURUSD",CurrencyConversionFromUSDList[[#This Row],[Date]],CurrencyConversionFromUSDList[[#This Row],[Date]],2,0,1)</f>
        <v>1.0992999999999999</v>
      </c>
      <c r="E106" s="22" cm="1" vm="310">
        <f t="array" aca="1" ref="E106" ca="1">_xlfn.STOCKHISTORY("HUFUSD",CurrencyConversionFromUSDList[[#This Row],[Date]],CurrencyConversionFromUSDList[[#This Row],[Date]],2,0,1)</f>
        <v>2.8389999999999999E-3</v>
      </c>
      <c r="F106" s="21" cm="1" vm="311">
        <f t="array" aca="1" ref="F106" ca="1">_xlfn.STOCKHISTORY("RONUSD",CurrencyConversionFromUSDList[[#This Row],[Date]],CurrencyConversionFromUSDList[[#This Row],[Date]],2,0,1)</f>
        <v>0.22289999999999999</v>
      </c>
    </row>
    <row r="107" spans="2:6">
      <c r="B107" s="1">
        <f t="shared" ca="1" si="3"/>
        <v>45169</v>
      </c>
      <c r="C107" s="18">
        <f>1</f>
        <v>1</v>
      </c>
      <c r="D107" s="18" cm="1" vm="312">
        <f t="array" aca="1" ref="D107" ca="1">_xlfn.STOCKHISTORY("EURUSD",CurrencyConversionFromUSDList[[#This Row],[Date]],CurrencyConversionFromUSDList[[#This Row],[Date]],2,0,1)</f>
        <v>1.0841000000000001</v>
      </c>
      <c r="E107" s="22" cm="1" vm="313">
        <f t="array" aca="1" ref="E107" ca="1">_xlfn.STOCKHISTORY("HUFUSD",CurrencyConversionFromUSDList[[#This Row],[Date]],CurrencyConversionFromUSDList[[#This Row],[Date]],2,0,1)</f>
        <v>2.843E-3</v>
      </c>
      <c r="F107" s="21" cm="1" vm="314">
        <f t="array" aca="1" ref="F107" ca="1">_xlfn.STOCKHISTORY("RONUSD",CurrencyConversionFromUSDList[[#This Row],[Date]],CurrencyConversionFromUSDList[[#This Row],[Date]],2,0,1)</f>
        <v>0.21940000000000001</v>
      </c>
    </row>
    <row r="108" spans="2:6">
      <c r="B108" s="1">
        <f t="shared" ca="1" si="3"/>
        <v>45199</v>
      </c>
      <c r="C108" s="18">
        <f>1</f>
        <v>1</v>
      </c>
      <c r="D108" s="18" cm="1" vm="315">
        <f t="array" aca="1" ref="D108" ca="1">_xlfn.STOCKHISTORY("EURUSD",CurrencyConversionFromUSDList[[#This Row],[Date]],CurrencyConversionFromUSDList[[#This Row],[Date]],2,0,1)</f>
        <v>1.0569999999999999</v>
      </c>
      <c r="E108" s="22" cm="1" vm="316">
        <f t="array" aca="1" ref="E108" ca="1">_xlfn.STOCKHISTORY("HUFUSD",CurrencyConversionFromUSDList[[#This Row],[Date]],CurrencyConversionFromUSDList[[#This Row],[Date]],2,0,1)</f>
        <v>2.7109999999999999E-3</v>
      </c>
      <c r="F108" s="21" cm="1" vm="317">
        <f t="array" aca="1" ref="F108" ca="1">_xlfn.STOCKHISTORY("RONUSD",CurrencyConversionFromUSDList[[#This Row],[Date]],CurrencyConversionFromUSDList[[#This Row],[Date]],2,0,1)</f>
        <v>0.21249999999999999</v>
      </c>
    </row>
    <row r="109" spans="2:6">
      <c r="B109" s="1">
        <f t="shared" ca="1" si="3"/>
        <v>45230</v>
      </c>
      <c r="C109" s="18">
        <f>1</f>
        <v>1</v>
      </c>
      <c r="D109" s="18" cm="1" vm="294">
        <f t="array" aca="1" ref="D109" ca="1">_xlfn.STOCKHISTORY("EURUSD",CurrencyConversionFromUSDList[[#This Row],[Date]],CurrencyConversionFromUSDList[[#This Row],[Date]],2,0,1)</f>
        <v>1.0576000000000001</v>
      </c>
      <c r="E109" s="22" cm="1" vm="318">
        <f t="array" aca="1" ref="E109" ca="1">_xlfn.STOCKHISTORY("HUFUSD",CurrencyConversionFromUSDList[[#This Row],[Date]],CurrencyConversionFromUSDList[[#This Row],[Date]],2,0,1)</f>
        <v>2.7620000000000001E-3</v>
      </c>
      <c r="F109" s="21" cm="1" vm="319">
        <f t="array" aca="1" ref="F109" ca="1">_xlfn.STOCKHISTORY("RONUSD",CurrencyConversionFromUSDList[[#This Row],[Date]],CurrencyConversionFromUSDList[[#This Row],[Date]],2,0,1)</f>
        <v>0.21290000000000001</v>
      </c>
    </row>
    <row r="110" spans="2:6">
      <c r="B110" s="1">
        <f t="shared" ca="1" si="3"/>
        <v>45260</v>
      </c>
      <c r="C110" s="18">
        <f>1</f>
        <v>1</v>
      </c>
      <c r="D110" s="18" cm="1" vm="320">
        <f t="array" aca="1" ref="D110" ca="1">_xlfn.STOCKHISTORY("EURUSD",CurrencyConversionFromUSDList[[#This Row],[Date]],CurrencyConversionFromUSDList[[#This Row],[Date]],2,0,1)</f>
        <v>1.0886</v>
      </c>
      <c r="E110" s="22" cm="1" vm="321">
        <f t="array" aca="1" ref="E110" ca="1">_xlfn.STOCKHISTORY("HUFUSD",CurrencyConversionFromUSDList[[#This Row],[Date]],CurrencyConversionFromUSDList[[#This Row],[Date]],2,0,1)</f>
        <v>2.862E-3</v>
      </c>
      <c r="F110" s="21" cm="1" vm="299">
        <f t="array" aca="1" ref="F110" ca="1">_xlfn.STOCKHISTORY("RONUSD",CurrencyConversionFromUSDList[[#This Row],[Date]],CurrencyConversionFromUSDList[[#This Row],[Date]],2,0,1)</f>
        <v>0.219</v>
      </c>
    </row>
    <row r="111" spans="2:6">
      <c r="B111" s="1">
        <f t="shared" ca="1" si="3"/>
        <v>45291</v>
      </c>
      <c r="C111" s="18">
        <f>1</f>
        <v>1</v>
      </c>
      <c r="D111" s="18" cm="1" vm="322">
        <f t="array" aca="1" ref="D111" ca="1">_xlfn.STOCKHISTORY("EURUSD",CurrencyConversionFromUSDList[[#This Row],[Date]],CurrencyConversionFromUSDList[[#This Row],[Date]],2,0,1)</f>
        <v>1.1035999999999999</v>
      </c>
      <c r="E111" s="22" cm="1" vm="323">
        <f t="array" aca="1" ref="E111" ca="1">_xlfn.STOCKHISTORY("HUFUSD",CurrencyConversionFromUSDList[[#This Row],[Date]],CurrencyConversionFromUSDList[[#This Row],[Date]],2,0,1)</f>
        <v>2.8770000000000002E-3</v>
      </c>
      <c r="F111" s="21" cm="1" vm="324">
        <f t="array" aca="1" ref="F111" ca="1">_xlfn.STOCKHISTORY("RONUSD",CurrencyConversionFromUSDList[[#This Row],[Date]],CurrencyConversionFromUSDList[[#This Row],[Date]],2,0,1)</f>
        <v>0.2218</v>
      </c>
    </row>
    <row r="112" spans="2:6">
      <c r="B112" s="1">
        <f t="shared" ca="1" si="3"/>
        <v>45322</v>
      </c>
      <c r="C112" s="18">
        <f>1</f>
        <v>1</v>
      </c>
      <c r="D112" s="18" cm="1" vm="325">
        <f t="array" aca="1" ref="D112" ca="1">_xlfn.STOCKHISTORY("EURUSD",CurrencyConversionFromUSDList[[#This Row],[Date]],CurrencyConversionFromUSDList[[#This Row],[Date]],2,0,1)</f>
        <v>1.0815999999999999</v>
      </c>
      <c r="E112" s="22" cm="1" vm="326">
        <f t="array" aca="1" ref="E112" ca="1">_xlfn.STOCKHISTORY("HUFUSD",CurrencyConversionFromUSDList[[#This Row],[Date]],CurrencyConversionFromUSDList[[#This Row],[Date]],2,0,1)</f>
        <v>2.8180000000000002E-3</v>
      </c>
      <c r="F112" s="21" cm="1" vm="327">
        <f t="array" aca="1" ref="F112" ca="1">_xlfn.STOCKHISTORY("RONUSD",CurrencyConversionFromUSDList[[#This Row],[Date]],CurrencyConversionFromUSDList[[#This Row],[Date]],2,0,1)</f>
        <v>0.21729999999999999</v>
      </c>
    </row>
    <row r="113" spans="2:6">
      <c r="B113" s="1">
        <f t="shared" ca="1" si="3"/>
        <v>45351</v>
      </c>
      <c r="C113" s="18">
        <f>1</f>
        <v>1</v>
      </c>
      <c r="D113" s="18" cm="1" vm="328">
        <f t="array" aca="1" ref="D113" ca="1">_xlfn.STOCKHISTORY("EURUSD",CurrencyConversionFromUSDList[[#This Row],[Date]],CurrencyConversionFromUSDList[[#This Row],[Date]],2,0,1)</f>
        <v>1.0803</v>
      </c>
      <c r="E113" s="22" cm="1" vm="329">
        <f t="array" aca="1" ref="E113" ca="1">_xlfn.STOCKHISTORY("HUFUSD",CurrencyConversionFromUSDList[[#This Row],[Date]],CurrencyConversionFromUSDList[[#This Row],[Date]],2,0,1)</f>
        <v>2.751E-3</v>
      </c>
      <c r="F113" s="21" cm="1" vm="327">
        <f t="array" aca="1" ref="F113" ca="1">_xlfn.STOCKHISTORY("RONUSD",CurrencyConversionFromUSDList[[#This Row],[Date]],CurrencyConversionFromUSDList[[#This Row],[Date]],2,0,1)</f>
        <v>0.21729999999999999</v>
      </c>
    </row>
    <row r="114" spans="2:6">
      <c r="B114" s="1">
        <f t="shared" ca="1" si="3"/>
        <v>45382</v>
      </c>
      <c r="C114" s="18">
        <f>1</f>
        <v>1</v>
      </c>
      <c r="D114" s="18" cm="1" vm="330">
        <f t="array" aca="1" ref="D114" ca="1">_xlfn.STOCKHISTORY("EURUSD",CurrencyConversionFromUSDList[[#This Row],[Date]],CurrencyConversionFromUSDList[[#This Row],[Date]],2,0,1)</f>
        <v>1.0792999999999999</v>
      </c>
      <c r="E114" s="22" cm="1" vm="331">
        <f t="array" aca="1" ref="E114" ca="1">_xlfn.STOCKHISTORY("HUFUSD",CurrencyConversionFromUSDList[[#This Row],[Date]],CurrencyConversionFromUSDList[[#This Row],[Date]],2,0,1)</f>
        <v>2.7369999999999998E-3</v>
      </c>
      <c r="F114" s="21" cm="1" vm="332">
        <f t="array" aca="1" ref="F114" ca="1">_xlfn.STOCKHISTORY("RONUSD",CurrencyConversionFromUSDList[[#This Row],[Date]],CurrencyConversionFromUSDList[[#This Row],[Date]],2,0,1)</f>
        <v>0.21709999999999999</v>
      </c>
    </row>
    <row r="115" spans="2:6">
      <c r="B115" s="1">
        <f t="shared" ca="1" si="3"/>
        <v>45412</v>
      </c>
      <c r="C115" s="18">
        <f>1</f>
        <v>1</v>
      </c>
      <c r="D115" s="18" cm="1" vm="333">
        <f t="array" aca="1" ref="D115" ca="1">_xlfn.STOCKHISTORY("EURUSD",CurrencyConversionFromUSDList[[#This Row],[Date]],CurrencyConversionFromUSDList[[#This Row],[Date]],2,0,1)</f>
        <v>1.0665</v>
      </c>
      <c r="E115" s="22" cm="1" vm="334">
        <f t="array" aca="1" ref="E115" ca="1">_xlfn.STOCKHISTORY("HUFUSD",CurrencyConversionFromUSDList[[#This Row],[Date]],CurrencyConversionFromUSDList[[#This Row],[Date]],2,0,1)</f>
        <v>2.7239999999999999E-3</v>
      </c>
      <c r="F115" s="21" cm="1" vm="335">
        <f t="array" aca="1" ref="F115" ca="1">_xlfn.STOCKHISTORY("RONUSD",CurrencyConversionFromUSDList[[#This Row],[Date]],CurrencyConversionFromUSDList[[#This Row],[Date]],2,0,1)</f>
        <v>0.2142</v>
      </c>
    </row>
    <row r="116" spans="2:6">
      <c r="B116" s="1">
        <f t="shared" ca="1" si="3"/>
        <v>45443</v>
      </c>
      <c r="C116" s="18">
        <f>1</f>
        <v>1</v>
      </c>
      <c r="D116" s="18" cm="1" vm="312">
        <f t="array" aca="1" ref="D116" ca="1">_xlfn.STOCKHISTORY("EURUSD",CurrencyConversionFromUSDList[[#This Row],[Date]],CurrencyConversionFromUSDList[[#This Row],[Date]],2,0,1)</f>
        <v>1.0841000000000001</v>
      </c>
      <c r="E116" s="22" cm="1" vm="336">
        <f t="array" aca="1" ref="E116" ca="1">_xlfn.STOCKHISTORY("HUFUSD",CurrencyConversionFromUSDList[[#This Row],[Date]],CurrencyConversionFromUSDList[[#This Row],[Date]],2,0,1)</f>
        <v>2.784E-3</v>
      </c>
      <c r="F116" s="21" cm="1" vm="337">
        <f t="array" aca="1" ref="F116" ca="1">_xlfn.STOCKHISTORY("RONUSD",CurrencyConversionFromUSDList[[#This Row],[Date]],CurrencyConversionFromUSDList[[#This Row],[Date]],2,0,1)</f>
        <v>0.21779999999999999</v>
      </c>
    </row>
    <row r="117" spans="2:6">
      <c r="B117" s="1">
        <f t="shared" ca="1" si="3"/>
        <v>45473</v>
      </c>
      <c r="C117" s="18">
        <f>1</f>
        <v>1</v>
      </c>
      <c r="D117" s="18" cm="1" vm="338">
        <f t="array" aca="1" ref="D117" ca="1">_xlfn.STOCKHISTORY("EURUSD",CurrencyConversionFromUSDList[[#This Row],[Date]],CurrencyConversionFromUSDList[[#This Row],[Date]],2,0,1)</f>
        <v>1.0712999999999999</v>
      </c>
      <c r="E117" s="22" cm="1" vm="339">
        <f t="array" aca="1" ref="E117" ca="1">_xlfn.STOCKHISTORY("HUFUSD",CurrencyConversionFromUSDList[[#This Row],[Date]],CurrencyConversionFromUSDList[[#This Row],[Date]],2,0,1)</f>
        <v>2.7100000000000002E-3</v>
      </c>
      <c r="F117" s="21" cm="1" vm="340">
        <f t="array" aca="1" ref="F117" ca="1">_xlfn.STOCKHISTORY("RONUSD",CurrencyConversionFromUSDList[[#This Row],[Date]],CurrencyConversionFromUSDList[[#This Row],[Date]],2,0,1)</f>
        <v>0.21529999999999999</v>
      </c>
    </row>
    <row r="118" spans="2:6">
      <c r="B118" s="1">
        <f t="shared" ca="1" si="3"/>
        <v>45504</v>
      </c>
      <c r="C118" s="18">
        <f>1</f>
        <v>1</v>
      </c>
      <c r="D118" s="18" cm="1" vm="341">
        <f t="array" aca="1" ref="D118" ca="1">_xlfn.STOCKHISTORY("EURUSD",CurrencyConversionFromUSDList[[#This Row],[Date]],CurrencyConversionFromUSDList[[#This Row],[Date]],2,0,1)</f>
        <v>1.0825</v>
      </c>
      <c r="E118" s="22" cm="1" vm="342">
        <f t="array" aca="1" ref="E118" ca="1">_xlfn.STOCKHISTORY("HUFUSD",CurrencyConversionFromUSDList[[#This Row],[Date]],CurrencyConversionFromUSDList[[#This Row],[Date]],2,0,1)</f>
        <v>2.7439999999999999E-3</v>
      </c>
      <c r="F118" s="21" cm="1" vm="343">
        <f t="array" aca="1" ref="F118" ca="1">_xlfn.STOCKHISTORY("RONUSD",CurrencyConversionFromUSDList[[#This Row],[Date]],CurrencyConversionFromUSDList[[#This Row],[Date]],2,0,1)</f>
        <v>0.21740000000000001</v>
      </c>
    </row>
    <row r="119" spans="2:6">
      <c r="B119" s="1">
        <f t="shared" ca="1" si="3"/>
        <v>45535</v>
      </c>
      <c r="C119" s="18">
        <f>1</f>
        <v>1</v>
      </c>
      <c r="D119" s="18" cm="1" vm="344">
        <f t="array" aca="1" ref="D119" ca="1">_xlfn.STOCKHISTORY("EURUSD",CurrencyConversionFromUSDList[[#This Row],[Date]],CurrencyConversionFromUSDList[[#This Row],[Date]],2,0,1)</f>
        <v>1.1047</v>
      </c>
      <c r="E119" s="22" cm="1" vm="345">
        <f t="array" aca="1" ref="E119" ca="1">_xlfn.STOCKHISTORY("HUFUSD",CurrencyConversionFromUSDList[[#This Row],[Date]],CurrencyConversionFromUSDList[[#This Row],[Date]],2,0,1)</f>
        <v>2.81E-3</v>
      </c>
      <c r="F119" s="21" cm="1" vm="346">
        <f t="array" aca="1" ref="F119" ca="1">_xlfn.STOCKHISTORY("RONUSD",CurrencyConversionFromUSDList[[#This Row],[Date]],CurrencyConversionFromUSDList[[#This Row],[Date]],2,0,1)</f>
        <v>0.22189999999999999</v>
      </c>
    </row>
    <row r="120" spans="2:6">
      <c r="B120" s="1">
        <f t="shared" ca="1" si="3"/>
        <v>45565</v>
      </c>
      <c r="C120" s="18">
        <f>1</f>
        <v>1</v>
      </c>
      <c r="D120" s="18" cm="1" vm="347">
        <f t="array" aca="1" ref="D120" ca="1">_xlfn.STOCKHISTORY("EURUSD",CurrencyConversionFromUSDList[[#This Row],[Date]],CurrencyConversionFromUSDList[[#This Row],[Date]],2,0,1)</f>
        <v>1.1133999999999999</v>
      </c>
      <c r="E120" s="22" cm="1" vm="348">
        <f t="array" aca="1" ref="E120" ca="1">_xlfn.STOCKHISTORY("HUFUSD",CurrencyConversionFromUSDList[[#This Row],[Date]],CurrencyConversionFromUSDList[[#This Row],[Date]],2,0,1)</f>
        <v>2.8019999999999998E-3</v>
      </c>
      <c r="F120" s="21" cm="1" vm="349">
        <f t="array" aca="1" ref="F120" ca="1">_xlfn.STOCKHISTORY("RONUSD",CurrencyConversionFromUSDList[[#This Row],[Date]],CurrencyConversionFromUSDList[[#This Row],[Date]],2,0,1)</f>
        <v>0.22370000000000001</v>
      </c>
    </row>
    <row r="121" spans="2:6">
      <c r="B121" s="1">
        <f t="shared" ca="1" si="3"/>
        <v>45596</v>
      </c>
      <c r="C121" s="18">
        <f>1</f>
        <v>1</v>
      </c>
      <c r="D121" s="18" cm="1" vm="350">
        <f t="array" aca="1" ref="D121" ca="1">_xlfn.STOCKHISTORY("EURUSD",CurrencyConversionFromUSDList[[#This Row],[Date]],CurrencyConversionFromUSDList[[#This Row],[Date]],2,0,1)</f>
        <v>1.0883</v>
      </c>
      <c r="E121" s="22" cm="1" vm="351">
        <f t="array" aca="1" ref="E121" ca="1">_xlfn.STOCKHISTORY("HUFUSD",CurrencyConversionFromUSDList[[#This Row],[Date]],CurrencyConversionFromUSDList[[#This Row],[Date]],2,0,1)</f>
        <v>2.6649999999999998E-3</v>
      </c>
      <c r="F121" s="21" cm="1" vm="352">
        <f t="array" aca="1" ref="F121" ca="1">_xlfn.STOCKHISTORY("RONUSD",CurrencyConversionFromUSDList[[#This Row],[Date]],CurrencyConversionFromUSDList[[#This Row],[Date]],2,0,1)</f>
        <v>0.21870000000000001</v>
      </c>
    </row>
    <row r="122" spans="2:6">
      <c r="B122" s="1">
        <f t="shared" ca="1" si="3"/>
        <v>45626</v>
      </c>
      <c r="C122" s="18">
        <f>1</f>
        <v>1</v>
      </c>
      <c r="D122" s="18" cm="1" vm="89">
        <f t="array" aca="1" ref="D122" ca="1">_xlfn.STOCKHISTORY("EURUSD",CurrencyConversionFromUSDList[[#This Row],[Date]],CurrencyConversionFromUSDList[[#This Row],[Date]],2,0,1)</f>
        <v>1.0575000000000001</v>
      </c>
      <c r="E122" s="22" cm="1" vm="353">
        <f t="array" aca="1" ref="E122" ca="1">_xlfn.STOCKHISTORY("HUFUSD",CurrencyConversionFromUSDList[[#This Row],[Date]],CurrencyConversionFromUSDList[[#This Row],[Date]],2,0,1)</f>
        <v>2.5609999999999999E-3</v>
      </c>
      <c r="F122" s="21" cm="1" vm="354">
        <f t="array" aca="1" ref="F122" ca="1">_xlfn.STOCKHISTORY("RONUSD",CurrencyConversionFromUSDList[[#This Row],[Date]],CurrencyConversionFromUSDList[[#This Row],[Date]],2,0,1)</f>
        <v>0.21240000000000001</v>
      </c>
    </row>
    <row r="123" spans="2:6">
      <c r="B123" s="1">
        <f t="shared" ca="1" si="3"/>
        <v>45657</v>
      </c>
      <c r="C123" s="18">
        <f>1</f>
        <v>1</v>
      </c>
      <c r="D123" s="18" cm="1" vm="355">
        <f t="array" aca="1" ref="D123" ca="1">_xlfn.STOCKHISTORY("EURUSD",CurrencyConversionFromUSDList[[#This Row],[Date]],CurrencyConversionFromUSDList[[#This Row],[Date]],2,0,1)</f>
        <v>1.0353000000000001</v>
      </c>
      <c r="E123" s="22" cm="1" vm="356">
        <f t="array" aca="1" ref="E123" ca="1">_xlfn.STOCKHISTORY("HUFUSD",CurrencyConversionFromUSDList[[#This Row],[Date]],CurrencyConversionFromUSDList[[#This Row],[Date]],2,0,1)</f>
        <v>2.5149999999999999E-3</v>
      </c>
      <c r="F123" s="21" cm="1" vm="357">
        <f t="array" aca="1" ref="F123" ca="1">_xlfn.STOCKHISTORY("RONUSD",CurrencyConversionFromUSDList[[#This Row],[Date]],CurrencyConversionFromUSDList[[#This Row],[Date]],2,0,1)</f>
        <v>0.20799999999999999</v>
      </c>
    </row>
    <row r="124" spans="2:6">
      <c r="B124" s="1">
        <f t="shared" ca="1" si="3"/>
        <v>45688</v>
      </c>
      <c r="C124" s="18">
        <f>1</f>
        <v>1</v>
      </c>
      <c r="D124" s="18" cm="1" vm="358">
        <f t="array" aca="1" ref="D124" ca="1">_xlfn.STOCKHISTORY("EURUSD",CurrencyConversionFromUSDList[[#This Row],[Date]],CurrencyConversionFromUSDList[[#This Row],[Date]],2,0,1)</f>
        <v>1.0362</v>
      </c>
      <c r="E124" s="22" cm="1" vm="359">
        <f t="array" aca="1" ref="E124" ca="1">_xlfn.STOCKHISTORY("HUFUSD",CurrencyConversionFromUSDList[[#This Row],[Date]],CurrencyConversionFromUSDList[[#This Row],[Date]],2,0,1)</f>
        <v>2.5400000000000002E-3</v>
      </c>
      <c r="F124" s="21" cm="1" vm="360">
        <f t="array" aca="1" ref="F124" ca="1">_xlfn.STOCKHISTORY("RONUSD",CurrencyConversionFromUSDList[[#This Row],[Date]],CurrencyConversionFromUSDList[[#This Row],[Date]],2,0,1)</f>
        <v>0.20810000000000001</v>
      </c>
    </row>
    <row r="125" spans="2:6">
      <c r="B125" s="1">
        <f t="shared" ca="1" si="3"/>
        <v>45716</v>
      </c>
      <c r="C125" s="18">
        <f>1</f>
        <v>1</v>
      </c>
      <c r="D125" s="18" cm="1" vm="361">
        <f t="array" aca="1" ref="D125" ca="1">_xlfn.STOCKHISTORY("EURUSD",CurrencyConversionFromUSDList[[#This Row],[Date]],CurrencyConversionFromUSDList[[#This Row],[Date]],2,0,1)</f>
        <v>1.0375000000000001</v>
      </c>
      <c r="E125" s="22" cm="1" vm="362">
        <f t="array" aca="1" ref="E125" ca="1">_xlfn.STOCKHISTORY("HUFUSD",CurrencyConversionFromUSDList[[#This Row],[Date]],CurrencyConversionFromUSDList[[#This Row],[Date]],2,0,1)</f>
        <v>2.5699999999999998E-3</v>
      </c>
      <c r="F125" s="21" cm="1" vm="363">
        <f t="array" aca="1" ref="F125" ca="1">_xlfn.STOCKHISTORY("RONUSD",CurrencyConversionFromUSDList[[#This Row],[Date]],CurrencyConversionFromUSDList[[#This Row],[Date]],2,0,1)</f>
        <v>0.20830000000000001</v>
      </c>
    </row>
    <row r="126" spans="2:6">
      <c r="B126" s="1">
        <f t="shared" ca="1" si="3"/>
        <v>45747</v>
      </c>
      <c r="C126" s="18">
        <f>1</f>
        <v>1</v>
      </c>
      <c r="D126" s="18" cm="1" vm="364">
        <f t="array" aca="1" ref="D126" ca="1">_xlfn.STOCKHISTORY("EURUSD",CurrencyConversionFromUSDList[[#This Row],[Date]],CurrencyConversionFromUSDList[[#This Row],[Date]],2,0,1)</f>
        <v>1.0817000000000001</v>
      </c>
      <c r="E126" s="22" cm="1" vm="365">
        <f t="array" aca="1" ref="E126" ca="1">_xlfn.STOCKHISTORY("HUFUSD",CurrencyConversionFromUSDList[[#This Row],[Date]],CurrencyConversionFromUSDList[[#This Row],[Date]],2,0,1)</f>
        <v>2.6830000000000001E-3</v>
      </c>
      <c r="F126" s="21" cm="1" vm="332">
        <f t="array" aca="1" ref="F126" ca="1">_xlfn.STOCKHISTORY("RONUSD",CurrencyConversionFromUSDList[[#This Row],[Date]],CurrencyConversionFromUSDList[[#This Row],[Date]],2,0,1)</f>
        <v>0.21709999999999999</v>
      </c>
    </row>
    <row r="127" spans="2:6">
      <c r="B127" s="1">
        <f t="shared" ca="1" si="3"/>
        <v>45777</v>
      </c>
      <c r="C127" s="18">
        <f>1</f>
        <v>1</v>
      </c>
      <c r="D127" s="18" cm="1" vm="366">
        <f t="array" aca="1" ref="D127" ca="1">_xlfn.STOCKHISTORY("EURUSD",CurrencyConversionFromUSDList[[#This Row],[Date]],CurrencyConversionFromUSDList[[#This Row],[Date]],2,0,1)</f>
        <v>1.1327</v>
      </c>
      <c r="E127" s="22" cm="1" vm="367">
        <f t="array" aca="1" ref="E127" ca="1">_xlfn.STOCKHISTORY("HUFUSD",CurrencyConversionFromUSDList[[#This Row],[Date]],CurrencyConversionFromUSDList[[#This Row],[Date]],2,0,1)</f>
        <v>2.7980000000000001E-3</v>
      </c>
      <c r="F127" s="21" cm="1" vm="368">
        <f t="array" aca="1" ref="F127" ca="1">_xlfn.STOCKHISTORY("RONUSD",CurrencyConversionFromUSDList[[#This Row],[Date]],CurrencyConversionFromUSDList[[#This Row],[Date]],2,0,1)</f>
        <v>0.22739999999999999</v>
      </c>
    </row>
    <row r="128" spans="2:6">
      <c r="B128" s="1">
        <f t="shared" ca="1" si="3"/>
        <v>45808</v>
      </c>
      <c r="C128" s="18">
        <f>1</f>
        <v>1</v>
      </c>
      <c r="D128" s="18" cm="1" vm="369">
        <f t="array" aca="1" ref="D128" ca="1">_xlfn.STOCKHISTORY("EURUSD",CurrencyConversionFromUSDList[[#This Row],[Date]],CurrencyConversionFromUSDList[[#This Row],[Date]],2,0,1)</f>
        <v>1.1347</v>
      </c>
      <c r="E128" s="22" cm="1" vm="370">
        <f t="array" aca="1" ref="E128" ca="1">_xlfn.STOCKHISTORY("HUFUSD",CurrencyConversionFromUSDList[[#This Row],[Date]],CurrencyConversionFromUSDList[[#This Row],[Date]],2,0,1)</f>
        <v>2.807E-3</v>
      </c>
      <c r="F128" s="21" cm="1" vm="371">
        <f t="array" aca="1" ref="F128" ca="1">_xlfn.STOCKHISTORY("RONUSD",CurrencyConversionFromUSDList[[#This Row],[Date]],CurrencyConversionFromUSDList[[#This Row],[Date]],2,0,1)</f>
        <v>0.22409999999999999</v>
      </c>
    </row>
    <row r="129" spans="2:6">
      <c r="B129" s="1">
        <f t="shared" ca="1" si="3"/>
        <v>45838</v>
      </c>
      <c r="C129" s="18">
        <f>1</f>
        <v>1</v>
      </c>
      <c r="D129" s="18" cm="1" vm="372">
        <f t="array" aca="1" ref="D129" ca="1">_xlfn.STOCKHISTORY("EURUSD",CurrencyConversionFromUSDList[[#This Row],[Date]],CurrencyConversionFromUSDList[[#This Row],[Date]],2,0,1)</f>
        <v>1.1786000000000001</v>
      </c>
      <c r="E129" s="22" cm="1" vm="373">
        <f t="array" aca="1" ref="E129" ca="1">_xlfn.STOCKHISTORY("HUFUSD",CurrencyConversionFromUSDList[[#This Row],[Date]],CurrencyConversionFromUSDList[[#This Row],[Date]],2,0,1)</f>
        <v>2.9480000000000001E-3</v>
      </c>
      <c r="F129" s="21" cm="1" vm="190">
        <f t="array" aca="1" ref="F129" ca="1">_xlfn.STOCKHISTORY("RONUSD",CurrencyConversionFromUSDList[[#This Row],[Date]],CurrencyConversionFromUSDList[[#This Row],[Date]],2,0,1)</f>
        <v>0.23200000000000001</v>
      </c>
    </row>
    <row r="130" spans="2:6">
      <c r="B130" s="1">
        <f t="shared" ca="1" si="3"/>
        <v>45869</v>
      </c>
      <c r="C130" s="18">
        <f>1</f>
        <v>1</v>
      </c>
      <c r="D130" s="18" cm="1" vm="374">
        <f t="array" aca="1" ref="D130" ca="1">_xlfn.STOCKHISTORY("EURUSD",CurrencyConversionFromUSDList[[#This Row],[Date]],CurrencyConversionFromUSDList[[#This Row],[Date]],2,0,1)</f>
        <v>1.1415</v>
      </c>
      <c r="E130" s="22" cm="1" vm="375">
        <f t="array" aca="1" ref="E130" ca="1">_xlfn.STOCKHISTORY("HUFUSD",CurrencyConversionFromUSDList[[#This Row],[Date]],CurrencyConversionFromUSDList[[#This Row],[Date]],2,0,1)</f>
        <v>2.8530000000000001E-3</v>
      </c>
      <c r="F130" s="21" cm="1" vm="376">
        <f t="array" aca="1" ref="F130" ca="1">_xlfn.STOCKHISTORY("RONUSD",CurrencyConversionFromUSDList[[#This Row],[Date]],CurrencyConversionFromUSDList[[#This Row],[Date]],2,0,1)</f>
        <v>0.2248</v>
      </c>
    </row>
    <row r="131" spans="2:6">
      <c r="B131" s="1">
        <f t="shared" ca="1" si="3"/>
        <v>45900</v>
      </c>
      <c r="C131" s="18">
        <f>1</f>
        <v>1</v>
      </c>
      <c r="D131" s="18" cm="1" vm="377">
        <f t="array" aca="1" ref="D131" ca="1">_xlfn.STOCKHISTORY("EURUSD",CurrencyConversionFromUSDList[[#This Row],[Date]],CurrencyConversionFromUSDList[[#This Row],[Date]],2,0,1)</f>
        <v>1.1684000000000001</v>
      </c>
      <c r="E131" s="22" cm="1" vm="378">
        <f t="array" aca="1" ref="E131" ca="1">_xlfn.STOCKHISTORY("HUFUSD",CurrencyConversionFromUSDList[[#This Row],[Date]],CurrencyConversionFromUSDList[[#This Row],[Date]],2,0,1)</f>
        <v>2.944E-3</v>
      </c>
      <c r="F131" s="21" cm="1" vm="184">
        <f t="array" aca="1" ref="F131" ca="1">_xlfn.STOCKHISTORY("RONUSD",CurrencyConversionFromUSDList[[#This Row],[Date]],CurrencyConversionFromUSDList[[#This Row],[Date]],2,0,1)</f>
        <v>0.23019999999999999</v>
      </c>
    </row>
    <row r="132" spans="2:6">
      <c r="B132" s="1">
        <f t="shared" ca="1" si="3"/>
        <v>45930</v>
      </c>
      <c r="C132" s="18">
        <f>1</f>
        <v>1</v>
      </c>
      <c r="D132" s="18" cm="1" vm="379">
        <f t="array" aca="1" ref="D132" ca="1">_xlfn.STOCKHISTORY("EURUSD",CurrencyConversionFromUSDList[[#This Row],[Date]],CurrencyConversionFromUSDList[[#This Row],[Date]],2,0,1)</f>
        <v>1.1733</v>
      </c>
      <c r="E132" s="22" cm="1" vm="262">
        <f t="array" aca="1" ref="E132" ca="1">_xlfn.STOCKHISTORY("HUFUSD",CurrencyConversionFromUSDList[[#This Row],[Date]],CurrencyConversionFromUSDList[[#This Row],[Date]],2,0,1)</f>
        <v>3.0070000000000001E-3</v>
      </c>
      <c r="F132" s="21" cm="1" vm="380">
        <f t="array" aca="1" ref="F132" ca="1">_xlfn.STOCKHISTORY("RONUSD",CurrencyConversionFromUSDList[[#This Row],[Date]],CurrencyConversionFromUSDList[[#This Row],[Date]],2,0,1)</f>
        <v>0.23069999999999999</v>
      </c>
    </row>
    <row r="133" spans="2:6">
      <c r="B133" s="1">
        <f t="shared" ca="1" si="3"/>
        <v>45961</v>
      </c>
      <c r="C133" s="18">
        <f>1</f>
        <v>1</v>
      </c>
      <c r="D133" s="18" cm="1" vm="381">
        <f t="array" aca="1" ref="D133" ca="1">_xlfn.STOCKHISTORY("EURUSD",CurrencyConversionFromUSDList[[#This Row],[Date]],CurrencyConversionFromUSDList[[#This Row],[Date]],2,0,1)</f>
        <v>1.1534</v>
      </c>
      <c r="E133" s="22" cm="1" vm="382">
        <f t="array" aca="1" ref="E133" ca="1">_xlfn.STOCKHISTORY("HUFUSD",CurrencyConversionFromUSDList[[#This Row],[Date]],CurrencyConversionFromUSDList[[#This Row],[Date]],2,0,1)</f>
        <v>2.97E-3</v>
      </c>
      <c r="F133" s="21" cm="1" vm="383">
        <f t="array" aca="1" ref="F133" ca="1">_xlfn.STOCKHISTORY("RONUSD",CurrencyConversionFromUSDList[[#This Row],[Date]],CurrencyConversionFromUSDList[[#This Row],[Date]],2,0,1)</f>
        <v>0.22670000000000001</v>
      </c>
    </row>
    <row r="134" spans="2:6">
      <c r="B134" s="1">
        <f t="shared" ca="1" si="3"/>
        <v>45991</v>
      </c>
      <c r="C134" s="18">
        <f>1</f>
        <v>1</v>
      </c>
      <c r="D134" s="18" cm="1" vm="384">
        <f t="array" aca="1" ref="D134" ca="1">_xlfn.STOCKHISTORY("EURUSD",CurrencyConversionFromUSDList[[#This Row],[Date]],CurrencyConversionFromUSDList[[#This Row],[Date]],2,0,1)</f>
        <v>1.1595</v>
      </c>
      <c r="E134" s="22" cm="1" vm="385">
        <f t="array" aca="1" ref="E134" ca="1">_xlfn.STOCKHISTORY("HUFUSD",CurrencyConversionFromUSDList[[#This Row],[Date]],CurrencyConversionFromUSDList[[#This Row],[Date]],2,0,1)</f>
        <v>3.0379999999999999E-3</v>
      </c>
      <c r="F134" s="21" cm="1" vm="386">
        <f t="array" aca="1" ref="F134" ca="1">_xlfn.STOCKHISTORY("RONUSD",CurrencyConversionFromUSDList[[#This Row],[Date]],CurrencyConversionFromUSDList[[#This Row],[Date]],2,0,1)</f>
        <v>0.2276</v>
      </c>
    </row>
    <row r="135" spans="2:6">
      <c r="B135" s="1">
        <f t="shared" ca="1" si="3"/>
        <v>46022</v>
      </c>
      <c r="C135" s="18">
        <f>1</f>
        <v>1</v>
      </c>
      <c r="D135" s="18" cm="1" vm="387">
        <f t="array" aca="1" ref="D135" ca="1">_xlfn.STOCKHISTORY("EURUSD",CurrencyConversionFromUSDList[[#This Row],[Date]],CurrencyConversionFromUSDList[[#This Row],[Date]],2,0,1)</f>
        <v>1.1745000000000001</v>
      </c>
      <c r="E135" s="22" cm="1" vm="388">
        <f t="array" aca="1" ref="E135" ca="1">_xlfn.STOCKHISTORY("HUFUSD",CurrencyConversionFromUSDList[[#This Row],[Date]],CurrencyConversionFromUSDList[[#This Row],[Date]],2,0,1)</f>
        <v>3.0530000000000002E-3</v>
      </c>
      <c r="F135" s="21" cm="1" vm="389">
        <f t="array" aca="1" ref="F135" ca="1">_xlfn.STOCKHISTORY("RONUSD",CurrencyConversionFromUSDList[[#This Row],[Date]],CurrencyConversionFromUSDList[[#This Row],[Date]],2,0,1)</f>
        <v>0.2303</v>
      </c>
    </row>
    <row r="136" spans="2:6">
      <c r="B136" s="1">
        <f t="shared" ca="1" si="3"/>
        <v>46053</v>
      </c>
      <c r="C136" s="18">
        <f>1</f>
        <v>1</v>
      </c>
      <c r="D136" s="18" cm="1" vm="390">
        <f t="array" aca="1" ref="D136" ca="1">_xlfn.STOCKHISTORY("EURUSD",CurrencyConversionFromUSDList[[#This Row],[Date]],CurrencyConversionFromUSDList[[#This Row],[Date]],2,0,1)</f>
        <v>1.1848000000000001</v>
      </c>
      <c r="E136" s="22" cm="1" vm="391">
        <f t="array" aca="1" ref="E136" ca="1">_xlfn.STOCKHISTORY("HUFUSD",CurrencyConversionFromUSDList[[#This Row],[Date]],CurrencyConversionFromUSDList[[#This Row],[Date]],2,0,1)</f>
        <v>3.107E-3</v>
      </c>
      <c r="F136" s="21" cm="1" vm="392">
        <f t="array" aca="1" ref="F136" ca="1">_xlfn.STOCKHISTORY("RONUSD",CurrencyConversionFromUSDList[[#This Row],[Date]],CurrencyConversionFromUSDList[[#This Row],[Date]],2,0,1)</f>
        <v>0.23250000000000001</v>
      </c>
    </row>
    <row r="137" spans="2:6">
      <c r="B137" s="1">
        <f t="shared" ca="1" si="3"/>
        <v>46081</v>
      </c>
      <c r="C137" s="18">
        <f>1</f>
        <v>1</v>
      </c>
      <c r="D137" s="18" cm="1" vm="393">
        <f t="array" aca="1" ref="D137" ca="1">_xlfn.STOCKHISTORY("EURUSD",CurrencyConversionFromUSDList[[#This Row],[Date]],CurrencyConversionFromUSDList[[#This Row],[Date]],2,0,1)</f>
        <v>1.1813</v>
      </c>
      <c r="E137" s="22" cm="1" vm="394">
        <f t="array" aca="1" ref="E137" ca="1">_xlfn.STOCKHISTORY("HUFUSD",CurrencyConversionFromUSDList[[#This Row],[Date]],CurrencyConversionFromUSDList[[#This Row],[Date]],2,0,1)</f>
        <v>3.1329999999999999E-3</v>
      </c>
      <c r="F137" s="21" cm="1" vm="395">
        <f t="array" aca="1" ref="F137" ca="1">_xlfn.STOCKHISTORY("RONUSD",CurrencyConversionFromUSDList[[#This Row],[Date]],CurrencyConversionFromUSDList[[#This Row],[Date]],2,0,1)</f>
        <v>0.23169999999999999</v>
      </c>
    </row>
    <row r="138" spans="2:6">
      <c r="B138" s="1">
        <f t="shared" ca="1" si="3"/>
        <v>46112</v>
      </c>
      <c r="C138" s="18">
        <f>1</f>
        <v>1</v>
      </c>
      <c r="D138" s="18" cm="1" vm="396">
        <f t="array" aca="1" ref="D138" ca="1">_xlfn.STOCKHISTORY("EURUSD",CurrencyConversionFromUSDList[[#This Row],[Date]],CurrencyConversionFromUSDList[[#This Row],[Date]],2,0,1)</f>
        <v>1.1552</v>
      </c>
      <c r="E138" s="22" cm="1" vm="262">
        <f t="array" aca="1" ref="E138" ca="1">_xlfn.STOCKHISTORY("HUFUSD",CurrencyConversionFromUSDList[[#This Row],[Date]],CurrencyConversionFromUSDList[[#This Row],[Date]],2,0,1)</f>
        <v>3.0070000000000001E-3</v>
      </c>
      <c r="F138" s="21" cm="1" vm="397">
        <f t="array" aca="1" ref="F138" ca="1">_xlfn.STOCKHISTORY("RONUSD",CurrencyConversionFromUSDList[[#This Row],[Date]],CurrencyConversionFromUSDList[[#This Row],[Date]],2,0,1)</f>
        <v>0.22639999999999999</v>
      </c>
    </row>
    <row r="139" spans="2:6">
      <c r="B139" s="1">
        <f t="shared" ca="1" si="3"/>
        <v>46142</v>
      </c>
      <c r="C139" s="18">
        <f>1</f>
        <v>1</v>
      </c>
      <c r="D139" s="18" cm="1" vm="398">
        <f t="array" aca="1" ref="D139" ca="1">_xlfn.STOCKHISTORY("EURUSD",CurrencyConversionFromUSDList[[#This Row],[Date]],CurrencyConversionFromUSDList[[#This Row],[Date]],2,0,1)</f>
        <v>1.173</v>
      </c>
      <c r="E139" s="22" cm="1" vm="399">
        <f t="array" aca="1" ref="E139" ca="1">_xlfn.STOCKHISTORY("HUFUSD",CurrencyConversionFromUSDList[[#This Row],[Date]],CurrencyConversionFromUSDList[[#This Row],[Date]],2,0,1)</f>
        <v>3.2169999999999998E-3</v>
      </c>
      <c r="F139" s="21" cm="1" vm="400">
        <f t="array" aca="1" ref="F139" ca="1">_xlfn.STOCKHISTORY("RONUSD",CurrencyConversionFromUSDList[[#This Row],[Date]],CurrencyConversionFromUSDList[[#This Row],[Date]],2,0,1)</f>
        <v>0.22559999999999999</v>
      </c>
    </row>
    <row r="140" spans="2:6">
      <c r="B140" s="1">
        <f t="shared" ca="1" si="3"/>
        <v>46173</v>
      </c>
      <c r="C140" s="18">
        <f>1</f>
        <v>1</v>
      </c>
      <c r="D140" s="18" cm="1" vm="401">
        <f t="array" aca="1" ref="D140" ca="1">_xlfn.STOCKHISTORY("EURUSD",CurrencyConversionFromUSDList[[#This Row],[Date]],CurrencyConversionFromUSDList[[#This Row],[Date]],2,0,1)</f>
        <v>1.1658999999999999</v>
      </c>
      <c r="E140" s="22" cm="1" vm="402">
        <f t="array" aca="1" ref="E140" ca="1">_xlfn.STOCKHISTORY("HUFUSD",CurrencyConversionFromUSDList[[#This Row],[Date]],CurrencyConversionFromUSDList[[#This Row],[Date]],2,0,1)</f>
        <v>3.2929999999999999E-3</v>
      </c>
      <c r="F140" s="21" cm="1" vm="346">
        <f t="array" aca="1" ref="F140" ca="1">_xlfn.STOCKHISTORY("RONUSD",CurrencyConversionFromUSDList[[#This Row],[Date]],CurrencyConversionFromUSDList[[#This Row],[Date]],2,0,1)</f>
        <v>0.22189999999999999</v>
      </c>
    </row>
    <row r="141" spans="2:6">
      <c r="B141" s="1">
        <f t="shared" ca="1" si="3"/>
        <v>46203</v>
      </c>
      <c r="C141" s="18">
        <f>1</f>
        <v>1</v>
      </c>
      <c r="D141" s="18" cm="1" vm="403">
        <f t="array" aca="1" ref="D141" ca="1">_xlfn.STOCKHISTORY("EURUSD",CurrencyConversionFromUSDList[[#This Row],[Date]],CurrencyConversionFromUSDList[[#This Row],[Date]],2,0,1)</f>
        <v>1.1420999999999999</v>
      </c>
      <c r="E141" s="22" cm="1" vm="249">
        <f t="array" aca="1" ref="E141" ca="1">_xlfn.STOCKHISTORY("HUFUSD",CurrencyConversionFromUSDList[[#This Row],[Date]],CurrencyConversionFromUSDList[[#This Row],[Date]],2,0,1)</f>
        <v>3.2100000000000002E-3</v>
      </c>
      <c r="F141" s="21" cm="1" vm="404">
        <f t="array" aca="1" ref="F141" ca="1">_xlfn.STOCKHISTORY("RONUSD",CurrencyConversionFromUSDList[[#This Row],[Date]],CurrencyConversionFromUSDList[[#This Row],[Date]],2,0,1)</f>
        <v>0.2177</v>
      </c>
    </row>
    <row r="142" spans="2:6">
      <c r="B142" s="1">
        <f t="shared" ca="1" si="3"/>
        <v>46234</v>
      </c>
      <c r="C142" s="18">
        <f>1</f>
        <v>1</v>
      </c>
      <c r="D142" s="18" cm="1" vm="405">
        <f t="array" aca="1" ref="D142" ca="1">_xlfn.STOCKHISTORY("EURUSD",CurrencyConversionFromUSDList[[#This Row],[Date]],CurrencyConversionFromUSDList[[#This Row],[Date]],2,0,1)</f>
        <v>1.1527000000000001</v>
      </c>
      <c r="E142" s="22" cm="1" vm="406">
        <f t="array" aca="1" ref="E142" ca="1">_xlfn.STOCKHISTORY("HUFUSD",CurrencyConversionFromUSDList[[#This Row],[Date]],CurrencyConversionFromUSDList[[#This Row],[Date]],2,0,1)</f>
        <v>3.1570000000000001E-3</v>
      </c>
      <c r="F142" s="21" cm="1" vm="407">
        <f t="array" aca="1" ref="F142" ca="1">_xlfn.STOCKHISTORY("RONUSD",CurrencyConversionFromUSDList[[#This Row],[Date]],CurrencyConversionFromUSDList[[#This Row],[Date]],2,0,1)</f>
        <v>0.21970000000000001</v>
      </c>
    </row>
    <row r="143" spans="2:6">
      <c r="B143" s="1">
        <f t="shared" ca="1" si="3"/>
        <v>46265</v>
      </c>
      <c r="C143" s="18">
        <f>1</f>
        <v>1</v>
      </c>
      <c r="D143" s="18" cm="1" vm="408">
        <f t="array" aca="1" ref="D143" ca="1">_xlfn.STOCKHISTORY("EURUSD",CurrencyConversionFromUSDList[[#This Row],[Date]],CurrencyConversionFromUSDList[[#This Row],[Date]],2,0,1)</f>
        <v>1.1616</v>
      </c>
      <c r="E143" s="22" cm="1" vm="409">
        <f t="array" aca="1" ref="E143" ca="1">_xlfn.STOCKHISTORY("HUFUSD",CurrencyConversionFromUSDList[[#This Row],[Date]],CurrencyConversionFromUSDList[[#This Row],[Date]],2,0,1)</f>
        <v>3.179E-3</v>
      </c>
      <c r="F143" s="21" cm="1" vm="293">
        <f t="array" aca="1" ref="F143" ca="1">_xlfn.STOCKHISTORY("RONUSD",CurrencyConversionFromUSDList[[#This Row],[Date]],CurrencyConversionFromUSDList[[#This Row],[Date]],2,0,1)</f>
        <v>0.22070000000000001</v>
      </c>
    </row>
    <row r="144" spans="2:6">
      <c r="B144" s="1">
        <f t="shared" ca="1" si="3"/>
        <v>46295</v>
      </c>
      <c r="C144" s="18">
        <f>1</f>
        <v>1</v>
      </c>
      <c r="D144" s="18" cm="1" vm="410">
        <f t="array" aca="1" ref="D144" ca="1">_xlfn.STOCKHISTORY("EURUSD",CurrencyConversionFromUSDList[[#This Row],[Date]],CurrencyConversionFromUSDList[[#This Row],[Date]],2,0,1)</f>
        <v>1.1328</v>
      </c>
      <c r="E144" s="22" cm="1" vm="411">
        <f t="array" aca="1" ref="E144" ca="1">_xlfn.STOCKHISTORY("HUFUSD",CurrencyConversionFromUSDList[[#This Row],[Date]],CurrencyConversionFromUSDList[[#This Row],[Date]],2,0,1)</f>
        <v>3.0890000000000002E-3</v>
      </c>
      <c r="F144" s="21" cm="1" vm="412">
        <f t="array" aca="1" ref="F144" ca="1">_xlfn.STOCKHISTORY("RONUSD",CurrencyConversionFromUSDList[[#This Row],[Date]],CurrencyConversionFromUSDList[[#This Row],[Date]],2,0,1)</f>
        <v>0.21479999999999999</v>
      </c>
    </row>
    <row r="145" spans="2:6">
      <c r="B145" s="1">
        <f t="shared" ca="1" si="3"/>
        <v>46308</v>
      </c>
      <c r="C145" s="18">
        <f>1</f>
        <v>1</v>
      </c>
      <c r="D145" s="18" cm="1" vm="413">
        <f t="array" aca="1" ref="D145" ca="1">_xlfn.STOCKHISTORY("EURUSD",CurrencyConversionFromUSDList[[#This Row],[Date]],CurrencyConversionFromUSDList[[#This Row],[Date]],2,0,1)</f>
        <v>1.1153</v>
      </c>
      <c r="E145" s="22" cm="1" vm="414">
        <f t="array" aca="1" ref="E145" ca="1">_xlfn.STOCKHISTORY("HUFUSD",CurrencyConversionFromUSDList[[#This Row],[Date]],CurrencyConversionFromUSDList[[#This Row],[Date]],2,0,1)</f>
        <v>3.0569999999999998E-3</v>
      </c>
      <c r="F145" s="21" cm="1" vm="415">
        <f t="array" aca="1" ref="F145" ca="1">_xlfn.STOCKHISTORY("RONUSD",CurrencyConversionFromUSDList[[#This Row],[Date]],CurrencyConversionFromUSDList[[#This Row],[Date]],2,0,1)</f>
        <v>0.20899999999999999</v>
      </c>
    </row>
    <row r="146" spans="2:6">
      <c r="B146" s="1">
        <f t="shared" ca="1" si="3"/>
        <v>46356</v>
      </c>
      <c r="C146" s="18">
        <f>1</f>
        <v>1</v>
      </c>
      <c r="D146" s="18" t="e" cm="1" vm="416">
        <f t="array" aca="1" ref="D146" ca="1">_xlfn.STOCKHISTORY("EURUSD",CurrencyConversionFromUSDList[[#This Row],[Date]],CurrencyConversionFromUSDList[[#This Row],[Date]],2,0,1)</f>
        <v>#VALUE!</v>
      </c>
      <c r="E146" s="22" t="e" cm="1" vm="416">
        <f t="array" aca="1" ref="E146" ca="1">_xlfn.STOCKHISTORY("HUFUSD",CurrencyConversionFromUSDList[[#This Row],[Date]],CurrencyConversionFromUSDList[[#This Row],[Date]],2,0,1)</f>
        <v>#VALUE!</v>
      </c>
      <c r="F146" s="21" t="e" cm="1" vm="416">
        <f t="array" aca="1" ref="F146" ca="1">_xlfn.STOCKHISTORY("RONUSD",CurrencyConversionFromUSDList[[#This Row],[Date]],CurrencyConversionFromUSDList[[#This Row],[Date]],2,0,1)</f>
        <v>#VALUE!</v>
      </c>
    </row>
    <row r="147" spans="2:6">
      <c r="B147" s="1">
        <f t="shared" ca="1" si="3"/>
        <v>46387</v>
      </c>
      <c r="C147" s="18">
        <f>1</f>
        <v>1</v>
      </c>
      <c r="D147" s="18" t="e" cm="1" vm="416">
        <f t="array" aca="1" ref="D147" ca="1">_xlfn.STOCKHISTORY("EURUSD",CurrencyConversionFromUSDList[[#This Row],[Date]],CurrencyConversionFromUSDList[[#This Row],[Date]],2,0,1)</f>
        <v>#VALUE!</v>
      </c>
      <c r="E147" s="22" t="e" cm="1" vm="416">
        <f t="array" aca="1" ref="E147" ca="1">_xlfn.STOCKHISTORY("HUFUSD",CurrencyConversionFromUSDList[[#This Row],[Date]],CurrencyConversionFromUSDList[[#This Row],[Date]],2,0,1)</f>
        <v>#VALUE!</v>
      </c>
      <c r="F147" s="21" t="e" cm="1" vm="416">
        <f t="array" aca="1" ref="F147" ca="1">_xlfn.STOCKHISTORY("RONUSD",CurrencyConversionFromUSDList[[#This Row],[Date]],CurrencyConversionFromUSDList[[#This Row],[Date]],2,0,1)</f>
        <v>#VALUE!</v>
      </c>
    </row>
  </sheetData>
  <phoneticPr fontId="4" type="noConversion"/>
  <hyperlinks>
    <hyperlink ref="A2" location="Menu!A1" display="☰ Menu" xr:uid="{07F7D414-081B-4607-A9B8-5FA958959A48}"/>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47369-1A0C-43B6-8FEF-178AE81E96DA}">
  <sheetPr codeName="Sheet3"/>
  <dimension ref="A2:W993"/>
  <sheetViews>
    <sheetView showGridLines="0" zoomScaleNormal="100" workbookViewId="0">
      <selection activeCell="I5" sqref="I5:I993"/>
    </sheetView>
  </sheetViews>
  <sheetFormatPr defaultRowHeight="15" outlineLevelCol="1"/>
  <cols>
    <col min="1" max="1" width="8.7109375" bestFit="1" customWidth="1"/>
    <col min="2" max="2" width="17.42578125" bestFit="1" customWidth="1"/>
    <col min="3" max="3" width="10.5703125" bestFit="1" customWidth="1"/>
    <col min="4" max="4" width="20.5703125" bestFit="1" customWidth="1"/>
    <col min="5" max="5" width="15" bestFit="1" customWidth="1"/>
    <col min="6" max="7" width="17.7109375" bestFit="1" customWidth="1"/>
    <col min="8" max="8" width="9.5703125" bestFit="1" customWidth="1"/>
    <col min="9" max="9" width="21.85546875" bestFit="1" customWidth="1"/>
    <col min="11" max="11" width="30.28515625" hidden="1" customWidth="1" outlineLevel="1"/>
    <col min="12" max="12" width="23.7109375" hidden="1" customWidth="1" outlineLevel="1"/>
    <col min="13" max="13" width="8.85546875" hidden="1" customWidth="1" outlineLevel="1"/>
    <col min="14" max="14" width="16.7109375" hidden="1" customWidth="1" outlineLevel="1"/>
    <col min="15" max="15" width="9" collapsed="1"/>
    <col min="16" max="18" width="10.7109375" bestFit="1" customWidth="1"/>
  </cols>
  <sheetData>
    <row r="2" spans="1:23" s="25" customFormat="1">
      <c r="A2" s="30" t="s">
        <v>115</v>
      </c>
      <c r="B2" s="31" t="s">
        <v>1</v>
      </c>
    </row>
    <row r="4" spans="1:23">
      <c r="B4" s="2" t="s">
        <v>0</v>
      </c>
      <c r="C4" s="2" t="s">
        <v>28</v>
      </c>
      <c r="D4" s="2" t="s">
        <v>2</v>
      </c>
      <c r="E4" s="2" t="s">
        <v>3</v>
      </c>
      <c r="F4" s="2" t="s">
        <v>5</v>
      </c>
      <c r="G4" s="2" t="s">
        <v>4</v>
      </c>
      <c r="H4" s="2" t="s">
        <v>6</v>
      </c>
      <c r="I4" s="2" t="s">
        <v>7</v>
      </c>
      <c r="J4" s="2" t="s">
        <v>8</v>
      </c>
      <c r="K4" s="2" t="s">
        <v>56</v>
      </c>
      <c r="L4" s="2" t="s">
        <v>57</v>
      </c>
      <c r="M4" s="2" t="s">
        <v>72</v>
      </c>
      <c r="N4" s="2" t="s">
        <v>74</v>
      </c>
    </row>
    <row r="5" spans="1:23">
      <c r="B5" s="3">
        <v>42011</v>
      </c>
      <c r="C5" s="6" t="s">
        <v>100</v>
      </c>
      <c r="D5" s="6" t="s">
        <v>29</v>
      </c>
      <c r="E5" s="5">
        <v>33</v>
      </c>
      <c r="F5" s="5" vm="417">
        <v>84.47</v>
      </c>
      <c r="G5" s="5">
        <f>StockTransactionsTable[[#This Row],[Shares No.]]*StockTransactionsTable[[#This Row],[Amount per Share]]</f>
        <v>2787.5099999999998</v>
      </c>
      <c r="H5" s="5">
        <v>1.2881594443773765</v>
      </c>
      <c r="I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2788.7981594443772</v>
      </c>
      <c r="J5" s="19">
        <f>StockTransactionsTable[[#This Row],[Fee]]/StockTransactionsTable[[#This Row],[Total Amount]]</f>
        <v>4.6211832222211815E-4</v>
      </c>
      <c r="K5" s="5">
        <f>IF(StockTransactionsTable[[#This Row],[Transaction Type]]="Buy", StockTransactionsTable[[#This Row],[Total Amount with Fee]] / StockTransactionsTable[[#This Row],[Shares No.]],0)</f>
        <v>84.509035134678101</v>
      </c>
      <c r="L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 s="4">
        <f>YEAR(StockTransactionsTable[[#This Row],[Date]])</f>
        <v>2015</v>
      </c>
      <c r="N5" s="4">
        <f>MONTH(StockTransactionsTable[[#This Row],[Date]])</f>
        <v>1</v>
      </c>
      <c r="P5" s="1"/>
      <c r="Q5" s="1"/>
      <c r="R5" s="1"/>
      <c r="V5" s="33"/>
      <c r="W5" s="33"/>
    </row>
    <row r="6" spans="1:23">
      <c r="B6" s="3">
        <v>42031</v>
      </c>
      <c r="C6" s="6" t="s">
        <v>13</v>
      </c>
      <c r="D6" s="6" t="s">
        <v>29</v>
      </c>
      <c r="E6" s="5">
        <v>11</v>
      </c>
      <c r="F6" s="5" vm="418">
        <v>30.903199999999998</v>
      </c>
      <c r="G6" s="5">
        <f>StockTransactionsTable[[#This Row],[Shares No.]]*StockTransactionsTable[[#This Row],[Amount per Share]]</f>
        <v>339.93520000000001</v>
      </c>
      <c r="H6" s="5">
        <v>0.14382655309985082</v>
      </c>
      <c r="I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340.07902655309988</v>
      </c>
      <c r="J6" s="19">
        <f>StockTransactionsTable[[#This Row],[Fee]]/StockTransactionsTable[[#This Row],[Total Amount]]</f>
        <v>4.2309991168861248E-4</v>
      </c>
      <c r="K6" s="5">
        <f>IF(StockTransactionsTable[[#This Row],[Transaction Type]]="Buy", StockTransactionsTable[[#This Row],[Total Amount with Fee]] / StockTransactionsTable[[#This Row],[Shares No.]],0)</f>
        <v>30.916275141190898</v>
      </c>
      <c r="L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 s="4">
        <f>YEAR(StockTransactionsTable[[#This Row],[Date]])</f>
        <v>2015</v>
      </c>
      <c r="N6" s="4">
        <f>MONTH(StockTransactionsTable[[#This Row],[Date]])</f>
        <v>1</v>
      </c>
      <c r="P6" s="1"/>
      <c r="Q6" s="1"/>
      <c r="R6" s="1"/>
      <c r="V6" s="33"/>
      <c r="W6" s="33"/>
    </row>
    <row r="7" spans="1:23">
      <c r="B7" s="3">
        <v>42066</v>
      </c>
      <c r="C7" s="6" t="s">
        <v>13</v>
      </c>
      <c r="D7" s="6" t="s">
        <v>30</v>
      </c>
      <c r="E7" s="5">
        <v>11</v>
      </c>
      <c r="F7" s="5">
        <v>0.28000000000000003</v>
      </c>
      <c r="G7" s="5">
        <f>StockTransactionsTable[[#This Row],[Shares No.]]*StockTransactionsTable[[#This Row],[Amount per Share]]</f>
        <v>3.08</v>
      </c>
      <c r="H7" s="5">
        <v>0</v>
      </c>
      <c r="I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3.08</v>
      </c>
      <c r="J7" s="19">
        <f>StockTransactionsTable[[#This Row],[Fee]]/StockTransactionsTable[[#This Row],[Total Amount]]</f>
        <v>0</v>
      </c>
      <c r="K7" s="5">
        <f>IF(StockTransactionsTable[[#This Row],[Transaction Type]]="Buy", StockTransactionsTable[[#This Row],[Total Amount with Fee]] / StockTransactionsTable[[#This Row],[Shares No.]],0)</f>
        <v>0</v>
      </c>
      <c r="L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 s="4">
        <f>YEAR(StockTransactionsTable[[#This Row],[Date]])</f>
        <v>2015</v>
      </c>
      <c r="N7" s="4">
        <f>MONTH(StockTransactionsTable[[#This Row],[Date]])</f>
        <v>3</v>
      </c>
      <c r="P7" s="1"/>
      <c r="Q7" s="1"/>
      <c r="R7" s="1"/>
      <c r="V7" s="33"/>
      <c r="W7" s="33"/>
    </row>
    <row r="8" spans="1:23">
      <c r="B8" s="3">
        <v>42068</v>
      </c>
      <c r="C8" s="6" t="s">
        <v>22</v>
      </c>
      <c r="D8" s="6" t="s">
        <v>29</v>
      </c>
      <c r="E8" s="5">
        <v>22</v>
      </c>
      <c r="F8" s="5" vm="419">
        <v>81.510000000000005</v>
      </c>
      <c r="G8" s="5">
        <f>StockTransactionsTable[[#This Row],[Shares No.]]*StockTransactionsTable[[#This Row],[Amount per Share]]</f>
        <v>1793.22</v>
      </c>
      <c r="H8" s="5">
        <v>0.7520224225263179</v>
      </c>
      <c r="I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1793.9720224225264</v>
      </c>
      <c r="J8" s="19">
        <f>StockTransactionsTable[[#This Row],[Fee]]/StockTransactionsTable[[#This Row],[Total Amount]]</f>
        <v>4.1936986121408296E-4</v>
      </c>
      <c r="K8" s="5">
        <f>IF(StockTransactionsTable[[#This Row],[Transaction Type]]="Buy", StockTransactionsTable[[#This Row],[Total Amount with Fee]] / StockTransactionsTable[[#This Row],[Shares No.]],0)</f>
        <v>81.544182837387567</v>
      </c>
      <c r="L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 s="4">
        <f>YEAR(StockTransactionsTable[[#This Row],[Date]])</f>
        <v>2015</v>
      </c>
      <c r="N8" s="4">
        <f>MONTH(StockTransactionsTable[[#This Row],[Date]])</f>
        <v>3</v>
      </c>
      <c r="P8" s="1"/>
      <c r="Q8" s="1"/>
      <c r="R8" s="1"/>
      <c r="V8" s="33"/>
      <c r="W8" s="33"/>
    </row>
    <row r="9" spans="1:23">
      <c r="B9" s="3">
        <v>42079</v>
      </c>
      <c r="C9" s="6" t="s">
        <v>100</v>
      </c>
      <c r="D9" s="6" t="s">
        <v>30</v>
      </c>
      <c r="E9" s="5">
        <v>33</v>
      </c>
      <c r="F9" s="5">
        <v>0.79500000000000004</v>
      </c>
      <c r="G9" s="5">
        <f>StockTransactionsTable[[#This Row],[Shares No.]]*StockTransactionsTable[[#This Row],[Amount per Share]]</f>
        <v>26.235000000000003</v>
      </c>
      <c r="H9" s="5">
        <v>0</v>
      </c>
      <c r="I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26.235000000000003</v>
      </c>
      <c r="J9" s="19">
        <f>StockTransactionsTable[[#This Row],[Fee]]/StockTransactionsTable[[#This Row],[Total Amount]]</f>
        <v>0</v>
      </c>
      <c r="K9" s="5">
        <f>IF(StockTransactionsTable[[#This Row],[Transaction Type]]="Buy", StockTransactionsTable[[#This Row],[Total Amount with Fee]] / StockTransactionsTable[[#This Row],[Shares No.]],0)</f>
        <v>0</v>
      </c>
      <c r="L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 s="4">
        <f>YEAR(StockTransactionsTable[[#This Row],[Date]])</f>
        <v>2015</v>
      </c>
      <c r="N9" s="4">
        <f>MONTH(StockTransactionsTable[[#This Row],[Date]])</f>
        <v>3</v>
      </c>
      <c r="Q9" s="1"/>
      <c r="R9" s="1"/>
      <c r="V9" s="33"/>
      <c r="W9" s="33"/>
    </row>
    <row r="10" spans="1:23">
      <c r="B10" s="3">
        <v>42114</v>
      </c>
      <c r="C10" s="6" t="s">
        <v>95</v>
      </c>
      <c r="D10" s="6" t="s">
        <v>29</v>
      </c>
      <c r="E10" s="5">
        <v>12</v>
      </c>
      <c r="F10" s="5" vm="420">
        <v>112.86</v>
      </c>
      <c r="G10" s="5">
        <f>StockTransactionsTable[[#This Row],[Shares No.]]*StockTransactionsTable[[#This Row],[Amount per Share]]</f>
        <v>1354.32</v>
      </c>
      <c r="H10" s="5">
        <v>0.54666312601891265</v>
      </c>
      <c r="I1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1354.8666631260189</v>
      </c>
      <c r="J10" s="19">
        <f>StockTransactionsTable[[#This Row],[Fee]]/StockTransactionsTable[[#This Row],[Total Amount]]</f>
        <v>4.0364398814084755E-4</v>
      </c>
      <c r="K10" s="5">
        <f>IF(StockTransactionsTable[[#This Row],[Transaction Type]]="Buy", StockTransactionsTable[[#This Row],[Total Amount with Fee]] / StockTransactionsTable[[#This Row],[Shares No.]],0)</f>
        <v>112.90555526050157</v>
      </c>
      <c r="L1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0" s="4">
        <f>YEAR(StockTransactionsTable[[#This Row],[Date]])</f>
        <v>2015</v>
      </c>
      <c r="N10" s="4">
        <f>MONTH(StockTransactionsTable[[#This Row],[Date]])</f>
        <v>4</v>
      </c>
      <c r="Q10" s="1"/>
      <c r="R10" s="1"/>
      <c r="V10" s="33"/>
      <c r="W10" s="33"/>
    </row>
    <row r="11" spans="1:23">
      <c r="B11" s="3">
        <v>42144</v>
      </c>
      <c r="C11" s="6" t="s">
        <v>22</v>
      </c>
      <c r="D11" s="6" t="s">
        <v>30</v>
      </c>
      <c r="E11" s="5">
        <v>22</v>
      </c>
      <c r="F11" s="5">
        <v>0.7</v>
      </c>
      <c r="G11" s="5">
        <f>StockTransactionsTable[[#This Row],[Shares No.]]*StockTransactionsTable[[#This Row],[Amount per Share]]</f>
        <v>15.399999999999999</v>
      </c>
      <c r="H11" s="5">
        <v>0</v>
      </c>
      <c r="I1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15.399999999999999</v>
      </c>
      <c r="J11" s="19">
        <f>StockTransactionsTable[[#This Row],[Fee]]/StockTransactionsTable[[#This Row],[Total Amount]]</f>
        <v>0</v>
      </c>
      <c r="K11" s="5">
        <f>IF(StockTransactionsTable[[#This Row],[Transaction Type]]="Buy", StockTransactionsTable[[#This Row],[Total Amount with Fee]] / StockTransactionsTable[[#This Row],[Shares No.]],0)</f>
        <v>0</v>
      </c>
      <c r="L1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1" s="4">
        <f>YEAR(StockTransactionsTable[[#This Row],[Date]])</f>
        <v>2015</v>
      </c>
      <c r="N11" s="4">
        <f>MONTH(StockTransactionsTable[[#This Row],[Date]])</f>
        <v>5</v>
      </c>
      <c r="Q11" s="1"/>
      <c r="R11" s="1"/>
      <c r="V11" s="33"/>
      <c r="W11" s="33"/>
    </row>
    <row r="12" spans="1:23">
      <c r="B12" s="3">
        <v>42150</v>
      </c>
      <c r="C12" s="6" t="s">
        <v>15</v>
      </c>
      <c r="D12" s="6" t="s">
        <v>29</v>
      </c>
      <c r="E12" s="5">
        <v>29</v>
      </c>
      <c r="F12" s="5" vm="421">
        <v>26.182099999999998</v>
      </c>
      <c r="G12" s="5">
        <f>StockTransactionsTable[[#This Row],[Shares No.]]*StockTransactionsTable[[#This Row],[Amount per Share]]</f>
        <v>759.28089999999997</v>
      </c>
      <c r="H12" s="5">
        <v>0.34488583772436393</v>
      </c>
      <c r="I1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759.62578583772438</v>
      </c>
      <c r="J12" s="19">
        <f>StockTransactionsTable[[#This Row],[Fee]]/StockTransactionsTable[[#This Row],[Total Amount]]</f>
        <v>4.5422693725650668E-4</v>
      </c>
      <c r="K12" s="5">
        <f>IF(StockTransactionsTable[[#This Row],[Transaction Type]]="Buy", StockTransactionsTable[[#This Row],[Total Amount with Fee]] / StockTransactionsTable[[#This Row],[Shares No.]],0)</f>
        <v>26.193992615093943</v>
      </c>
      <c r="L1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2" s="4">
        <f>YEAR(StockTransactionsTable[[#This Row],[Date]])</f>
        <v>2015</v>
      </c>
      <c r="N12" s="4">
        <f>MONTH(StockTransactionsTable[[#This Row],[Date]])</f>
        <v>5</v>
      </c>
      <c r="Q12" s="1"/>
      <c r="R12" s="1"/>
      <c r="V12" s="33"/>
      <c r="W12" s="33"/>
    </row>
    <row r="13" spans="1:23">
      <c r="B13" s="3">
        <v>42157</v>
      </c>
      <c r="C13" s="6" t="s">
        <v>13</v>
      </c>
      <c r="D13" s="6" t="s">
        <v>30</v>
      </c>
      <c r="E13" s="5">
        <v>11</v>
      </c>
      <c r="F13" s="5">
        <v>0.28000000000000003</v>
      </c>
      <c r="G13" s="5">
        <f>StockTransactionsTable[[#This Row],[Shares No.]]*StockTransactionsTable[[#This Row],[Amount per Share]]</f>
        <v>3.08</v>
      </c>
      <c r="H13" s="5">
        <v>0</v>
      </c>
      <c r="I1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3.08</v>
      </c>
      <c r="J13" s="19">
        <f>StockTransactionsTable[[#This Row],[Fee]]/StockTransactionsTable[[#This Row],[Total Amount]]</f>
        <v>0</v>
      </c>
      <c r="K13" s="5">
        <f>IF(StockTransactionsTable[[#This Row],[Transaction Type]]="Buy", StockTransactionsTable[[#This Row],[Total Amount with Fee]] / StockTransactionsTable[[#This Row],[Shares No.]],0)</f>
        <v>0</v>
      </c>
      <c r="L1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3" s="4">
        <f>YEAR(StockTransactionsTable[[#This Row],[Date]])</f>
        <v>2015</v>
      </c>
      <c r="N13" s="4">
        <f>MONTH(StockTransactionsTable[[#This Row],[Date]])</f>
        <v>6</v>
      </c>
      <c r="Q13" s="1"/>
      <c r="R13" s="1"/>
      <c r="V13" s="33"/>
      <c r="W13" s="33"/>
    </row>
    <row r="14" spans="1:23">
      <c r="B14" s="3">
        <v>42171</v>
      </c>
      <c r="C14" s="6" t="s">
        <v>100</v>
      </c>
      <c r="D14" s="6" t="s">
        <v>30</v>
      </c>
      <c r="E14" s="5">
        <v>33</v>
      </c>
      <c r="F14" s="5">
        <v>0.79500000000000004</v>
      </c>
      <c r="G14" s="5">
        <f>StockTransactionsTable[[#This Row],[Shares No.]]*StockTransactionsTable[[#This Row],[Amount per Share]]</f>
        <v>26.235000000000003</v>
      </c>
      <c r="H14" s="5">
        <v>0</v>
      </c>
      <c r="I1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26.235000000000003</v>
      </c>
      <c r="J14" s="19">
        <f>StockTransactionsTable[[#This Row],[Fee]]/StockTransactionsTable[[#This Row],[Total Amount]]</f>
        <v>0</v>
      </c>
      <c r="K14" s="5">
        <f>IF(StockTransactionsTable[[#This Row],[Transaction Type]]="Buy", StockTransactionsTable[[#This Row],[Total Amount with Fee]] / StockTransactionsTable[[#This Row],[Shares No.]],0)</f>
        <v>0</v>
      </c>
      <c r="L1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4" s="4">
        <f>YEAR(StockTransactionsTable[[#This Row],[Date]])</f>
        <v>2015</v>
      </c>
      <c r="N14" s="4">
        <f>MONTH(StockTransactionsTable[[#This Row],[Date]])</f>
        <v>6</v>
      </c>
      <c r="Q14" s="1"/>
      <c r="R14" s="1"/>
      <c r="V14" s="33"/>
      <c r="W14" s="33"/>
    </row>
    <row r="15" spans="1:23">
      <c r="B15" s="3">
        <v>42173</v>
      </c>
      <c r="C15" s="6" t="s">
        <v>95</v>
      </c>
      <c r="D15" s="6" t="s">
        <v>30</v>
      </c>
      <c r="E15" s="5">
        <v>12</v>
      </c>
      <c r="F15" s="5">
        <v>0.59</v>
      </c>
      <c r="G15" s="5">
        <f>StockTransactionsTable[[#This Row],[Shares No.]]*StockTransactionsTable[[#This Row],[Amount per Share]]</f>
        <v>7.08</v>
      </c>
      <c r="H15" s="5">
        <v>0</v>
      </c>
      <c r="I1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7.08</v>
      </c>
      <c r="J15" s="19">
        <f>StockTransactionsTable[[#This Row],[Fee]]/StockTransactionsTable[[#This Row],[Total Amount]]</f>
        <v>0</v>
      </c>
      <c r="K15" s="5">
        <f>IF(StockTransactionsTable[[#This Row],[Transaction Type]]="Buy", StockTransactionsTable[[#This Row],[Total Amount with Fee]] / StockTransactionsTable[[#This Row],[Shares No.]],0)</f>
        <v>0</v>
      </c>
      <c r="L1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5" s="4">
        <f>YEAR(StockTransactionsTable[[#This Row],[Date]])</f>
        <v>2015</v>
      </c>
      <c r="N15" s="4">
        <f>MONTH(StockTransactionsTable[[#This Row],[Date]])</f>
        <v>6</v>
      </c>
      <c r="Q15" s="1"/>
      <c r="R15" s="1"/>
      <c r="V15" s="33"/>
      <c r="W15" s="33"/>
    </row>
    <row r="16" spans="1:23">
      <c r="B16" s="3">
        <v>42191</v>
      </c>
      <c r="C16" s="6" t="s">
        <v>15</v>
      </c>
      <c r="D16" s="6" t="s">
        <v>29</v>
      </c>
      <c r="E16" s="5">
        <v>10</v>
      </c>
      <c r="F16" s="5" vm="422">
        <v>26.891999999999999</v>
      </c>
      <c r="G16" s="5">
        <f>StockTransactionsTable[[#This Row],[Shares No.]]*StockTransactionsTable[[#This Row],[Amount per Share]]</f>
        <v>268.92</v>
      </c>
      <c r="H16" s="5">
        <v>0.11201588709013681</v>
      </c>
      <c r="I1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269.03201588709015</v>
      </c>
      <c r="J16" s="19">
        <f>StockTransactionsTable[[#This Row],[Fee]]/StockTransactionsTable[[#This Row],[Total Amount]]</f>
        <v>4.1653981514999552E-4</v>
      </c>
      <c r="K16" s="5">
        <f>IF(StockTransactionsTable[[#This Row],[Transaction Type]]="Buy", StockTransactionsTable[[#This Row],[Total Amount with Fee]] / StockTransactionsTable[[#This Row],[Shares No.]],0)</f>
        <v>26.903201588709017</v>
      </c>
      <c r="L1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6" s="4">
        <f>YEAR(StockTransactionsTable[[#This Row],[Date]])</f>
        <v>2015</v>
      </c>
      <c r="N16" s="4">
        <f>MONTH(StockTransactionsTable[[#This Row],[Date]])</f>
        <v>7</v>
      </c>
      <c r="Q16" s="1"/>
      <c r="R16" s="1"/>
      <c r="V16" s="33"/>
      <c r="W16" s="33"/>
    </row>
    <row r="17" spans="2:23">
      <c r="B17" s="3">
        <v>42219</v>
      </c>
      <c r="C17" s="6" t="s">
        <v>15</v>
      </c>
      <c r="D17" s="6" t="s">
        <v>30</v>
      </c>
      <c r="E17" s="5">
        <v>39</v>
      </c>
      <c r="F17" s="5">
        <v>0.47</v>
      </c>
      <c r="G17" s="5">
        <f>StockTransactionsTable[[#This Row],[Shares No.]]*StockTransactionsTable[[#This Row],[Amount per Share]]</f>
        <v>18.329999999999998</v>
      </c>
      <c r="H17" s="5">
        <v>0</v>
      </c>
      <c r="I1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18.329999999999998</v>
      </c>
      <c r="J17" s="19">
        <f>StockTransactionsTable[[#This Row],[Fee]]/StockTransactionsTable[[#This Row],[Total Amount]]</f>
        <v>0</v>
      </c>
      <c r="K17" s="5">
        <f>IF(StockTransactionsTable[[#This Row],[Transaction Type]]="Buy", StockTransactionsTable[[#This Row],[Total Amount with Fee]] / StockTransactionsTable[[#This Row],[Shares No.]],0)</f>
        <v>0</v>
      </c>
      <c r="L1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7" s="4">
        <f>YEAR(StockTransactionsTable[[#This Row],[Date]])</f>
        <v>2015</v>
      </c>
      <c r="N17" s="4">
        <f>MONTH(StockTransactionsTable[[#This Row],[Date]])</f>
        <v>8</v>
      </c>
      <c r="Q17" s="1"/>
      <c r="R17" s="1"/>
      <c r="V17" s="33"/>
      <c r="W17" s="33"/>
    </row>
    <row r="18" spans="2:23">
      <c r="B18" s="3">
        <v>42233</v>
      </c>
      <c r="C18" s="6" t="s">
        <v>20</v>
      </c>
      <c r="D18" s="6" t="s">
        <v>29</v>
      </c>
      <c r="E18" s="5">
        <v>16</v>
      </c>
      <c r="F18" s="5" vm="423">
        <v>68.069999999999993</v>
      </c>
      <c r="G18" s="5">
        <f>StockTransactionsTable[[#This Row],[Shares No.]]*StockTransactionsTable[[#This Row],[Amount per Share]]</f>
        <v>1089.1199999999999</v>
      </c>
      <c r="H18" s="5">
        <v>0.52598849738858633</v>
      </c>
      <c r="I1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1089.6459884973885</v>
      </c>
      <c r="J18" s="19">
        <f>StockTransactionsTable[[#This Row],[Fee]]/StockTransactionsTable[[#This Row],[Total Amount]]</f>
        <v>4.8294815758464301E-4</v>
      </c>
      <c r="K18" s="5">
        <f>IF(StockTransactionsTable[[#This Row],[Transaction Type]]="Buy", StockTransactionsTable[[#This Row],[Total Amount with Fee]] / StockTransactionsTable[[#This Row],[Shares No.]],0)</f>
        <v>68.102874281086784</v>
      </c>
      <c r="L1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8" s="4">
        <f>YEAR(StockTransactionsTable[[#This Row],[Date]])</f>
        <v>2015</v>
      </c>
      <c r="N18" s="4">
        <f>MONTH(StockTransactionsTable[[#This Row],[Date]])</f>
        <v>8</v>
      </c>
      <c r="Q18" s="1"/>
      <c r="R18" s="1"/>
      <c r="V18" s="33"/>
      <c r="W18" s="33"/>
    </row>
    <row r="19" spans="2:23">
      <c r="B19" s="3">
        <v>42236</v>
      </c>
      <c r="C19" s="6" t="s">
        <v>22</v>
      </c>
      <c r="D19" s="6" t="s">
        <v>30</v>
      </c>
      <c r="E19" s="5">
        <v>22</v>
      </c>
      <c r="F19" s="5">
        <v>0.77</v>
      </c>
      <c r="G19" s="5">
        <f>StockTransactionsTable[[#This Row],[Shares No.]]*StockTransactionsTable[[#This Row],[Amount per Share]]</f>
        <v>16.940000000000001</v>
      </c>
      <c r="H19" s="5">
        <v>0</v>
      </c>
      <c r="I1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16.940000000000001</v>
      </c>
      <c r="J19" s="19">
        <f>StockTransactionsTable[[#This Row],[Fee]]/StockTransactionsTable[[#This Row],[Total Amount]]</f>
        <v>0</v>
      </c>
      <c r="K19" s="5">
        <f>IF(StockTransactionsTable[[#This Row],[Transaction Type]]="Buy", StockTransactionsTable[[#This Row],[Total Amount with Fee]] / StockTransactionsTable[[#This Row],[Shares No.]],0)</f>
        <v>0</v>
      </c>
      <c r="L1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9" s="4">
        <f>YEAR(StockTransactionsTable[[#This Row],[Date]])</f>
        <v>2015</v>
      </c>
      <c r="N19" s="4">
        <f>MONTH(StockTransactionsTable[[#This Row],[Date]])</f>
        <v>8</v>
      </c>
      <c r="Q19" s="1"/>
      <c r="R19" s="1"/>
      <c r="V19" s="33"/>
      <c r="W19" s="33"/>
    </row>
    <row r="20" spans="2:23">
      <c r="B20" s="3">
        <v>42249</v>
      </c>
      <c r="C20" s="6" t="s">
        <v>13</v>
      </c>
      <c r="D20" s="6" t="s">
        <v>30</v>
      </c>
      <c r="E20" s="5">
        <v>11</v>
      </c>
      <c r="F20" s="5">
        <v>0.28000000000000003</v>
      </c>
      <c r="G20" s="5">
        <f>StockTransactionsTable[[#This Row],[Shares No.]]*StockTransactionsTable[[#This Row],[Amount per Share]]</f>
        <v>3.08</v>
      </c>
      <c r="H20" s="5">
        <v>0</v>
      </c>
      <c r="I2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3.08</v>
      </c>
      <c r="J20" s="19">
        <f>StockTransactionsTable[[#This Row],[Fee]]/StockTransactionsTable[[#This Row],[Total Amount]]</f>
        <v>0</v>
      </c>
      <c r="K20" s="5">
        <f>IF(StockTransactionsTable[[#This Row],[Transaction Type]]="Buy", StockTransactionsTable[[#This Row],[Total Amount with Fee]] / StockTransactionsTable[[#This Row],[Shares No.]],0)</f>
        <v>0</v>
      </c>
      <c r="L2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0" s="4">
        <f>YEAR(StockTransactionsTable[[#This Row],[Date]])</f>
        <v>2015</v>
      </c>
      <c r="N20" s="4">
        <f>MONTH(StockTransactionsTable[[#This Row],[Date]])</f>
        <v>9</v>
      </c>
      <c r="Q20" s="1"/>
      <c r="R20" s="1"/>
      <c r="V20" s="33"/>
      <c r="W20" s="33"/>
    </row>
    <row r="21" spans="2:23">
      <c r="B21" s="3">
        <v>42257</v>
      </c>
      <c r="C21" s="6" t="s">
        <v>86</v>
      </c>
      <c r="D21" s="6" t="s">
        <v>29</v>
      </c>
      <c r="E21" s="5">
        <v>15</v>
      </c>
      <c r="F21" s="5" vm="424">
        <v>59.58</v>
      </c>
      <c r="G21" s="5">
        <f>StockTransactionsTable[[#This Row],[Shares No.]]*StockTransactionsTable[[#This Row],[Amount per Share]]</f>
        <v>893.69999999999993</v>
      </c>
      <c r="H21" s="5">
        <v>0.43820748177004598</v>
      </c>
      <c r="I2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894.13820748177</v>
      </c>
      <c r="J21" s="19">
        <f>StockTransactionsTable[[#This Row],[Fee]]/StockTransactionsTable[[#This Row],[Total Amount]]</f>
        <v>4.9032950852640259E-4</v>
      </c>
      <c r="K21" s="5">
        <f>IF(StockTransactionsTable[[#This Row],[Transaction Type]]="Buy", StockTransactionsTable[[#This Row],[Total Amount with Fee]] / StockTransactionsTable[[#This Row],[Shares No.]],0)</f>
        <v>59.609213832118002</v>
      </c>
      <c r="L2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1" s="4">
        <f>YEAR(StockTransactionsTable[[#This Row],[Date]])</f>
        <v>2015</v>
      </c>
      <c r="N21" s="4">
        <f>MONTH(StockTransactionsTable[[#This Row],[Date]])</f>
        <v>9</v>
      </c>
      <c r="Q21" s="1"/>
      <c r="R21" s="1"/>
      <c r="V21" s="33"/>
      <c r="W21" s="33"/>
    </row>
    <row r="22" spans="2:23">
      <c r="B22" s="3">
        <v>42263</v>
      </c>
      <c r="C22" s="6" t="s">
        <v>100</v>
      </c>
      <c r="D22" s="6" t="s">
        <v>30</v>
      </c>
      <c r="E22" s="5">
        <v>33</v>
      </c>
      <c r="F22" s="5">
        <v>0.82499999999999996</v>
      </c>
      <c r="G22" s="5">
        <f>StockTransactionsTable[[#This Row],[Shares No.]]*StockTransactionsTable[[#This Row],[Amount per Share]]</f>
        <v>27.224999999999998</v>
      </c>
      <c r="H22" s="5">
        <v>0</v>
      </c>
      <c r="I2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27.224999999999998</v>
      </c>
      <c r="J22" s="19">
        <f>StockTransactionsTable[[#This Row],[Fee]]/StockTransactionsTable[[#This Row],[Total Amount]]</f>
        <v>0</v>
      </c>
      <c r="K22" s="5">
        <f>IF(StockTransactionsTable[[#This Row],[Transaction Type]]="Buy", StockTransactionsTable[[#This Row],[Total Amount with Fee]] / StockTransactionsTable[[#This Row],[Shares No.]],0)</f>
        <v>0</v>
      </c>
      <c r="L2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2" s="4">
        <f>YEAR(StockTransactionsTable[[#This Row],[Date]])</f>
        <v>2015</v>
      </c>
      <c r="N22" s="4">
        <f>MONTH(StockTransactionsTable[[#This Row],[Date]])</f>
        <v>9</v>
      </c>
      <c r="Q22" s="1"/>
      <c r="R22" s="1"/>
      <c r="V22" s="33"/>
      <c r="W22" s="33"/>
    </row>
    <row r="23" spans="2:23">
      <c r="B23" s="3">
        <v>42264</v>
      </c>
      <c r="C23" s="6" t="s">
        <v>95</v>
      </c>
      <c r="D23" s="6" t="s">
        <v>30</v>
      </c>
      <c r="E23" s="5">
        <v>12</v>
      </c>
      <c r="F23" s="5">
        <v>0.59</v>
      </c>
      <c r="G23" s="5">
        <f>StockTransactionsTable[[#This Row],[Shares No.]]*StockTransactionsTable[[#This Row],[Amount per Share]]</f>
        <v>7.08</v>
      </c>
      <c r="H23" s="5">
        <v>0</v>
      </c>
      <c r="I2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7.08</v>
      </c>
      <c r="J23" s="19">
        <f>StockTransactionsTable[[#This Row],[Fee]]/StockTransactionsTable[[#This Row],[Total Amount]]</f>
        <v>0</v>
      </c>
      <c r="K23" s="5">
        <f>IF(StockTransactionsTable[[#This Row],[Transaction Type]]="Buy", StockTransactionsTable[[#This Row],[Total Amount with Fee]] / StockTransactionsTable[[#This Row],[Shares No.]],0)</f>
        <v>0</v>
      </c>
      <c r="L2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3" s="4">
        <f>YEAR(StockTransactionsTable[[#This Row],[Date]])</f>
        <v>2015</v>
      </c>
      <c r="N23" s="4">
        <f>MONTH(StockTransactionsTable[[#This Row],[Date]])</f>
        <v>9</v>
      </c>
      <c r="Q23" s="1"/>
      <c r="R23" s="1"/>
      <c r="V23" s="33"/>
      <c r="W23" s="33"/>
    </row>
    <row r="24" spans="2:23">
      <c r="B24" s="3">
        <v>42303</v>
      </c>
      <c r="C24" s="6" t="s">
        <v>16</v>
      </c>
      <c r="D24" s="6" t="s">
        <v>29</v>
      </c>
      <c r="E24" s="5">
        <v>11</v>
      </c>
      <c r="F24" s="5" vm="425">
        <v>81.22</v>
      </c>
      <c r="G24" s="5">
        <f>StockTransactionsTable[[#This Row],[Shares No.]]*StockTransactionsTable[[#This Row],[Amount per Share]]</f>
        <v>893.42</v>
      </c>
      <c r="H24" s="5">
        <v>0.38775275759016231</v>
      </c>
      <c r="I2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893.80775275759015</v>
      </c>
      <c r="J24" s="19">
        <f>StockTransactionsTable[[#This Row],[Fee]]/StockTransactionsTable[[#This Row],[Total Amount]]</f>
        <v>4.3400948891916715E-4</v>
      </c>
      <c r="K24" s="5">
        <f>IF(StockTransactionsTable[[#This Row],[Transaction Type]]="Buy", StockTransactionsTable[[#This Row],[Total Amount with Fee]] / StockTransactionsTable[[#This Row],[Shares No.]],0)</f>
        <v>81.255250250690011</v>
      </c>
      <c r="L2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4" s="4">
        <f>YEAR(StockTransactionsTable[[#This Row],[Date]])</f>
        <v>2015</v>
      </c>
      <c r="N24" s="4">
        <f>MONTH(StockTransactionsTable[[#This Row],[Date]])</f>
        <v>10</v>
      </c>
      <c r="Q24" s="1"/>
      <c r="R24" s="1"/>
      <c r="V24" s="33"/>
      <c r="W24" s="33"/>
    </row>
    <row r="25" spans="2:23">
      <c r="B25" s="3">
        <v>42308</v>
      </c>
      <c r="C25" s="6" t="s">
        <v>20</v>
      </c>
      <c r="D25" s="6" t="s">
        <v>30</v>
      </c>
      <c r="E25" s="5">
        <v>16</v>
      </c>
      <c r="F25" s="5">
        <v>0.44</v>
      </c>
      <c r="G25" s="5">
        <f>StockTransactionsTable[[#This Row],[Shares No.]]*StockTransactionsTable[[#This Row],[Amount per Share]]</f>
        <v>7.04</v>
      </c>
      <c r="H25" s="5">
        <v>0</v>
      </c>
      <c r="I2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7.04</v>
      </c>
      <c r="J25" s="19">
        <f>StockTransactionsTable[[#This Row],[Fee]]/StockTransactionsTable[[#This Row],[Total Amount]]</f>
        <v>0</v>
      </c>
      <c r="K25" s="5">
        <f>IF(StockTransactionsTable[[#This Row],[Transaction Type]]="Buy", StockTransactionsTable[[#This Row],[Total Amount with Fee]] / StockTransactionsTable[[#This Row],[Shares No.]],0)</f>
        <v>0</v>
      </c>
      <c r="L2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5" s="4">
        <f>YEAR(StockTransactionsTable[[#This Row],[Date]])</f>
        <v>2015</v>
      </c>
      <c r="N25" s="4">
        <f>MONTH(StockTransactionsTable[[#This Row],[Date]])</f>
        <v>10</v>
      </c>
      <c r="Q25" s="1"/>
      <c r="R25" s="1"/>
      <c r="V25" s="33"/>
      <c r="W25" s="33"/>
    </row>
    <row r="26" spans="2:23">
      <c r="B26" s="3">
        <v>42310</v>
      </c>
      <c r="C26" s="6" t="s">
        <v>15</v>
      </c>
      <c r="D26" s="6" t="s">
        <v>30</v>
      </c>
      <c r="E26" s="5">
        <v>39</v>
      </c>
      <c r="F26" s="5">
        <v>0.47</v>
      </c>
      <c r="G26" s="5">
        <f>StockTransactionsTable[[#This Row],[Shares No.]]*StockTransactionsTable[[#This Row],[Amount per Share]]</f>
        <v>18.329999999999998</v>
      </c>
      <c r="H26" s="5">
        <v>0</v>
      </c>
      <c r="I2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18.329999999999998</v>
      </c>
      <c r="J26" s="19">
        <f>StockTransactionsTable[[#This Row],[Fee]]/StockTransactionsTable[[#This Row],[Total Amount]]</f>
        <v>0</v>
      </c>
      <c r="K26" s="5">
        <f>IF(StockTransactionsTable[[#This Row],[Transaction Type]]="Buy", StockTransactionsTable[[#This Row],[Total Amount with Fee]] / StockTransactionsTable[[#This Row],[Shares No.]],0)</f>
        <v>0</v>
      </c>
      <c r="L2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6" s="4">
        <f>YEAR(StockTransactionsTable[[#This Row],[Date]])</f>
        <v>2015</v>
      </c>
      <c r="N26" s="4">
        <f>MONTH(StockTransactionsTable[[#This Row],[Date]])</f>
        <v>11</v>
      </c>
      <c r="Q26" s="1"/>
      <c r="R26" s="1"/>
      <c r="V26" s="33"/>
      <c r="W26" s="33"/>
    </row>
    <row r="27" spans="2:23">
      <c r="B27" s="3">
        <v>42322</v>
      </c>
      <c r="C27" s="6" t="s">
        <v>86</v>
      </c>
      <c r="D27" s="6" t="s">
        <v>30</v>
      </c>
      <c r="E27" s="5">
        <v>15</v>
      </c>
      <c r="F27" s="5">
        <v>0.51</v>
      </c>
      <c r="G27" s="5">
        <f>StockTransactionsTable[[#This Row],[Shares No.]]*StockTransactionsTable[[#This Row],[Amount per Share]]</f>
        <v>7.65</v>
      </c>
      <c r="H27" s="5">
        <v>0</v>
      </c>
      <c r="I2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7.65</v>
      </c>
      <c r="J27" s="19">
        <f>StockTransactionsTable[[#This Row],[Fee]]/StockTransactionsTable[[#This Row],[Total Amount]]</f>
        <v>0</v>
      </c>
      <c r="K27" s="5">
        <f>IF(StockTransactionsTable[[#This Row],[Transaction Type]]="Buy", StockTransactionsTable[[#This Row],[Total Amount with Fee]] / StockTransactionsTable[[#This Row],[Shares No.]],0)</f>
        <v>0</v>
      </c>
      <c r="L2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7" s="4">
        <f>YEAR(StockTransactionsTable[[#This Row],[Date]])</f>
        <v>2015</v>
      </c>
      <c r="N27" s="4">
        <f>MONTH(StockTransactionsTable[[#This Row],[Date]])</f>
        <v>11</v>
      </c>
      <c r="Q27" s="1"/>
      <c r="R27" s="1"/>
      <c r="V27" s="33"/>
      <c r="W27" s="33"/>
    </row>
    <row r="28" spans="2:23">
      <c r="B28" s="3">
        <v>42328</v>
      </c>
      <c r="C28" s="6" t="s">
        <v>22</v>
      </c>
      <c r="D28" s="6" t="s">
        <v>30</v>
      </c>
      <c r="E28" s="5">
        <v>22</v>
      </c>
      <c r="F28" s="5">
        <v>0.77</v>
      </c>
      <c r="G28" s="5">
        <f>StockTransactionsTable[[#This Row],[Shares No.]]*StockTransactionsTable[[#This Row],[Amount per Share]]</f>
        <v>16.940000000000001</v>
      </c>
      <c r="H28" s="5">
        <v>0</v>
      </c>
      <c r="I2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16.940000000000001</v>
      </c>
      <c r="J28" s="19">
        <f>StockTransactionsTable[[#This Row],[Fee]]/StockTransactionsTable[[#This Row],[Total Amount]]</f>
        <v>0</v>
      </c>
      <c r="K28" s="5">
        <f>IF(StockTransactionsTable[[#This Row],[Transaction Type]]="Buy", StockTransactionsTable[[#This Row],[Total Amount with Fee]] / StockTransactionsTable[[#This Row],[Shares No.]],0)</f>
        <v>0</v>
      </c>
      <c r="L2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8" s="4">
        <f>YEAR(StockTransactionsTable[[#This Row],[Date]])</f>
        <v>2015</v>
      </c>
      <c r="N28" s="4">
        <f>MONTH(StockTransactionsTable[[#This Row],[Date]])</f>
        <v>11</v>
      </c>
      <c r="Q28" s="1"/>
      <c r="R28" s="1"/>
      <c r="V28" s="33"/>
      <c r="W28" s="33"/>
    </row>
    <row r="29" spans="2:23">
      <c r="B29" s="3">
        <v>42333</v>
      </c>
      <c r="C29" s="6" t="s">
        <v>15</v>
      </c>
      <c r="D29" s="6" t="s">
        <v>29</v>
      </c>
      <c r="E29" s="5">
        <v>25</v>
      </c>
      <c r="F29" s="5" vm="426">
        <v>25.2608</v>
      </c>
      <c r="G29" s="5">
        <f>StockTransactionsTable[[#This Row],[Shares No.]]*StockTransactionsTable[[#This Row],[Amount per Share]]</f>
        <v>631.52</v>
      </c>
      <c r="H29" s="5">
        <v>0.29053109987004833</v>
      </c>
      <c r="I2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631.81053109986999</v>
      </c>
      <c r="J29" s="19">
        <f>StockTransactionsTable[[#This Row],[Fee]]/StockTransactionsTable[[#This Row],[Total Amount]]</f>
        <v>4.6005051284210845E-4</v>
      </c>
      <c r="K29" s="5">
        <f>IF(StockTransactionsTable[[#This Row],[Transaction Type]]="Buy", StockTransactionsTable[[#This Row],[Total Amount with Fee]] / StockTransactionsTable[[#This Row],[Shares No.]],0)</f>
        <v>25.272421243994799</v>
      </c>
      <c r="L2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9" s="4">
        <f>YEAR(StockTransactionsTable[[#This Row],[Date]])</f>
        <v>2015</v>
      </c>
      <c r="N29" s="4">
        <f>MONTH(StockTransactionsTable[[#This Row],[Date]])</f>
        <v>11</v>
      </c>
      <c r="Q29" s="1"/>
      <c r="R29" s="1"/>
      <c r="V29" s="33"/>
      <c r="W29" s="33"/>
    </row>
    <row r="30" spans="2:23">
      <c r="B30" s="3">
        <v>42339</v>
      </c>
      <c r="C30" s="6" t="s">
        <v>13</v>
      </c>
      <c r="D30" s="6" t="s">
        <v>30</v>
      </c>
      <c r="E30" s="5">
        <v>11</v>
      </c>
      <c r="F30" s="5">
        <v>0.28000000000000003</v>
      </c>
      <c r="G30" s="5">
        <f>StockTransactionsTable[[#This Row],[Shares No.]]*StockTransactionsTable[[#This Row],[Amount per Share]]</f>
        <v>3.08</v>
      </c>
      <c r="H30" s="5">
        <v>0</v>
      </c>
      <c r="I3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3.08</v>
      </c>
      <c r="J30" s="19">
        <f>StockTransactionsTable[[#This Row],[Fee]]/StockTransactionsTable[[#This Row],[Total Amount]]</f>
        <v>0</v>
      </c>
      <c r="K30" s="5">
        <f>IF(StockTransactionsTable[[#This Row],[Transaction Type]]="Buy", StockTransactionsTable[[#This Row],[Total Amount with Fee]] / StockTransactionsTable[[#This Row],[Shares No.]],0)</f>
        <v>0</v>
      </c>
      <c r="L3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0" s="4">
        <f>YEAR(StockTransactionsTable[[#This Row],[Date]])</f>
        <v>2015</v>
      </c>
      <c r="N30" s="4">
        <f>MONTH(StockTransactionsTable[[#This Row],[Date]])</f>
        <v>12</v>
      </c>
      <c r="Q30" s="1"/>
      <c r="R30" s="1"/>
      <c r="V30" s="33"/>
      <c r="W30" s="33"/>
    </row>
    <row r="31" spans="2:23">
      <c r="B31" s="3">
        <v>42348</v>
      </c>
      <c r="C31" s="6" t="s">
        <v>16</v>
      </c>
      <c r="D31" s="6" t="s">
        <v>30</v>
      </c>
      <c r="E31" s="5">
        <v>11</v>
      </c>
      <c r="F31" s="5">
        <v>0.73</v>
      </c>
      <c r="G31" s="5">
        <f>StockTransactionsTable[[#This Row],[Shares No.]]*StockTransactionsTable[[#This Row],[Amount per Share]]</f>
        <v>8.0299999999999994</v>
      </c>
      <c r="H31" s="5">
        <v>0</v>
      </c>
      <c r="I3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8.0299999999999994</v>
      </c>
      <c r="J31" s="19">
        <f>StockTransactionsTable[[#This Row],[Fee]]/StockTransactionsTable[[#This Row],[Total Amount]]</f>
        <v>0</v>
      </c>
      <c r="K31" s="5">
        <f>IF(StockTransactionsTable[[#This Row],[Transaction Type]]="Buy", StockTransactionsTable[[#This Row],[Total Amount with Fee]] / StockTransactionsTable[[#This Row],[Shares No.]],0)</f>
        <v>0</v>
      </c>
      <c r="L3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1" s="4">
        <f>YEAR(StockTransactionsTable[[#This Row],[Date]])</f>
        <v>2015</v>
      </c>
      <c r="N31" s="4">
        <f>MONTH(StockTransactionsTable[[#This Row],[Date]])</f>
        <v>12</v>
      </c>
      <c r="Q31" s="1"/>
      <c r="R31" s="1"/>
      <c r="V31" s="33"/>
      <c r="W31" s="33"/>
    </row>
    <row r="32" spans="2:23">
      <c r="B32" s="3">
        <v>42354</v>
      </c>
      <c r="C32" s="6" t="s">
        <v>100</v>
      </c>
      <c r="D32" s="6" t="s">
        <v>30</v>
      </c>
      <c r="E32" s="5">
        <v>33</v>
      </c>
      <c r="F32" s="5">
        <v>0.82499999999999996</v>
      </c>
      <c r="G32" s="5">
        <f>StockTransactionsTable[[#This Row],[Shares No.]]*StockTransactionsTable[[#This Row],[Amount per Share]]</f>
        <v>27.224999999999998</v>
      </c>
      <c r="H32" s="5">
        <v>0</v>
      </c>
      <c r="I3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27.224999999999998</v>
      </c>
      <c r="J32" s="19">
        <f>StockTransactionsTable[[#This Row],[Fee]]/StockTransactionsTable[[#This Row],[Total Amount]]</f>
        <v>0</v>
      </c>
      <c r="K32" s="5">
        <f>IF(StockTransactionsTable[[#This Row],[Transaction Type]]="Buy", StockTransactionsTable[[#This Row],[Total Amount with Fee]] / StockTransactionsTable[[#This Row],[Shares No.]],0)</f>
        <v>0</v>
      </c>
      <c r="L3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2" s="4">
        <f>YEAR(StockTransactionsTable[[#This Row],[Date]])</f>
        <v>2015</v>
      </c>
      <c r="N32" s="4">
        <f>MONTH(StockTransactionsTable[[#This Row],[Date]])</f>
        <v>12</v>
      </c>
      <c r="Q32" s="1"/>
      <c r="R32" s="1"/>
      <c r="V32" s="33"/>
      <c r="W32" s="33"/>
    </row>
    <row r="33" spans="2:23">
      <c r="B33" s="3">
        <v>42355</v>
      </c>
      <c r="C33" s="6" t="s">
        <v>91</v>
      </c>
      <c r="D33" s="6" t="s">
        <v>29</v>
      </c>
      <c r="E33" s="5">
        <v>21</v>
      </c>
      <c r="F33" s="5" vm="427">
        <v>55.7</v>
      </c>
      <c r="G33" s="5">
        <f>StockTransactionsTable[[#This Row],[Shares No.]]*StockTransactionsTable[[#This Row],[Amount per Share]]</f>
        <v>1169.7</v>
      </c>
      <c r="H33" s="5">
        <v>0.48418956705808242</v>
      </c>
      <c r="I3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1170.1841895670582</v>
      </c>
      <c r="J33" s="19">
        <f>StockTransactionsTable[[#This Row],[Fee]]/StockTransactionsTable[[#This Row],[Total Amount]]</f>
        <v>4.1394337612899238E-4</v>
      </c>
      <c r="K33" s="5">
        <f>IF(StockTransactionsTable[[#This Row],[Transaction Type]]="Buy", StockTransactionsTable[[#This Row],[Total Amount with Fee]] / StockTransactionsTable[[#This Row],[Shares No.]],0)</f>
        <v>55.723056646050388</v>
      </c>
      <c r="L3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3" s="4">
        <f>YEAR(StockTransactionsTable[[#This Row],[Date]])</f>
        <v>2015</v>
      </c>
      <c r="N33" s="4">
        <f>MONTH(StockTransactionsTable[[#This Row],[Date]])</f>
        <v>12</v>
      </c>
      <c r="Q33" s="1"/>
      <c r="R33" s="1"/>
      <c r="V33" s="33"/>
      <c r="W33" s="33"/>
    </row>
    <row r="34" spans="2:23">
      <c r="B34" s="3">
        <v>42355</v>
      </c>
      <c r="C34" s="6" t="s">
        <v>95</v>
      </c>
      <c r="D34" s="6" t="s">
        <v>30</v>
      </c>
      <c r="E34" s="5">
        <v>12</v>
      </c>
      <c r="F34" s="5">
        <v>0.59</v>
      </c>
      <c r="G34" s="5">
        <f>StockTransactionsTable[[#This Row],[Shares No.]]*StockTransactionsTable[[#This Row],[Amount per Share]]</f>
        <v>7.08</v>
      </c>
      <c r="H34" s="5">
        <v>0</v>
      </c>
      <c r="I3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7.08</v>
      </c>
      <c r="J34" s="19">
        <f>StockTransactionsTable[[#This Row],[Fee]]/StockTransactionsTable[[#This Row],[Total Amount]]</f>
        <v>0</v>
      </c>
      <c r="K34" s="5">
        <f>IF(StockTransactionsTable[[#This Row],[Transaction Type]]="Buy", StockTransactionsTable[[#This Row],[Total Amount with Fee]] / StockTransactionsTable[[#This Row],[Shares No.]],0)</f>
        <v>0</v>
      </c>
      <c r="L3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4" s="4">
        <f>YEAR(StockTransactionsTable[[#This Row],[Date]])</f>
        <v>2015</v>
      </c>
      <c r="N34" s="4">
        <f>MONTH(StockTransactionsTable[[#This Row],[Date]])</f>
        <v>12</v>
      </c>
      <c r="Q34" s="1"/>
      <c r="R34" s="1"/>
      <c r="V34" s="33"/>
      <c r="W34" s="33"/>
    </row>
    <row r="35" spans="2:23">
      <c r="B35" s="3">
        <v>42384</v>
      </c>
      <c r="C35" s="6" t="s">
        <v>84</v>
      </c>
      <c r="D35" s="6" t="s">
        <v>29</v>
      </c>
      <c r="E35" s="5">
        <v>35</v>
      </c>
      <c r="F35" s="5" vm="428">
        <v>97</v>
      </c>
      <c r="G35" s="5">
        <f>StockTransactionsTable[[#This Row],[Shares No.]]*StockTransactionsTable[[#This Row],[Amount per Share]]</f>
        <v>3395</v>
      </c>
      <c r="H35" s="5">
        <v>1.375009622931507</v>
      </c>
      <c r="I3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3396.3750096229314</v>
      </c>
      <c r="J35" s="19">
        <f>StockTransactionsTable[[#This Row],[Fee]]/StockTransactionsTable[[#This Row],[Total Amount]]</f>
        <v>4.0501019821252048E-4</v>
      </c>
      <c r="K35" s="5">
        <f>IF(StockTransactionsTable[[#This Row],[Transaction Type]]="Buy", StockTransactionsTable[[#This Row],[Total Amount with Fee]] / StockTransactionsTable[[#This Row],[Shares No.]],0)</f>
        <v>97.039285989226613</v>
      </c>
      <c r="L3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5" s="4">
        <f>YEAR(StockTransactionsTable[[#This Row],[Date]])</f>
        <v>2016</v>
      </c>
      <c r="N35" s="4">
        <f>MONTH(StockTransactionsTable[[#This Row],[Date]])</f>
        <v>1</v>
      </c>
      <c r="Q35" s="1"/>
      <c r="R35" s="1"/>
      <c r="V35" s="33"/>
      <c r="W35" s="33"/>
    </row>
    <row r="36" spans="2:23">
      <c r="B36" s="3">
        <v>42400</v>
      </c>
      <c r="C36" s="6" t="s">
        <v>20</v>
      </c>
      <c r="D36" s="6" t="s">
        <v>30</v>
      </c>
      <c r="E36" s="5">
        <v>16</v>
      </c>
      <c r="F36" s="5">
        <v>0.44</v>
      </c>
      <c r="G36" s="5">
        <f>StockTransactionsTable[[#This Row],[Shares No.]]*StockTransactionsTable[[#This Row],[Amount per Share]]</f>
        <v>7.04</v>
      </c>
      <c r="H36" s="5">
        <v>0</v>
      </c>
      <c r="I3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7.04</v>
      </c>
      <c r="J36" s="19">
        <f>StockTransactionsTable[[#This Row],[Fee]]/StockTransactionsTable[[#This Row],[Total Amount]]</f>
        <v>0</v>
      </c>
      <c r="K36" s="5">
        <f>IF(StockTransactionsTable[[#This Row],[Transaction Type]]="Buy", StockTransactionsTable[[#This Row],[Total Amount with Fee]] / StockTransactionsTable[[#This Row],[Shares No.]],0)</f>
        <v>0</v>
      </c>
      <c r="L3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6" s="4">
        <f>YEAR(StockTransactionsTable[[#This Row],[Date]])</f>
        <v>2016</v>
      </c>
      <c r="N36" s="4">
        <f>MONTH(StockTransactionsTable[[#This Row],[Date]])</f>
        <v>1</v>
      </c>
      <c r="Q36" s="1"/>
      <c r="R36" s="1"/>
      <c r="V36" s="33"/>
      <c r="W36" s="33"/>
    </row>
    <row r="37" spans="2:23">
      <c r="B37" s="3">
        <v>42401</v>
      </c>
      <c r="C37" s="6" t="s">
        <v>15</v>
      </c>
      <c r="D37" s="6" t="s">
        <v>30</v>
      </c>
      <c r="E37" s="5">
        <v>64</v>
      </c>
      <c r="F37" s="5">
        <v>0.48</v>
      </c>
      <c r="G37" s="5">
        <f>StockTransactionsTable[[#This Row],[Shares No.]]*StockTransactionsTable[[#This Row],[Amount per Share]]</f>
        <v>30.72</v>
      </c>
      <c r="H37" s="5">
        <v>0</v>
      </c>
      <c r="I3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30.72</v>
      </c>
      <c r="J37" s="19">
        <f>StockTransactionsTable[[#This Row],[Fee]]/StockTransactionsTable[[#This Row],[Total Amount]]</f>
        <v>0</v>
      </c>
      <c r="K37" s="5">
        <f>IF(StockTransactionsTable[[#This Row],[Transaction Type]]="Buy", StockTransactionsTable[[#This Row],[Total Amount with Fee]] / StockTransactionsTable[[#This Row],[Shares No.]],0)</f>
        <v>0</v>
      </c>
      <c r="L3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7" s="4">
        <f>YEAR(StockTransactionsTable[[#This Row],[Date]])</f>
        <v>2016</v>
      </c>
      <c r="N37" s="4">
        <f>MONTH(StockTransactionsTable[[#This Row],[Date]])</f>
        <v>2</v>
      </c>
      <c r="Q37" s="1"/>
      <c r="R37" s="1"/>
      <c r="V37" s="33"/>
      <c r="W37" s="33"/>
    </row>
    <row r="38" spans="2:23">
      <c r="B38" s="3">
        <v>42412</v>
      </c>
      <c r="C38" s="6" t="s">
        <v>15</v>
      </c>
      <c r="D38" s="6" t="s">
        <v>29</v>
      </c>
      <c r="E38" s="5">
        <v>32</v>
      </c>
      <c r="F38" s="5" vm="429">
        <v>27.541399999999999</v>
      </c>
      <c r="G38" s="5">
        <f>StockTransactionsTable[[#This Row],[Shares No.]]*StockTransactionsTable[[#This Row],[Amount per Share]]</f>
        <v>881.32479999999998</v>
      </c>
      <c r="H38" s="5">
        <v>0.42131085460788198</v>
      </c>
      <c r="I3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881.74611085460788</v>
      </c>
      <c r="J38" s="19">
        <f>StockTransactionsTable[[#This Row],[Fee]]/StockTransactionsTable[[#This Row],[Total Amount]]</f>
        <v>4.78042663281326E-4</v>
      </c>
      <c r="K38" s="5">
        <f>IF(StockTransactionsTable[[#This Row],[Transaction Type]]="Buy", StockTransactionsTable[[#This Row],[Total Amount with Fee]] / StockTransactionsTable[[#This Row],[Shares No.]],0)</f>
        <v>27.554565964206496</v>
      </c>
      <c r="L3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8" s="4">
        <f>YEAR(StockTransactionsTable[[#This Row],[Date]])</f>
        <v>2016</v>
      </c>
      <c r="N38" s="4">
        <f>MONTH(StockTransactionsTable[[#This Row],[Date]])</f>
        <v>2</v>
      </c>
      <c r="Q38" s="1"/>
      <c r="R38" s="1"/>
      <c r="V38" s="33"/>
      <c r="W38" s="33"/>
    </row>
    <row r="39" spans="2:23">
      <c r="B39" s="3">
        <v>42416</v>
      </c>
      <c r="C39" s="6" t="s">
        <v>86</v>
      </c>
      <c r="D39" s="6" t="s">
        <v>30</v>
      </c>
      <c r="E39" s="5">
        <v>15</v>
      </c>
      <c r="F39" s="5">
        <v>0.56999999999999995</v>
      </c>
      <c r="G39" s="5">
        <f>StockTransactionsTable[[#This Row],[Shares No.]]*StockTransactionsTable[[#This Row],[Amount per Share]]</f>
        <v>8.5499999999999989</v>
      </c>
      <c r="H39" s="5">
        <v>0</v>
      </c>
      <c r="I3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8.5499999999999989</v>
      </c>
      <c r="J39" s="19">
        <f>StockTransactionsTable[[#This Row],[Fee]]/StockTransactionsTable[[#This Row],[Total Amount]]</f>
        <v>0</v>
      </c>
      <c r="K39" s="5">
        <f>IF(StockTransactionsTable[[#This Row],[Transaction Type]]="Buy", StockTransactionsTable[[#This Row],[Total Amount with Fee]] / StockTransactionsTable[[#This Row],[Shares No.]],0)</f>
        <v>0</v>
      </c>
      <c r="L3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9" s="4">
        <f>YEAR(StockTransactionsTable[[#This Row],[Date]])</f>
        <v>2016</v>
      </c>
      <c r="N39" s="4">
        <f>MONTH(StockTransactionsTable[[#This Row],[Date]])</f>
        <v>2</v>
      </c>
      <c r="Q39" s="1"/>
      <c r="R39" s="1"/>
      <c r="V39" s="33"/>
      <c r="W39" s="33"/>
    </row>
    <row r="40" spans="2:23">
      <c r="B40" s="3">
        <v>42420</v>
      </c>
      <c r="C40" s="6" t="s">
        <v>22</v>
      </c>
      <c r="D40" s="6" t="s">
        <v>30</v>
      </c>
      <c r="E40" s="5">
        <v>22</v>
      </c>
      <c r="F40" s="5">
        <v>0.77</v>
      </c>
      <c r="G40" s="5">
        <f>StockTransactionsTable[[#This Row],[Shares No.]]*StockTransactionsTable[[#This Row],[Amount per Share]]</f>
        <v>16.940000000000001</v>
      </c>
      <c r="H40" s="5">
        <v>0</v>
      </c>
      <c r="I4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16.940000000000001</v>
      </c>
      <c r="J40" s="19">
        <f>StockTransactionsTable[[#This Row],[Fee]]/StockTransactionsTable[[#This Row],[Total Amount]]</f>
        <v>0</v>
      </c>
      <c r="K40" s="5">
        <f>IF(StockTransactionsTable[[#This Row],[Transaction Type]]="Buy", StockTransactionsTable[[#This Row],[Total Amount with Fee]] / StockTransactionsTable[[#This Row],[Shares No.]],0)</f>
        <v>0</v>
      </c>
      <c r="L4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0" s="4">
        <f>YEAR(StockTransactionsTable[[#This Row],[Date]])</f>
        <v>2016</v>
      </c>
      <c r="N40" s="4">
        <f>MONTH(StockTransactionsTable[[#This Row],[Date]])</f>
        <v>2</v>
      </c>
      <c r="Q40" s="1"/>
      <c r="R40" s="1"/>
      <c r="V40" s="33"/>
      <c r="W40" s="33"/>
    </row>
    <row r="41" spans="2:23">
      <c r="B41" s="3">
        <v>42431</v>
      </c>
      <c r="C41" s="6" t="s">
        <v>13</v>
      </c>
      <c r="D41" s="6" t="s">
        <v>30</v>
      </c>
      <c r="E41" s="5">
        <v>11</v>
      </c>
      <c r="F41" s="5">
        <v>0.3</v>
      </c>
      <c r="G41" s="5">
        <f>StockTransactionsTable[[#This Row],[Shares No.]]*StockTransactionsTable[[#This Row],[Amount per Share]]</f>
        <v>3.3</v>
      </c>
      <c r="H41" s="5">
        <v>0</v>
      </c>
      <c r="I4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3.3</v>
      </c>
      <c r="J41" s="19">
        <f>StockTransactionsTable[[#This Row],[Fee]]/StockTransactionsTable[[#This Row],[Total Amount]]</f>
        <v>0</v>
      </c>
      <c r="K41" s="5">
        <f>IF(StockTransactionsTable[[#This Row],[Transaction Type]]="Buy", StockTransactionsTable[[#This Row],[Total Amount with Fee]] / StockTransactionsTable[[#This Row],[Shares No.]],0)</f>
        <v>0</v>
      </c>
      <c r="L4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1" s="4">
        <f>YEAR(StockTransactionsTable[[#This Row],[Date]])</f>
        <v>2016</v>
      </c>
      <c r="N41" s="4">
        <f>MONTH(StockTransactionsTable[[#This Row],[Date]])</f>
        <v>3</v>
      </c>
      <c r="Q41" s="1"/>
      <c r="R41" s="1"/>
      <c r="V41" s="33"/>
      <c r="W41" s="33"/>
    </row>
    <row r="42" spans="2:23">
      <c r="B42" s="3">
        <v>42436</v>
      </c>
      <c r="C42" s="6" t="s">
        <v>84</v>
      </c>
      <c r="D42" s="6" t="s">
        <v>30</v>
      </c>
      <c r="E42" s="5">
        <v>35</v>
      </c>
      <c r="F42" s="5">
        <v>0.75</v>
      </c>
      <c r="G42" s="5">
        <f>StockTransactionsTable[[#This Row],[Shares No.]]*StockTransactionsTable[[#This Row],[Amount per Share]]</f>
        <v>26.25</v>
      </c>
      <c r="H42" s="5">
        <v>0</v>
      </c>
      <c r="I4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26.25</v>
      </c>
      <c r="J42" s="19">
        <f>StockTransactionsTable[[#This Row],[Fee]]/StockTransactionsTable[[#This Row],[Total Amount]]</f>
        <v>0</v>
      </c>
      <c r="K42" s="5">
        <f>IF(StockTransactionsTable[[#This Row],[Transaction Type]]="Buy", StockTransactionsTable[[#This Row],[Total Amount with Fee]] / StockTransactionsTable[[#This Row],[Shares No.]],0)</f>
        <v>0</v>
      </c>
      <c r="L4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2" s="4">
        <f>YEAR(StockTransactionsTable[[#This Row],[Date]])</f>
        <v>2016</v>
      </c>
      <c r="N42" s="4">
        <f>MONTH(StockTransactionsTable[[#This Row],[Date]])</f>
        <v>3</v>
      </c>
      <c r="Q42" s="1"/>
      <c r="R42" s="1"/>
      <c r="V42" s="33"/>
      <c r="W42" s="33"/>
    </row>
    <row r="43" spans="2:23">
      <c r="B43" s="3">
        <v>42439</v>
      </c>
      <c r="C43" s="6" t="s">
        <v>91</v>
      </c>
      <c r="D43" s="6" t="s">
        <v>30</v>
      </c>
      <c r="E43" s="5">
        <v>21</v>
      </c>
      <c r="F43" s="5">
        <v>0.36</v>
      </c>
      <c r="G43" s="5">
        <f>StockTransactionsTable[[#This Row],[Shares No.]]*StockTransactionsTable[[#This Row],[Amount per Share]]</f>
        <v>7.56</v>
      </c>
      <c r="H43" s="5">
        <v>0</v>
      </c>
      <c r="I4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7.56</v>
      </c>
      <c r="J43" s="19">
        <f>StockTransactionsTable[[#This Row],[Fee]]/StockTransactionsTable[[#This Row],[Total Amount]]</f>
        <v>0</v>
      </c>
      <c r="K43" s="5">
        <f>IF(StockTransactionsTable[[#This Row],[Transaction Type]]="Buy", StockTransactionsTable[[#This Row],[Total Amount with Fee]] / StockTransactionsTable[[#This Row],[Shares No.]],0)</f>
        <v>0</v>
      </c>
      <c r="L4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3" s="4">
        <f>YEAR(StockTransactionsTable[[#This Row],[Date]])</f>
        <v>2016</v>
      </c>
      <c r="N43" s="4">
        <f>MONTH(StockTransactionsTable[[#This Row],[Date]])</f>
        <v>3</v>
      </c>
      <c r="Q43" s="1"/>
      <c r="R43" s="1"/>
      <c r="V43" s="33"/>
      <c r="W43" s="33"/>
    </row>
    <row r="44" spans="2:23">
      <c r="B44" s="3">
        <v>42439</v>
      </c>
      <c r="C44" s="6" t="s">
        <v>16</v>
      </c>
      <c r="D44" s="6" t="s">
        <v>30</v>
      </c>
      <c r="E44" s="5">
        <v>11</v>
      </c>
      <c r="F44" s="5">
        <v>0.73</v>
      </c>
      <c r="G44" s="5">
        <f>StockTransactionsTable[[#This Row],[Shares No.]]*StockTransactionsTable[[#This Row],[Amount per Share]]</f>
        <v>8.0299999999999994</v>
      </c>
      <c r="H44" s="5">
        <v>0</v>
      </c>
      <c r="I4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8.0299999999999994</v>
      </c>
      <c r="J44" s="19">
        <f>StockTransactionsTable[[#This Row],[Fee]]/StockTransactionsTable[[#This Row],[Total Amount]]</f>
        <v>0</v>
      </c>
      <c r="K44" s="5">
        <f>IF(StockTransactionsTable[[#This Row],[Transaction Type]]="Buy", StockTransactionsTable[[#This Row],[Total Amount with Fee]] / StockTransactionsTable[[#This Row],[Shares No.]],0)</f>
        <v>0</v>
      </c>
      <c r="L4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4" s="4">
        <f>YEAR(StockTransactionsTable[[#This Row],[Date]])</f>
        <v>2016</v>
      </c>
      <c r="N44" s="4">
        <f>MONTH(StockTransactionsTable[[#This Row],[Date]])</f>
        <v>3</v>
      </c>
      <c r="Q44" s="1"/>
      <c r="R44" s="1"/>
      <c r="V44" s="33"/>
      <c r="W44" s="33"/>
    </row>
    <row r="45" spans="2:23">
      <c r="B45" s="3">
        <v>42445</v>
      </c>
      <c r="C45" s="6" t="s">
        <v>100</v>
      </c>
      <c r="D45" s="6" t="s">
        <v>30</v>
      </c>
      <c r="E45" s="5">
        <v>33</v>
      </c>
      <c r="F45" s="5">
        <v>0.82499999999999996</v>
      </c>
      <c r="G45" s="5">
        <f>StockTransactionsTable[[#This Row],[Shares No.]]*StockTransactionsTable[[#This Row],[Amount per Share]]</f>
        <v>27.224999999999998</v>
      </c>
      <c r="H45" s="5">
        <v>0</v>
      </c>
      <c r="I4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27.224999999999998</v>
      </c>
      <c r="J45" s="19">
        <f>StockTransactionsTable[[#This Row],[Fee]]/StockTransactionsTable[[#This Row],[Total Amount]]</f>
        <v>0</v>
      </c>
      <c r="K45" s="5">
        <f>IF(StockTransactionsTable[[#This Row],[Transaction Type]]="Buy", StockTransactionsTable[[#This Row],[Total Amount with Fee]] / StockTransactionsTable[[#This Row],[Shares No.]],0)</f>
        <v>0</v>
      </c>
      <c r="L4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5" s="4">
        <f>YEAR(StockTransactionsTable[[#This Row],[Date]])</f>
        <v>2016</v>
      </c>
      <c r="N45" s="4">
        <f>MONTH(StockTransactionsTable[[#This Row],[Date]])</f>
        <v>3</v>
      </c>
      <c r="Q45" s="1"/>
      <c r="R45" s="1"/>
      <c r="V45" s="33"/>
      <c r="W45" s="33"/>
    </row>
    <row r="46" spans="2:23">
      <c r="B46" s="3">
        <v>42453</v>
      </c>
      <c r="C46" s="6" t="s">
        <v>16</v>
      </c>
      <c r="D46" s="6" t="s">
        <v>29</v>
      </c>
      <c r="E46" s="5">
        <v>33</v>
      </c>
      <c r="F46" s="5" vm="430">
        <v>83.98</v>
      </c>
      <c r="G46" s="5">
        <f>StockTransactionsTable[[#This Row],[Shares No.]]*StockTransactionsTable[[#This Row],[Amount per Share]]</f>
        <v>2771.34</v>
      </c>
      <c r="H46" s="5">
        <v>1.2783641820905127</v>
      </c>
      <c r="I4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2772.6183641820908</v>
      </c>
      <c r="J46" s="19">
        <f>StockTransactionsTable[[#This Row],[Fee]]/StockTransactionsTable[[#This Row],[Total Amount]]</f>
        <v>4.6128016847103302E-4</v>
      </c>
      <c r="K46" s="5">
        <f>IF(StockTransactionsTable[[#This Row],[Transaction Type]]="Buy", StockTransactionsTable[[#This Row],[Total Amount with Fee]] / StockTransactionsTable[[#This Row],[Shares No.]],0)</f>
        <v>84.018738308548208</v>
      </c>
      <c r="L4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6" s="4">
        <f>YEAR(StockTransactionsTable[[#This Row],[Date]])</f>
        <v>2016</v>
      </c>
      <c r="N46" s="4">
        <f>MONTH(StockTransactionsTable[[#This Row],[Date]])</f>
        <v>3</v>
      </c>
      <c r="Q46" s="1"/>
      <c r="R46" s="1"/>
      <c r="V46" s="33"/>
      <c r="W46" s="33"/>
    </row>
    <row r="47" spans="2:23">
      <c r="B47" s="3">
        <v>42453</v>
      </c>
      <c r="C47" s="6" t="s">
        <v>95</v>
      </c>
      <c r="D47" s="6" t="s">
        <v>30</v>
      </c>
      <c r="E47" s="5">
        <v>12</v>
      </c>
      <c r="F47" s="5">
        <v>0.69</v>
      </c>
      <c r="G47" s="5">
        <f>StockTransactionsTable[[#This Row],[Shares No.]]*StockTransactionsTable[[#This Row],[Amount per Share]]</f>
        <v>8.2799999999999994</v>
      </c>
      <c r="H47" s="5">
        <v>0</v>
      </c>
      <c r="I4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8.2799999999999994</v>
      </c>
      <c r="J47" s="19">
        <f>StockTransactionsTable[[#This Row],[Fee]]/StockTransactionsTable[[#This Row],[Total Amount]]</f>
        <v>0</v>
      </c>
      <c r="K47" s="5">
        <f>IF(StockTransactionsTable[[#This Row],[Transaction Type]]="Buy", StockTransactionsTable[[#This Row],[Total Amount with Fee]] / StockTransactionsTable[[#This Row],[Shares No.]],0)</f>
        <v>0</v>
      </c>
      <c r="L4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7" s="4">
        <f>YEAR(StockTransactionsTable[[#This Row],[Date]])</f>
        <v>2016</v>
      </c>
      <c r="N47" s="4">
        <f>MONTH(StockTransactionsTable[[#This Row],[Date]])</f>
        <v>3</v>
      </c>
      <c r="Q47" s="1"/>
      <c r="R47" s="1"/>
      <c r="V47" s="33"/>
      <c r="W47" s="33"/>
    </row>
    <row r="48" spans="2:23">
      <c r="B48" s="3">
        <v>42478</v>
      </c>
      <c r="C48" s="6" t="s">
        <v>91</v>
      </c>
      <c r="D48" s="6" t="s">
        <v>29</v>
      </c>
      <c r="E48" s="5">
        <v>35</v>
      </c>
      <c r="F48" s="5" vm="431">
        <v>56.46</v>
      </c>
      <c r="G48" s="5">
        <f>StockTransactionsTable[[#This Row],[Shares No.]]*StockTransactionsTable[[#This Row],[Amount per Share]]</f>
        <v>1976.1000000000001</v>
      </c>
      <c r="H48" s="5">
        <v>0.84584621135042748</v>
      </c>
      <c r="I4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1976.9458462113505</v>
      </c>
      <c r="J48" s="19">
        <f>StockTransactionsTable[[#This Row],[Fee]]/StockTransactionsTable[[#This Row],[Total Amount]]</f>
        <v>4.2803816170761979E-4</v>
      </c>
      <c r="K48" s="5">
        <f>IF(StockTransactionsTable[[#This Row],[Transaction Type]]="Buy", StockTransactionsTable[[#This Row],[Total Amount with Fee]] / StockTransactionsTable[[#This Row],[Shares No.]],0)</f>
        <v>56.484167034610017</v>
      </c>
      <c r="L4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8" s="4">
        <f>YEAR(StockTransactionsTable[[#This Row],[Date]])</f>
        <v>2016</v>
      </c>
      <c r="N48" s="4">
        <f>MONTH(StockTransactionsTable[[#This Row],[Date]])</f>
        <v>4</v>
      </c>
      <c r="Q48" s="1"/>
      <c r="R48" s="1"/>
      <c r="V48" s="33"/>
      <c r="W48" s="33"/>
    </row>
    <row r="49" spans="2:23">
      <c r="B49" s="3">
        <v>42490</v>
      </c>
      <c r="C49" s="6" t="s">
        <v>20</v>
      </c>
      <c r="D49" s="6" t="s">
        <v>30</v>
      </c>
      <c r="E49" s="5">
        <v>16</v>
      </c>
      <c r="F49" s="5">
        <v>0.44</v>
      </c>
      <c r="G49" s="5">
        <f>StockTransactionsTable[[#This Row],[Shares No.]]*StockTransactionsTable[[#This Row],[Amount per Share]]</f>
        <v>7.04</v>
      </c>
      <c r="H49" s="5">
        <v>0</v>
      </c>
      <c r="I4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7.04</v>
      </c>
      <c r="J49" s="19">
        <f>StockTransactionsTable[[#This Row],[Fee]]/StockTransactionsTable[[#This Row],[Total Amount]]</f>
        <v>0</v>
      </c>
      <c r="K49" s="5">
        <f>IF(StockTransactionsTable[[#This Row],[Transaction Type]]="Buy", StockTransactionsTable[[#This Row],[Total Amount with Fee]] / StockTransactionsTable[[#This Row],[Shares No.]],0)</f>
        <v>0</v>
      </c>
      <c r="L4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9" s="4">
        <f>YEAR(StockTransactionsTable[[#This Row],[Date]])</f>
        <v>2016</v>
      </c>
      <c r="N49" s="4">
        <f>MONTH(StockTransactionsTable[[#This Row],[Date]])</f>
        <v>4</v>
      </c>
      <c r="Q49" s="1"/>
      <c r="R49" s="1"/>
      <c r="V49" s="33"/>
      <c r="W49" s="33"/>
    </row>
    <row r="50" spans="2:23">
      <c r="B50" s="3">
        <v>42492</v>
      </c>
      <c r="C50" s="6" t="s">
        <v>15</v>
      </c>
      <c r="D50" s="6" t="s">
        <v>30</v>
      </c>
      <c r="E50" s="5">
        <v>96</v>
      </c>
      <c r="F50" s="5">
        <v>0.48</v>
      </c>
      <c r="G50" s="5">
        <f>StockTransactionsTable[[#This Row],[Shares No.]]*StockTransactionsTable[[#This Row],[Amount per Share]]</f>
        <v>46.08</v>
      </c>
      <c r="H50" s="5">
        <v>0</v>
      </c>
      <c r="I5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46.08</v>
      </c>
      <c r="J50" s="19">
        <f>StockTransactionsTable[[#This Row],[Fee]]/StockTransactionsTable[[#This Row],[Total Amount]]</f>
        <v>0</v>
      </c>
      <c r="K50" s="5">
        <f>IF(StockTransactionsTable[[#This Row],[Transaction Type]]="Buy", StockTransactionsTable[[#This Row],[Total Amount with Fee]] / StockTransactionsTable[[#This Row],[Shares No.]],0)</f>
        <v>0</v>
      </c>
      <c r="L5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0" s="4">
        <f>YEAR(StockTransactionsTable[[#This Row],[Date]])</f>
        <v>2016</v>
      </c>
      <c r="N50" s="4">
        <f>MONTH(StockTransactionsTable[[#This Row],[Date]])</f>
        <v>5</v>
      </c>
      <c r="Q50" s="1"/>
      <c r="R50" s="1"/>
      <c r="V50" s="33"/>
      <c r="W50" s="33"/>
    </row>
    <row r="51" spans="2:23">
      <c r="B51" s="3">
        <v>42499</v>
      </c>
      <c r="C51" s="6" t="s">
        <v>16</v>
      </c>
      <c r="D51" s="6" t="s">
        <v>29</v>
      </c>
      <c r="E51" s="5">
        <v>16</v>
      </c>
      <c r="F51" s="5" vm="432">
        <v>88.57</v>
      </c>
      <c r="G51" s="5">
        <f>StockTransactionsTable[[#This Row],[Shares No.]]*StockTransactionsTable[[#This Row],[Amount per Share]]</f>
        <v>1417.12</v>
      </c>
      <c r="H51" s="5">
        <v>0.59181497804003658</v>
      </c>
      <c r="I5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1417.7118149780399</v>
      </c>
      <c r="J51" s="19">
        <f>StockTransactionsTable[[#This Row],[Fee]]/StockTransactionsTable[[#This Row],[Total Amount]]</f>
        <v>4.1761811140908083E-4</v>
      </c>
      <c r="K51" s="5">
        <f>IF(StockTransactionsTable[[#This Row],[Transaction Type]]="Buy", StockTransactionsTable[[#This Row],[Total Amount with Fee]] / StockTransactionsTable[[#This Row],[Shares No.]],0)</f>
        <v>88.606988436127494</v>
      </c>
      <c r="L5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1" s="4">
        <f>YEAR(StockTransactionsTable[[#This Row],[Date]])</f>
        <v>2016</v>
      </c>
      <c r="N51" s="4">
        <f>MONTH(StockTransactionsTable[[#This Row],[Date]])</f>
        <v>5</v>
      </c>
      <c r="Q51" s="1"/>
      <c r="R51" s="1"/>
      <c r="V51" s="33"/>
      <c r="W51" s="33"/>
    </row>
    <row r="52" spans="2:23">
      <c r="B52" s="3">
        <v>42506</v>
      </c>
      <c r="C52" s="6" t="s">
        <v>86</v>
      </c>
      <c r="D52" s="6" t="s">
        <v>30</v>
      </c>
      <c r="E52" s="5">
        <v>15</v>
      </c>
      <c r="F52" s="5">
        <v>0.56999999999999995</v>
      </c>
      <c r="G52" s="5">
        <f>StockTransactionsTable[[#This Row],[Shares No.]]*StockTransactionsTable[[#This Row],[Amount per Share]]</f>
        <v>8.5499999999999989</v>
      </c>
      <c r="H52" s="5">
        <v>0</v>
      </c>
      <c r="I5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8.5499999999999989</v>
      </c>
      <c r="J52" s="19">
        <f>StockTransactionsTable[[#This Row],[Fee]]/StockTransactionsTable[[#This Row],[Total Amount]]</f>
        <v>0</v>
      </c>
      <c r="K52" s="5">
        <f>IF(StockTransactionsTable[[#This Row],[Transaction Type]]="Buy", StockTransactionsTable[[#This Row],[Total Amount with Fee]] / StockTransactionsTable[[#This Row],[Shares No.]],0)</f>
        <v>0</v>
      </c>
      <c r="L5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2" s="4">
        <f>YEAR(StockTransactionsTable[[#This Row],[Date]])</f>
        <v>2016</v>
      </c>
      <c r="N52" s="4">
        <f>MONTH(StockTransactionsTable[[#This Row],[Date]])</f>
        <v>5</v>
      </c>
      <c r="Q52" s="1"/>
      <c r="R52" s="1"/>
      <c r="V52" s="33"/>
      <c r="W52" s="33"/>
    </row>
    <row r="53" spans="2:23">
      <c r="B53" s="3">
        <v>42510</v>
      </c>
      <c r="C53" s="6" t="s">
        <v>22</v>
      </c>
      <c r="D53" s="6" t="s">
        <v>30</v>
      </c>
      <c r="E53" s="5">
        <v>22</v>
      </c>
      <c r="F53" s="5">
        <v>0.77</v>
      </c>
      <c r="G53" s="5">
        <f>StockTransactionsTable[[#This Row],[Shares No.]]*StockTransactionsTable[[#This Row],[Amount per Share]]</f>
        <v>16.940000000000001</v>
      </c>
      <c r="H53" s="5">
        <v>0</v>
      </c>
      <c r="I5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16.940000000000001</v>
      </c>
      <c r="J53" s="19">
        <f>StockTransactionsTable[[#This Row],[Fee]]/StockTransactionsTable[[#This Row],[Total Amount]]</f>
        <v>0</v>
      </c>
      <c r="K53" s="5">
        <f>IF(StockTransactionsTable[[#This Row],[Transaction Type]]="Buy", StockTransactionsTable[[#This Row],[Total Amount with Fee]] / StockTransactionsTable[[#This Row],[Shares No.]],0)</f>
        <v>0</v>
      </c>
      <c r="L5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3" s="4">
        <f>YEAR(StockTransactionsTable[[#This Row],[Date]])</f>
        <v>2016</v>
      </c>
      <c r="N53" s="4">
        <f>MONTH(StockTransactionsTable[[#This Row],[Date]])</f>
        <v>5</v>
      </c>
      <c r="Q53" s="1"/>
      <c r="R53" s="1"/>
      <c r="V53" s="33"/>
      <c r="W53" s="33"/>
    </row>
    <row r="54" spans="2:23">
      <c r="B54" s="3">
        <v>42522</v>
      </c>
      <c r="C54" s="6" t="s">
        <v>22</v>
      </c>
      <c r="D54" s="6" t="s">
        <v>29</v>
      </c>
      <c r="E54" s="5">
        <v>7</v>
      </c>
      <c r="F54" s="5" vm="433">
        <v>72.27</v>
      </c>
      <c r="G54" s="5">
        <f>StockTransactionsTable[[#This Row],[Shares No.]]*StockTransactionsTable[[#This Row],[Amount per Share]]</f>
        <v>505.89</v>
      </c>
      <c r="H54" s="5">
        <v>0.22746338321061893</v>
      </c>
      <c r="I5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506.11746338321058</v>
      </c>
      <c r="J54" s="19">
        <f>StockTransactionsTable[[#This Row],[Fee]]/StockTransactionsTable[[#This Row],[Total Amount]]</f>
        <v>4.4963012356563468E-4</v>
      </c>
      <c r="K54" s="5">
        <f>IF(StockTransactionsTable[[#This Row],[Transaction Type]]="Buy", StockTransactionsTable[[#This Row],[Total Amount with Fee]] / StockTransactionsTable[[#This Row],[Shares No.]],0)</f>
        <v>72.302494769030076</v>
      </c>
      <c r="L5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4" s="4">
        <f>YEAR(StockTransactionsTable[[#This Row],[Date]])</f>
        <v>2016</v>
      </c>
      <c r="N54" s="4">
        <f>MONTH(StockTransactionsTable[[#This Row],[Date]])</f>
        <v>6</v>
      </c>
      <c r="Q54" s="1"/>
      <c r="R54" s="1"/>
      <c r="V54" s="33"/>
      <c r="W54" s="33"/>
    </row>
    <row r="55" spans="2:23">
      <c r="B55" s="3">
        <v>42522</v>
      </c>
      <c r="C55" s="6" t="s">
        <v>13</v>
      </c>
      <c r="D55" s="6" t="s">
        <v>30</v>
      </c>
      <c r="E55" s="5">
        <v>11</v>
      </c>
      <c r="F55" s="5">
        <v>0.3</v>
      </c>
      <c r="G55" s="5">
        <f>StockTransactionsTable[[#This Row],[Shares No.]]*StockTransactionsTable[[#This Row],[Amount per Share]]</f>
        <v>3.3</v>
      </c>
      <c r="H55" s="5">
        <v>0</v>
      </c>
      <c r="I5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3.3</v>
      </c>
      <c r="J55" s="19">
        <f>StockTransactionsTable[[#This Row],[Fee]]/StockTransactionsTable[[#This Row],[Total Amount]]</f>
        <v>0</v>
      </c>
      <c r="K55" s="5">
        <f>IF(StockTransactionsTable[[#This Row],[Transaction Type]]="Buy", StockTransactionsTable[[#This Row],[Total Amount with Fee]] / StockTransactionsTable[[#This Row],[Shares No.]],0)</f>
        <v>0</v>
      </c>
      <c r="L5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5" s="4">
        <f>YEAR(StockTransactionsTable[[#This Row],[Date]])</f>
        <v>2016</v>
      </c>
      <c r="N55" s="4">
        <f>MONTH(StockTransactionsTable[[#This Row],[Date]])</f>
        <v>6</v>
      </c>
      <c r="Q55" s="1"/>
      <c r="R55" s="1"/>
      <c r="V55" s="33"/>
      <c r="W55" s="33"/>
    </row>
    <row r="56" spans="2:23">
      <c r="B56" s="3">
        <v>42528</v>
      </c>
      <c r="C56" s="6" t="s">
        <v>84</v>
      </c>
      <c r="D56" s="6" t="s">
        <v>30</v>
      </c>
      <c r="E56" s="5">
        <v>35</v>
      </c>
      <c r="F56" s="5">
        <v>0.8</v>
      </c>
      <c r="G56" s="5">
        <f>StockTransactionsTable[[#This Row],[Shares No.]]*StockTransactionsTable[[#This Row],[Amount per Share]]</f>
        <v>28</v>
      </c>
      <c r="H56" s="5">
        <v>0</v>
      </c>
      <c r="I5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28</v>
      </c>
      <c r="J56" s="19">
        <f>StockTransactionsTable[[#This Row],[Fee]]/StockTransactionsTable[[#This Row],[Total Amount]]</f>
        <v>0</v>
      </c>
      <c r="K56" s="5">
        <f>IF(StockTransactionsTable[[#This Row],[Transaction Type]]="Buy", StockTransactionsTable[[#This Row],[Total Amount with Fee]] / StockTransactionsTable[[#This Row],[Shares No.]],0)</f>
        <v>0</v>
      </c>
      <c r="L5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6" s="4">
        <f>YEAR(StockTransactionsTable[[#This Row],[Date]])</f>
        <v>2016</v>
      </c>
      <c r="N56" s="4">
        <f>MONTH(StockTransactionsTable[[#This Row],[Date]])</f>
        <v>6</v>
      </c>
      <c r="Q56" s="1"/>
      <c r="R56" s="1"/>
      <c r="V56" s="33"/>
      <c r="W56" s="33"/>
    </row>
    <row r="57" spans="2:23">
      <c r="B57" s="3">
        <v>42530</v>
      </c>
      <c r="C57" s="6" t="s">
        <v>91</v>
      </c>
      <c r="D57" s="6" t="s">
        <v>30</v>
      </c>
      <c r="E57" s="5">
        <v>56</v>
      </c>
      <c r="F57" s="5">
        <v>0.36</v>
      </c>
      <c r="G57" s="5">
        <f>StockTransactionsTable[[#This Row],[Shares No.]]*StockTransactionsTable[[#This Row],[Amount per Share]]</f>
        <v>20.16</v>
      </c>
      <c r="H57" s="5">
        <v>0</v>
      </c>
      <c r="I5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20.16</v>
      </c>
      <c r="J57" s="19">
        <f>StockTransactionsTable[[#This Row],[Fee]]/StockTransactionsTable[[#This Row],[Total Amount]]</f>
        <v>0</v>
      </c>
      <c r="K57" s="5">
        <f>IF(StockTransactionsTable[[#This Row],[Transaction Type]]="Buy", StockTransactionsTable[[#This Row],[Total Amount with Fee]] / StockTransactionsTable[[#This Row],[Shares No.]],0)</f>
        <v>0</v>
      </c>
      <c r="L5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7" s="4">
        <f>YEAR(StockTransactionsTable[[#This Row],[Date]])</f>
        <v>2016</v>
      </c>
      <c r="N57" s="4">
        <f>MONTH(StockTransactionsTable[[#This Row],[Date]])</f>
        <v>6</v>
      </c>
      <c r="Q57" s="1"/>
      <c r="R57" s="1"/>
      <c r="V57" s="33"/>
      <c r="W57" s="33"/>
    </row>
    <row r="58" spans="2:23">
      <c r="B58" s="3">
        <v>42531</v>
      </c>
      <c r="C58" s="6" t="s">
        <v>16</v>
      </c>
      <c r="D58" s="6" t="s">
        <v>30</v>
      </c>
      <c r="E58" s="5">
        <v>60</v>
      </c>
      <c r="F58" s="5">
        <v>0.75</v>
      </c>
      <c r="G58" s="5">
        <f>StockTransactionsTable[[#This Row],[Shares No.]]*StockTransactionsTable[[#This Row],[Amount per Share]]</f>
        <v>45</v>
      </c>
      <c r="H58" s="5">
        <v>0</v>
      </c>
      <c r="I5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45</v>
      </c>
      <c r="J58" s="19">
        <f>StockTransactionsTable[[#This Row],[Fee]]/StockTransactionsTable[[#This Row],[Total Amount]]</f>
        <v>0</v>
      </c>
      <c r="K58" s="5">
        <f>IF(StockTransactionsTable[[#This Row],[Transaction Type]]="Buy", StockTransactionsTable[[#This Row],[Total Amount with Fee]] / StockTransactionsTable[[#This Row],[Shares No.]],0)</f>
        <v>0</v>
      </c>
      <c r="L5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8" s="4">
        <f>YEAR(StockTransactionsTable[[#This Row],[Date]])</f>
        <v>2016</v>
      </c>
      <c r="N58" s="4">
        <f>MONTH(StockTransactionsTable[[#This Row],[Date]])</f>
        <v>6</v>
      </c>
      <c r="Q58" s="1"/>
      <c r="R58" s="1"/>
      <c r="V58" s="33"/>
      <c r="W58" s="33"/>
    </row>
    <row r="59" spans="2:23">
      <c r="B59" s="3">
        <v>42537</v>
      </c>
      <c r="C59" s="6" t="s">
        <v>100</v>
      </c>
      <c r="D59" s="6" t="s">
        <v>30</v>
      </c>
      <c r="E59" s="5">
        <v>33</v>
      </c>
      <c r="F59" s="5">
        <v>0.82499999999999996</v>
      </c>
      <c r="G59" s="5">
        <f>StockTransactionsTable[[#This Row],[Shares No.]]*StockTransactionsTable[[#This Row],[Amount per Share]]</f>
        <v>27.224999999999998</v>
      </c>
      <c r="H59" s="5">
        <v>0</v>
      </c>
      <c r="I5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27.224999999999998</v>
      </c>
      <c r="J59" s="19">
        <f>StockTransactionsTable[[#This Row],[Fee]]/StockTransactionsTable[[#This Row],[Total Amount]]</f>
        <v>0</v>
      </c>
      <c r="K59" s="5">
        <f>IF(StockTransactionsTable[[#This Row],[Transaction Type]]="Buy", StockTransactionsTable[[#This Row],[Total Amount with Fee]] / StockTransactionsTable[[#This Row],[Shares No.]],0)</f>
        <v>0</v>
      </c>
      <c r="L5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9" s="4">
        <f>YEAR(StockTransactionsTable[[#This Row],[Date]])</f>
        <v>2016</v>
      </c>
      <c r="N59" s="4">
        <f>MONTH(StockTransactionsTable[[#This Row],[Date]])</f>
        <v>6</v>
      </c>
      <c r="Q59" s="1"/>
      <c r="R59" s="1"/>
      <c r="V59" s="33"/>
      <c r="W59" s="33"/>
    </row>
    <row r="60" spans="2:23">
      <c r="B60" s="3">
        <v>42537</v>
      </c>
      <c r="C60" s="6" t="s">
        <v>95</v>
      </c>
      <c r="D60" s="6" t="s">
        <v>30</v>
      </c>
      <c r="E60" s="5">
        <v>12</v>
      </c>
      <c r="F60" s="5">
        <v>0.69</v>
      </c>
      <c r="G60" s="5">
        <f>StockTransactionsTable[[#This Row],[Shares No.]]*StockTransactionsTable[[#This Row],[Amount per Share]]</f>
        <v>8.2799999999999994</v>
      </c>
      <c r="H60" s="5">
        <v>0</v>
      </c>
      <c r="I6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8.2799999999999994</v>
      </c>
      <c r="J60" s="19">
        <f>StockTransactionsTable[[#This Row],[Fee]]/StockTransactionsTable[[#This Row],[Total Amount]]</f>
        <v>0</v>
      </c>
      <c r="K60" s="5">
        <f>IF(StockTransactionsTable[[#This Row],[Transaction Type]]="Buy", StockTransactionsTable[[#This Row],[Total Amount with Fee]] / StockTransactionsTable[[#This Row],[Shares No.]],0)</f>
        <v>0</v>
      </c>
      <c r="L6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0" s="4">
        <f>YEAR(StockTransactionsTable[[#This Row],[Date]])</f>
        <v>2016</v>
      </c>
      <c r="N60" s="4">
        <f>MONTH(StockTransactionsTable[[#This Row],[Date]])</f>
        <v>6</v>
      </c>
      <c r="Q60" s="1"/>
      <c r="R60" s="1"/>
      <c r="V60" s="33"/>
      <c r="W60" s="33"/>
    </row>
    <row r="61" spans="2:23">
      <c r="B61" s="3">
        <v>42562</v>
      </c>
      <c r="C61" s="6" t="s">
        <v>17</v>
      </c>
      <c r="D61" s="6" t="s">
        <v>29</v>
      </c>
      <c r="E61" s="5">
        <v>18</v>
      </c>
      <c r="F61" s="5" vm="434">
        <v>155.33000000000001</v>
      </c>
      <c r="G61" s="5">
        <f>StockTransactionsTable[[#This Row],[Shares No.]]*StockTransactionsTable[[#This Row],[Amount per Share]]</f>
        <v>2795.94</v>
      </c>
      <c r="H61" s="5">
        <v>1.2349688808611392</v>
      </c>
      <c r="I6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2797.1749688808613</v>
      </c>
      <c r="J61" s="19">
        <f>StockTransactionsTable[[#This Row],[Fee]]/StockTransactionsTable[[#This Row],[Total Amount]]</f>
        <v>4.4170078072531573E-4</v>
      </c>
      <c r="K61" s="5">
        <f>IF(StockTransactionsTable[[#This Row],[Transaction Type]]="Buy", StockTransactionsTable[[#This Row],[Total Amount with Fee]] / StockTransactionsTable[[#This Row],[Shares No.]],0)</f>
        <v>155.39860938227008</v>
      </c>
      <c r="L6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1" s="4">
        <f>YEAR(StockTransactionsTable[[#This Row],[Date]])</f>
        <v>2016</v>
      </c>
      <c r="N61" s="4">
        <f>MONTH(StockTransactionsTable[[#This Row],[Date]])</f>
        <v>7</v>
      </c>
      <c r="Q61" s="1"/>
      <c r="R61" s="1"/>
      <c r="V61" s="33"/>
      <c r="W61" s="33"/>
    </row>
    <row r="62" spans="2:23">
      <c r="B62" s="3">
        <v>42582</v>
      </c>
      <c r="C62" s="6" t="s">
        <v>20</v>
      </c>
      <c r="D62" s="6" t="s">
        <v>30</v>
      </c>
      <c r="E62" s="5">
        <v>16</v>
      </c>
      <c r="F62" s="5">
        <v>0.48</v>
      </c>
      <c r="G62" s="5">
        <f>StockTransactionsTable[[#This Row],[Shares No.]]*StockTransactionsTable[[#This Row],[Amount per Share]]</f>
        <v>7.68</v>
      </c>
      <c r="H62" s="5">
        <v>0</v>
      </c>
      <c r="I6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7.68</v>
      </c>
      <c r="J62" s="19">
        <f>StockTransactionsTable[[#This Row],[Fee]]/StockTransactionsTable[[#This Row],[Total Amount]]</f>
        <v>0</v>
      </c>
      <c r="K62" s="5">
        <f>IF(StockTransactionsTable[[#This Row],[Transaction Type]]="Buy", StockTransactionsTable[[#This Row],[Total Amount with Fee]] / StockTransactionsTable[[#This Row],[Shares No.]],0)</f>
        <v>0</v>
      </c>
      <c r="L6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2" s="4">
        <f>YEAR(StockTransactionsTable[[#This Row],[Date]])</f>
        <v>2016</v>
      </c>
      <c r="N62" s="4">
        <f>MONTH(StockTransactionsTable[[#This Row],[Date]])</f>
        <v>7</v>
      </c>
      <c r="Q62" s="1"/>
      <c r="R62" s="1"/>
      <c r="V62" s="33"/>
      <c r="W62" s="33"/>
    </row>
    <row r="63" spans="2:23">
      <c r="B63" s="3">
        <v>42583</v>
      </c>
      <c r="C63" s="6" t="s">
        <v>106</v>
      </c>
      <c r="D63" s="6" t="s">
        <v>29</v>
      </c>
      <c r="E63" s="5">
        <v>35</v>
      </c>
      <c r="F63" s="5" vm="435">
        <v>104.67</v>
      </c>
      <c r="G63" s="5">
        <f>StockTransactionsTable[[#This Row],[Shares No.]]*StockTransactionsTable[[#This Row],[Amount per Share]]</f>
        <v>3663.4500000000003</v>
      </c>
      <c r="H63" s="5">
        <v>1.5107366700161908</v>
      </c>
      <c r="I6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3664.9607366700166</v>
      </c>
      <c r="J63" s="19">
        <f>StockTransactionsTable[[#This Row],[Fee]]/StockTransactionsTable[[#This Row],[Total Amount]]</f>
        <v>4.1238086230634802E-4</v>
      </c>
      <c r="K63" s="5">
        <f>IF(StockTransactionsTable[[#This Row],[Transaction Type]]="Buy", StockTransactionsTable[[#This Row],[Total Amount with Fee]] / StockTransactionsTable[[#This Row],[Shares No.]],0)</f>
        <v>104.71316390485761</v>
      </c>
      <c r="L6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3" s="4">
        <f>YEAR(StockTransactionsTable[[#This Row],[Date]])</f>
        <v>2016</v>
      </c>
      <c r="N63" s="4">
        <f>MONTH(StockTransactionsTable[[#This Row],[Date]])</f>
        <v>8</v>
      </c>
      <c r="Q63" s="1"/>
      <c r="R63" s="1"/>
      <c r="V63" s="33"/>
      <c r="W63" s="33"/>
    </row>
    <row r="64" spans="2:23">
      <c r="B64" s="3">
        <v>42583</v>
      </c>
      <c r="C64" s="6" t="s">
        <v>15</v>
      </c>
      <c r="D64" s="6" t="s">
        <v>30</v>
      </c>
      <c r="E64" s="5">
        <v>96</v>
      </c>
      <c r="F64" s="5">
        <v>0.48</v>
      </c>
      <c r="G64" s="5">
        <f>StockTransactionsTable[[#This Row],[Shares No.]]*StockTransactionsTable[[#This Row],[Amount per Share]]</f>
        <v>46.08</v>
      </c>
      <c r="H64" s="5">
        <v>0</v>
      </c>
      <c r="I6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46.08</v>
      </c>
      <c r="J64" s="19">
        <f>StockTransactionsTable[[#This Row],[Fee]]/StockTransactionsTable[[#This Row],[Total Amount]]</f>
        <v>0</v>
      </c>
      <c r="K64" s="5">
        <f>IF(StockTransactionsTable[[#This Row],[Transaction Type]]="Buy", StockTransactionsTable[[#This Row],[Total Amount with Fee]] / StockTransactionsTable[[#This Row],[Shares No.]],0)</f>
        <v>0</v>
      </c>
      <c r="L6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4" s="4">
        <f>YEAR(StockTransactionsTable[[#This Row],[Date]])</f>
        <v>2016</v>
      </c>
      <c r="N64" s="4">
        <f>MONTH(StockTransactionsTable[[#This Row],[Date]])</f>
        <v>8</v>
      </c>
      <c r="Q64" s="1"/>
      <c r="R64" s="1"/>
      <c r="V64" s="33"/>
      <c r="W64" s="33"/>
    </row>
    <row r="65" spans="2:23">
      <c r="B65" s="3">
        <v>42597</v>
      </c>
      <c r="C65" s="6" t="s">
        <v>86</v>
      </c>
      <c r="D65" s="6" t="s">
        <v>30</v>
      </c>
      <c r="E65" s="5">
        <v>15</v>
      </c>
      <c r="F65" s="5">
        <v>0.56999999999999995</v>
      </c>
      <c r="G65" s="5">
        <f>StockTransactionsTable[[#This Row],[Shares No.]]*StockTransactionsTable[[#This Row],[Amount per Share]]</f>
        <v>8.5499999999999989</v>
      </c>
      <c r="H65" s="5">
        <v>0</v>
      </c>
      <c r="I6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8.5499999999999989</v>
      </c>
      <c r="J65" s="19">
        <f>StockTransactionsTable[[#This Row],[Fee]]/StockTransactionsTable[[#This Row],[Total Amount]]</f>
        <v>0</v>
      </c>
      <c r="K65" s="5">
        <f>IF(StockTransactionsTable[[#This Row],[Transaction Type]]="Buy", StockTransactionsTable[[#This Row],[Total Amount with Fee]] / StockTransactionsTable[[#This Row],[Shares No.]],0)</f>
        <v>0</v>
      </c>
      <c r="L6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5" s="4">
        <f>YEAR(StockTransactionsTable[[#This Row],[Date]])</f>
        <v>2016</v>
      </c>
      <c r="N65" s="4">
        <f>MONTH(StockTransactionsTable[[#This Row],[Date]])</f>
        <v>8</v>
      </c>
      <c r="Q65" s="1"/>
      <c r="R65" s="1"/>
      <c r="V65" s="33"/>
      <c r="W65" s="33"/>
    </row>
    <row r="66" spans="2:23">
      <c r="B66" s="3">
        <v>42602</v>
      </c>
      <c r="C66" s="6" t="s">
        <v>22</v>
      </c>
      <c r="D66" s="6" t="s">
        <v>30</v>
      </c>
      <c r="E66" s="5">
        <v>29</v>
      </c>
      <c r="F66" s="5">
        <v>0.77</v>
      </c>
      <c r="G66" s="5">
        <f>StockTransactionsTable[[#This Row],[Shares No.]]*StockTransactionsTable[[#This Row],[Amount per Share]]</f>
        <v>22.330000000000002</v>
      </c>
      <c r="H66" s="5">
        <v>0</v>
      </c>
      <c r="I6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22.330000000000002</v>
      </c>
      <c r="J66" s="19">
        <f>StockTransactionsTable[[#This Row],[Fee]]/StockTransactionsTable[[#This Row],[Total Amount]]</f>
        <v>0</v>
      </c>
      <c r="K66" s="5">
        <f>IF(StockTransactionsTable[[#This Row],[Transaction Type]]="Buy", StockTransactionsTable[[#This Row],[Total Amount with Fee]] / StockTransactionsTable[[#This Row],[Shares No.]],0)</f>
        <v>0</v>
      </c>
      <c r="L6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6" s="4">
        <f>YEAR(StockTransactionsTable[[#This Row],[Date]])</f>
        <v>2016</v>
      </c>
      <c r="N66" s="4">
        <f>MONTH(StockTransactionsTable[[#This Row],[Date]])</f>
        <v>8</v>
      </c>
      <c r="Q66" s="1"/>
      <c r="R66" s="1"/>
      <c r="V66" s="33"/>
      <c r="W66" s="33"/>
    </row>
    <row r="67" spans="2:23">
      <c r="B67" s="3">
        <v>42614</v>
      </c>
      <c r="C67" s="6" t="s">
        <v>13</v>
      </c>
      <c r="D67" s="6" t="s">
        <v>30</v>
      </c>
      <c r="E67" s="5">
        <v>11</v>
      </c>
      <c r="F67" s="5">
        <v>0.3</v>
      </c>
      <c r="G67" s="5">
        <f>StockTransactionsTable[[#This Row],[Shares No.]]*StockTransactionsTable[[#This Row],[Amount per Share]]</f>
        <v>3.3</v>
      </c>
      <c r="H67" s="5">
        <v>0</v>
      </c>
      <c r="I6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3.3</v>
      </c>
      <c r="J67" s="19">
        <f>StockTransactionsTable[[#This Row],[Fee]]/StockTransactionsTable[[#This Row],[Total Amount]]</f>
        <v>0</v>
      </c>
      <c r="K67" s="5">
        <f>IF(StockTransactionsTable[[#This Row],[Transaction Type]]="Buy", StockTransactionsTable[[#This Row],[Total Amount with Fee]] / StockTransactionsTable[[#This Row],[Shares No.]],0)</f>
        <v>0</v>
      </c>
      <c r="L6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7" s="4">
        <f>YEAR(StockTransactionsTable[[#This Row],[Date]])</f>
        <v>2016</v>
      </c>
      <c r="N67" s="4">
        <f>MONTH(StockTransactionsTable[[#This Row],[Date]])</f>
        <v>9</v>
      </c>
      <c r="Q67" s="1"/>
      <c r="R67" s="1"/>
      <c r="V67" s="33"/>
      <c r="W67" s="33"/>
    </row>
    <row r="68" spans="2:23">
      <c r="B68" s="3">
        <v>42619</v>
      </c>
      <c r="C68" s="6" t="s">
        <v>84</v>
      </c>
      <c r="D68" s="6" t="s">
        <v>29</v>
      </c>
      <c r="E68" s="5">
        <v>16</v>
      </c>
      <c r="F68" s="5" vm="436">
        <v>119.75</v>
      </c>
      <c r="G68" s="5">
        <f>StockTransactionsTable[[#This Row],[Shares No.]]*StockTransactionsTable[[#This Row],[Amount per Share]]</f>
        <v>1916</v>
      </c>
      <c r="H68" s="5">
        <v>0.84961790201132936</v>
      </c>
      <c r="I6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1916.8496179020112</v>
      </c>
      <c r="J68" s="19">
        <f>StockTransactionsTable[[#This Row],[Fee]]/StockTransactionsTable[[#This Row],[Total Amount]]</f>
        <v>4.4343314301217607E-4</v>
      </c>
      <c r="K68" s="5">
        <f>IF(StockTransactionsTable[[#This Row],[Transaction Type]]="Buy", StockTransactionsTable[[#This Row],[Total Amount with Fee]] / StockTransactionsTable[[#This Row],[Shares No.]],0)</f>
        <v>119.8031011188757</v>
      </c>
      <c r="L6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8" s="4">
        <f>YEAR(StockTransactionsTable[[#This Row],[Date]])</f>
        <v>2016</v>
      </c>
      <c r="N68" s="4">
        <f>MONTH(StockTransactionsTable[[#This Row],[Date]])</f>
        <v>9</v>
      </c>
      <c r="Q68" s="1"/>
      <c r="R68" s="1"/>
      <c r="V68" s="33"/>
      <c r="W68" s="33"/>
    </row>
    <row r="69" spans="2:23">
      <c r="B69" s="3">
        <v>42619</v>
      </c>
      <c r="C69" s="6" t="s">
        <v>84</v>
      </c>
      <c r="D69" s="6" t="s">
        <v>30</v>
      </c>
      <c r="E69" s="5">
        <v>35</v>
      </c>
      <c r="F69" s="5">
        <v>0.8</v>
      </c>
      <c r="G69" s="5">
        <f>StockTransactionsTable[[#This Row],[Shares No.]]*StockTransactionsTable[[#This Row],[Amount per Share]]</f>
        <v>28</v>
      </c>
      <c r="H69" s="5">
        <v>0</v>
      </c>
      <c r="I6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28</v>
      </c>
      <c r="J69" s="19">
        <f>StockTransactionsTable[[#This Row],[Fee]]/StockTransactionsTable[[#This Row],[Total Amount]]</f>
        <v>0</v>
      </c>
      <c r="K69" s="5">
        <f>IF(StockTransactionsTable[[#This Row],[Transaction Type]]="Buy", StockTransactionsTable[[#This Row],[Total Amount with Fee]] / StockTransactionsTable[[#This Row],[Shares No.]],0)</f>
        <v>0</v>
      </c>
      <c r="L6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9" s="4">
        <f>YEAR(StockTransactionsTable[[#This Row],[Date]])</f>
        <v>2016</v>
      </c>
      <c r="N69" s="4">
        <f>MONTH(StockTransactionsTable[[#This Row],[Date]])</f>
        <v>9</v>
      </c>
      <c r="Q69" s="1"/>
      <c r="R69" s="1"/>
      <c r="V69" s="33"/>
      <c r="W69" s="33"/>
    </row>
    <row r="70" spans="2:23">
      <c r="B70" s="3">
        <v>42621</v>
      </c>
      <c r="C70" s="6" t="s">
        <v>91</v>
      </c>
      <c r="D70" s="6" t="s">
        <v>30</v>
      </c>
      <c r="E70" s="5">
        <v>56</v>
      </c>
      <c r="F70" s="5">
        <v>0.36</v>
      </c>
      <c r="G70" s="5">
        <f>StockTransactionsTable[[#This Row],[Shares No.]]*StockTransactionsTable[[#This Row],[Amount per Share]]</f>
        <v>20.16</v>
      </c>
      <c r="H70" s="5">
        <v>0</v>
      </c>
      <c r="I7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20.16</v>
      </c>
      <c r="J70" s="19">
        <f>StockTransactionsTable[[#This Row],[Fee]]/StockTransactionsTable[[#This Row],[Total Amount]]</f>
        <v>0</v>
      </c>
      <c r="K70" s="5">
        <f>IF(StockTransactionsTable[[#This Row],[Transaction Type]]="Buy", StockTransactionsTable[[#This Row],[Total Amount with Fee]] / StockTransactionsTable[[#This Row],[Shares No.]],0)</f>
        <v>0</v>
      </c>
      <c r="L7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0" s="4">
        <f>YEAR(StockTransactionsTable[[#This Row],[Date]])</f>
        <v>2016</v>
      </c>
      <c r="N70" s="4">
        <f>MONTH(StockTransactionsTable[[#This Row],[Date]])</f>
        <v>9</v>
      </c>
      <c r="Q70" s="1"/>
      <c r="R70" s="1"/>
      <c r="V70" s="33"/>
      <c r="W70" s="33"/>
    </row>
    <row r="71" spans="2:23">
      <c r="B71" s="3">
        <v>42622</v>
      </c>
      <c r="C71" s="6" t="s">
        <v>16</v>
      </c>
      <c r="D71" s="6" t="s">
        <v>30</v>
      </c>
      <c r="E71" s="5">
        <v>60</v>
      </c>
      <c r="F71" s="5">
        <v>0.75</v>
      </c>
      <c r="G71" s="5">
        <f>StockTransactionsTable[[#This Row],[Shares No.]]*StockTransactionsTable[[#This Row],[Amount per Share]]</f>
        <v>45</v>
      </c>
      <c r="H71" s="5">
        <v>0</v>
      </c>
      <c r="I7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45</v>
      </c>
      <c r="J71" s="19">
        <f>StockTransactionsTable[[#This Row],[Fee]]/StockTransactionsTable[[#This Row],[Total Amount]]</f>
        <v>0</v>
      </c>
      <c r="K71" s="5">
        <f>IF(StockTransactionsTable[[#This Row],[Transaction Type]]="Buy", StockTransactionsTable[[#This Row],[Total Amount with Fee]] / StockTransactionsTable[[#This Row],[Shares No.]],0)</f>
        <v>0</v>
      </c>
      <c r="L7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1" s="4">
        <f>YEAR(StockTransactionsTable[[#This Row],[Date]])</f>
        <v>2016</v>
      </c>
      <c r="N71" s="4">
        <f>MONTH(StockTransactionsTable[[#This Row],[Date]])</f>
        <v>9</v>
      </c>
      <c r="Q71" s="1"/>
      <c r="R71" s="1"/>
      <c r="V71" s="33"/>
      <c r="W71" s="33"/>
    </row>
    <row r="72" spans="2:23">
      <c r="B72" s="3">
        <v>42623</v>
      </c>
      <c r="C72" s="6" t="s">
        <v>17</v>
      </c>
      <c r="D72" s="6" t="s">
        <v>30</v>
      </c>
      <c r="E72" s="5">
        <v>18</v>
      </c>
      <c r="F72" s="5">
        <v>1.4</v>
      </c>
      <c r="G72" s="5">
        <f>StockTransactionsTable[[#This Row],[Shares No.]]*StockTransactionsTable[[#This Row],[Amount per Share]]</f>
        <v>25.2</v>
      </c>
      <c r="H72" s="5">
        <v>0</v>
      </c>
      <c r="I7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25.2</v>
      </c>
      <c r="J72" s="19">
        <f>StockTransactionsTable[[#This Row],[Fee]]/StockTransactionsTable[[#This Row],[Total Amount]]</f>
        <v>0</v>
      </c>
      <c r="K72" s="5">
        <f>IF(StockTransactionsTable[[#This Row],[Transaction Type]]="Buy", StockTransactionsTable[[#This Row],[Total Amount with Fee]] / StockTransactionsTable[[#This Row],[Shares No.]],0)</f>
        <v>0</v>
      </c>
      <c r="L7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2" s="4">
        <f>YEAR(StockTransactionsTable[[#This Row],[Date]])</f>
        <v>2016</v>
      </c>
      <c r="N72" s="4">
        <f>MONTH(StockTransactionsTable[[#This Row],[Date]])</f>
        <v>9</v>
      </c>
      <c r="Q72" s="1"/>
      <c r="R72" s="1"/>
      <c r="V72" s="33"/>
      <c r="W72" s="33"/>
    </row>
    <row r="73" spans="2:23">
      <c r="B73" s="3">
        <v>42625</v>
      </c>
      <c r="C73" s="6" t="s">
        <v>106</v>
      </c>
      <c r="D73" s="6" t="s">
        <v>30</v>
      </c>
      <c r="E73" s="5">
        <v>35</v>
      </c>
      <c r="F73" s="5">
        <v>0.4</v>
      </c>
      <c r="G73" s="5">
        <f>StockTransactionsTable[[#This Row],[Shares No.]]*StockTransactionsTable[[#This Row],[Amount per Share]]</f>
        <v>14</v>
      </c>
      <c r="H73" s="5">
        <v>0</v>
      </c>
      <c r="I7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v>
      </c>
      <c r="J73" s="19">
        <f>StockTransactionsTable[[#This Row],[Fee]]/StockTransactionsTable[[#This Row],[Total Amount]]</f>
        <v>0</v>
      </c>
      <c r="K73" s="5">
        <f>IF(StockTransactionsTable[[#This Row],[Transaction Type]]="Buy", StockTransactionsTable[[#This Row],[Total Amount with Fee]] / StockTransactionsTable[[#This Row],[Shares No.]],0)</f>
        <v>0</v>
      </c>
      <c r="L7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3" s="4">
        <f>YEAR(StockTransactionsTable[[#This Row],[Date]])</f>
        <v>2016</v>
      </c>
      <c r="N73" s="4">
        <f>MONTH(StockTransactionsTable[[#This Row],[Date]])</f>
        <v>9</v>
      </c>
      <c r="Q73" s="1"/>
      <c r="R73" s="1"/>
      <c r="V73" s="33"/>
      <c r="W73" s="33"/>
    </row>
    <row r="74" spans="2:23">
      <c r="B74" s="3">
        <v>42628</v>
      </c>
      <c r="C74" s="6" t="s">
        <v>95</v>
      </c>
      <c r="D74" s="6" t="s">
        <v>30</v>
      </c>
      <c r="E74" s="5">
        <v>12</v>
      </c>
      <c r="F74" s="5">
        <v>0.69</v>
      </c>
      <c r="G74" s="5">
        <f>StockTransactionsTable[[#This Row],[Shares No.]]*StockTransactionsTable[[#This Row],[Amount per Share]]</f>
        <v>8.2799999999999994</v>
      </c>
      <c r="H74" s="5">
        <v>0</v>
      </c>
      <c r="I7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8.2799999999999994</v>
      </c>
      <c r="J74" s="19">
        <f>StockTransactionsTable[[#This Row],[Fee]]/StockTransactionsTable[[#This Row],[Total Amount]]</f>
        <v>0</v>
      </c>
      <c r="K74" s="5">
        <f>IF(StockTransactionsTable[[#This Row],[Transaction Type]]="Buy", StockTransactionsTable[[#This Row],[Total Amount with Fee]] / StockTransactionsTable[[#This Row],[Shares No.]],0)</f>
        <v>0</v>
      </c>
      <c r="L7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4" s="4">
        <f>YEAR(StockTransactionsTable[[#This Row],[Date]])</f>
        <v>2016</v>
      </c>
      <c r="N74" s="4">
        <f>MONTH(StockTransactionsTable[[#This Row],[Date]])</f>
        <v>9</v>
      </c>
      <c r="Q74" s="1"/>
      <c r="R74" s="1"/>
      <c r="V74" s="33"/>
      <c r="W74" s="33"/>
    </row>
    <row r="75" spans="2:23">
      <c r="B75" s="3">
        <v>42629</v>
      </c>
      <c r="C75" s="6" t="s">
        <v>100</v>
      </c>
      <c r="D75" s="6" t="s">
        <v>30</v>
      </c>
      <c r="E75" s="5">
        <v>33</v>
      </c>
      <c r="F75" s="5">
        <v>0.85499999999999998</v>
      </c>
      <c r="G75" s="5">
        <f>StockTransactionsTable[[#This Row],[Shares No.]]*StockTransactionsTable[[#This Row],[Amount per Share]]</f>
        <v>28.215</v>
      </c>
      <c r="H75" s="5">
        <v>0</v>
      </c>
      <c r="I7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28.215</v>
      </c>
      <c r="J75" s="19">
        <f>StockTransactionsTable[[#This Row],[Fee]]/StockTransactionsTable[[#This Row],[Total Amount]]</f>
        <v>0</v>
      </c>
      <c r="K75" s="5">
        <f>IF(StockTransactionsTable[[#This Row],[Transaction Type]]="Buy", StockTransactionsTable[[#This Row],[Total Amount with Fee]] / StockTransactionsTable[[#This Row],[Shares No.]],0)</f>
        <v>0</v>
      </c>
      <c r="L7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5" s="4">
        <f>YEAR(StockTransactionsTable[[#This Row],[Date]])</f>
        <v>2016</v>
      </c>
      <c r="N75" s="4">
        <f>MONTH(StockTransactionsTable[[#This Row],[Date]])</f>
        <v>9</v>
      </c>
      <c r="Q75" s="1"/>
      <c r="R75" s="1"/>
      <c r="V75" s="33"/>
      <c r="W75" s="33"/>
    </row>
    <row r="76" spans="2:23">
      <c r="B76" s="3">
        <v>42642</v>
      </c>
      <c r="C76" s="6" t="s">
        <v>22</v>
      </c>
      <c r="D76" s="6" t="s">
        <v>29</v>
      </c>
      <c r="E76" s="5">
        <v>32</v>
      </c>
      <c r="F76" s="5" vm="437">
        <v>87.47</v>
      </c>
      <c r="G76" s="5">
        <f>StockTransactionsTable[[#This Row],[Shares No.]]*StockTransactionsTable[[#This Row],[Amount per Share]]</f>
        <v>2799.04</v>
      </c>
      <c r="H76" s="5">
        <v>1.2483100416033679</v>
      </c>
      <c r="I7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2800.2883100416034</v>
      </c>
      <c r="J76" s="19">
        <f>StockTransactionsTable[[#This Row],[Fee]]/StockTransactionsTable[[#This Row],[Total Amount]]</f>
        <v>4.45977921574314E-4</v>
      </c>
      <c r="K76" s="5">
        <f>IF(StockTransactionsTable[[#This Row],[Transaction Type]]="Buy", StockTransactionsTable[[#This Row],[Total Amount with Fee]] / StockTransactionsTable[[#This Row],[Shares No.]],0)</f>
        <v>87.509009688800106</v>
      </c>
      <c r="L7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6" s="4">
        <f>YEAR(StockTransactionsTable[[#This Row],[Date]])</f>
        <v>2016</v>
      </c>
      <c r="N76" s="4">
        <f>MONTH(StockTransactionsTable[[#This Row],[Date]])</f>
        <v>9</v>
      </c>
      <c r="Q76" s="1"/>
      <c r="R76" s="1"/>
      <c r="V76" s="33"/>
      <c r="W76" s="33"/>
    </row>
    <row r="77" spans="2:23">
      <c r="B77" s="3">
        <v>42669</v>
      </c>
      <c r="C77" s="6" t="s">
        <v>16</v>
      </c>
      <c r="D77" s="6" t="s">
        <v>29</v>
      </c>
      <c r="E77" s="5">
        <v>28</v>
      </c>
      <c r="F77" s="5" vm="438">
        <v>87.09</v>
      </c>
      <c r="G77" s="5">
        <f>StockTransactionsTable[[#This Row],[Shares No.]]*StockTransactionsTable[[#This Row],[Amount per Share]]</f>
        <v>2438.52</v>
      </c>
      <c r="H77" s="5">
        <v>1.0541505486635423</v>
      </c>
      <c r="I7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2439.5741505486635</v>
      </c>
      <c r="J77" s="19">
        <f>StockTransactionsTable[[#This Row],[Fee]]/StockTransactionsTable[[#This Row],[Total Amount]]</f>
        <v>4.3229112275623835E-4</v>
      </c>
      <c r="K77" s="5">
        <f>IF(StockTransactionsTable[[#This Row],[Transaction Type]]="Buy", StockTransactionsTable[[#This Row],[Total Amount with Fee]] / StockTransactionsTable[[#This Row],[Shares No.]],0)</f>
        <v>87.127648233880834</v>
      </c>
      <c r="L7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7" s="4">
        <f>YEAR(StockTransactionsTable[[#This Row],[Date]])</f>
        <v>2016</v>
      </c>
      <c r="N77" s="4">
        <f>MONTH(StockTransactionsTable[[#This Row],[Date]])</f>
        <v>10</v>
      </c>
      <c r="Q77" s="1"/>
      <c r="R77" s="1"/>
      <c r="V77" s="33"/>
      <c r="W77" s="33"/>
    </row>
    <row r="78" spans="2:23">
      <c r="B78" s="3">
        <v>42674</v>
      </c>
      <c r="C78" s="6" t="s">
        <v>20</v>
      </c>
      <c r="D78" s="6" t="s">
        <v>30</v>
      </c>
      <c r="E78" s="5">
        <v>16</v>
      </c>
      <c r="F78" s="5">
        <v>0.48</v>
      </c>
      <c r="G78" s="5">
        <f>StockTransactionsTable[[#This Row],[Shares No.]]*StockTransactionsTable[[#This Row],[Amount per Share]]</f>
        <v>7.68</v>
      </c>
      <c r="H78" s="5">
        <v>0</v>
      </c>
      <c r="I7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7.68</v>
      </c>
      <c r="J78" s="19">
        <f>StockTransactionsTable[[#This Row],[Fee]]/StockTransactionsTable[[#This Row],[Total Amount]]</f>
        <v>0</v>
      </c>
      <c r="K78" s="5">
        <f>IF(StockTransactionsTable[[#This Row],[Transaction Type]]="Buy", StockTransactionsTable[[#This Row],[Total Amount with Fee]] / StockTransactionsTable[[#This Row],[Shares No.]],0)</f>
        <v>0</v>
      </c>
      <c r="L7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8" s="4">
        <f>YEAR(StockTransactionsTable[[#This Row],[Date]])</f>
        <v>2016</v>
      </c>
      <c r="N78" s="4">
        <f>MONTH(StockTransactionsTable[[#This Row],[Date]])</f>
        <v>10</v>
      </c>
      <c r="Q78" s="1"/>
      <c r="R78" s="1"/>
      <c r="V78" s="33"/>
      <c r="W78" s="33"/>
    </row>
    <row r="79" spans="2:23">
      <c r="B79" s="3">
        <v>42675</v>
      </c>
      <c r="C79" s="6" t="s">
        <v>15</v>
      </c>
      <c r="D79" s="6" t="s">
        <v>30</v>
      </c>
      <c r="E79" s="5">
        <v>96</v>
      </c>
      <c r="F79" s="5">
        <v>0.48</v>
      </c>
      <c r="G79" s="5">
        <f>StockTransactionsTable[[#This Row],[Shares No.]]*StockTransactionsTable[[#This Row],[Amount per Share]]</f>
        <v>46.08</v>
      </c>
      <c r="H79" s="5">
        <v>0</v>
      </c>
      <c r="I7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46.08</v>
      </c>
      <c r="J79" s="19">
        <f>StockTransactionsTable[[#This Row],[Fee]]/StockTransactionsTable[[#This Row],[Total Amount]]</f>
        <v>0</v>
      </c>
      <c r="K79" s="5">
        <f>IF(StockTransactionsTable[[#This Row],[Transaction Type]]="Buy", StockTransactionsTable[[#This Row],[Total Amount with Fee]] / StockTransactionsTable[[#This Row],[Shares No.]],0)</f>
        <v>0</v>
      </c>
      <c r="L7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9" s="4">
        <f>YEAR(StockTransactionsTable[[#This Row],[Date]])</f>
        <v>2016</v>
      </c>
      <c r="N79" s="4">
        <f>MONTH(StockTransactionsTable[[#This Row],[Date]])</f>
        <v>11</v>
      </c>
      <c r="Q79" s="1"/>
      <c r="R79" s="1"/>
      <c r="V79" s="33"/>
      <c r="W79" s="33"/>
    </row>
    <row r="80" spans="2:23">
      <c r="B80" s="3">
        <v>42689</v>
      </c>
      <c r="C80" s="6" t="s">
        <v>86</v>
      </c>
      <c r="D80" s="6" t="s">
        <v>30</v>
      </c>
      <c r="E80" s="5">
        <v>15</v>
      </c>
      <c r="F80" s="5">
        <v>0.56999999999999995</v>
      </c>
      <c r="G80" s="5">
        <f>StockTransactionsTable[[#This Row],[Shares No.]]*StockTransactionsTable[[#This Row],[Amount per Share]]</f>
        <v>8.5499999999999989</v>
      </c>
      <c r="H80" s="5">
        <v>0</v>
      </c>
      <c r="I8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8.5499999999999989</v>
      </c>
      <c r="J80" s="19">
        <f>StockTransactionsTable[[#This Row],[Fee]]/StockTransactionsTable[[#This Row],[Total Amount]]</f>
        <v>0</v>
      </c>
      <c r="K80" s="5">
        <f>IF(StockTransactionsTable[[#This Row],[Transaction Type]]="Buy", StockTransactionsTable[[#This Row],[Total Amount with Fee]] / StockTransactionsTable[[#This Row],[Shares No.]],0)</f>
        <v>0</v>
      </c>
      <c r="L8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0" s="4">
        <f>YEAR(StockTransactionsTable[[#This Row],[Date]])</f>
        <v>2016</v>
      </c>
      <c r="N80" s="4">
        <f>MONTH(StockTransactionsTable[[#This Row],[Date]])</f>
        <v>11</v>
      </c>
      <c r="Q80" s="1"/>
      <c r="R80" s="1"/>
      <c r="V80" s="33"/>
      <c r="W80" s="33"/>
    </row>
    <row r="81" spans="2:23">
      <c r="B81" s="3">
        <v>42693</v>
      </c>
      <c r="C81" s="6" t="s">
        <v>22</v>
      </c>
      <c r="D81" s="6" t="s">
        <v>30</v>
      </c>
      <c r="E81" s="5">
        <v>61</v>
      </c>
      <c r="F81" s="5">
        <v>0.77</v>
      </c>
      <c r="G81" s="5">
        <f>StockTransactionsTable[[#This Row],[Shares No.]]*StockTransactionsTable[[#This Row],[Amount per Share]]</f>
        <v>46.97</v>
      </c>
      <c r="H81" s="5">
        <v>0</v>
      </c>
      <c r="I8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46.97</v>
      </c>
      <c r="J81" s="19">
        <f>StockTransactionsTable[[#This Row],[Fee]]/StockTransactionsTable[[#This Row],[Total Amount]]</f>
        <v>0</v>
      </c>
      <c r="K81" s="5">
        <f>IF(StockTransactionsTable[[#This Row],[Transaction Type]]="Buy", StockTransactionsTable[[#This Row],[Total Amount with Fee]] / StockTransactionsTable[[#This Row],[Shares No.]],0)</f>
        <v>0</v>
      </c>
      <c r="L8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1" s="4">
        <f>YEAR(StockTransactionsTable[[#This Row],[Date]])</f>
        <v>2016</v>
      </c>
      <c r="N81" s="4">
        <f>MONTH(StockTransactionsTable[[#This Row],[Date]])</f>
        <v>11</v>
      </c>
      <c r="Q81" s="1"/>
      <c r="R81" s="1"/>
      <c r="V81" s="33"/>
      <c r="W81" s="33"/>
    </row>
    <row r="82" spans="2:23">
      <c r="B82" s="3">
        <v>42702</v>
      </c>
      <c r="C82" s="6" t="s">
        <v>86</v>
      </c>
      <c r="D82" s="6" t="s">
        <v>29</v>
      </c>
      <c r="E82" s="5">
        <v>8</v>
      </c>
      <c r="F82" s="5" vm="439">
        <v>59.46</v>
      </c>
      <c r="G82" s="5">
        <f>StockTransactionsTable[[#This Row],[Shares No.]]*StockTransactionsTable[[#This Row],[Amount per Share]]</f>
        <v>475.68</v>
      </c>
      <c r="H82" s="5">
        <v>0.21043204785069586</v>
      </c>
      <c r="I8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475.89043204785071</v>
      </c>
      <c r="J82" s="19">
        <f>StockTransactionsTable[[#This Row],[Fee]]/StockTransactionsTable[[#This Row],[Total Amount]]</f>
        <v>4.4238153349036299E-4</v>
      </c>
      <c r="K82" s="5">
        <f>IF(StockTransactionsTable[[#This Row],[Transaction Type]]="Buy", StockTransactionsTable[[#This Row],[Total Amount with Fee]] / StockTransactionsTable[[#This Row],[Shares No.]],0)</f>
        <v>59.486304005981339</v>
      </c>
      <c r="L8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2" s="4">
        <f>YEAR(StockTransactionsTable[[#This Row],[Date]])</f>
        <v>2016</v>
      </c>
      <c r="N82" s="4">
        <f>MONTH(StockTransactionsTable[[#This Row],[Date]])</f>
        <v>11</v>
      </c>
      <c r="Q82" s="1"/>
      <c r="R82" s="1"/>
      <c r="V82" s="33"/>
      <c r="W82" s="33"/>
    </row>
    <row r="83" spans="2:23">
      <c r="B83" s="3">
        <v>42705</v>
      </c>
      <c r="C83" s="6" t="s">
        <v>13</v>
      </c>
      <c r="D83" s="6" t="s">
        <v>30</v>
      </c>
      <c r="E83" s="5">
        <v>11</v>
      </c>
      <c r="F83" s="5">
        <v>0.3</v>
      </c>
      <c r="G83" s="5">
        <f>StockTransactionsTable[[#This Row],[Shares No.]]*StockTransactionsTable[[#This Row],[Amount per Share]]</f>
        <v>3.3</v>
      </c>
      <c r="H83" s="5">
        <v>0</v>
      </c>
      <c r="I8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3.3</v>
      </c>
      <c r="J83" s="19">
        <f>StockTransactionsTable[[#This Row],[Fee]]/StockTransactionsTable[[#This Row],[Total Amount]]</f>
        <v>0</v>
      </c>
      <c r="K83" s="5">
        <f>IF(StockTransactionsTable[[#This Row],[Transaction Type]]="Buy", StockTransactionsTable[[#This Row],[Total Amount with Fee]] / StockTransactionsTable[[#This Row],[Shares No.]],0)</f>
        <v>0</v>
      </c>
      <c r="L8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3" s="4">
        <f>YEAR(StockTransactionsTable[[#This Row],[Date]])</f>
        <v>2016</v>
      </c>
      <c r="N83" s="4">
        <f>MONTH(StockTransactionsTable[[#This Row],[Date]])</f>
        <v>12</v>
      </c>
      <c r="Q83" s="1"/>
      <c r="R83" s="1"/>
      <c r="V83" s="33"/>
      <c r="W83" s="33"/>
    </row>
    <row r="84" spans="2:23">
      <c r="B84" s="3">
        <v>42710</v>
      </c>
      <c r="C84" s="6" t="s">
        <v>84</v>
      </c>
      <c r="D84" s="6" t="s">
        <v>30</v>
      </c>
      <c r="E84" s="5">
        <v>51</v>
      </c>
      <c r="F84" s="5">
        <v>0.8</v>
      </c>
      <c r="G84" s="5">
        <f>StockTransactionsTable[[#This Row],[Shares No.]]*StockTransactionsTable[[#This Row],[Amount per Share]]</f>
        <v>40.800000000000004</v>
      </c>
      <c r="H84" s="5">
        <v>0</v>
      </c>
      <c r="I8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40.800000000000004</v>
      </c>
      <c r="J84" s="19">
        <f>StockTransactionsTable[[#This Row],[Fee]]/StockTransactionsTable[[#This Row],[Total Amount]]</f>
        <v>0</v>
      </c>
      <c r="K84" s="5">
        <f>IF(StockTransactionsTable[[#This Row],[Transaction Type]]="Buy", StockTransactionsTable[[#This Row],[Total Amount with Fee]] / StockTransactionsTable[[#This Row],[Shares No.]],0)</f>
        <v>0</v>
      </c>
      <c r="L8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4" s="4">
        <f>YEAR(StockTransactionsTable[[#This Row],[Date]])</f>
        <v>2016</v>
      </c>
      <c r="N84" s="4">
        <f>MONTH(StockTransactionsTable[[#This Row],[Date]])</f>
        <v>12</v>
      </c>
      <c r="Q84" s="1"/>
      <c r="R84" s="1"/>
      <c r="V84" s="33"/>
      <c r="W84" s="33"/>
    </row>
    <row r="85" spans="2:23">
      <c r="B85" s="3">
        <v>42712</v>
      </c>
      <c r="C85" s="6" t="s">
        <v>91</v>
      </c>
      <c r="D85" s="6" t="s">
        <v>30</v>
      </c>
      <c r="E85" s="5">
        <v>56</v>
      </c>
      <c r="F85" s="5">
        <v>0.39</v>
      </c>
      <c r="G85" s="5">
        <f>StockTransactionsTable[[#This Row],[Shares No.]]*StockTransactionsTable[[#This Row],[Amount per Share]]</f>
        <v>21.84</v>
      </c>
      <c r="H85" s="5">
        <v>0</v>
      </c>
      <c r="I8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21.84</v>
      </c>
      <c r="J85" s="19">
        <f>StockTransactionsTable[[#This Row],[Fee]]/StockTransactionsTable[[#This Row],[Total Amount]]</f>
        <v>0</v>
      </c>
      <c r="K85" s="5">
        <f>IF(StockTransactionsTable[[#This Row],[Transaction Type]]="Buy", StockTransactionsTable[[#This Row],[Total Amount with Fee]] / StockTransactionsTable[[#This Row],[Shares No.]],0)</f>
        <v>0</v>
      </c>
      <c r="L8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5" s="4">
        <f>YEAR(StockTransactionsTable[[#This Row],[Date]])</f>
        <v>2016</v>
      </c>
      <c r="N85" s="4">
        <f>MONTH(StockTransactionsTable[[#This Row],[Date]])</f>
        <v>12</v>
      </c>
      <c r="Q85" s="1"/>
      <c r="R85" s="1"/>
      <c r="V85" s="33"/>
      <c r="W85" s="33"/>
    </row>
    <row r="86" spans="2:23">
      <c r="B86" s="3">
        <v>42713</v>
      </c>
      <c r="C86" s="6" t="s">
        <v>16</v>
      </c>
      <c r="D86" s="6" t="s">
        <v>30</v>
      </c>
      <c r="E86" s="5">
        <v>88</v>
      </c>
      <c r="F86" s="5">
        <v>0.75</v>
      </c>
      <c r="G86" s="5">
        <f>StockTransactionsTable[[#This Row],[Shares No.]]*StockTransactionsTable[[#This Row],[Amount per Share]]</f>
        <v>66</v>
      </c>
      <c r="H86" s="5">
        <v>0</v>
      </c>
      <c r="I8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66</v>
      </c>
      <c r="J86" s="19">
        <f>StockTransactionsTable[[#This Row],[Fee]]/StockTransactionsTable[[#This Row],[Total Amount]]</f>
        <v>0</v>
      </c>
      <c r="K86" s="5">
        <f>IF(StockTransactionsTable[[#This Row],[Transaction Type]]="Buy", StockTransactionsTable[[#This Row],[Total Amount with Fee]] / StockTransactionsTable[[#This Row],[Shares No.]],0)</f>
        <v>0</v>
      </c>
      <c r="L8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6" s="4">
        <f>YEAR(StockTransactionsTable[[#This Row],[Date]])</f>
        <v>2016</v>
      </c>
      <c r="N86" s="4">
        <f>MONTH(StockTransactionsTable[[#This Row],[Date]])</f>
        <v>12</v>
      </c>
      <c r="Q86" s="1"/>
      <c r="R86" s="1"/>
      <c r="V86" s="33"/>
      <c r="W86" s="33"/>
    </row>
    <row r="87" spans="2:23">
      <c r="B87" s="3">
        <v>42714</v>
      </c>
      <c r="C87" s="6" t="s">
        <v>17</v>
      </c>
      <c r="D87" s="6" t="s">
        <v>30</v>
      </c>
      <c r="E87" s="5">
        <v>18</v>
      </c>
      <c r="F87" s="5">
        <v>1.4</v>
      </c>
      <c r="G87" s="5">
        <f>StockTransactionsTable[[#This Row],[Shares No.]]*StockTransactionsTable[[#This Row],[Amount per Share]]</f>
        <v>25.2</v>
      </c>
      <c r="H87" s="5">
        <v>0</v>
      </c>
      <c r="I8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25.2</v>
      </c>
      <c r="J87" s="19">
        <f>StockTransactionsTable[[#This Row],[Fee]]/StockTransactionsTable[[#This Row],[Total Amount]]</f>
        <v>0</v>
      </c>
      <c r="K87" s="5">
        <f>IF(StockTransactionsTable[[#This Row],[Transaction Type]]="Buy", StockTransactionsTable[[#This Row],[Total Amount with Fee]] / StockTransactionsTable[[#This Row],[Shares No.]],0)</f>
        <v>0</v>
      </c>
      <c r="L8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7" s="4">
        <f>YEAR(StockTransactionsTable[[#This Row],[Date]])</f>
        <v>2016</v>
      </c>
      <c r="N87" s="4">
        <f>MONTH(StockTransactionsTable[[#This Row],[Date]])</f>
        <v>12</v>
      </c>
      <c r="Q87" s="1"/>
      <c r="R87" s="1"/>
      <c r="V87" s="33"/>
      <c r="W87" s="33"/>
    </row>
    <row r="88" spans="2:23">
      <c r="B88" s="3">
        <v>42716</v>
      </c>
      <c r="C88" s="6" t="s">
        <v>106</v>
      </c>
      <c r="D88" s="6" t="s">
        <v>30</v>
      </c>
      <c r="E88" s="5">
        <v>35</v>
      </c>
      <c r="F88" s="5">
        <v>0.4</v>
      </c>
      <c r="G88" s="5">
        <f>StockTransactionsTable[[#This Row],[Shares No.]]*StockTransactionsTable[[#This Row],[Amount per Share]]</f>
        <v>14</v>
      </c>
      <c r="H88" s="5">
        <v>0</v>
      </c>
      <c r="I8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v>
      </c>
      <c r="J88" s="19">
        <f>StockTransactionsTable[[#This Row],[Fee]]/StockTransactionsTable[[#This Row],[Total Amount]]</f>
        <v>0</v>
      </c>
      <c r="K88" s="5">
        <f>IF(StockTransactionsTable[[#This Row],[Transaction Type]]="Buy", StockTransactionsTable[[#This Row],[Total Amount with Fee]] / StockTransactionsTable[[#This Row],[Shares No.]],0)</f>
        <v>0</v>
      </c>
      <c r="L8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8" s="4">
        <f>YEAR(StockTransactionsTable[[#This Row],[Date]])</f>
        <v>2016</v>
      </c>
      <c r="N88" s="4">
        <f>MONTH(StockTransactionsTable[[#This Row],[Date]])</f>
        <v>12</v>
      </c>
      <c r="Q88" s="1"/>
      <c r="R88" s="1"/>
      <c r="V88" s="33"/>
      <c r="W88" s="33"/>
    </row>
    <row r="89" spans="2:23">
      <c r="B89" s="3">
        <v>42719</v>
      </c>
      <c r="C89" s="6" t="s">
        <v>95</v>
      </c>
      <c r="D89" s="6" t="s">
        <v>30</v>
      </c>
      <c r="E89" s="5">
        <v>12</v>
      </c>
      <c r="F89" s="5">
        <v>0.69</v>
      </c>
      <c r="G89" s="5">
        <f>StockTransactionsTable[[#This Row],[Shares No.]]*StockTransactionsTable[[#This Row],[Amount per Share]]</f>
        <v>8.2799999999999994</v>
      </c>
      <c r="H89" s="5">
        <v>0</v>
      </c>
      <c r="I8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8.2799999999999994</v>
      </c>
      <c r="J89" s="19">
        <f>StockTransactionsTable[[#This Row],[Fee]]/StockTransactionsTable[[#This Row],[Total Amount]]</f>
        <v>0</v>
      </c>
      <c r="K89" s="5">
        <f>IF(StockTransactionsTable[[#This Row],[Transaction Type]]="Buy", StockTransactionsTable[[#This Row],[Total Amount with Fee]] / StockTransactionsTable[[#This Row],[Shares No.]],0)</f>
        <v>0</v>
      </c>
      <c r="L8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9" s="4">
        <f>YEAR(StockTransactionsTable[[#This Row],[Date]])</f>
        <v>2016</v>
      </c>
      <c r="N89" s="4">
        <f>MONTH(StockTransactionsTable[[#This Row],[Date]])</f>
        <v>12</v>
      </c>
      <c r="Q89" s="1"/>
      <c r="R89" s="1"/>
      <c r="V89" s="33"/>
      <c r="W89" s="33"/>
    </row>
    <row r="90" spans="2:23">
      <c r="B90" s="3">
        <v>42720</v>
      </c>
      <c r="C90" s="6" t="s">
        <v>20</v>
      </c>
      <c r="D90" s="6" t="s">
        <v>29</v>
      </c>
      <c r="E90" s="5">
        <v>9</v>
      </c>
      <c r="F90" s="5" vm="440">
        <v>84.94</v>
      </c>
      <c r="G90" s="5">
        <f>StockTransactionsTable[[#This Row],[Shares No.]]*StockTransactionsTable[[#This Row],[Amount per Share]]</f>
        <v>764.46</v>
      </c>
      <c r="H90" s="5">
        <v>0.37475887990862555</v>
      </c>
      <c r="I9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764.83475887990869</v>
      </c>
      <c r="J90" s="19">
        <f>StockTransactionsTable[[#This Row],[Fee]]/StockTransactionsTable[[#This Row],[Total Amount]]</f>
        <v>4.9022693130919281E-4</v>
      </c>
      <c r="K90" s="5">
        <f>IF(StockTransactionsTable[[#This Row],[Transaction Type]]="Buy", StockTransactionsTable[[#This Row],[Total Amount with Fee]] / StockTransactionsTable[[#This Row],[Shares No.]],0)</f>
        <v>84.981639875545412</v>
      </c>
      <c r="L9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0" s="4">
        <f>YEAR(StockTransactionsTable[[#This Row],[Date]])</f>
        <v>2016</v>
      </c>
      <c r="N90" s="4">
        <f>MONTH(StockTransactionsTable[[#This Row],[Date]])</f>
        <v>12</v>
      </c>
      <c r="Q90" s="1"/>
      <c r="R90" s="1"/>
      <c r="V90" s="33"/>
      <c r="W90" s="33"/>
    </row>
    <row r="91" spans="2:23">
      <c r="B91" s="3">
        <v>42720</v>
      </c>
      <c r="C91" s="6" t="s">
        <v>100</v>
      </c>
      <c r="D91" s="6" t="s">
        <v>30</v>
      </c>
      <c r="E91" s="5">
        <v>33</v>
      </c>
      <c r="F91" s="5">
        <v>0.85499999999999998</v>
      </c>
      <c r="G91" s="5">
        <f>StockTransactionsTable[[#This Row],[Shares No.]]*StockTransactionsTable[[#This Row],[Amount per Share]]</f>
        <v>28.215</v>
      </c>
      <c r="H91" s="5">
        <v>0</v>
      </c>
      <c r="I9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28.215</v>
      </c>
      <c r="J91" s="19">
        <f>StockTransactionsTable[[#This Row],[Fee]]/StockTransactionsTable[[#This Row],[Total Amount]]</f>
        <v>0</v>
      </c>
      <c r="K91" s="5">
        <f>IF(StockTransactionsTable[[#This Row],[Transaction Type]]="Buy", StockTransactionsTable[[#This Row],[Total Amount with Fee]] / StockTransactionsTable[[#This Row],[Shares No.]],0)</f>
        <v>0</v>
      </c>
      <c r="L9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1" s="4">
        <f>YEAR(StockTransactionsTable[[#This Row],[Date]])</f>
        <v>2016</v>
      </c>
      <c r="N91" s="4">
        <f>MONTH(StockTransactionsTable[[#This Row],[Date]])</f>
        <v>12</v>
      </c>
      <c r="Q91" s="1"/>
      <c r="R91" s="1"/>
      <c r="V91" s="33"/>
      <c r="W91" s="33"/>
    </row>
    <row r="92" spans="2:23">
      <c r="B92" s="3">
        <v>42741</v>
      </c>
      <c r="C92" s="6" t="s">
        <v>13</v>
      </c>
      <c r="D92" s="6" t="s">
        <v>29</v>
      </c>
      <c r="E92" s="5">
        <v>14</v>
      </c>
      <c r="F92" s="5" vm="441">
        <v>31.737400000000001</v>
      </c>
      <c r="G92" s="5">
        <f>StockTransactionsTable[[#This Row],[Shares No.]]*StockTransactionsTable[[#This Row],[Amount per Share]]</f>
        <v>444.3236</v>
      </c>
      <c r="H92" s="5">
        <v>0.18436541315737967</v>
      </c>
      <c r="I9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444.50796541315736</v>
      </c>
      <c r="J92" s="19">
        <f>StockTransactionsTable[[#This Row],[Fee]]/StockTransactionsTable[[#This Row],[Total Amount]]</f>
        <v>4.1493500043072139E-4</v>
      </c>
      <c r="K92" s="5">
        <f>IF(StockTransactionsTable[[#This Row],[Transaction Type]]="Buy", StockTransactionsTable[[#This Row],[Total Amount with Fee]] / StockTransactionsTable[[#This Row],[Shares No.]],0)</f>
        <v>31.75056895808267</v>
      </c>
      <c r="L9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2" s="4">
        <f>YEAR(StockTransactionsTable[[#This Row],[Date]])</f>
        <v>2017</v>
      </c>
      <c r="N92" s="4">
        <f>MONTH(StockTransactionsTable[[#This Row],[Date]])</f>
        <v>1</v>
      </c>
      <c r="Q92" s="1"/>
      <c r="R92" s="1"/>
      <c r="V92" s="33"/>
      <c r="W92" s="33"/>
    </row>
    <row r="93" spans="2:23">
      <c r="B93" s="3">
        <v>42766</v>
      </c>
      <c r="C93" s="6" t="s">
        <v>20</v>
      </c>
      <c r="D93" s="6" t="s">
        <v>30</v>
      </c>
      <c r="E93" s="5">
        <v>25</v>
      </c>
      <c r="F93" s="5">
        <v>0.48</v>
      </c>
      <c r="G93" s="5">
        <f>StockTransactionsTable[[#This Row],[Shares No.]]*StockTransactionsTable[[#This Row],[Amount per Share]]</f>
        <v>12</v>
      </c>
      <c r="H93" s="5">
        <v>0</v>
      </c>
      <c r="I9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v>
      </c>
      <c r="J93" s="19">
        <f>StockTransactionsTable[[#This Row],[Fee]]/StockTransactionsTable[[#This Row],[Total Amount]]</f>
        <v>0</v>
      </c>
      <c r="K93" s="5">
        <f>IF(StockTransactionsTable[[#This Row],[Transaction Type]]="Buy", StockTransactionsTable[[#This Row],[Total Amount with Fee]] / StockTransactionsTable[[#This Row],[Shares No.]],0)</f>
        <v>0</v>
      </c>
      <c r="L9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3" s="4">
        <f>YEAR(StockTransactionsTable[[#This Row],[Date]])</f>
        <v>2017</v>
      </c>
      <c r="N93" s="4">
        <f>MONTH(StockTransactionsTable[[#This Row],[Date]])</f>
        <v>1</v>
      </c>
      <c r="Q93" s="1"/>
      <c r="R93" s="1"/>
      <c r="V93" s="33"/>
      <c r="W93" s="33"/>
    </row>
    <row r="94" spans="2:23">
      <c r="B94" s="3">
        <v>42767</v>
      </c>
      <c r="C94" s="6" t="s">
        <v>15</v>
      </c>
      <c r="D94" s="6" t="s">
        <v>30</v>
      </c>
      <c r="E94" s="5">
        <v>96</v>
      </c>
      <c r="F94" s="5">
        <v>0.49</v>
      </c>
      <c r="G94" s="5">
        <f>StockTransactionsTable[[#This Row],[Shares No.]]*StockTransactionsTable[[#This Row],[Amount per Share]]</f>
        <v>47.04</v>
      </c>
      <c r="H94" s="5">
        <v>0</v>
      </c>
      <c r="I9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47.04</v>
      </c>
      <c r="J94" s="19">
        <f>StockTransactionsTable[[#This Row],[Fee]]/StockTransactionsTable[[#This Row],[Total Amount]]</f>
        <v>0</v>
      </c>
      <c r="K94" s="5">
        <f>IF(StockTransactionsTable[[#This Row],[Transaction Type]]="Buy", StockTransactionsTable[[#This Row],[Total Amount with Fee]] / StockTransactionsTable[[#This Row],[Shares No.]],0)</f>
        <v>0</v>
      </c>
      <c r="L9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4" s="4">
        <f>YEAR(StockTransactionsTable[[#This Row],[Date]])</f>
        <v>2017</v>
      </c>
      <c r="N94" s="4">
        <f>MONTH(StockTransactionsTable[[#This Row],[Date]])</f>
        <v>2</v>
      </c>
      <c r="Q94" s="1"/>
      <c r="R94" s="1"/>
      <c r="V94" s="33"/>
      <c r="W94" s="33"/>
    </row>
    <row r="95" spans="2:23">
      <c r="B95" s="3">
        <v>42773</v>
      </c>
      <c r="C95" s="6" t="s">
        <v>16</v>
      </c>
      <c r="D95" s="6" t="s">
        <v>29</v>
      </c>
      <c r="E95" s="5">
        <v>19</v>
      </c>
      <c r="F95" s="5" vm="442">
        <v>82.77</v>
      </c>
      <c r="G95" s="5">
        <f>StockTransactionsTable[[#This Row],[Shares No.]]*StockTransactionsTable[[#This Row],[Amount per Share]]</f>
        <v>1572.6299999999999</v>
      </c>
      <c r="H95" s="5">
        <v>0.66474351858757119</v>
      </c>
      <c r="I9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1573.2947435185874</v>
      </c>
      <c r="J95" s="19">
        <f>StockTransactionsTable[[#This Row],[Fee]]/StockTransactionsTable[[#This Row],[Total Amount]]</f>
        <v>4.2269543286569072E-4</v>
      </c>
      <c r="K95" s="5">
        <f>IF(StockTransactionsTable[[#This Row],[Transaction Type]]="Buy", StockTransactionsTable[[#This Row],[Total Amount with Fee]] / StockTransactionsTable[[#This Row],[Shares No.]],0)</f>
        <v>82.804986500978288</v>
      </c>
      <c r="L9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5" s="4">
        <f>YEAR(StockTransactionsTable[[#This Row],[Date]])</f>
        <v>2017</v>
      </c>
      <c r="N95" s="4">
        <f>MONTH(StockTransactionsTable[[#This Row],[Date]])</f>
        <v>2</v>
      </c>
      <c r="Q95" s="1"/>
      <c r="R95" s="1"/>
      <c r="V95" s="33"/>
      <c r="W95" s="33"/>
    </row>
    <row r="96" spans="2:23">
      <c r="B96" s="3">
        <v>42781</v>
      </c>
      <c r="C96" s="6" t="s">
        <v>86</v>
      </c>
      <c r="D96" s="6" t="s">
        <v>30</v>
      </c>
      <c r="E96" s="5">
        <v>23</v>
      </c>
      <c r="F96" s="5">
        <v>0.64</v>
      </c>
      <c r="G96" s="5">
        <f>StockTransactionsTable[[#This Row],[Shares No.]]*StockTransactionsTable[[#This Row],[Amount per Share]]</f>
        <v>14.72</v>
      </c>
      <c r="H96" s="5">
        <v>0</v>
      </c>
      <c r="I9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14.72</v>
      </c>
      <c r="J96" s="19">
        <f>StockTransactionsTable[[#This Row],[Fee]]/StockTransactionsTable[[#This Row],[Total Amount]]</f>
        <v>0</v>
      </c>
      <c r="K96" s="5">
        <f>IF(StockTransactionsTable[[#This Row],[Transaction Type]]="Buy", StockTransactionsTable[[#This Row],[Total Amount with Fee]] / StockTransactionsTable[[#This Row],[Shares No.]],0)</f>
        <v>0</v>
      </c>
      <c r="L9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6" s="4">
        <f>YEAR(StockTransactionsTable[[#This Row],[Date]])</f>
        <v>2017</v>
      </c>
      <c r="N96" s="4">
        <f>MONTH(StockTransactionsTable[[#This Row],[Date]])</f>
        <v>2</v>
      </c>
      <c r="Q96" s="1"/>
      <c r="R96" s="1"/>
      <c r="V96" s="33"/>
      <c r="W96" s="33"/>
    </row>
    <row r="97" spans="2:23">
      <c r="B97" s="3">
        <v>42784</v>
      </c>
      <c r="C97" s="6" t="s">
        <v>22</v>
      </c>
      <c r="D97" s="6" t="s">
        <v>30</v>
      </c>
      <c r="E97" s="5">
        <v>61</v>
      </c>
      <c r="F97" s="5">
        <v>0.77</v>
      </c>
      <c r="G97" s="5">
        <f>StockTransactionsTable[[#This Row],[Shares No.]]*StockTransactionsTable[[#This Row],[Amount per Share]]</f>
        <v>46.97</v>
      </c>
      <c r="H97" s="5">
        <v>0</v>
      </c>
      <c r="I9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46.97</v>
      </c>
      <c r="J97" s="19">
        <f>StockTransactionsTable[[#This Row],[Fee]]/StockTransactionsTable[[#This Row],[Total Amount]]</f>
        <v>0</v>
      </c>
      <c r="K97" s="5">
        <f>IF(StockTransactionsTable[[#This Row],[Transaction Type]]="Buy", StockTransactionsTable[[#This Row],[Total Amount with Fee]] / StockTransactionsTable[[#This Row],[Shares No.]],0)</f>
        <v>0</v>
      </c>
      <c r="L9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7" s="4">
        <f>YEAR(StockTransactionsTable[[#This Row],[Date]])</f>
        <v>2017</v>
      </c>
      <c r="N97" s="4">
        <f>MONTH(StockTransactionsTable[[#This Row],[Date]])</f>
        <v>2</v>
      </c>
      <c r="Q97" s="1"/>
      <c r="R97" s="1"/>
      <c r="V97" s="33"/>
      <c r="W97" s="33"/>
    </row>
    <row r="98" spans="2:23">
      <c r="B98" s="3">
        <v>42795</v>
      </c>
      <c r="C98" s="6" t="s">
        <v>13</v>
      </c>
      <c r="D98" s="6" t="s">
        <v>30</v>
      </c>
      <c r="E98" s="5">
        <v>25</v>
      </c>
      <c r="F98" s="5">
        <v>0.32</v>
      </c>
      <c r="G98" s="5">
        <f>StockTransactionsTable[[#This Row],[Shares No.]]*StockTransactionsTable[[#This Row],[Amount per Share]]</f>
        <v>8</v>
      </c>
      <c r="H98" s="5">
        <v>0</v>
      </c>
      <c r="I9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v>
      </c>
      <c r="J98" s="19">
        <f>StockTransactionsTable[[#This Row],[Fee]]/StockTransactionsTable[[#This Row],[Total Amount]]</f>
        <v>0</v>
      </c>
      <c r="K98" s="5">
        <f>IF(StockTransactionsTable[[#This Row],[Transaction Type]]="Buy", StockTransactionsTable[[#This Row],[Total Amount with Fee]] / StockTransactionsTable[[#This Row],[Shares No.]],0)</f>
        <v>0</v>
      </c>
      <c r="L9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8" s="4">
        <f>YEAR(StockTransactionsTable[[#This Row],[Date]])</f>
        <v>2017</v>
      </c>
      <c r="N98" s="4">
        <f>MONTH(StockTransactionsTable[[#This Row],[Date]])</f>
        <v>3</v>
      </c>
      <c r="Q98" s="1"/>
      <c r="R98" s="1"/>
      <c r="V98" s="33"/>
      <c r="W98" s="33"/>
    </row>
    <row r="99" spans="2:23">
      <c r="B99" s="3">
        <v>42803</v>
      </c>
      <c r="C99" s="6" t="s">
        <v>91</v>
      </c>
      <c r="D99" s="6" t="s">
        <v>30</v>
      </c>
      <c r="E99" s="5">
        <v>56</v>
      </c>
      <c r="F99" s="5">
        <v>0.39</v>
      </c>
      <c r="G99" s="5">
        <f>StockTransactionsTable[[#This Row],[Shares No.]]*StockTransactionsTable[[#This Row],[Amount per Share]]</f>
        <v>21.84</v>
      </c>
      <c r="H99" s="5">
        <v>0</v>
      </c>
      <c r="I9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21.84</v>
      </c>
      <c r="J99" s="19">
        <f>StockTransactionsTable[[#This Row],[Fee]]/StockTransactionsTable[[#This Row],[Total Amount]]</f>
        <v>0</v>
      </c>
      <c r="K99" s="5">
        <f>IF(StockTransactionsTable[[#This Row],[Transaction Type]]="Buy", StockTransactionsTable[[#This Row],[Total Amount with Fee]] / StockTransactionsTable[[#This Row],[Shares No.]],0)</f>
        <v>0</v>
      </c>
      <c r="L9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9" s="4">
        <f>YEAR(StockTransactionsTable[[#This Row],[Date]])</f>
        <v>2017</v>
      </c>
      <c r="N99" s="4">
        <f>MONTH(StockTransactionsTable[[#This Row],[Date]])</f>
        <v>3</v>
      </c>
      <c r="Q99" s="1"/>
      <c r="R99" s="1"/>
      <c r="V99" s="33"/>
      <c r="W99" s="33"/>
    </row>
    <row r="100" spans="2:23">
      <c r="B100" s="3">
        <v>42804</v>
      </c>
      <c r="C100" s="6" t="s">
        <v>17</v>
      </c>
      <c r="D100" s="6" t="s">
        <v>30</v>
      </c>
      <c r="E100" s="5">
        <v>18</v>
      </c>
      <c r="F100" s="5">
        <v>1.4</v>
      </c>
      <c r="G100" s="5">
        <f>StockTransactionsTable[[#This Row],[Shares No.]]*StockTransactionsTable[[#This Row],[Amount per Share]]</f>
        <v>25.2</v>
      </c>
      <c r="H100" s="5">
        <v>0</v>
      </c>
      <c r="I10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25.2</v>
      </c>
      <c r="J100" s="19">
        <f>StockTransactionsTable[[#This Row],[Fee]]/StockTransactionsTable[[#This Row],[Total Amount]]</f>
        <v>0</v>
      </c>
      <c r="K100" s="5">
        <f>IF(StockTransactionsTable[[#This Row],[Transaction Type]]="Buy", StockTransactionsTable[[#This Row],[Total Amount with Fee]] / StockTransactionsTable[[#This Row],[Shares No.]],0)</f>
        <v>0</v>
      </c>
      <c r="L10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00" s="4">
        <f>YEAR(StockTransactionsTable[[#This Row],[Date]])</f>
        <v>2017</v>
      </c>
      <c r="N100" s="4">
        <f>MONTH(StockTransactionsTable[[#This Row],[Date]])</f>
        <v>3</v>
      </c>
      <c r="Q100" s="1"/>
      <c r="R100" s="1"/>
      <c r="V100" s="33"/>
      <c r="W100" s="33"/>
    </row>
    <row r="101" spans="2:23">
      <c r="B101" s="3">
        <v>42804</v>
      </c>
      <c r="C101" s="6" t="s">
        <v>106</v>
      </c>
      <c r="D101" s="6" t="s">
        <v>30</v>
      </c>
      <c r="E101" s="5">
        <v>35</v>
      </c>
      <c r="F101" s="5">
        <v>0.4</v>
      </c>
      <c r="G101" s="5">
        <f>StockTransactionsTable[[#This Row],[Shares No.]]*StockTransactionsTable[[#This Row],[Amount per Share]]</f>
        <v>14</v>
      </c>
      <c r="H101" s="5">
        <v>0</v>
      </c>
      <c r="I10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v>
      </c>
      <c r="J101" s="19">
        <f>StockTransactionsTable[[#This Row],[Fee]]/StockTransactionsTable[[#This Row],[Total Amount]]</f>
        <v>0</v>
      </c>
      <c r="K101" s="5">
        <f>IF(StockTransactionsTable[[#This Row],[Transaction Type]]="Buy", StockTransactionsTable[[#This Row],[Total Amount with Fee]] / StockTransactionsTable[[#This Row],[Shares No.]],0)</f>
        <v>0</v>
      </c>
      <c r="L10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01" s="4">
        <f>YEAR(StockTransactionsTable[[#This Row],[Date]])</f>
        <v>2017</v>
      </c>
      <c r="N101" s="4">
        <f>MONTH(StockTransactionsTable[[#This Row],[Date]])</f>
        <v>3</v>
      </c>
      <c r="Q101" s="1"/>
      <c r="R101" s="1"/>
      <c r="V101" s="33"/>
      <c r="W101" s="33"/>
    </row>
    <row r="102" spans="2:23">
      <c r="B102" s="3">
        <v>42804</v>
      </c>
      <c r="C102" s="6" t="s">
        <v>16</v>
      </c>
      <c r="D102" s="6" t="s">
        <v>30</v>
      </c>
      <c r="E102" s="5">
        <v>107</v>
      </c>
      <c r="F102" s="5">
        <v>0.75</v>
      </c>
      <c r="G102" s="5">
        <f>StockTransactionsTable[[#This Row],[Shares No.]]*StockTransactionsTable[[#This Row],[Amount per Share]]</f>
        <v>80.25</v>
      </c>
      <c r="H102" s="5">
        <v>0</v>
      </c>
      <c r="I10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80.25</v>
      </c>
      <c r="J102" s="19">
        <f>StockTransactionsTable[[#This Row],[Fee]]/StockTransactionsTable[[#This Row],[Total Amount]]</f>
        <v>0</v>
      </c>
      <c r="K102" s="5">
        <f>IF(StockTransactionsTable[[#This Row],[Transaction Type]]="Buy", StockTransactionsTable[[#This Row],[Total Amount with Fee]] / StockTransactionsTable[[#This Row],[Shares No.]],0)</f>
        <v>0</v>
      </c>
      <c r="L10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02" s="4">
        <f>YEAR(StockTransactionsTable[[#This Row],[Date]])</f>
        <v>2017</v>
      </c>
      <c r="N102" s="4">
        <f>MONTH(StockTransactionsTable[[#This Row],[Date]])</f>
        <v>3</v>
      </c>
      <c r="Q102" s="1"/>
      <c r="R102" s="1"/>
      <c r="V102" s="33"/>
      <c r="W102" s="33"/>
    </row>
    <row r="103" spans="2:23">
      <c r="B103" s="3">
        <v>42808</v>
      </c>
      <c r="C103" s="6" t="s">
        <v>84</v>
      </c>
      <c r="D103" s="6" t="s">
        <v>30</v>
      </c>
      <c r="E103" s="5">
        <v>51</v>
      </c>
      <c r="F103" s="5">
        <v>0.8</v>
      </c>
      <c r="G103" s="5">
        <f>StockTransactionsTable[[#This Row],[Shares No.]]*StockTransactionsTable[[#This Row],[Amount per Share]]</f>
        <v>40.800000000000004</v>
      </c>
      <c r="H103" s="5">
        <v>0</v>
      </c>
      <c r="I10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40.800000000000004</v>
      </c>
      <c r="J103" s="19">
        <f>StockTransactionsTable[[#This Row],[Fee]]/StockTransactionsTable[[#This Row],[Total Amount]]</f>
        <v>0</v>
      </c>
      <c r="K103" s="5">
        <f>IF(StockTransactionsTable[[#This Row],[Transaction Type]]="Buy", StockTransactionsTable[[#This Row],[Total Amount with Fee]] / StockTransactionsTable[[#This Row],[Shares No.]],0)</f>
        <v>0</v>
      </c>
      <c r="L10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03" s="4">
        <f>YEAR(StockTransactionsTable[[#This Row],[Date]])</f>
        <v>2017</v>
      </c>
      <c r="N103" s="4">
        <f>MONTH(StockTransactionsTable[[#This Row],[Date]])</f>
        <v>3</v>
      </c>
      <c r="Q103" s="1"/>
      <c r="R103" s="1"/>
      <c r="V103" s="33"/>
      <c r="W103" s="33"/>
    </row>
    <row r="104" spans="2:23">
      <c r="B104" s="3">
        <v>42810</v>
      </c>
      <c r="C104" s="6" t="s">
        <v>100</v>
      </c>
      <c r="D104" s="6" t="s">
        <v>30</v>
      </c>
      <c r="E104" s="5">
        <v>33</v>
      </c>
      <c r="F104" s="5">
        <v>0.85499999999999998</v>
      </c>
      <c r="G104" s="5">
        <f>StockTransactionsTable[[#This Row],[Shares No.]]*StockTransactionsTable[[#This Row],[Amount per Share]]</f>
        <v>28.215</v>
      </c>
      <c r="H104" s="5">
        <v>0</v>
      </c>
      <c r="I10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28.215</v>
      </c>
      <c r="J104" s="19">
        <f>StockTransactionsTable[[#This Row],[Fee]]/StockTransactionsTable[[#This Row],[Total Amount]]</f>
        <v>0</v>
      </c>
      <c r="K104" s="5">
        <f>IF(StockTransactionsTable[[#This Row],[Transaction Type]]="Buy", StockTransactionsTable[[#This Row],[Total Amount with Fee]] / StockTransactionsTable[[#This Row],[Shares No.]],0)</f>
        <v>0</v>
      </c>
      <c r="L10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04" s="4">
        <f>YEAR(StockTransactionsTable[[#This Row],[Date]])</f>
        <v>2017</v>
      </c>
      <c r="N104" s="4">
        <f>MONTH(StockTransactionsTable[[#This Row],[Date]])</f>
        <v>3</v>
      </c>
      <c r="Q104" s="1"/>
      <c r="R104" s="1"/>
      <c r="V104" s="33"/>
      <c r="W104" s="33"/>
    </row>
    <row r="105" spans="2:23">
      <c r="B105" s="3">
        <v>42814</v>
      </c>
      <c r="C105" s="6" t="s">
        <v>91</v>
      </c>
      <c r="D105" s="6" t="s">
        <v>29</v>
      </c>
      <c r="E105" s="5">
        <v>23</v>
      </c>
      <c r="F105" s="5" vm="443">
        <v>64.930000000000007</v>
      </c>
      <c r="G105" s="5">
        <f>StockTransactionsTable[[#This Row],[Shares No.]]*StockTransactionsTable[[#This Row],[Amount per Share]]</f>
        <v>1493.39</v>
      </c>
      <c r="H105" s="5">
        <v>0.65797271900451715</v>
      </c>
      <c r="I10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1494.0479727190045</v>
      </c>
      <c r="J105" s="19">
        <f>StockTransactionsTable[[#This Row],[Fee]]/StockTransactionsTable[[#This Row],[Total Amount]]</f>
        <v>4.4059001265879451E-4</v>
      </c>
      <c r="K105" s="5">
        <f>IF(StockTransactionsTable[[#This Row],[Transaction Type]]="Buy", StockTransactionsTable[[#This Row],[Total Amount with Fee]] / StockTransactionsTable[[#This Row],[Shares No.]],0)</f>
        <v>64.95860750952194</v>
      </c>
      <c r="L10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05" s="4">
        <f>YEAR(StockTransactionsTable[[#This Row],[Date]])</f>
        <v>2017</v>
      </c>
      <c r="N105" s="4">
        <f>MONTH(StockTransactionsTable[[#This Row],[Date]])</f>
        <v>3</v>
      </c>
      <c r="Q105" s="1"/>
      <c r="R105" s="1"/>
      <c r="V105" s="33"/>
      <c r="W105" s="33"/>
    </row>
    <row r="106" spans="2:23">
      <c r="B106" s="3">
        <v>42817</v>
      </c>
      <c r="C106" s="6" t="s">
        <v>95</v>
      </c>
      <c r="D106" s="6" t="s">
        <v>30</v>
      </c>
      <c r="E106" s="5">
        <v>12</v>
      </c>
      <c r="F106" s="5">
        <v>0.89</v>
      </c>
      <c r="G106" s="5">
        <f>StockTransactionsTable[[#This Row],[Shares No.]]*StockTransactionsTable[[#This Row],[Amount per Share]]</f>
        <v>10.68</v>
      </c>
      <c r="H106" s="5">
        <v>0</v>
      </c>
      <c r="I10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10.68</v>
      </c>
      <c r="J106" s="19">
        <f>StockTransactionsTable[[#This Row],[Fee]]/StockTransactionsTable[[#This Row],[Total Amount]]</f>
        <v>0</v>
      </c>
      <c r="K106" s="5">
        <f>IF(StockTransactionsTable[[#This Row],[Transaction Type]]="Buy", StockTransactionsTable[[#This Row],[Total Amount with Fee]] / StockTransactionsTable[[#This Row],[Shares No.]],0)</f>
        <v>0</v>
      </c>
      <c r="L10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06" s="4">
        <f>YEAR(StockTransactionsTable[[#This Row],[Date]])</f>
        <v>2017</v>
      </c>
      <c r="N106" s="4">
        <f>MONTH(StockTransactionsTable[[#This Row],[Date]])</f>
        <v>3</v>
      </c>
      <c r="Q106" s="1"/>
      <c r="R106" s="1"/>
      <c r="V106" s="33"/>
      <c r="W106" s="33"/>
    </row>
    <row r="107" spans="2:23">
      <c r="B107" s="3">
        <v>42855</v>
      </c>
      <c r="C107" s="6" t="s">
        <v>20</v>
      </c>
      <c r="D107" s="6" t="s">
        <v>30</v>
      </c>
      <c r="E107" s="5">
        <v>25</v>
      </c>
      <c r="F107" s="5">
        <v>0.5</v>
      </c>
      <c r="G107" s="5">
        <f>StockTransactionsTable[[#This Row],[Shares No.]]*StockTransactionsTable[[#This Row],[Amount per Share]]</f>
        <v>12.5</v>
      </c>
      <c r="H107" s="5">
        <v>0</v>
      </c>
      <c r="I10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12.5</v>
      </c>
      <c r="J107" s="19">
        <f>StockTransactionsTable[[#This Row],[Fee]]/StockTransactionsTable[[#This Row],[Total Amount]]</f>
        <v>0</v>
      </c>
      <c r="K107" s="5">
        <f>IF(StockTransactionsTable[[#This Row],[Transaction Type]]="Buy", StockTransactionsTable[[#This Row],[Total Amount with Fee]] / StockTransactionsTable[[#This Row],[Shares No.]],0)</f>
        <v>0</v>
      </c>
      <c r="L10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07" s="4">
        <f>YEAR(StockTransactionsTable[[#This Row],[Date]])</f>
        <v>2017</v>
      </c>
      <c r="N107" s="4">
        <f>MONTH(StockTransactionsTable[[#This Row],[Date]])</f>
        <v>4</v>
      </c>
      <c r="Q107" s="1"/>
      <c r="R107" s="1"/>
      <c r="V107" s="33"/>
      <c r="W107" s="33"/>
    </row>
    <row r="108" spans="2:23">
      <c r="B108" s="3">
        <v>42856</v>
      </c>
      <c r="C108" s="6" t="s">
        <v>15</v>
      </c>
      <c r="D108" s="6" t="s">
        <v>30</v>
      </c>
      <c r="E108" s="5">
        <v>96</v>
      </c>
      <c r="F108" s="5">
        <v>0.49</v>
      </c>
      <c r="G108" s="5">
        <f>StockTransactionsTable[[#This Row],[Shares No.]]*StockTransactionsTable[[#This Row],[Amount per Share]]</f>
        <v>47.04</v>
      </c>
      <c r="H108" s="5">
        <v>0</v>
      </c>
      <c r="I10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47.04</v>
      </c>
      <c r="J108" s="19">
        <f>StockTransactionsTable[[#This Row],[Fee]]/StockTransactionsTable[[#This Row],[Total Amount]]</f>
        <v>0</v>
      </c>
      <c r="K108" s="5">
        <f>IF(StockTransactionsTable[[#This Row],[Transaction Type]]="Buy", StockTransactionsTable[[#This Row],[Total Amount with Fee]] / StockTransactionsTable[[#This Row],[Shares No.]],0)</f>
        <v>0</v>
      </c>
      <c r="L10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08" s="4">
        <f>YEAR(StockTransactionsTable[[#This Row],[Date]])</f>
        <v>2017</v>
      </c>
      <c r="N108" s="4">
        <f>MONTH(StockTransactionsTable[[#This Row],[Date]])</f>
        <v>5</v>
      </c>
      <c r="Q108" s="1"/>
      <c r="R108" s="1"/>
      <c r="V108" s="33"/>
      <c r="W108" s="33"/>
    </row>
    <row r="109" spans="2:23">
      <c r="B109" s="3">
        <v>42858</v>
      </c>
      <c r="C109" s="6" t="s">
        <v>98</v>
      </c>
      <c r="D109" s="6" t="s">
        <v>29</v>
      </c>
      <c r="E109" s="5">
        <v>9</v>
      </c>
      <c r="F109" s="5" vm="444">
        <v>33.340000000000003</v>
      </c>
      <c r="G109" s="5">
        <f>StockTransactionsTable[[#This Row],[Shares No.]]*StockTransactionsTable[[#This Row],[Amount per Share]]</f>
        <v>300.06000000000006</v>
      </c>
      <c r="H109" s="5">
        <v>0.13997526510900962</v>
      </c>
      <c r="I10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300.19997526510906</v>
      </c>
      <c r="J109" s="19">
        <f>StockTransactionsTable[[#This Row],[Fee]]/StockTransactionsTable[[#This Row],[Total Amount]]</f>
        <v>4.6649091884626271E-4</v>
      </c>
      <c r="K109" s="5">
        <f>IF(StockTransactionsTable[[#This Row],[Transaction Type]]="Buy", StockTransactionsTable[[#This Row],[Total Amount with Fee]] / StockTransactionsTable[[#This Row],[Shares No.]],0)</f>
        <v>33.355552807234339</v>
      </c>
      <c r="L10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09" s="4">
        <f>YEAR(StockTransactionsTable[[#This Row],[Date]])</f>
        <v>2017</v>
      </c>
      <c r="N109" s="4">
        <f>MONTH(StockTransactionsTable[[#This Row],[Date]])</f>
        <v>5</v>
      </c>
      <c r="Q109" s="1"/>
      <c r="R109" s="1"/>
      <c r="V109" s="33"/>
      <c r="W109" s="33"/>
    </row>
    <row r="110" spans="2:23">
      <c r="B110" s="3">
        <v>42870</v>
      </c>
      <c r="C110" s="6" t="s">
        <v>86</v>
      </c>
      <c r="D110" s="6" t="s">
        <v>30</v>
      </c>
      <c r="E110" s="5">
        <v>23</v>
      </c>
      <c r="F110" s="5">
        <v>0.64</v>
      </c>
      <c r="G110" s="5">
        <f>StockTransactionsTable[[#This Row],[Shares No.]]*StockTransactionsTable[[#This Row],[Amount per Share]]</f>
        <v>14.72</v>
      </c>
      <c r="H110" s="5">
        <v>0</v>
      </c>
      <c r="I11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14.72</v>
      </c>
      <c r="J110" s="19">
        <f>StockTransactionsTable[[#This Row],[Fee]]/StockTransactionsTable[[#This Row],[Total Amount]]</f>
        <v>0</v>
      </c>
      <c r="K110" s="5">
        <f>IF(StockTransactionsTable[[#This Row],[Transaction Type]]="Buy", StockTransactionsTable[[#This Row],[Total Amount with Fee]] / StockTransactionsTable[[#This Row],[Shares No.]],0)</f>
        <v>0</v>
      </c>
      <c r="L11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10" s="4">
        <f>YEAR(StockTransactionsTable[[#This Row],[Date]])</f>
        <v>2017</v>
      </c>
      <c r="N110" s="4">
        <f>MONTH(StockTransactionsTable[[#This Row],[Date]])</f>
        <v>5</v>
      </c>
      <c r="Q110" s="1"/>
      <c r="R110" s="1"/>
      <c r="V110" s="33"/>
      <c r="W110" s="33"/>
    </row>
    <row r="111" spans="2:23">
      <c r="B111" s="3">
        <v>42875</v>
      </c>
      <c r="C111" s="6" t="s">
        <v>22</v>
      </c>
      <c r="D111" s="6" t="s">
        <v>30</v>
      </c>
      <c r="E111" s="5">
        <v>61</v>
      </c>
      <c r="F111" s="5">
        <v>0.77</v>
      </c>
      <c r="G111" s="5">
        <f>StockTransactionsTable[[#This Row],[Shares No.]]*StockTransactionsTable[[#This Row],[Amount per Share]]</f>
        <v>46.97</v>
      </c>
      <c r="H111" s="5">
        <v>0</v>
      </c>
      <c r="I11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46.97</v>
      </c>
      <c r="J111" s="19">
        <f>StockTransactionsTable[[#This Row],[Fee]]/StockTransactionsTable[[#This Row],[Total Amount]]</f>
        <v>0</v>
      </c>
      <c r="K111" s="5">
        <f>IF(StockTransactionsTable[[#This Row],[Transaction Type]]="Buy", StockTransactionsTable[[#This Row],[Total Amount with Fee]] / StockTransactionsTable[[#This Row],[Shares No.]],0)</f>
        <v>0</v>
      </c>
      <c r="L11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11" s="4">
        <f>YEAR(StockTransactionsTable[[#This Row],[Date]])</f>
        <v>2017</v>
      </c>
      <c r="N111" s="4">
        <f>MONTH(StockTransactionsTable[[#This Row],[Date]])</f>
        <v>5</v>
      </c>
      <c r="Q111" s="1"/>
      <c r="R111" s="1"/>
      <c r="V111" s="33"/>
      <c r="W111" s="33"/>
    </row>
    <row r="112" spans="2:23">
      <c r="B112" s="3">
        <v>42879</v>
      </c>
      <c r="C112" s="6" t="s">
        <v>95</v>
      </c>
      <c r="D112" s="6" t="s">
        <v>29</v>
      </c>
      <c r="E112" s="5">
        <v>31</v>
      </c>
      <c r="F112" s="5" vm="445">
        <v>155</v>
      </c>
      <c r="G112" s="5">
        <f>StockTransactionsTable[[#This Row],[Shares No.]]*StockTransactionsTable[[#This Row],[Amount per Share]]</f>
        <v>4805</v>
      </c>
      <c r="H112" s="5">
        <v>1.9294473579955134</v>
      </c>
      <c r="I11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4806.9294473579957</v>
      </c>
      <c r="J112" s="19">
        <f>StockTransactionsTable[[#This Row],[Fee]]/StockTransactionsTable[[#This Row],[Total Amount]]</f>
        <v>4.0154991841738052E-4</v>
      </c>
      <c r="K112" s="5">
        <f>IF(StockTransactionsTable[[#This Row],[Transaction Type]]="Buy", StockTransactionsTable[[#This Row],[Total Amount with Fee]] / StockTransactionsTable[[#This Row],[Shares No.]],0)</f>
        <v>155.0622402373547</v>
      </c>
      <c r="L11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12" s="4">
        <f>YEAR(StockTransactionsTable[[#This Row],[Date]])</f>
        <v>2017</v>
      </c>
      <c r="N112" s="4">
        <f>MONTH(StockTransactionsTable[[#This Row],[Date]])</f>
        <v>5</v>
      </c>
      <c r="Q112" s="1"/>
      <c r="R112" s="1"/>
      <c r="V112" s="33"/>
      <c r="W112" s="33"/>
    </row>
    <row r="113" spans="2:23">
      <c r="B113" s="3">
        <v>42887</v>
      </c>
      <c r="C113" s="6" t="s">
        <v>13</v>
      </c>
      <c r="D113" s="6" t="s">
        <v>30</v>
      </c>
      <c r="E113" s="5">
        <v>25</v>
      </c>
      <c r="F113" s="5">
        <v>0.32</v>
      </c>
      <c r="G113" s="5">
        <f>StockTransactionsTable[[#This Row],[Shares No.]]*StockTransactionsTable[[#This Row],[Amount per Share]]</f>
        <v>8</v>
      </c>
      <c r="H113" s="5">
        <v>0</v>
      </c>
      <c r="I11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v>
      </c>
      <c r="J113" s="19">
        <f>StockTransactionsTable[[#This Row],[Fee]]/StockTransactionsTable[[#This Row],[Total Amount]]</f>
        <v>0</v>
      </c>
      <c r="K113" s="5">
        <f>IF(StockTransactionsTable[[#This Row],[Transaction Type]]="Buy", StockTransactionsTable[[#This Row],[Total Amount with Fee]] / StockTransactionsTable[[#This Row],[Shares No.]],0)</f>
        <v>0</v>
      </c>
      <c r="L11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13" s="4">
        <f>YEAR(StockTransactionsTable[[#This Row],[Date]])</f>
        <v>2017</v>
      </c>
      <c r="N113" s="4">
        <f>MONTH(StockTransactionsTable[[#This Row],[Date]])</f>
        <v>6</v>
      </c>
      <c r="Q113" s="1"/>
      <c r="R113" s="1"/>
      <c r="V113" s="33"/>
      <c r="W113" s="33"/>
    </row>
    <row r="114" spans="2:23">
      <c r="B114" s="3">
        <v>42894</v>
      </c>
      <c r="C114" s="6" t="s">
        <v>91</v>
      </c>
      <c r="D114" s="6" t="s">
        <v>30</v>
      </c>
      <c r="E114" s="5">
        <v>79</v>
      </c>
      <c r="F114" s="5">
        <v>0.39</v>
      </c>
      <c r="G114" s="5">
        <f>StockTransactionsTable[[#This Row],[Shares No.]]*StockTransactionsTable[[#This Row],[Amount per Share]]</f>
        <v>30.810000000000002</v>
      </c>
      <c r="H114" s="5">
        <v>0</v>
      </c>
      <c r="I11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30.810000000000002</v>
      </c>
      <c r="J114" s="19">
        <f>StockTransactionsTable[[#This Row],[Fee]]/StockTransactionsTable[[#This Row],[Total Amount]]</f>
        <v>0</v>
      </c>
      <c r="K114" s="5">
        <f>IF(StockTransactionsTable[[#This Row],[Transaction Type]]="Buy", StockTransactionsTable[[#This Row],[Total Amount with Fee]] / StockTransactionsTable[[#This Row],[Shares No.]],0)</f>
        <v>0</v>
      </c>
      <c r="L11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14" s="4">
        <f>YEAR(StockTransactionsTable[[#This Row],[Date]])</f>
        <v>2017</v>
      </c>
      <c r="N114" s="4">
        <f>MONTH(StockTransactionsTable[[#This Row],[Date]])</f>
        <v>6</v>
      </c>
      <c r="Q114" s="1"/>
      <c r="R114" s="1"/>
      <c r="V114" s="33"/>
      <c r="W114" s="33"/>
    </row>
    <row r="115" spans="2:23">
      <c r="B115" s="3">
        <v>42895</v>
      </c>
      <c r="C115" s="6" t="s">
        <v>16</v>
      </c>
      <c r="D115" s="6" t="s">
        <v>30</v>
      </c>
      <c r="E115" s="5">
        <v>107</v>
      </c>
      <c r="F115" s="5">
        <v>0.77</v>
      </c>
      <c r="G115" s="5">
        <f>StockTransactionsTable[[#This Row],[Shares No.]]*StockTransactionsTable[[#This Row],[Amount per Share]]</f>
        <v>82.39</v>
      </c>
      <c r="H115" s="5">
        <v>0</v>
      </c>
      <c r="I11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82.39</v>
      </c>
      <c r="J115" s="19">
        <f>StockTransactionsTable[[#This Row],[Fee]]/StockTransactionsTable[[#This Row],[Total Amount]]</f>
        <v>0</v>
      </c>
      <c r="K115" s="5">
        <f>IF(StockTransactionsTable[[#This Row],[Transaction Type]]="Buy", StockTransactionsTable[[#This Row],[Total Amount with Fee]] / StockTransactionsTable[[#This Row],[Shares No.]],0)</f>
        <v>0</v>
      </c>
      <c r="L11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15" s="4">
        <f>YEAR(StockTransactionsTable[[#This Row],[Date]])</f>
        <v>2017</v>
      </c>
      <c r="N115" s="4">
        <f>MONTH(StockTransactionsTable[[#This Row],[Date]])</f>
        <v>6</v>
      </c>
      <c r="Q115" s="1"/>
      <c r="R115" s="1"/>
      <c r="V115" s="33"/>
      <c r="W115" s="33"/>
    </row>
    <row r="116" spans="2:23">
      <c r="B116" s="3">
        <v>42896</v>
      </c>
      <c r="C116" s="6" t="s">
        <v>17</v>
      </c>
      <c r="D116" s="6" t="s">
        <v>30</v>
      </c>
      <c r="E116" s="5">
        <v>18</v>
      </c>
      <c r="F116" s="5">
        <v>1.5</v>
      </c>
      <c r="G116" s="5">
        <f>StockTransactionsTable[[#This Row],[Shares No.]]*StockTransactionsTable[[#This Row],[Amount per Share]]</f>
        <v>27</v>
      </c>
      <c r="H116" s="5">
        <v>0</v>
      </c>
      <c r="I11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27</v>
      </c>
      <c r="J116" s="19">
        <f>StockTransactionsTable[[#This Row],[Fee]]/StockTransactionsTable[[#This Row],[Total Amount]]</f>
        <v>0</v>
      </c>
      <c r="K116" s="5">
        <f>IF(StockTransactionsTable[[#This Row],[Transaction Type]]="Buy", StockTransactionsTable[[#This Row],[Total Amount with Fee]] / StockTransactionsTable[[#This Row],[Shares No.]],0)</f>
        <v>0</v>
      </c>
      <c r="L11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16" s="4">
        <f>YEAR(StockTransactionsTable[[#This Row],[Date]])</f>
        <v>2017</v>
      </c>
      <c r="N116" s="4">
        <f>MONTH(StockTransactionsTable[[#This Row],[Date]])</f>
        <v>6</v>
      </c>
      <c r="Q116" s="1"/>
      <c r="R116" s="1"/>
      <c r="V116" s="33"/>
      <c r="W116" s="33"/>
    </row>
    <row r="117" spans="2:23">
      <c r="B117" s="3">
        <v>42898</v>
      </c>
      <c r="C117" s="6" t="s">
        <v>106</v>
      </c>
      <c r="D117" s="6" t="s">
        <v>30</v>
      </c>
      <c r="E117" s="5">
        <v>35</v>
      </c>
      <c r="F117" s="5">
        <v>0.4</v>
      </c>
      <c r="G117" s="5">
        <f>StockTransactionsTable[[#This Row],[Shares No.]]*StockTransactionsTable[[#This Row],[Amount per Share]]</f>
        <v>14</v>
      </c>
      <c r="H117" s="5">
        <v>0</v>
      </c>
      <c r="I11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v>
      </c>
      <c r="J117" s="19">
        <f>StockTransactionsTable[[#This Row],[Fee]]/StockTransactionsTable[[#This Row],[Total Amount]]</f>
        <v>0</v>
      </c>
      <c r="K117" s="5">
        <f>IF(StockTransactionsTable[[#This Row],[Transaction Type]]="Buy", StockTransactionsTable[[#This Row],[Total Amount with Fee]] / StockTransactionsTable[[#This Row],[Shares No.]],0)</f>
        <v>0</v>
      </c>
      <c r="L11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17" s="4">
        <f>YEAR(StockTransactionsTable[[#This Row],[Date]])</f>
        <v>2017</v>
      </c>
      <c r="N117" s="4">
        <f>MONTH(StockTransactionsTable[[#This Row],[Date]])</f>
        <v>6</v>
      </c>
      <c r="Q117" s="1"/>
      <c r="R117" s="1"/>
      <c r="V117" s="33"/>
      <c r="W117" s="33"/>
    </row>
    <row r="118" spans="2:23">
      <c r="B118" s="3">
        <v>42899</v>
      </c>
      <c r="C118" s="6" t="s">
        <v>84</v>
      </c>
      <c r="D118" s="6" t="s">
        <v>30</v>
      </c>
      <c r="E118" s="5">
        <v>51</v>
      </c>
      <c r="F118" s="5">
        <v>0.84</v>
      </c>
      <c r="G118" s="5">
        <f>StockTransactionsTable[[#This Row],[Shares No.]]*StockTransactionsTable[[#This Row],[Amount per Share]]</f>
        <v>42.839999999999996</v>
      </c>
      <c r="H118" s="5">
        <v>0</v>
      </c>
      <c r="I11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42.839999999999996</v>
      </c>
      <c r="J118" s="19">
        <f>StockTransactionsTable[[#This Row],[Fee]]/StockTransactionsTable[[#This Row],[Total Amount]]</f>
        <v>0</v>
      </c>
      <c r="K118" s="5">
        <f>IF(StockTransactionsTable[[#This Row],[Transaction Type]]="Buy", StockTransactionsTable[[#This Row],[Total Amount with Fee]] / StockTransactionsTable[[#This Row],[Shares No.]],0)</f>
        <v>0</v>
      </c>
      <c r="L11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18" s="4">
        <f>YEAR(StockTransactionsTable[[#This Row],[Date]])</f>
        <v>2017</v>
      </c>
      <c r="N118" s="4">
        <f>MONTH(StockTransactionsTable[[#This Row],[Date]])</f>
        <v>6</v>
      </c>
      <c r="Q118" s="1"/>
      <c r="R118" s="1"/>
      <c r="V118" s="33"/>
      <c r="W118" s="33"/>
    </row>
    <row r="119" spans="2:23">
      <c r="B119" s="3">
        <v>42901</v>
      </c>
      <c r="C119" s="6" t="s">
        <v>95</v>
      </c>
      <c r="D119" s="6" t="s">
        <v>30</v>
      </c>
      <c r="E119" s="5">
        <v>43</v>
      </c>
      <c r="F119" s="5">
        <v>0.89</v>
      </c>
      <c r="G119" s="5">
        <f>StockTransactionsTable[[#This Row],[Shares No.]]*StockTransactionsTable[[#This Row],[Amount per Share]]</f>
        <v>38.270000000000003</v>
      </c>
      <c r="H119" s="5">
        <v>0</v>
      </c>
      <c r="I11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38.270000000000003</v>
      </c>
      <c r="J119" s="19">
        <f>StockTransactionsTable[[#This Row],[Fee]]/StockTransactionsTable[[#This Row],[Total Amount]]</f>
        <v>0</v>
      </c>
      <c r="K119" s="5">
        <f>IF(StockTransactionsTable[[#This Row],[Transaction Type]]="Buy", StockTransactionsTable[[#This Row],[Total Amount with Fee]] / StockTransactionsTable[[#This Row],[Shares No.]],0)</f>
        <v>0</v>
      </c>
      <c r="L11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19" s="4">
        <f>YEAR(StockTransactionsTable[[#This Row],[Date]])</f>
        <v>2017</v>
      </c>
      <c r="N119" s="4">
        <f>MONTH(StockTransactionsTable[[#This Row],[Date]])</f>
        <v>6</v>
      </c>
      <c r="Q119" s="1"/>
      <c r="R119" s="1"/>
      <c r="V119" s="33"/>
      <c r="W119" s="33"/>
    </row>
    <row r="120" spans="2:23">
      <c r="B120" s="3">
        <v>42901</v>
      </c>
      <c r="C120" s="6" t="s">
        <v>98</v>
      </c>
      <c r="D120" s="6" t="s">
        <v>30</v>
      </c>
      <c r="E120" s="5">
        <v>9</v>
      </c>
      <c r="F120" s="5">
        <v>0.98250000000000004</v>
      </c>
      <c r="G120" s="5">
        <f>StockTransactionsTable[[#This Row],[Shares No.]]*StockTransactionsTable[[#This Row],[Amount per Share]]</f>
        <v>8.8425000000000011</v>
      </c>
      <c r="H120" s="5">
        <v>0</v>
      </c>
      <c r="I12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8.8425000000000011</v>
      </c>
      <c r="J120" s="19">
        <f>StockTransactionsTable[[#This Row],[Fee]]/StockTransactionsTable[[#This Row],[Total Amount]]</f>
        <v>0</v>
      </c>
      <c r="K120" s="5">
        <f>IF(StockTransactionsTable[[#This Row],[Transaction Type]]="Buy", StockTransactionsTable[[#This Row],[Total Amount with Fee]] / StockTransactionsTable[[#This Row],[Shares No.]],0)</f>
        <v>0</v>
      </c>
      <c r="L12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20" s="4">
        <f>YEAR(StockTransactionsTable[[#This Row],[Date]])</f>
        <v>2017</v>
      </c>
      <c r="N120" s="4">
        <f>MONTH(StockTransactionsTable[[#This Row],[Date]])</f>
        <v>6</v>
      </c>
      <c r="Q120" s="1"/>
      <c r="R120" s="1"/>
      <c r="V120" s="33"/>
      <c r="W120" s="33"/>
    </row>
    <row r="121" spans="2:23">
      <c r="B121" s="3">
        <v>42902</v>
      </c>
      <c r="C121" s="6" t="s">
        <v>100</v>
      </c>
      <c r="D121" s="6" t="s">
        <v>30</v>
      </c>
      <c r="E121" s="5">
        <v>33</v>
      </c>
      <c r="F121" s="5">
        <v>0.85499999999999998</v>
      </c>
      <c r="G121" s="5">
        <f>StockTransactionsTable[[#This Row],[Shares No.]]*StockTransactionsTable[[#This Row],[Amount per Share]]</f>
        <v>28.215</v>
      </c>
      <c r="H121" s="5">
        <v>0</v>
      </c>
      <c r="I12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28.215</v>
      </c>
      <c r="J121" s="19">
        <f>StockTransactionsTable[[#This Row],[Fee]]/StockTransactionsTable[[#This Row],[Total Amount]]</f>
        <v>0</v>
      </c>
      <c r="K121" s="5">
        <f>IF(StockTransactionsTable[[#This Row],[Transaction Type]]="Buy", StockTransactionsTable[[#This Row],[Total Amount with Fee]] / StockTransactionsTable[[#This Row],[Shares No.]],0)</f>
        <v>0</v>
      </c>
      <c r="L12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21" s="4">
        <f>YEAR(StockTransactionsTable[[#This Row],[Date]])</f>
        <v>2017</v>
      </c>
      <c r="N121" s="4">
        <f>MONTH(StockTransactionsTable[[#This Row],[Date]])</f>
        <v>6</v>
      </c>
      <c r="Q121" s="1"/>
      <c r="R121" s="1"/>
      <c r="V121" s="33"/>
      <c r="W121" s="33"/>
    </row>
    <row r="122" spans="2:23">
      <c r="B122" s="3">
        <v>42905</v>
      </c>
      <c r="C122" s="6" t="s">
        <v>86</v>
      </c>
      <c r="D122" s="6" t="s">
        <v>29</v>
      </c>
      <c r="E122" s="5">
        <v>8</v>
      </c>
      <c r="F122" s="5" vm="446">
        <v>71.34</v>
      </c>
      <c r="G122" s="5">
        <f>StockTransactionsTable[[#This Row],[Shares No.]]*StockTransactionsTable[[#This Row],[Amount per Share]]</f>
        <v>570.72</v>
      </c>
      <c r="H122" s="5">
        <v>0.24660631130226557</v>
      </c>
      <c r="I12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570.96660631130226</v>
      </c>
      <c r="J122" s="19">
        <f>StockTransactionsTable[[#This Row],[Fee]]/StockTransactionsTable[[#This Row],[Total Amount]]</f>
        <v>4.3209684486659929E-4</v>
      </c>
      <c r="K122" s="5">
        <f>IF(StockTransactionsTable[[#This Row],[Transaction Type]]="Buy", StockTransactionsTable[[#This Row],[Total Amount with Fee]] / StockTransactionsTable[[#This Row],[Shares No.]],0)</f>
        <v>71.370825788912782</v>
      </c>
      <c r="L12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22" s="4">
        <f>YEAR(StockTransactionsTable[[#This Row],[Date]])</f>
        <v>2017</v>
      </c>
      <c r="N122" s="4">
        <f>MONTH(StockTransactionsTable[[#This Row],[Date]])</f>
        <v>6</v>
      </c>
      <c r="Q122" s="1"/>
      <c r="R122" s="1"/>
      <c r="V122" s="33"/>
      <c r="W122" s="33"/>
    </row>
    <row r="123" spans="2:23">
      <c r="B123" s="3">
        <v>42935</v>
      </c>
      <c r="C123" s="6" t="s">
        <v>12</v>
      </c>
      <c r="D123" s="6" t="s">
        <v>29</v>
      </c>
      <c r="E123" s="5">
        <v>6</v>
      </c>
      <c r="F123" s="5" vm="447">
        <v>57.16</v>
      </c>
      <c r="G123" s="5">
        <f>StockTransactionsTable[[#This Row],[Shares No.]]*StockTransactionsTable[[#This Row],[Amount per Share]]</f>
        <v>342.96</v>
      </c>
      <c r="H123" s="5">
        <v>0.1709101553802094</v>
      </c>
      <c r="I12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343.13091015538021</v>
      </c>
      <c r="J123" s="19">
        <f>StockTransactionsTable[[#This Row],[Fee]]/StockTransactionsTable[[#This Row],[Total Amount]]</f>
        <v>4.9833845165678041E-4</v>
      </c>
      <c r="K123" s="5">
        <f>IF(StockTransactionsTable[[#This Row],[Transaction Type]]="Buy", StockTransactionsTable[[#This Row],[Total Amount with Fee]] / StockTransactionsTable[[#This Row],[Shares No.]],0)</f>
        <v>57.188485025896703</v>
      </c>
      <c r="L12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23" s="4">
        <f>YEAR(StockTransactionsTable[[#This Row],[Date]])</f>
        <v>2017</v>
      </c>
      <c r="N123" s="4">
        <f>MONTH(StockTransactionsTable[[#This Row],[Date]])</f>
        <v>7</v>
      </c>
      <c r="Q123" s="1"/>
      <c r="R123" s="1"/>
      <c r="V123" s="33"/>
      <c r="W123" s="33"/>
    </row>
    <row r="124" spans="2:23">
      <c r="B124" s="3">
        <v>42947</v>
      </c>
      <c r="C124" s="6" t="s">
        <v>20</v>
      </c>
      <c r="D124" s="6" t="s">
        <v>30</v>
      </c>
      <c r="E124" s="5">
        <v>25</v>
      </c>
      <c r="F124" s="5">
        <v>0.5</v>
      </c>
      <c r="G124" s="5">
        <f>StockTransactionsTable[[#This Row],[Shares No.]]*StockTransactionsTable[[#This Row],[Amount per Share]]</f>
        <v>12.5</v>
      </c>
      <c r="H124" s="5">
        <v>0</v>
      </c>
      <c r="I12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12.5</v>
      </c>
      <c r="J124" s="19">
        <f>StockTransactionsTable[[#This Row],[Fee]]/StockTransactionsTable[[#This Row],[Total Amount]]</f>
        <v>0</v>
      </c>
      <c r="K124" s="5">
        <f>IF(StockTransactionsTable[[#This Row],[Transaction Type]]="Buy", StockTransactionsTable[[#This Row],[Total Amount with Fee]] / StockTransactionsTable[[#This Row],[Shares No.]],0)</f>
        <v>0</v>
      </c>
      <c r="L12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24" s="4">
        <f>YEAR(StockTransactionsTable[[#This Row],[Date]])</f>
        <v>2017</v>
      </c>
      <c r="N124" s="4">
        <f>MONTH(StockTransactionsTable[[#This Row],[Date]])</f>
        <v>7</v>
      </c>
      <c r="Q124" s="1"/>
      <c r="R124" s="1"/>
      <c r="V124" s="33"/>
      <c r="W124" s="33"/>
    </row>
    <row r="125" spans="2:23">
      <c r="B125" s="3">
        <v>42948</v>
      </c>
      <c r="C125" s="6" t="s">
        <v>15</v>
      </c>
      <c r="D125" s="6" t="s">
        <v>30</v>
      </c>
      <c r="E125" s="5">
        <v>96</v>
      </c>
      <c r="F125" s="5">
        <v>0.49</v>
      </c>
      <c r="G125" s="5">
        <f>StockTransactionsTable[[#This Row],[Shares No.]]*StockTransactionsTable[[#This Row],[Amount per Share]]</f>
        <v>47.04</v>
      </c>
      <c r="H125" s="5">
        <v>0</v>
      </c>
      <c r="I12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47.04</v>
      </c>
      <c r="J125" s="19">
        <f>StockTransactionsTable[[#This Row],[Fee]]/StockTransactionsTable[[#This Row],[Total Amount]]</f>
        <v>0</v>
      </c>
      <c r="K125" s="5">
        <f>IF(StockTransactionsTable[[#This Row],[Transaction Type]]="Buy", StockTransactionsTable[[#This Row],[Total Amount with Fee]] / StockTransactionsTable[[#This Row],[Shares No.]],0)</f>
        <v>0</v>
      </c>
      <c r="L12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25" s="4">
        <f>YEAR(StockTransactionsTable[[#This Row],[Date]])</f>
        <v>2017</v>
      </c>
      <c r="N125" s="4">
        <f>MONTH(StockTransactionsTable[[#This Row],[Date]])</f>
        <v>8</v>
      </c>
      <c r="Q125" s="1"/>
      <c r="R125" s="1"/>
      <c r="V125" s="33"/>
      <c r="W125" s="33"/>
    </row>
    <row r="126" spans="2:23">
      <c r="B126" s="3">
        <v>42962</v>
      </c>
      <c r="C126" s="6" t="s">
        <v>86</v>
      </c>
      <c r="D126" s="6" t="s">
        <v>30</v>
      </c>
      <c r="E126" s="5">
        <v>31</v>
      </c>
      <c r="F126" s="5">
        <v>0.64</v>
      </c>
      <c r="G126" s="5">
        <f>StockTransactionsTable[[#This Row],[Shares No.]]*StockTransactionsTable[[#This Row],[Amount per Share]]</f>
        <v>19.84</v>
      </c>
      <c r="H126" s="5">
        <v>0</v>
      </c>
      <c r="I12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19.84</v>
      </c>
      <c r="J126" s="19">
        <f>StockTransactionsTable[[#This Row],[Fee]]/StockTransactionsTable[[#This Row],[Total Amount]]</f>
        <v>0</v>
      </c>
      <c r="K126" s="5">
        <f>IF(StockTransactionsTable[[#This Row],[Transaction Type]]="Buy", StockTransactionsTable[[#This Row],[Total Amount with Fee]] / StockTransactionsTable[[#This Row],[Shares No.]],0)</f>
        <v>0</v>
      </c>
      <c r="L12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26" s="4">
        <f>YEAR(StockTransactionsTable[[#This Row],[Date]])</f>
        <v>2017</v>
      </c>
      <c r="N126" s="4">
        <f>MONTH(StockTransactionsTable[[#This Row],[Date]])</f>
        <v>8</v>
      </c>
      <c r="Q126" s="1"/>
      <c r="R126" s="1"/>
      <c r="V126" s="33"/>
      <c r="W126" s="33"/>
    </row>
    <row r="127" spans="2:23">
      <c r="B127" s="3">
        <v>42962</v>
      </c>
      <c r="C127" s="6" t="s">
        <v>12</v>
      </c>
      <c r="D127" s="6" t="s">
        <v>30</v>
      </c>
      <c r="E127" s="5">
        <v>6</v>
      </c>
      <c r="F127" s="5">
        <v>0.21149999999999999</v>
      </c>
      <c r="G127" s="5">
        <f>StockTransactionsTable[[#This Row],[Shares No.]]*StockTransactionsTable[[#This Row],[Amount per Share]]</f>
        <v>1.2689999999999999</v>
      </c>
      <c r="H127" s="5">
        <v>0</v>
      </c>
      <c r="I12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1.2689999999999999</v>
      </c>
      <c r="J127" s="19">
        <f>StockTransactionsTable[[#This Row],[Fee]]/StockTransactionsTable[[#This Row],[Total Amount]]</f>
        <v>0</v>
      </c>
      <c r="K127" s="5">
        <f>IF(StockTransactionsTable[[#This Row],[Transaction Type]]="Buy", StockTransactionsTable[[#This Row],[Total Amount with Fee]] / StockTransactionsTable[[#This Row],[Shares No.]],0)</f>
        <v>0</v>
      </c>
      <c r="L12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27" s="4">
        <f>YEAR(StockTransactionsTable[[#This Row],[Date]])</f>
        <v>2017</v>
      </c>
      <c r="N127" s="4">
        <f>MONTH(StockTransactionsTable[[#This Row],[Date]])</f>
        <v>8</v>
      </c>
      <c r="Q127" s="1"/>
      <c r="R127" s="1"/>
      <c r="V127" s="33"/>
      <c r="W127" s="33"/>
    </row>
    <row r="128" spans="2:23">
      <c r="B128" s="3">
        <v>42965</v>
      </c>
      <c r="C128" s="6" t="s">
        <v>98</v>
      </c>
      <c r="D128" s="6" t="s">
        <v>29</v>
      </c>
      <c r="E128" s="5">
        <v>8</v>
      </c>
      <c r="F128" s="5" vm="448">
        <v>37.482500000000002</v>
      </c>
      <c r="G128" s="5">
        <f>StockTransactionsTable[[#This Row],[Shares No.]]*StockTransactionsTable[[#This Row],[Amount per Share]]</f>
        <v>299.86</v>
      </c>
      <c r="H128" s="5">
        <v>0.12354142541408791</v>
      </c>
      <c r="I12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299.9835414254141</v>
      </c>
      <c r="J128" s="19">
        <f>StockTransactionsTable[[#This Row],[Fee]]/StockTransactionsTable[[#This Row],[Total Amount]]</f>
        <v>4.1199701665473189E-4</v>
      </c>
      <c r="K128" s="5">
        <f>IF(StockTransactionsTable[[#This Row],[Transaction Type]]="Buy", StockTransactionsTable[[#This Row],[Total Amount with Fee]] / StockTransactionsTable[[#This Row],[Shares No.]],0)</f>
        <v>37.497942678176763</v>
      </c>
      <c r="L12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28" s="4">
        <f>YEAR(StockTransactionsTable[[#This Row],[Date]])</f>
        <v>2017</v>
      </c>
      <c r="N128" s="4">
        <f>MONTH(StockTransactionsTable[[#This Row],[Date]])</f>
        <v>8</v>
      </c>
      <c r="Q128" s="1"/>
      <c r="R128" s="1"/>
      <c r="V128" s="33"/>
      <c r="W128" s="33"/>
    </row>
    <row r="129" spans="2:23">
      <c r="B129" s="3">
        <v>42966</v>
      </c>
      <c r="C129" s="6" t="s">
        <v>22</v>
      </c>
      <c r="D129" s="6" t="s">
        <v>30</v>
      </c>
      <c r="E129" s="5">
        <v>61</v>
      </c>
      <c r="F129" s="5">
        <v>0.78</v>
      </c>
      <c r="G129" s="5">
        <f>StockTransactionsTable[[#This Row],[Shares No.]]*StockTransactionsTable[[#This Row],[Amount per Share]]</f>
        <v>47.58</v>
      </c>
      <c r="H129" s="5">
        <v>0</v>
      </c>
      <c r="I12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47.58</v>
      </c>
      <c r="J129" s="19">
        <f>StockTransactionsTable[[#This Row],[Fee]]/StockTransactionsTable[[#This Row],[Total Amount]]</f>
        <v>0</v>
      </c>
      <c r="K129" s="5">
        <f>IF(StockTransactionsTable[[#This Row],[Transaction Type]]="Buy", StockTransactionsTable[[#This Row],[Total Amount with Fee]] / StockTransactionsTable[[#This Row],[Shares No.]],0)</f>
        <v>0</v>
      </c>
      <c r="L12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29" s="4">
        <f>YEAR(StockTransactionsTable[[#This Row],[Date]])</f>
        <v>2017</v>
      </c>
      <c r="N129" s="4">
        <f>MONTH(StockTransactionsTable[[#This Row],[Date]])</f>
        <v>8</v>
      </c>
      <c r="Q129" s="1"/>
      <c r="R129" s="1"/>
      <c r="V129" s="33"/>
      <c r="W129" s="33"/>
    </row>
    <row r="130" spans="2:23">
      <c r="B130" s="3">
        <v>42979</v>
      </c>
      <c r="C130" s="6" t="s">
        <v>13</v>
      </c>
      <c r="D130" s="6" t="s">
        <v>30</v>
      </c>
      <c r="E130" s="5">
        <v>25</v>
      </c>
      <c r="F130" s="5">
        <v>0.32</v>
      </c>
      <c r="G130" s="5">
        <f>StockTransactionsTable[[#This Row],[Shares No.]]*StockTransactionsTable[[#This Row],[Amount per Share]]</f>
        <v>8</v>
      </c>
      <c r="H130" s="5">
        <v>0</v>
      </c>
      <c r="I13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v>
      </c>
      <c r="J130" s="19">
        <f>StockTransactionsTable[[#This Row],[Fee]]/StockTransactionsTable[[#This Row],[Total Amount]]</f>
        <v>0</v>
      </c>
      <c r="K130" s="5">
        <f>IF(StockTransactionsTable[[#This Row],[Transaction Type]]="Buy", StockTransactionsTable[[#This Row],[Total Amount with Fee]] / StockTransactionsTable[[#This Row],[Shares No.]],0)</f>
        <v>0</v>
      </c>
      <c r="L13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30" s="4">
        <f>YEAR(StockTransactionsTable[[#This Row],[Date]])</f>
        <v>2017</v>
      </c>
      <c r="N130" s="4">
        <f>MONTH(StockTransactionsTable[[#This Row],[Date]])</f>
        <v>9</v>
      </c>
      <c r="Q130" s="1"/>
      <c r="R130" s="1"/>
      <c r="V130" s="33"/>
      <c r="W130" s="33"/>
    </row>
    <row r="131" spans="2:23">
      <c r="B131" s="3">
        <v>42987</v>
      </c>
      <c r="C131" s="6" t="s">
        <v>17</v>
      </c>
      <c r="D131" s="6" t="s">
        <v>30</v>
      </c>
      <c r="E131" s="5">
        <v>18</v>
      </c>
      <c r="F131" s="5">
        <v>1.5</v>
      </c>
      <c r="G131" s="5">
        <f>StockTransactionsTable[[#This Row],[Shares No.]]*StockTransactionsTable[[#This Row],[Amount per Share]]</f>
        <v>27</v>
      </c>
      <c r="H131" s="5">
        <v>0</v>
      </c>
      <c r="I13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27</v>
      </c>
      <c r="J131" s="19">
        <f>StockTransactionsTable[[#This Row],[Fee]]/StockTransactionsTable[[#This Row],[Total Amount]]</f>
        <v>0</v>
      </c>
      <c r="K131" s="5">
        <f>IF(StockTransactionsTable[[#This Row],[Transaction Type]]="Buy", StockTransactionsTable[[#This Row],[Total Amount with Fee]] / StockTransactionsTable[[#This Row],[Shares No.]],0)</f>
        <v>0</v>
      </c>
      <c r="L13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31" s="4">
        <f>YEAR(StockTransactionsTable[[#This Row],[Date]])</f>
        <v>2017</v>
      </c>
      <c r="N131" s="4">
        <f>MONTH(StockTransactionsTable[[#This Row],[Date]])</f>
        <v>9</v>
      </c>
      <c r="Q131" s="1"/>
      <c r="R131" s="1"/>
      <c r="V131" s="33"/>
      <c r="W131" s="33"/>
    </row>
    <row r="132" spans="2:23">
      <c r="B132" s="3">
        <v>42989</v>
      </c>
      <c r="C132" s="6" t="s">
        <v>16</v>
      </c>
      <c r="D132" s="6" t="s">
        <v>30</v>
      </c>
      <c r="E132" s="5">
        <v>107</v>
      </c>
      <c r="F132" s="5">
        <v>0.77</v>
      </c>
      <c r="G132" s="5">
        <f>StockTransactionsTable[[#This Row],[Shares No.]]*StockTransactionsTable[[#This Row],[Amount per Share]]</f>
        <v>82.39</v>
      </c>
      <c r="H132" s="5">
        <v>0</v>
      </c>
      <c r="I13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82.39</v>
      </c>
      <c r="J132" s="19">
        <f>StockTransactionsTable[[#This Row],[Fee]]/StockTransactionsTable[[#This Row],[Total Amount]]</f>
        <v>0</v>
      </c>
      <c r="K132" s="5">
        <f>IF(StockTransactionsTable[[#This Row],[Transaction Type]]="Buy", StockTransactionsTable[[#This Row],[Total Amount with Fee]] / StockTransactionsTable[[#This Row],[Shares No.]],0)</f>
        <v>0</v>
      </c>
      <c r="L13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32" s="4">
        <f>YEAR(StockTransactionsTable[[#This Row],[Date]])</f>
        <v>2017</v>
      </c>
      <c r="N132" s="4">
        <f>MONTH(StockTransactionsTable[[#This Row],[Date]])</f>
        <v>9</v>
      </c>
      <c r="Q132" s="1"/>
      <c r="R132" s="1"/>
      <c r="V132" s="33"/>
      <c r="W132" s="33"/>
    </row>
    <row r="133" spans="2:23">
      <c r="B133" s="3">
        <v>42990</v>
      </c>
      <c r="C133" s="6" t="s">
        <v>84</v>
      </c>
      <c r="D133" s="6" t="s">
        <v>30</v>
      </c>
      <c r="E133" s="5">
        <v>51</v>
      </c>
      <c r="F133" s="5">
        <v>0.84</v>
      </c>
      <c r="G133" s="5">
        <f>StockTransactionsTable[[#This Row],[Shares No.]]*StockTransactionsTable[[#This Row],[Amount per Share]]</f>
        <v>42.839999999999996</v>
      </c>
      <c r="H133" s="5">
        <v>0</v>
      </c>
      <c r="I13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42.839999999999996</v>
      </c>
      <c r="J133" s="19">
        <f>StockTransactionsTable[[#This Row],[Fee]]/StockTransactionsTable[[#This Row],[Total Amount]]</f>
        <v>0</v>
      </c>
      <c r="K133" s="5">
        <f>IF(StockTransactionsTable[[#This Row],[Transaction Type]]="Buy", StockTransactionsTable[[#This Row],[Total Amount with Fee]] / StockTransactionsTable[[#This Row],[Shares No.]],0)</f>
        <v>0</v>
      </c>
      <c r="L13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33" s="4">
        <f>YEAR(StockTransactionsTable[[#This Row],[Date]])</f>
        <v>2017</v>
      </c>
      <c r="N133" s="4">
        <f>MONTH(StockTransactionsTable[[#This Row],[Date]])</f>
        <v>9</v>
      </c>
      <c r="Q133" s="1"/>
      <c r="R133" s="1"/>
      <c r="V133" s="33"/>
      <c r="W133" s="33"/>
    </row>
    <row r="134" spans="2:23">
      <c r="B134" s="3">
        <v>42990</v>
      </c>
      <c r="C134" s="6" t="s">
        <v>106</v>
      </c>
      <c r="D134" s="6" t="s">
        <v>30</v>
      </c>
      <c r="E134" s="5">
        <v>35</v>
      </c>
      <c r="F134" s="5">
        <v>0.45</v>
      </c>
      <c r="G134" s="5">
        <f>StockTransactionsTable[[#This Row],[Shares No.]]*StockTransactionsTable[[#This Row],[Amount per Share]]</f>
        <v>15.75</v>
      </c>
      <c r="H134" s="5">
        <v>0</v>
      </c>
      <c r="I13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15.75</v>
      </c>
      <c r="J134" s="19">
        <f>StockTransactionsTable[[#This Row],[Fee]]/StockTransactionsTable[[#This Row],[Total Amount]]</f>
        <v>0</v>
      </c>
      <c r="K134" s="5">
        <f>IF(StockTransactionsTable[[#This Row],[Transaction Type]]="Buy", StockTransactionsTable[[#This Row],[Total Amount with Fee]] / StockTransactionsTable[[#This Row],[Shares No.]],0)</f>
        <v>0</v>
      </c>
      <c r="L13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34" s="4">
        <f>YEAR(StockTransactionsTable[[#This Row],[Date]])</f>
        <v>2017</v>
      </c>
      <c r="N134" s="4">
        <f>MONTH(StockTransactionsTable[[#This Row],[Date]])</f>
        <v>9</v>
      </c>
      <c r="P134" s="1"/>
      <c r="Q134" s="1"/>
      <c r="R134" s="1"/>
      <c r="V134" s="33"/>
      <c r="W134" s="33"/>
    </row>
    <row r="135" spans="2:23">
      <c r="B135" s="3">
        <v>42992</v>
      </c>
      <c r="C135" s="6" t="s">
        <v>95</v>
      </c>
      <c r="D135" s="6" t="s">
        <v>30</v>
      </c>
      <c r="E135" s="5">
        <v>43</v>
      </c>
      <c r="F135" s="5">
        <v>0.89</v>
      </c>
      <c r="G135" s="5">
        <f>StockTransactionsTable[[#This Row],[Shares No.]]*StockTransactionsTable[[#This Row],[Amount per Share]]</f>
        <v>38.270000000000003</v>
      </c>
      <c r="H135" s="5">
        <v>0</v>
      </c>
      <c r="I13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38.270000000000003</v>
      </c>
      <c r="J135" s="19">
        <f>StockTransactionsTable[[#This Row],[Fee]]/StockTransactionsTable[[#This Row],[Total Amount]]</f>
        <v>0</v>
      </c>
      <c r="K135" s="5">
        <f>IF(StockTransactionsTable[[#This Row],[Transaction Type]]="Buy", StockTransactionsTable[[#This Row],[Total Amount with Fee]] / StockTransactionsTable[[#This Row],[Shares No.]],0)</f>
        <v>0</v>
      </c>
      <c r="L13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35" s="4">
        <f>YEAR(StockTransactionsTable[[#This Row],[Date]])</f>
        <v>2017</v>
      </c>
      <c r="N135" s="4">
        <f>MONTH(StockTransactionsTable[[#This Row],[Date]])</f>
        <v>9</v>
      </c>
      <c r="P135" s="1"/>
      <c r="Q135" s="1"/>
      <c r="R135" s="1"/>
      <c r="V135" s="33"/>
      <c r="W135" s="33"/>
    </row>
    <row r="136" spans="2:23">
      <c r="B136" s="3">
        <v>42992</v>
      </c>
      <c r="C136" s="6" t="s">
        <v>91</v>
      </c>
      <c r="D136" s="6" t="s">
        <v>30</v>
      </c>
      <c r="E136" s="5">
        <v>79</v>
      </c>
      <c r="F136" s="5">
        <v>0.39</v>
      </c>
      <c r="G136" s="5">
        <f>StockTransactionsTable[[#This Row],[Shares No.]]*StockTransactionsTable[[#This Row],[Amount per Share]]</f>
        <v>30.810000000000002</v>
      </c>
      <c r="H136" s="5">
        <v>0</v>
      </c>
      <c r="I13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30.810000000000002</v>
      </c>
      <c r="J136" s="19">
        <f>StockTransactionsTable[[#This Row],[Fee]]/StockTransactionsTable[[#This Row],[Total Amount]]</f>
        <v>0</v>
      </c>
      <c r="K136" s="5">
        <f>IF(StockTransactionsTable[[#This Row],[Transaction Type]]="Buy", StockTransactionsTable[[#This Row],[Total Amount with Fee]] / StockTransactionsTable[[#This Row],[Shares No.]],0)</f>
        <v>0</v>
      </c>
      <c r="L13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36" s="4">
        <f>YEAR(StockTransactionsTable[[#This Row],[Date]])</f>
        <v>2017</v>
      </c>
      <c r="N136" s="4">
        <f>MONTH(StockTransactionsTable[[#This Row],[Date]])</f>
        <v>9</v>
      </c>
      <c r="P136" s="1"/>
      <c r="Q136" s="1"/>
      <c r="R136" s="1"/>
      <c r="V136" s="33"/>
      <c r="W136" s="33"/>
    </row>
    <row r="137" spans="2:23">
      <c r="B137" s="3">
        <v>42993</v>
      </c>
      <c r="C137" s="6" t="s">
        <v>98</v>
      </c>
      <c r="D137" s="6" t="s">
        <v>30</v>
      </c>
      <c r="E137" s="5">
        <v>17</v>
      </c>
      <c r="F137" s="5">
        <v>0.98250000000000004</v>
      </c>
      <c r="G137" s="5">
        <f>StockTransactionsTable[[#This Row],[Shares No.]]*StockTransactionsTable[[#This Row],[Amount per Share]]</f>
        <v>16.702500000000001</v>
      </c>
      <c r="H137" s="5">
        <v>0</v>
      </c>
      <c r="I13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16.702500000000001</v>
      </c>
      <c r="J137" s="19">
        <f>StockTransactionsTable[[#This Row],[Fee]]/StockTransactionsTable[[#This Row],[Total Amount]]</f>
        <v>0</v>
      </c>
      <c r="K137" s="5">
        <f>IF(StockTransactionsTable[[#This Row],[Transaction Type]]="Buy", StockTransactionsTable[[#This Row],[Total Amount with Fee]] / StockTransactionsTable[[#This Row],[Shares No.]],0)</f>
        <v>0</v>
      </c>
      <c r="L13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37" s="4">
        <f>YEAR(StockTransactionsTable[[#This Row],[Date]])</f>
        <v>2017</v>
      </c>
      <c r="N137" s="4">
        <f>MONTH(StockTransactionsTable[[#This Row],[Date]])</f>
        <v>9</v>
      </c>
      <c r="P137" s="1"/>
      <c r="Q137" s="1"/>
      <c r="R137" s="1"/>
      <c r="V137" s="33"/>
      <c r="W137" s="33"/>
    </row>
    <row r="138" spans="2:23">
      <c r="B138" s="3">
        <v>42993</v>
      </c>
      <c r="C138" s="6" t="s">
        <v>12</v>
      </c>
      <c r="D138" s="6" t="s">
        <v>30</v>
      </c>
      <c r="E138" s="5">
        <v>6</v>
      </c>
      <c r="F138" s="5">
        <v>0.21149999999999999</v>
      </c>
      <c r="G138" s="5">
        <f>StockTransactionsTable[[#This Row],[Shares No.]]*StockTransactionsTable[[#This Row],[Amount per Share]]</f>
        <v>1.2689999999999999</v>
      </c>
      <c r="H138" s="5">
        <v>0</v>
      </c>
      <c r="I13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1.2689999999999999</v>
      </c>
      <c r="J138" s="19">
        <f>StockTransactionsTable[[#This Row],[Fee]]/StockTransactionsTable[[#This Row],[Total Amount]]</f>
        <v>0</v>
      </c>
      <c r="K138" s="5">
        <f>IF(StockTransactionsTable[[#This Row],[Transaction Type]]="Buy", StockTransactionsTable[[#This Row],[Total Amount with Fee]] / StockTransactionsTable[[#This Row],[Shares No.]],0)</f>
        <v>0</v>
      </c>
      <c r="L13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38" s="4">
        <f>YEAR(StockTransactionsTable[[#This Row],[Date]])</f>
        <v>2017</v>
      </c>
      <c r="N138" s="4">
        <f>MONTH(StockTransactionsTable[[#This Row],[Date]])</f>
        <v>9</v>
      </c>
      <c r="P138" s="1"/>
      <c r="Q138" s="1"/>
      <c r="R138" s="1"/>
      <c r="V138" s="33"/>
      <c r="W138" s="33"/>
    </row>
    <row r="139" spans="2:23">
      <c r="B139" s="3">
        <v>42996</v>
      </c>
      <c r="C139" s="6" t="s">
        <v>100</v>
      </c>
      <c r="D139" s="6" t="s">
        <v>30</v>
      </c>
      <c r="E139" s="5">
        <v>33</v>
      </c>
      <c r="F139" s="5">
        <v>0.89</v>
      </c>
      <c r="G139" s="5">
        <f>StockTransactionsTable[[#This Row],[Shares No.]]*StockTransactionsTable[[#This Row],[Amount per Share]]</f>
        <v>29.37</v>
      </c>
      <c r="H139" s="5">
        <v>0</v>
      </c>
      <c r="I13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29.37</v>
      </c>
      <c r="J139" s="19">
        <f>StockTransactionsTable[[#This Row],[Fee]]/StockTransactionsTable[[#This Row],[Total Amount]]</f>
        <v>0</v>
      </c>
      <c r="K139" s="5">
        <f>IF(StockTransactionsTable[[#This Row],[Transaction Type]]="Buy", StockTransactionsTable[[#This Row],[Total Amount with Fee]] / StockTransactionsTable[[#This Row],[Shares No.]],0)</f>
        <v>0</v>
      </c>
      <c r="L13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39" s="4">
        <f>YEAR(StockTransactionsTable[[#This Row],[Date]])</f>
        <v>2017</v>
      </c>
      <c r="N139" s="4">
        <f>MONTH(StockTransactionsTable[[#This Row],[Date]])</f>
        <v>9</v>
      </c>
      <c r="P139" s="1"/>
      <c r="Q139" s="1"/>
      <c r="R139" s="1"/>
      <c r="V139" s="33"/>
      <c r="W139" s="33"/>
    </row>
    <row r="140" spans="2:23">
      <c r="B140" s="3">
        <v>42997</v>
      </c>
      <c r="C140" s="6" t="s">
        <v>20</v>
      </c>
      <c r="D140" s="6" t="s">
        <v>29</v>
      </c>
      <c r="E140" s="5">
        <v>23</v>
      </c>
      <c r="F140" s="5" vm="449">
        <v>93.94</v>
      </c>
      <c r="G140" s="5">
        <f>StockTransactionsTable[[#This Row],[Shares No.]]*StockTransactionsTable[[#This Row],[Amount per Share]]</f>
        <v>2160.62</v>
      </c>
      <c r="H140" s="5">
        <v>1.0676654011328963</v>
      </c>
      <c r="I14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2161.6876654011326</v>
      </c>
      <c r="J140" s="19">
        <f>StockTransactionsTable[[#This Row],[Fee]]/StockTransactionsTable[[#This Row],[Total Amount]]</f>
        <v>4.9414769887018374E-4</v>
      </c>
      <c r="K140" s="5">
        <f>IF(StockTransactionsTable[[#This Row],[Transaction Type]]="Buy", StockTransactionsTable[[#This Row],[Total Amount with Fee]] / StockTransactionsTable[[#This Row],[Shares No.]],0)</f>
        <v>93.986420234831854</v>
      </c>
      <c r="L14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40" s="4">
        <f>YEAR(StockTransactionsTable[[#This Row],[Date]])</f>
        <v>2017</v>
      </c>
      <c r="N140" s="4">
        <f>MONTH(StockTransactionsTable[[#This Row],[Date]])</f>
        <v>9</v>
      </c>
      <c r="P140" s="1"/>
      <c r="Q140" s="1"/>
      <c r="R140" s="1"/>
      <c r="V140" s="33"/>
      <c r="W140" s="33"/>
    </row>
    <row r="141" spans="2:23">
      <c r="B141" s="3">
        <v>43021</v>
      </c>
      <c r="C141" s="6" t="s">
        <v>12</v>
      </c>
      <c r="D141" s="6" t="s">
        <v>30</v>
      </c>
      <c r="E141" s="5">
        <v>6</v>
      </c>
      <c r="F141" s="5">
        <v>0.21199999999999999</v>
      </c>
      <c r="G141" s="5">
        <f>StockTransactionsTable[[#This Row],[Shares No.]]*StockTransactionsTable[[#This Row],[Amount per Share]]</f>
        <v>1.272</v>
      </c>
      <c r="H141" s="5">
        <v>0</v>
      </c>
      <c r="I14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1.272</v>
      </c>
      <c r="J141" s="19">
        <f>StockTransactionsTable[[#This Row],[Fee]]/StockTransactionsTable[[#This Row],[Total Amount]]</f>
        <v>0</v>
      </c>
      <c r="K141" s="5">
        <f>IF(StockTransactionsTable[[#This Row],[Transaction Type]]="Buy", StockTransactionsTable[[#This Row],[Total Amount with Fee]] / StockTransactionsTable[[#This Row],[Shares No.]],0)</f>
        <v>0</v>
      </c>
      <c r="L14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41" s="4">
        <f>YEAR(StockTransactionsTable[[#This Row],[Date]])</f>
        <v>2017</v>
      </c>
      <c r="N141" s="4">
        <f>MONTH(StockTransactionsTable[[#This Row],[Date]])</f>
        <v>10</v>
      </c>
      <c r="P141" s="1"/>
      <c r="Q141" s="1"/>
      <c r="R141" s="1"/>
      <c r="V141" s="33"/>
      <c r="W141" s="33"/>
    </row>
    <row r="142" spans="2:23">
      <c r="B142" s="3">
        <v>43035</v>
      </c>
      <c r="C142" s="6" t="s">
        <v>17</v>
      </c>
      <c r="D142" s="6" t="s">
        <v>29</v>
      </c>
      <c r="E142" s="5">
        <v>15</v>
      </c>
      <c r="F142" s="5" vm="450">
        <v>153.68</v>
      </c>
      <c r="G142" s="5">
        <f>StockTransactionsTable[[#This Row],[Shares No.]]*StockTransactionsTable[[#This Row],[Amount per Share]]</f>
        <v>2305.2000000000003</v>
      </c>
      <c r="H142" s="5">
        <v>1.0751665953283154</v>
      </c>
      <c r="I14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2306.2751665953288</v>
      </c>
      <c r="J142" s="19">
        <f>StockTransactionsTable[[#This Row],[Fee]]/StockTransactionsTable[[#This Row],[Total Amount]]</f>
        <v>4.6640924662862886E-4</v>
      </c>
      <c r="K142" s="5">
        <f>IF(StockTransactionsTable[[#This Row],[Transaction Type]]="Buy", StockTransactionsTable[[#This Row],[Total Amount with Fee]] / StockTransactionsTable[[#This Row],[Shares No.]],0)</f>
        <v>153.75167777302192</v>
      </c>
      <c r="L14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42" s="4">
        <f>YEAR(StockTransactionsTable[[#This Row],[Date]])</f>
        <v>2017</v>
      </c>
      <c r="N142" s="4">
        <f>MONTH(StockTransactionsTable[[#This Row],[Date]])</f>
        <v>10</v>
      </c>
      <c r="P142" s="1"/>
      <c r="Q142" s="1"/>
      <c r="R142" s="1"/>
      <c r="V142" s="33"/>
      <c r="W142" s="33"/>
    </row>
    <row r="143" spans="2:23">
      <c r="B143" s="3">
        <v>43039</v>
      </c>
      <c r="C143" s="6" t="s">
        <v>20</v>
      </c>
      <c r="D143" s="6" t="s">
        <v>30</v>
      </c>
      <c r="E143" s="5">
        <v>48</v>
      </c>
      <c r="F143" s="5">
        <v>0.56000000000000005</v>
      </c>
      <c r="G143" s="5">
        <f>StockTransactionsTable[[#This Row],[Shares No.]]*StockTransactionsTable[[#This Row],[Amount per Share]]</f>
        <v>26.880000000000003</v>
      </c>
      <c r="H143" s="5">
        <v>0</v>
      </c>
      <c r="I14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26.880000000000003</v>
      </c>
      <c r="J143" s="19">
        <f>StockTransactionsTable[[#This Row],[Fee]]/StockTransactionsTable[[#This Row],[Total Amount]]</f>
        <v>0</v>
      </c>
      <c r="K143" s="5">
        <f>IF(StockTransactionsTable[[#This Row],[Transaction Type]]="Buy", StockTransactionsTable[[#This Row],[Total Amount with Fee]] / StockTransactionsTable[[#This Row],[Shares No.]],0)</f>
        <v>0</v>
      </c>
      <c r="L14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43" s="4">
        <f>YEAR(StockTransactionsTable[[#This Row],[Date]])</f>
        <v>2017</v>
      </c>
      <c r="N143" s="4">
        <f>MONTH(StockTransactionsTable[[#This Row],[Date]])</f>
        <v>10</v>
      </c>
      <c r="P143" s="1"/>
      <c r="Q143" s="1"/>
      <c r="R143" s="1"/>
      <c r="V143" s="33"/>
      <c r="W143" s="33"/>
    </row>
    <row r="144" spans="2:23">
      <c r="B144" s="3">
        <v>43040</v>
      </c>
      <c r="C144" s="6" t="s">
        <v>15</v>
      </c>
      <c r="D144" s="6" t="s">
        <v>30</v>
      </c>
      <c r="E144" s="5">
        <v>96</v>
      </c>
      <c r="F144" s="5">
        <v>0.49</v>
      </c>
      <c r="G144" s="5">
        <f>StockTransactionsTable[[#This Row],[Shares No.]]*StockTransactionsTable[[#This Row],[Amount per Share]]</f>
        <v>47.04</v>
      </c>
      <c r="H144" s="5">
        <v>0</v>
      </c>
      <c r="I14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47.04</v>
      </c>
      <c r="J144" s="19">
        <f>StockTransactionsTable[[#This Row],[Fee]]/StockTransactionsTable[[#This Row],[Total Amount]]</f>
        <v>0</v>
      </c>
      <c r="K144" s="5">
        <f>IF(StockTransactionsTable[[#This Row],[Transaction Type]]="Buy", StockTransactionsTable[[#This Row],[Total Amount with Fee]] / StockTransactionsTable[[#This Row],[Shares No.]],0)</f>
        <v>0</v>
      </c>
      <c r="L14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44" s="4">
        <f>YEAR(StockTransactionsTable[[#This Row],[Date]])</f>
        <v>2017</v>
      </c>
      <c r="N144" s="4">
        <f>MONTH(StockTransactionsTable[[#This Row],[Date]])</f>
        <v>11</v>
      </c>
      <c r="P144" s="1"/>
      <c r="Q144" s="1"/>
      <c r="R144" s="1"/>
      <c r="V144" s="33"/>
      <c r="W144" s="33"/>
    </row>
    <row r="145" spans="2:23">
      <c r="B145" s="3">
        <v>43054</v>
      </c>
      <c r="C145" s="6" t="s">
        <v>86</v>
      </c>
      <c r="D145" s="6" t="s">
        <v>30</v>
      </c>
      <c r="E145" s="5">
        <v>31</v>
      </c>
      <c r="F145" s="5">
        <v>0.64</v>
      </c>
      <c r="G145" s="5">
        <f>StockTransactionsTable[[#This Row],[Shares No.]]*StockTransactionsTable[[#This Row],[Amount per Share]]</f>
        <v>19.84</v>
      </c>
      <c r="H145" s="5">
        <v>0</v>
      </c>
      <c r="I14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19.84</v>
      </c>
      <c r="J145" s="19">
        <f>StockTransactionsTable[[#This Row],[Fee]]/StockTransactionsTable[[#This Row],[Total Amount]]</f>
        <v>0</v>
      </c>
      <c r="K145" s="5">
        <f>IF(StockTransactionsTable[[#This Row],[Transaction Type]]="Buy", StockTransactionsTable[[#This Row],[Total Amount with Fee]] / StockTransactionsTable[[#This Row],[Shares No.]],0)</f>
        <v>0</v>
      </c>
      <c r="L14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45" s="4">
        <f>YEAR(StockTransactionsTable[[#This Row],[Date]])</f>
        <v>2017</v>
      </c>
      <c r="N145" s="4">
        <f>MONTH(StockTransactionsTable[[#This Row],[Date]])</f>
        <v>11</v>
      </c>
      <c r="P145" s="1"/>
      <c r="Q145" s="1"/>
      <c r="R145" s="1"/>
      <c r="V145" s="33"/>
      <c r="W145" s="33"/>
    </row>
    <row r="146" spans="2:23">
      <c r="B146" s="3">
        <v>43054</v>
      </c>
      <c r="C146" s="6" t="s">
        <v>12</v>
      </c>
      <c r="D146" s="6" t="s">
        <v>30</v>
      </c>
      <c r="E146" s="5">
        <v>6</v>
      </c>
      <c r="F146" s="5">
        <v>0.21199999999999999</v>
      </c>
      <c r="G146" s="5">
        <f>StockTransactionsTable[[#This Row],[Shares No.]]*StockTransactionsTable[[#This Row],[Amount per Share]]</f>
        <v>1.272</v>
      </c>
      <c r="H146" s="5">
        <v>0</v>
      </c>
      <c r="I14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1.272</v>
      </c>
      <c r="J146" s="19">
        <f>StockTransactionsTable[[#This Row],[Fee]]/StockTransactionsTable[[#This Row],[Total Amount]]</f>
        <v>0</v>
      </c>
      <c r="K146" s="5">
        <f>IF(StockTransactionsTable[[#This Row],[Transaction Type]]="Buy", StockTransactionsTable[[#This Row],[Total Amount with Fee]] / StockTransactionsTable[[#This Row],[Shares No.]],0)</f>
        <v>0</v>
      </c>
      <c r="L14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46" s="4">
        <f>YEAR(StockTransactionsTable[[#This Row],[Date]])</f>
        <v>2017</v>
      </c>
      <c r="N146" s="4">
        <f>MONTH(StockTransactionsTable[[#This Row],[Date]])</f>
        <v>11</v>
      </c>
      <c r="P146" s="1"/>
      <c r="Q146" s="1"/>
      <c r="R146" s="1"/>
      <c r="V146" s="33"/>
      <c r="W146" s="33"/>
    </row>
    <row r="147" spans="2:23">
      <c r="B147" s="3">
        <v>43059</v>
      </c>
      <c r="C147" s="6" t="s">
        <v>22</v>
      </c>
      <c r="D147" s="6" t="s">
        <v>30</v>
      </c>
      <c r="E147" s="5">
        <v>61</v>
      </c>
      <c r="F147" s="5">
        <v>0.78</v>
      </c>
      <c r="G147" s="5">
        <f>StockTransactionsTable[[#This Row],[Shares No.]]*StockTransactionsTable[[#This Row],[Amount per Share]]</f>
        <v>47.58</v>
      </c>
      <c r="H147" s="5">
        <v>0</v>
      </c>
      <c r="I14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47.58</v>
      </c>
      <c r="J147" s="19">
        <f>StockTransactionsTable[[#This Row],[Fee]]/StockTransactionsTable[[#This Row],[Total Amount]]</f>
        <v>0</v>
      </c>
      <c r="K147" s="5">
        <f>IF(StockTransactionsTable[[#This Row],[Transaction Type]]="Buy", StockTransactionsTable[[#This Row],[Total Amount with Fee]] / StockTransactionsTable[[#This Row],[Shares No.]],0)</f>
        <v>0</v>
      </c>
      <c r="L14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47" s="4">
        <f>YEAR(StockTransactionsTable[[#This Row],[Date]])</f>
        <v>2017</v>
      </c>
      <c r="N147" s="4">
        <f>MONTH(StockTransactionsTable[[#This Row],[Date]])</f>
        <v>11</v>
      </c>
      <c r="Q147" s="1"/>
      <c r="U147" s="33"/>
      <c r="V147" s="33"/>
    </row>
    <row r="148" spans="2:23">
      <c r="B148" s="3">
        <v>43067</v>
      </c>
      <c r="C148" s="6" t="s">
        <v>98</v>
      </c>
      <c r="D148" s="6" t="s">
        <v>29</v>
      </c>
      <c r="E148" s="5">
        <v>34</v>
      </c>
      <c r="F148" s="5" vm="451">
        <v>39.447499999999998</v>
      </c>
      <c r="G148" s="5">
        <f>StockTransactionsTable[[#This Row],[Shares No.]]*StockTransactionsTable[[#This Row],[Amount per Share]]</f>
        <v>1341.2149999999999</v>
      </c>
      <c r="H148" s="5">
        <v>0.58570840059835261</v>
      </c>
      <c r="I14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1341.8007084005983</v>
      </c>
      <c r="J148" s="19">
        <f>StockTransactionsTable[[#This Row],[Fee]]/StockTransactionsTable[[#This Row],[Total Amount]]</f>
        <v>4.3669985841073402E-4</v>
      </c>
      <c r="K148" s="5">
        <f>IF(StockTransactionsTable[[#This Row],[Transaction Type]]="Buy", StockTransactionsTable[[#This Row],[Total Amount with Fee]] / StockTransactionsTable[[#This Row],[Shares No.]],0)</f>
        <v>39.464726717664654</v>
      </c>
      <c r="L14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48" s="4">
        <f>YEAR(StockTransactionsTable[[#This Row],[Date]])</f>
        <v>2017</v>
      </c>
      <c r="N148" s="4">
        <f>MONTH(StockTransactionsTable[[#This Row],[Date]])</f>
        <v>11</v>
      </c>
      <c r="Q148" s="1"/>
      <c r="U148" s="33"/>
      <c r="V148" s="33"/>
    </row>
    <row r="149" spans="2:23">
      <c r="B149" s="3">
        <v>43070</v>
      </c>
      <c r="C149" s="6" t="s">
        <v>13</v>
      </c>
      <c r="D149" s="6" t="s">
        <v>30</v>
      </c>
      <c r="E149" s="5">
        <v>25</v>
      </c>
      <c r="F149" s="5">
        <v>0.32</v>
      </c>
      <c r="G149" s="5">
        <f>StockTransactionsTable[[#This Row],[Shares No.]]*StockTransactionsTable[[#This Row],[Amount per Share]]</f>
        <v>8</v>
      </c>
      <c r="H149" s="5">
        <v>0</v>
      </c>
      <c r="I14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v>
      </c>
      <c r="J149" s="19">
        <f>StockTransactionsTable[[#This Row],[Fee]]/StockTransactionsTable[[#This Row],[Total Amount]]</f>
        <v>0</v>
      </c>
      <c r="K149" s="5">
        <f>IF(StockTransactionsTable[[#This Row],[Transaction Type]]="Buy", StockTransactionsTable[[#This Row],[Total Amount with Fee]] / StockTransactionsTable[[#This Row],[Shares No.]],0)</f>
        <v>0</v>
      </c>
      <c r="L14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49" s="4">
        <f>YEAR(StockTransactionsTable[[#This Row],[Date]])</f>
        <v>2017</v>
      </c>
      <c r="N149" s="4">
        <f>MONTH(StockTransactionsTable[[#This Row],[Date]])</f>
        <v>12</v>
      </c>
      <c r="Q149" s="1"/>
      <c r="U149" s="33"/>
      <c r="V149" s="33"/>
    </row>
    <row r="150" spans="2:23">
      <c r="B150" s="3">
        <v>43078</v>
      </c>
      <c r="C150" s="6" t="s">
        <v>17</v>
      </c>
      <c r="D150" s="6" t="s">
        <v>30</v>
      </c>
      <c r="E150" s="5">
        <v>33</v>
      </c>
      <c r="F150" s="5">
        <v>1.5</v>
      </c>
      <c r="G150" s="5">
        <f>StockTransactionsTable[[#This Row],[Shares No.]]*StockTransactionsTable[[#This Row],[Amount per Share]]</f>
        <v>49.5</v>
      </c>
      <c r="H150" s="5">
        <v>0</v>
      </c>
      <c r="I15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49.5</v>
      </c>
      <c r="J150" s="19">
        <f>StockTransactionsTable[[#This Row],[Fee]]/StockTransactionsTable[[#This Row],[Total Amount]]</f>
        <v>0</v>
      </c>
      <c r="K150" s="5">
        <f>IF(StockTransactionsTable[[#This Row],[Transaction Type]]="Buy", StockTransactionsTable[[#This Row],[Total Amount with Fee]] / StockTransactionsTable[[#This Row],[Shares No.]],0)</f>
        <v>0</v>
      </c>
      <c r="L15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50" s="4">
        <f>YEAR(StockTransactionsTable[[#This Row],[Date]])</f>
        <v>2017</v>
      </c>
      <c r="N150" s="4">
        <f>MONTH(StockTransactionsTable[[#This Row],[Date]])</f>
        <v>12</v>
      </c>
      <c r="Q150" s="1"/>
      <c r="U150" s="33"/>
      <c r="V150" s="33"/>
    </row>
    <row r="151" spans="2:23">
      <c r="B151" s="3">
        <v>43080</v>
      </c>
      <c r="C151" s="6" t="s">
        <v>16</v>
      </c>
      <c r="D151" s="6" t="s">
        <v>30</v>
      </c>
      <c r="E151" s="5">
        <v>107</v>
      </c>
      <c r="F151" s="5">
        <v>0.77</v>
      </c>
      <c r="G151" s="5">
        <f>StockTransactionsTable[[#This Row],[Shares No.]]*StockTransactionsTable[[#This Row],[Amount per Share]]</f>
        <v>82.39</v>
      </c>
      <c r="H151" s="5">
        <v>0</v>
      </c>
      <c r="I15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82.39</v>
      </c>
      <c r="J151" s="19">
        <f>StockTransactionsTable[[#This Row],[Fee]]/StockTransactionsTable[[#This Row],[Total Amount]]</f>
        <v>0</v>
      </c>
      <c r="K151" s="5">
        <f>IF(StockTransactionsTable[[#This Row],[Transaction Type]]="Buy", StockTransactionsTable[[#This Row],[Total Amount with Fee]] / StockTransactionsTable[[#This Row],[Shares No.]],0)</f>
        <v>0</v>
      </c>
      <c r="L15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51" s="4">
        <f>YEAR(StockTransactionsTable[[#This Row],[Date]])</f>
        <v>2017</v>
      </c>
      <c r="N151" s="4">
        <f>MONTH(StockTransactionsTable[[#This Row],[Date]])</f>
        <v>12</v>
      </c>
      <c r="Q151" s="1"/>
      <c r="U151" s="33"/>
      <c r="V151" s="33"/>
    </row>
    <row r="152" spans="2:23">
      <c r="B152" s="3">
        <v>43081</v>
      </c>
      <c r="C152" s="6" t="s">
        <v>84</v>
      </c>
      <c r="D152" s="6" t="s">
        <v>30</v>
      </c>
      <c r="E152" s="5">
        <v>51</v>
      </c>
      <c r="F152" s="5">
        <v>0.84</v>
      </c>
      <c r="G152" s="5">
        <f>StockTransactionsTable[[#This Row],[Shares No.]]*StockTransactionsTable[[#This Row],[Amount per Share]]</f>
        <v>42.839999999999996</v>
      </c>
      <c r="H152" s="5">
        <v>0</v>
      </c>
      <c r="I15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42.839999999999996</v>
      </c>
      <c r="J152" s="19">
        <f>StockTransactionsTable[[#This Row],[Fee]]/StockTransactionsTable[[#This Row],[Total Amount]]</f>
        <v>0</v>
      </c>
      <c r="K152" s="5">
        <f>IF(StockTransactionsTable[[#This Row],[Transaction Type]]="Buy", StockTransactionsTable[[#This Row],[Total Amount with Fee]] / StockTransactionsTable[[#This Row],[Shares No.]],0)</f>
        <v>0</v>
      </c>
      <c r="L15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52" s="4">
        <f>YEAR(StockTransactionsTable[[#This Row],[Date]])</f>
        <v>2017</v>
      </c>
      <c r="N152" s="4">
        <f>MONTH(StockTransactionsTable[[#This Row],[Date]])</f>
        <v>12</v>
      </c>
      <c r="Q152" s="1"/>
      <c r="U152" s="33"/>
      <c r="V152" s="33"/>
    </row>
    <row r="153" spans="2:23">
      <c r="B153" s="3">
        <v>43081</v>
      </c>
      <c r="C153" s="6" t="s">
        <v>106</v>
      </c>
      <c r="D153" s="6" t="s">
        <v>30</v>
      </c>
      <c r="E153" s="5">
        <v>35</v>
      </c>
      <c r="F153" s="5">
        <v>0.45</v>
      </c>
      <c r="G153" s="5">
        <f>StockTransactionsTable[[#This Row],[Shares No.]]*StockTransactionsTable[[#This Row],[Amount per Share]]</f>
        <v>15.75</v>
      </c>
      <c r="H153" s="5">
        <v>0</v>
      </c>
      <c r="I15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15.75</v>
      </c>
      <c r="J153" s="19">
        <f>StockTransactionsTable[[#This Row],[Fee]]/StockTransactionsTable[[#This Row],[Total Amount]]</f>
        <v>0</v>
      </c>
      <c r="K153" s="5">
        <f>IF(StockTransactionsTable[[#This Row],[Transaction Type]]="Buy", StockTransactionsTable[[#This Row],[Total Amount with Fee]] / StockTransactionsTable[[#This Row],[Shares No.]],0)</f>
        <v>0</v>
      </c>
      <c r="L15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53" s="4">
        <f>YEAR(StockTransactionsTable[[#This Row],[Date]])</f>
        <v>2017</v>
      </c>
      <c r="N153" s="4">
        <f>MONTH(StockTransactionsTable[[#This Row],[Date]])</f>
        <v>12</v>
      </c>
      <c r="Q153" s="1"/>
      <c r="U153" s="33"/>
      <c r="V153" s="33"/>
    </row>
    <row r="154" spans="2:23">
      <c r="B154" s="3">
        <v>43083</v>
      </c>
      <c r="C154" s="6" t="s">
        <v>95</v>
      </c>
      <c r="D154" s="6" t="s">
        <v>30</v>
      </c>
      <c r="E154" s="5">
        <v>43</v>
      </c>
      <c r="F154" s="5">
        <v>0.89</v>
      </c>
      <c r="G154" s="5">
        <f>StockTransactionsTable[[#This Row],[Shares No.]]*StockTransactionsTable[[#This Row],[Amount per Share]]</f>
        <v>38.270000000000003</v>
      </c>
      <c r="H154" s="5">
        <v>0</v>
      </c>
      <c r="I15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38.270000000000003</v>
      </c>
      <c r="J154" s="19">
        <f>StockTransactionsTable[[#This Row],[Fee]]/StockTransactionsTable[[#This Row],[Total Amount]]</f>
        <v>0</v>
      </c>
      <c r="K154" s="5">
        <f>IF(StockTransactionsTable[[#This Row],[Transaction Type]]="Buy", StockTransactionsTable[[#This Row],[Total Amount with Fee]] / StockTransactionsTable[[#This Row],[Shares No.]],0)</f>
        <v>0</v>
      </c>
      <c r="L15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54" s="4">
        <f>YEAR(StockTransactionsTable[[#This Row],[Date]])</f>
        <v>2017</v>
      </c>
      <c r="N154" s="4">
        <f>MONTH(StockTransactionsTable[[#This Row],[Date]])</f>
        <v>12</v>
      </c>
      <c r="Q154" s="1"/>
      <c r="U154" s="33"/>
      <c r="V154" s="33"/>
    </row>
    <row r="155" spans="2:23">
      <c r="B155" s="3">
        <v>43083</v>
      </c>
      <c r="C155" s="6" t="s">
        <v>91</v>
      </c>
      <c r="D155" s="6" t="s">
        <v>30</v>
      </c>
      <c r="E155" s="5">
        <v>79</v>
      </c>
      <c r="F155" s="5">
        <v>0.42</v>
      </c>
      <c r="G155" s="5">
        <f>StockTransactionsTable[[#This Row],[Shares No.]]*StockTransactionsTable[[#This Row],[Amount per Share]]</f>
        <v>33.18</v>
      </c>
      <c r="H155" s="5">
        <v>0</v>
      </c>
      <c r="I15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33.18</v>
      </c>
      <c r="J155" s="19">
        <f>StockTransactionsTable[[#This Row],[Fee]]/StockTransactionsTable[[#This Row],[Total Amount]]</f>
        <v>0</v>
      </c>
      <c r="K155" s="5">
        <f>IF(StockTransactionsTable[[#This Row],[Transaction Type]]="Buy", StockTransactionsTable[[#This Row],[Total Amount with Fee]] / StockTransactionsTable[[#This Row],[Shares No.]],0)</f>
        <v>0</v>
      </c>
      <c r="L15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55" s="4">
        <f>YEAR(StockTransactionsTable[[#This Row],[Date]])</f>
        <v>2017</v>
      </c>
      <c r="N155" s="4">
        <f>MONTH(StockTransactionsTable[[#This Row],[Date]])</f>
        <v>12</v>
      </c>
      <c r="Q155" s="1"/>
      <c r="U155" s="33"/>
      <c r="V155" s="33"/>
    </row>
    <row r="156" spans="2:23">
      <c r="B156" s="3">
        <v>43084</v>
      </c>
      <c r="C156" s="6" t="s">
        <v>98</v>
      </c>
      <c r="D156" s="6" t="s">
        <v>30</v>
      </c>
      <c r="E156" s="5">
        <v>17</v>
      </c>
      <c r="F156" s="5">
        <v>0.98250000000000004</v>
      </c>
      <c r="G156" s="5">
        <f>StockTransactionsTable[[#This Row],[Shares No.]]*StockTransactionsTable[[#This Row],[Amount per Share]]</f>
        <v>16.702500000000001</v>
      </c>
      <c r="H156" s="5">
        <v>0</v>
      </c>
      <c r="I15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16.702500000000001</v>
      </c>
      <c r="J156" s="19">
        <f>StockTransactionsTable[[#This Row],[Fee]]/StockTransactionsTable[[#This Row],[Total Amount]]</f>
        <v>0</v>
      </c>
      <c r="K156" s="5">
        <f>IF(StockTransactionsTable[[#This Row],[Transaction Type]]="Buy", StockTransactionsTable[[#This Row],[Total Amount with Fee]] / StockTransactionsTable[[#This Row],[Shares No.]],0)</f>
        <v>0</v>
      </c>
      <c r="L15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56" s="4">
        <f>YEAR(StockTransactionsTable[[#This Row],[Date]])</f>
        <v>2017</v>
      </c>
      <c r="N156" s="4">
        <f>MONTH(StockTransactionsTable[[#This Row],[Date]])</f>
        <v>12</v>
      </c>
      <c r="Q156" s="1"/>
      <c r="U156" s="33"/>
      <c r="V156" s="33"/>
    </row>
    <row r="157" spans="2:23">
      <c r="B157" s="3">
        <v>43084</v>
      </c>
      <c r="C157" s="6" t="s">
        <v>12</v>
      </c>
      <c r="D157" s="6" t="s">
        <v>30</v>
      </c>
      <c r="E157" s="5">
        <v>6</v>
      </c>
      <c r="F157" s="5">
        <v>0.21199999999999999</v>
      </c>
      <c r="G157" s="5">
        <f>StockTransactionsTable[[#This Row],[Shares No.]]*StockTransactionsTable[[#This Row],[Amount per Share]]</f>
        <v>1.272</v>
      </c>
      <c r="H157" s="5">
        <v>0</v>
      </c>
      <c r="I15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1.272</v>
      </c>
      <c r="J157" s="19">
        <f>StockTransactionsTable[[#This Row],[Fee]]/StockTransactionsTable[[#This Row],[Total Amount]]</f>
        <v>0</v>
      </c>
      <c r="K157" s="5">
        <f>IF(StockTransactionsTable[[#This Row],[Transaction Type]]="Buy", StockTransactionsTable[[#This Row],[Total Amount with Fee]] / StockTransactionsTable[[#This Row],[Shares No.]],0)</f>
        <v>0</v>
      </c>
      <c r="L15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57" s="4">
        <f>YEAR(StockTransactionsTable[[#This Row],[Date]])</f>
        <v>2017</v>
      </c>
      <c r="N157" s="4">
        <f>MONTH(StockTransactionsTable[[#This Row],[Date]])</f>
        <v>12</v>
      </c>
      <c r="Q157" s="1"/>
      <c r="U157" s="33"/>
      <c r="V157" s="33"/>
    </row>
    <row r="158" spans="2:23">
      <c r="B158" s="3">
        <v>43087</v>
      </c>
      <c r="C158" s="6" t="s">
        <v>100</v>
      </c>
      <c r="D158" s="6" t="s">
        <v>30</v>
      </c>
      <c r="E158" s="5">
        <v>33</v>
      </c>
      <c r="F158" s="5">
        <v>0.89</v>
      </c>
      <c r="G158" s="5">
        <f>StockTransactionsTable[[#This Row],[Shares No.]]*StockTransactionsTable[[#This Row],[Amount per Share]]</f>
        <v>29.37</v>
      </c>
      <c r="H158" s="5">
        <v>0</v>
      </c>
      <c r="I15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29.37</v>
      </c>
      <c r="J158" s="19">
        <f>StockTransactionsTable[[#This Row],[Fee]]/StockTransactionsTable[[#This Row],[Total Amount]]</f>
        <v>0</v>
      </c>
      <c r="K158" s="5">
        <f>IF(StockTransactionsTable[[#This Row],[Transaction Type]]="Buy", StockTransactionsTable[[#This Row],[Total Amount with Fee]] / StockTransactionsTable[[#This Row],[Shares No.]],0)</f>
        <v>0</v>
      </c>
      <c r="L15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58" s="4">
        <f>YEAR(StockTransactionsTable[[#This Row],[Date]])</f>
        <v>2017</v>
      </c>
      <c r="N158" s="4">
        <f>MONTH(StockTransactionsTable[[#This Row],[Date]])</f>
        <v>12</v>
      </c>
      <c r="Q158" s="1"/>
      <c r="U158" s="33"/>
      <c r="V158" s="33"/>
    </row>
    <row r="159" spans="2:23">
      <c r="B159" s="3">
        <v>43103</v>
      </c>
      <c r="C159" s="6" t="s">
        <v>20</v>
      </c>
      <c r="D159" s="6" t="s">
        <v>29</v>
      </c>
      <c r="E159" s="5">
        <v>20</v>
      </c>
      <c r="F159" s="5" vm="452">
        <v>108.06</v>
      </c>
      <c r="G159" s="5">
        <f>StockTransactionsTable[[#This Row],[Shares No.]]*StockTransactionsTable[[#This Row],[Amount per Share]]</f>
        <v>2161.1999999999998</v>
      </c>
      <c r="H159" s="5">
        <v>1.0801584122050409</v>
      </c>
      <c r="I15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2162.2801584122049</v>
      </c>
      <c r="J159" s="19">
        <f>StockTransactionsTable[[#This Row],[Fee]]/StockTransactionsTable[[#This Row],[Total Amount]]</f>
        <v>4.9979567472008192E-4</v>
      </c>
      <c r="K159" s="5">
        <f>IF(StockTransactionsTable[[#This Row],[Transaction Type]]="Buy", StockTransactionsTable[[#This Row],[Total Amount with Fee]] / StockTransactionsTable[[#This Row],[Shares No.]],0)</f>
        <v>108.11400792061025</v>
      </c>
      <c r="L15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59" s="4">
        <f>YEAR(StockTransactionsTable[[#This Row],[Date]])</f>
        <v>2018</v>
      </c>
      <c r="N159" s="4">
        <f>MONTH(StockTransactionsTable[[#This Row],[Date]])</f>
        <v>1</v>
      </c>
      <c r="Q159" s="1"/>
      <c r="U159" s="33"/>
      <c r="V159" s="33"/>
    </row>
    <row r="160" spans="2:23">
      <c r="B160" s="3">
        <v>43112</v>
      </c>
      <c r="C160" s="6" t="s">
        <v>12</v>
      </c>
      <c r="D160" s="6" t="s">
        <v>30</v>
      </c>
      <c r="E160" s="5">
        <v>6</v>
      </c>
      <c r="F160" s="5">
        <v>0.21249999999999999</v>
      </c>
      <c r="G160" s="5">
        <f>StockTransactionsTable[[#This Row],[Shares No.]]*StockTransactionsTable[[#This Row],[Amount per Share]]</f>
        <v>1.2749999999999999</v>
      </c>
      <c r="H160" s="5">
        <v>0</v>
      </c>
      <c r="I16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1.2749999999999999</v>
      </c>
      <c r="J160" s="19">
        <f>StockTransactionsTable[[#This Row],[Fee]]/StockTransactionsTable[[#This Row],[Total Amount]]</f>
        <v>0</v>
      </c>
      <c r="K160" s="5">
        <f>IF(StockTransactionsTable[[#This Row],[Transaction Type]]="Buy", StockTransactionsTable[[#This Row],[Total Amount with Fee]] / StockTransactionsTable[[#This Row],[Shares No.]],0)</f>
        <v>0</v>
      </c>
      <c r="L16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60" s="4">
        <f>YEAR(StockTransactionsTable[[#This Row],[Date]])</f>
        <v>2018</v>
      </c>
      <c r="N160" s="4">
        <f>MONTH(StockTransactionsTable[[#This Row],[Date]])</f>
        <v>1</v>
      </c>
      <c r="Q160" s="1"/>
      <c r="U160" s="33"/>
      <c r="V160" s="33"/>
    </row>
    <row r="161" spans="2:22">
      <c r="B161" s="3">
        <v>43131</v>
      </c>
      <c r="C161" s="6" t="s">
        <v>20</v>
      </c>
      <c r="D161" s="6" t="s">
        <v>30</v>
      </c>
      <c r="E161" s="5">
        <v>68</v>
      </c>
      <c r="F161" s="5">
        <v>0.56000000000000005</v>
      </c>
      <c r="G161" s="5">
        <f>StockTransactionsTable[[#This Row],[Shares No.]]*StockTransactionsTable[[#This Row],[Amount per Share]]</f>
        <v>38.080000000000005</v>
      </c>
      <c r="H161" s="5">
        <v>0</v>
      </c>
      <c r="I16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38.080000000000005</v>
      </c>
      <c r="J161" s="19">
        <f>StockTransactionsTable[[#This Row],[Fee]]/StockTransactionsTable[[#This Row],[Total Amount]]</f>
        <v>0</v>
      </c>
      <c r="K161" s="5">
        <f>IF(StockTransactionsTable[[#This Row],[Transaction Type]]="Buy", StockTransactionsTable[[#This Row],[Total Amount with Fee]] / StockTransactionsTable[[#This Row],[Shares No.]],0)</f>
        <v>0</v>
      </c>
      <c r="L16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61" s="4">
        <f>YEAR(StockTransactionsTable[[#This Row],[Date]])</f>
        <v>2018</v>
      </c>
      <c r="N161" s="4">
        <f>MONTH(StockTransactionsTable[[#This Row],[Date]])</f>
        <v>1</v>
      </c>
      <c r="Q161" s="1"/>
      <c r="U161" s="33"/>
      <c r="V161" s="33"/>
    </row>
    <row r="162" spans="2:22">
      <c r="B162" s="3">
        <v>43132</v>
      </c>
      <c r="C162" s="6" t="s">
        <v>15</v>
      </c>
      <c r="D162" s="6" t="s">
        <v>30</v>
      </c>
      <c r="E162" s="5">
        <v>96</v>
      </c>
      <c r="F162" s="5">
        <v>0.5</v>
      </c>
      <c r="G162" s="5">
        <f>StockTransactionsTable[[#This Row],[Shares No.]]*StockTransactionsTable[[#This Row],[Amount per Share]]</f>
        <v>48</v>
      </c>
      <c r="H162" s="5">
        <v>0</v>
      </c>
      <c r="I16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48</v>
      </c>
      <c r="J162" s="19">
        <f>StockTransactionsTable[[#This Row],[Fee]]/StockTransactionsTable[[#This Row],[Total Amount]]</f>
        <v>0</v>
      </c>
      <c r="K162" s="5">
        <f>IF(StockTransactionsTable[[#This Row],[Transaction Type]]="Buy", StockTransactionsTable[[#This Row],[Total Amount with Fee]] / StockTransactionsTable[[#This Row],[Shares No.]],0)</f>
        <v>0</v>
      </c>
      <c r="L16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62" s="4">
        <f>YEAR(StockTransactionsTable[[#This Row],[Date]])</f>
        <v>2018</v>
      </c>
      <c r="N162" s="4">
        <f>MONTH(StockTransactionsTable[[#This Row],[Date]])</f>
        <v>2</v>
      </c>
      <c r="Q162" s="1"/>
      <c r="U162" s="33"/>
      <c r="V162" s="33"/>
    </row>
    <row r="163" spans="2:22">
      <c r="B163" s="3">
        <v>43146</v>
      </c>
      <c r="C163" s="6" t="s">
        <v>86</v>
      </c>
      <c r="D163" s="6" t="s">
        <v>30</v>
      </c>
      <c r="E163" s="5">
        <v>31</v>
      </c>
      <c r="F163" s="5">
        <v>0.71</v>
      </c>
      <c r="G163" s="5">
        <f>StockTransactionsTable[[#This Row],[Shares No.]]*StockTransactionsTable[[#This Row],[Amount per Share]]</f>
        <v>22.009999999999998</v>
      </c>
      <c r="H163" s="5">
        <v>0</v>
      </c>
      <c r="I16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22.009999999999998</v>
      </c>
      <c r="J163" s="19">
        <f>StockTransactionsTable[[#This Row],[Fee]]/StockTransactionsTable[[#This Row],[Total Amount]]</f>
        <v>0</v>
      </c>
      <c r="K163" s="5">
        <f>IF(StockTransactionsTable[[#This Row],[Transaction Type]]="Buy", StockTransactionsTable[[#This Row],[Total Amount with Fee]] / StockTransactionsTable[[#This Row],[Shares No.]],0)</f>
        <v>0</v>
      </c>
      <c r="L16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63" s="4">
        <f>YEAR(StockTransactionsTable[[#This Row],[Date]])</f>
        <v>2018</v>
      </c>
      <c r="N163" s="4">
        <f>MONTH(StockTransactionsTable[[#This Row],[Date]])</f>
        <v>2</v>
      </c>
      <c r="Q163" s="1"/>
      <c r="U163" s="33"/>
      <c r="V163" s="33"/>
    </row>
    <row r="164" spans="2:22">
      <c r="B164" s="3">
        <v>43146</v>
      </c>
      <c r="C164" s="6" t="s">
        <v>12</v>
      </c>
      <c r="D164" s="6" t="s">
        <v>30</v>
      </c>
      <c r="E164" s="5">
        <v>6</v>
      </c>
      <c r="F164" s="5">
        <v>0.219</v>
      </c>
      <c r="G164" s="5">
        <f>StockTransactionsTable[[#This Row],[Shares No.]]*StockTransactionsTable[[#This Row],[Amount per Share]]</f>
        <v>1.3140000000000001</v>
      </c>
      <c r="H164" s="5">
        <v>0</v>
      </c>
      <c r="I16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1.3140000000000001</v>
      </c>
      <c r="J164" s="19">
        <f>StockTransactionsTable[[#This Row],[Fee]]/StockTransactionsTable[[#This Row],[Total Amount]]</f>
        <v>0</v>
      </c>
      <c r="K164" s="5">
        <f>IF(StockTransactionsTable[[#This Row],[Transaction Type]]="Buy", StockTransactionsTable[[#This Row],[Total Amount with Fee]] / StockTransactionsTable[[#This Row],[Shares No.]],0)</f>
        <v>0</v>
      </c>
      <c r="L16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64" s="4">
        <f>YEAR(StockTransactionsTable[[#This Row],[Date]])</f>
        <v>2018</v>
      </c>
      <c r="N164" s="4">
        <f>MONTH(StockTransactionsTable[[#This Row],[Date]])</f>
        <v>2</v>
      </c>
      <c r="Q164" s="1"/>
      <c r="U164" s="33"/>
      <c r="V164" s="33"/>
    </row>
    <row r="165" spans="2:22">
      <c r="B165" s="3">
        <v>43147</v>
      </c>
      <c r="C165" s="6" t="s">
        <v>86</v>
      </c>
      <c r="D165" s="6" t="s">
        <v>29</v>
      </c>
      <c r="E165" s="5">
        <v>22</v>
      </c>
      <c r="F165" s="5" vm="453">
        <v>118.6</v>
      </c>
      <c r="G165" s="5">
        <f>StockTransactionsTable[[#This Row],[Shares No.]]*StockTransactionsTable[[#This Row],[Amount per Share]]</f>
        <v>2609.1999999999998</v>
      </c>
      <c r="H165" s="5">
        <v>1.2344376998847912</v>
      </c>
      <c r="I16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2610.4344376998847</v>
      </c>
      <c r="J165" s="19">
        <f>StockTransactionsTable[[#This Row],[Fee]]/StockTransactionsTable[[#This Row],[Total Amount]]</f>
        <v>4.7310965042342149E-4</v>
      </c>
      <c r="K165" s="5">
        <f>IF(StockTransactionsTable[[#This Row],[Transaction Type]]="Buy", StockTransactionsTable[[#This Row],[Total Amount with Fee]] / StockTransactionsTable[[#This Row],[Shares No.]],0)</f>
        <v>118.65611080454022</v>
      </c>
      <c r="L16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65" s="4">
        <f>YEAR(StockTransactionsTable[[#This Row],[Date]])</f>
        <v>2018</v>
      </c>
      <c r="N165" s="4">
        <f>MONTH(StockTransactionsTable[[#This Row],[Date]])</f>
        <v>2</v>
      </c>
      <c r="Q165" s="1"/>
      <c r="U165" s="33"/>
      <c r="V165" s="33"/>
    </row>
    <row r="166" spans="2:22">
      <c r="B166" s="3">
        <v>43151</v>
      </c>
      <c r="C166" s="6" t="s">
        <v>22</v>
      </c>
      <c r="D166" s="6" t="s">
        <v>30</v>
      </c>
      <c r="E166" s="5">
        <v>61</v>
      </c>
      <c r="F166" s="5">
        <v>0.78</v>
      </c>
      <c r="G166" s="5">
        <f>StockTransactionsTable[[#This Row],[Shares No.]]*StockTransactionsTable[[#This Row],[Amount per Share]]</f>
        <v>47.58</v>
      </c>
      <c r="H166" s="5">
        <v>0</v>
      </c>
      <c r="I16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47.58</v>
      </c>
      <c r="J166" s="19">
        <f>StockTransactionsTable[[#This Row],[Fee]]/StockTransactionsTable[[#This Row],[Total Amount]]</f>
        <v>0</v>
      </c>
      <c r="K166" s="5">
        <f>IF(StockTransactionsTable[[#This Row],[Transaction Type]]="Buy", StockTransactionsTable[[#This Row],[Total Amount with Fee]] / StockTransactionsTable[[#This Row],[Shares No.]],0)</f>
        <v>0</v>
      </c>
      <c r="L16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66" s="4">
        <f>YEAR(StockTransactionsTable[[#This Row],[Date]])</f>
        <v>2018</v>
      </c>
      <c r="N166" s="4">
        <f>MONTH(StockTransactionsTable[[#This Row],[Date]])</f>
        <v>2</v>
      </c>
      <c r="Q166" s="1"/>
      <c r="U166" s="33"/>
      <c r="V166" s="33"/>
    </row>
    <row r="167" spans="2:22">
      <c r="B167" s="3">
        <v>43160</v>
      </c>
      <c r="C167" s="6" t="s">
        <v>13</v>
      </c>
      <c r="D167" s="6" t="s">
        <v>30</v>
      </c>
      <c r="E167" s="5">
        <v>25</v>
      </c>
      <c r="F167" s="5">
        <v>0.34</v>
      </c>
      <c r="G167" s="5">
        <f>StockTransactionsTable[[#This Row],[Shares No.]]*StockTransactionsTable[[#This Row],[Amount per Share]]</f>
        <v>8.5</v>
      </c>
      <c r="H167" s="5">
        <v>0</v>
      </c>
      <c r="I16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8.5</v>
      </c>
      <c r="J167" s="19">
        <f>StockTransactionsTable[[#This Row],[Fee]]/StockTransactionsTable[[#This Row],[Total Amount]]</f>
        <v>0</v>
      </c>
      <c r="K167" s="5">
        <f>IF(StockTransactionsTable[[#This Row],[Transaction Type]]="Buy", StockTransactionsTable[[#This Row],[Total Amount with Fee]] / StockTransactionsTable[[#This Row],[Shares No.]],0)</f>
        <v>0</v>
      </c>
      <c r="L16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67" s="4">
        <f>YEAR(StockTransactionsTable[[#This Row],[Date]])</f>
        <v>2018</v>
      </c>
      <c r="N167" s="4">
        <f>MONTH(StockTransactionsTable[[#This Row],[Date]])</f>
        <v>3</v>
      </c>
      <c r="Q167" s="1"/>
      <c r="U167" s="33"/>
      <c r="V167" s="33"/>
    </row>
    <row r="168" spans="2:22">
      <c r="B168" s="3">
        <v>43161</v>
      </c>
      <c r="C168" s="6" t="s">
        <v>16</v>
      </c>
      <c r="D168" s="6" t="s">
        <v>29</v>
      </c>
      <c r="E168" s="5">
        <v>28</v>
      </c>
      <c r="F168" s="5" vm="454">
        <v>75.55</v>
      </c>
      <c r="G168" s="5">
        <f>StockTransactionsTable[[#This Row],[Shares No.]]*StockTransactionsTable[[#This Row],[Amount per Share]]</f>
        <v>2115.4</v>
      </c>
      <c r="H168" s="5">
        <v>0.88704048140634417</v>
      </c>
      <c r="I16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2116.2870404814066</v>
      </c>
      <c r="J168" s="19">
        <f>StockTransactionsTable[[#This Row],[Fee]]/StockTransactionsTable[[#This Row],[Total Amount]]</f>
        <v>4.1932517793625044E-4</v>
      </c>
      <c r="K168" s="5">
        <f>IF(StockTransactionsTable[[#This Row],[Transaction Type]]="Buy", StockTransactionsTable[[#This Row],[Total Amount with Fee]] / StockTransactionsTable[[#This Row],[Shares No.]],0)</f>
        <v>75.581680017193094</v>
      </c>
      <c r="L16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68" s="4">
        <f>YEAR(StockTransactionsTable[[#This Row],[Date]])</f>
        <v>2018</v>
      </c>
      <c r="N168" s="4">
        <f>MONTH(StockTransactionsTable[[#This Row],[Date]])</f>
        <v>3</v>
      </c>
      <c r="Q168" s="1"/>
      <c r="U168" s="33"/>
      <c r="V168" s="33"/>
    </row>
    <row r="169" spans="2:22">
      <c r="B169" s="3">
        <v>43167</v>
      </c>
      <c r="C169" s="6" t="s">
        <v>91</v>
      </c>
      <c r="D169" s="6" t="s">
        <v>30</v>
      </c>
      <c r="E169" s="5">
        <v>79</v>
      </c>
      <c r="F169" s="5">
        <v>0.42</v>
      </c>
      <c r="G169" s="5">
        <f>StockTransactionsTable[[#This Row],[Shares No.]]*StockTransactionsTable[[#This Row],[Amount per Share]]</f>
        <v>33.18</v>
      </c>
      <c r="H169" s="5">
        <v>0</v>
      </c>
      <c r="I16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33.18</v>
      </c>
      <c r="J169" s="19">
        <f>StockTransactionsTable[[#This Row],[Fee]]/StockTransactionsTable[[#This Row],[Total Amount]]</f>
        <v>0</v>
      </c>
      <c r="K169" s="5">
        <f>IF(StockTransactionsTable[[#This Row],[Transaction Type]]="Buy", StockTransactionsTable[[#This Row],[Total Amount with Fee]] / StockTransactionsTable[[#This Row],[Shares No.]],0)</f>
        <v>0</v>
      </c>
      <c r="L16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69" s="4">
        <f>YEAR(StockTransactionsTable[[#This Row],[Date]])</f>
        <v>2018</v>
      </c>
      <c r="N169" s="4">
        <f>MONTH(StockTransactionsTable[[#This Row],[Date]])</f>
        <v>3</v>
      </c>
      <c r="Q169" s="1"/>
      <c r="U169" s="33"/>
      <c r="V169" s="33"/>
    </row>
    <row r="170" spans="2:22">
      <c r="B170" s="3">
        <v>43168</v>
      </c>
      <c r="C170" s="6" t="s">
        <v>16</v>
      </c>
      <c r="D170" s="6" t="s">
        <v>30</v>
      </c>
      <c r="E170" s="5">
        <v>107</v>
      </c>
      <c r="F170" s="5">
        <v>0.77</v>
      </c>
      <c r="G170" s="5">
        <f>StockTransactionsTable[[#This Row],[Shares No.]]*StockTransactionsTable[[#This Row],[Amount per Share]]</f>
        <v>82.39</v>
      </c>
      <c r="H170" s="5">
        <v>0</v>
      </c>
      <c r="I17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82.39</v>
      </c>
      <c r="J170" s="19">
        <f>StockTransactionsTable[[#This Row],[Fee]]/StockTransactionsTable[[#This Row],[Total Amount]]</f>
        <v>0</v>
      </c>
      <c r="K170" s="5">
        <f>IF(StockTransactionsTable[[#This Row],[Transaction Type]]="Buy", StockTransactionsTable[[#This Row],[Total Amount with Fee]] / StockTransactionsTable[[#This Row],[Shares No.]],0)</f>
        <v>0</v>
      </c>
      <c r="L17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70" s="4">
        <f>YEAR(StockTransactionsTable[[#This Row],[Date]])</f>
        <v>2018</v>
      </c>
      <c r="N170" s="4">
        <f>MONTH(StockTransactionsTable[[#This Row],[Date]])</f>
        <v>3</v>
      </c>
      <c r="Q170" s="1"/>
      <c r="U170" s="33"/>
      <c r="V170" s="33"/>
    </row>
    <row r="171" spans="2:22">
      <c r="B171" s="3">
        <v>43169</v>
      </c>
      <c r="C171" s="6" t="s">
        <v>17</v>
      </c>
      <c r="D171" s="6" t="s">
        <v>30</v>
      </c>
      <c r="E171" s="5">
        <v>33</v>
      </c>
      <c r="F171" s="5">
        <v>1.5</v>
      </c>
      <c r="G171" s="5">
        <f>StockTransactionsTable[[#This Row],[Shares No.]]*StockTransactionsTable[[#This Row],[Amount per Share]]</f>
        <v>49.5</v>
      </c>
      <c r="H171" s="5">
        <v>0</v>
      </c>
      <c r="I17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49.5</v>
      </c>
      <c r="J171" s="19">
        <f>StockTransactionsTable[[#This Row],[Fee]]/StockTransactionsTable[[#This Row],[Total Amount]]</f>
        <v>0</v>
      </c>
      <c r="K171" s="5">
        <f>IF(StockTransactionsTable[[#This Row],[Transaction Type]]="Buy", StockTransactionsTable[[#This Row],[Total Amount with Fee]] / StockTransactionsTable[[#This Row],[Shares No.]],0)</f>
        <v>0</v>
      </c>
      <c r="L17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71" s="4">
        <f>YEAR(StockTransactionsTable[[#This Row],[Date]])</f>
        <v>2018</v>
      </c>
      <c r="N171" s="4">
        <f>MONTH(StockTransactionsTable[[#This Row],[Date]])</f>
        <v>3</v>
      </c>
      <c r="Q171" s="1"/>
      <c r="U171" s="33"/>
      <c r="V171" s="33"/>
    </row>
    <row r="172" spans="2:22">
      <c r="B172" s="3">
        <v>43171</v>
      </c>
      <c r="C172" s="6" t="s">
        <v>106</v>
      </c>
      <c r="D172" s="6" t="s">
        <v>30</v>
      </c>
      <c r="E172" s="5">
        <v>35</v>
      </c>
      <c r="F172" s="5">
        <v>0.45</v>
      </c>
      <c r="G172" s="5">
        <f>StockTransactionsTable[[#This Row],[Shares No.]]*StockTransactionsTable[[#This Row],[Amount per Share]]</f>
        <v>15.75</v>
      </c>
      <c r="H172" s="5">
        <v>0</v>
      </c>
      <c r="I17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15.75</v>
      </c>
      <c r="J172" s="19">
        <f>StockTransactionsTable[[#This Row],[Fee]]/StockTransactionsTable[[#This Row],[Total Amount]]</f>
        <v>0</v>
      </c>
      <c r="K172" s="5">
        <f>IF(StockTransactionsTable[[#This Row],[Transaction Type]]="Buy", StockTransactionsTable[[#This Row],[Total Amount with Fee]] / StockTransactionsTable[[#This Row],[Shares No.]],0)</f>
        <v>0</v>
      </c>
      <c r="L17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72" s="4">
        <f>YEAR(StockTransactionsTable[[#This Row],[Date]])</f>
        <v>2018</v>
      </c>
      <c r="N172" s="4">
        <f>MONTH(StockTransactionsTable[[#This Row],[Date]])</f>
        <v>3</v>
      </c>
      <c r="Q172" s="1"/>
      <c r="U172" s="33"/>
      <c r="V172" s="33"/>
    </row>
    <row r="173" spans="2:22">
      <c r="B173" s="3">
        <v>43172</v>
      </c>
      <c r="C173" s="6" t="s">
        <v>84</v>
      </c>
      <c r="D173" s="6" t="s">
        <v>30</v>
      </c>
      <c r="E173" s="5">
        <v>51</v>
      </c>
      <c r="F173" s="5">
        <v>0.84</v>
      </c>
      <c r="G173" s="5">
        <f>StockTransactionsTable[[#This Row],[Shares No.]]*StockTransactionsTable[[#This Row],[Amount per Share]]</f>
        <v>42.839999999999996</v>
      </c>
      <c r="H173" s="5">
        <v>0</v>
      </c>
      <c r="I17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42.839999999999996</v>
      </c>
      <c r="J173" s="19">
        <f>StockTransactionsTable[[#This Row],[Fee]]/StockTransactionsTable[[#This Row],[Total Amount]]</f>
        <v>0</v>
      </c>
      <c r="K173" s="5">
        <f>IF(StockTransactionsTable[[#This Row],[Transaction Type]]="Buy", StockTransactionsTable[[#This Row],[Total Amount with Fee]] / StockTransactionsTable[[#This Row],[Shares No.]],0)</f>
        <v>0</v>
      </c>
      <c r="L17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73" s="4">
        <f>YEAR(StockTransactionsTable[[#This Row],[Date]])</f>
        <v>2018</v>
      </c>
      <c r="N173" s="4">
        <f>MONTH(StockTransactionsTable[[#This Row],[Date]])</f>
        <v>3</v>
      </c>
      <c r="Q173" s="1"/>
      <c r="U173" s="33"/>
      <c r="V173" s="33"/>
    </row>
    <row r="174" spans="2:22">
      <c r="B174" s="3">
        <v>43174</v>
      </c>
      <c r="C174" s="6" t="s">
        <v>98</v>
      </c>
      <c r="D174" s="6" t="s">
        <v>30</v>
      </c>
      <c r="E174" s="5">
        <v>51</v>
      </c>
      <c r="F174" s="5">
        <v>1.1100000000000001</v>
      </c>
      <c r="G174" s="5">
        <f>StockTransactionsTable[[#This Row],[Shares No.]]*StockTransactionsTable[[#This Row],[Amount per Share]]</f>
        <v>56.610000000000007</v>
      </c>
      <c r="H174" s="5">
        <v>0</v>
      </c>
      <c r="I17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56.610000000000007</v>
      </c>
      <c r="J174" s="19">
        <f>StockTransactionsTable[[#This Row],[Fee]]/StockTransactionsTable[[#This Row],[Total Amount]]</f>
        <v>0</v>
      </c>
      <c r="K174" s="5">
        <f>IF(StockTransactionsTable[[#This Row],[Transaction Type]]="Buy", StockTransactionsTable[[#This Row],[Total Amount with Fee]] / StockTransactionsTable[[#This Row],[Shares No.]],0)</f>
        <v>0</v>
      </c>
      <c r="L17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74" s="4">
        <f>YEAR(StockTransactionsTable[[#This Row],[Date]])</f>
        <v>2018</v>
      </c>
      <c r="N174" s="4">
        <f>MONTH(StockTransactionsTable[[#This Row],[Date]])</f>
        <v>3</v>
      </c>
      <c r="Q174" s="1"/>
      <c r="U174" s="33"/>
      <c r="V174" s="33"/>
    </row>
    <row r="175" spans="2:22">
      <c r="B175" s="3">
        <v>43174</v>
      </c>
      <c r="C175" s="6" t="s">
        <v>12</v>
      </c>
      <c r="D175" s="6" t="s">
        <v>30</v>
      </c>
      <c r="E175" s="5">
        <v>6</v>
      </c>
      <c r="F175" s="5">
        <v>0.219</v>
      </c>
      <c r="G175" s="5">
        <f>StockTransactionsTable[[#This Row],[Shares No.]]*StockTransactionsTable[[#This Row],[Amount per Share]]</f>
        <v>1.3140000000000001</v>
      </c>
      <c r="H175" s="5">
        <v>0</v>
      </c>
      <c r="I17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1.3140000000000001</v>
      </c>
      <c r="J175" s="19">
        <f>StockTransactionsTable[[#This Row],[Fee]]/StockTransactionsTable[[#This Row],[Total Amount]]</f>
        <v>0</v>
      </c>
      <c r="K175" s="5">
        <f>IF(StockTransactionsTable[[#This Row],[Transaction Type]]="Buy", StockTransactionsTable[[#This Row],[Total Amount with Fee]] / StockTransactionsTable[[#This Row],[Shares No.]],0)</f>
        <v>0</v>
      </c>
      <c r="L17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75" s="4">
        <f>YEAR(StockTransactionsTable[[#This Row],[Date]])</f>
        <v>2018</v>
      </c>
      <c r="N175" s="4">
        <f>MONTH(StockTransactionsTable[[#This Row],[Date]])</f>
        <v>3</v>
      </c>
      <c r="Q175" s="1"/>
      <c r="U175" s="33"/>
      <c r="V175" s="33"/>
    </row>
    <row r="176" spans="2:22">
      <c r="B176" s="3">
        <v>43175</v>
      </c>
      <c r="C176" s="6" t="s">
        <v>100</v>
      </c>
      <c r="D176" s="6" t="s">
        <v>30</v>
      </c>
      <c r="E176" s="5">
        <v>33</v>
      </c>
      <c r="F176" s="5">
        <v>0.89</v>
      </c>
      <c r="G176" s="5">
        <f>StockTransactionsTable[[#This Row],[Shares No.]]*StockTransactionsTable[[#This Row],[Amount per Share]]</f>
        <v>29.37</v>
      </c>
      <c r="H176" s="5">
        <v>0</v>
      </c>
      <c r="I17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29.37</v>
      </c>
      <c r="J176" s="19">
        <f>StockTransactionsTable[[#This Row],[Fee]]/StockTransactionsTable[[#This Row],[Total Amount]]</f>
        <v>0</v>
      </c>
      <c r="K176" s="5">
        <f>IF(StockTransactionsTable[[#This Row],[Transaction Type]]="Buy", StockTransactionsTable[[#This Row],[Total Amount with Fee]] / StockTransactionsTable[[#This Row],[Shares No.]],0)</f>
        <v>0</v>
      </c>
      <c r="L17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76" s="4">
        <f>YEAR(StockTransactionsTable[[#This Row],[Date]])</f>
        <v>2018</v>
      </c>
      <c r="N176" s="4">
        <f>MONTH(StockTransactionsTable[[#This Row],[Date]])</f>
        <v>3</v>
      </c>
      <c r="Q176" s="1"/>
      <c r="U176" s="33"/>
      <c r="V176" s="33"/>
    </row>
    <row r="177" spans="2:22">
      <c r="B177" s="3">
        <v>43181</v>
      </c>
      <c r="C177" s="6" t="s">
        <v>95</v>
      </c>
      <c r="D177" s="6" t="s">
        <v>30</v>
      </c>
      <c r="E177" s="5">
        <v>43</v>
      </c>
      <c r="F177" s="5">
        <v>1.03</v>
      </c>
      <c r="G177" s="5">
        <f>StockTransactionsTable[[#This Row],[Shares No.]]*StockTransactionsTable[[#This Row],[Amount per Share]]</f>
        <v>44.29</v>
      </c>
      <c r="H177" s="5">
        <v>0</v>
      </c>
      <c r="I17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44.29</v>
      </c>
      <c r="J177" s="19">
        <f>StockTransactionsTable[[#This Row],[Fee]]/StockTransactionsTable[[#This Row],[Total Amount]]</f>
        <v>0</v>
      </c>
      <c r="K177" s="5">
        <f>IF(StockTransactionsTable[[#This Row],[Transaction Type]]="Buy", StockTransactionsTable[[#This Row],[Total Amount with Fee]] / StockTransactionsTable[[#This Row],[Shares No.]],0)</f>
        <v>0</v>
      </c>
      <c r="L17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77" s="4">
        <f>YEAR(StockTransactionsTable[[#This Row],[Date]])</f>
        <v>2018</v>
      </c>
      <c r="N177" s="4">
        <f>MONTH(StockTransactionsTable[[#This Row],[Date]])</f>
        <v>3</v>
      </c>
      <c r="Q177" s="1"/>
      <c r="U177" s="33"/>
      <c r="V177" s="33"/>
    </row>
    <row r="178" spans="2:22">
      <c r="B178" s="3">
        <v>43201</v>
      </c>
      <c r="C178" s="6" t="s">
        <v>23</v>
      </c>
      <c r="D178" s="6" t="s">
        <v>29</v>
      </c>
      <c r="E178" s="5">
        <v>27</v>
      </c>
      <c r="F178" s="5" vm="455">
        <v>43.99</v>
      </c>
      <c r="G178" s="5">
        <f>StockTransactionsTable[[#This Row],[Shares No.]]*StockTransactionsTable[[#This Row],[Amount per Share]]</f>
        <v>1187.73</v>
      </c>
      <c r="H178" s="5">
        <v>0.58347379738964766</v>
      </c>
      <c r="I17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1188.3134737973896</v>
      </c>
      <c r="J178" s="19">
        <f>StockTransactionsTable[[#This Row],[Fee]]/StockTransactionsTable[[#This Row],[Total Amount]]</f>
        <v>4.9125120809413562E-4</v>
      </c>
      <c r="K178" s="5">
        <f>IF(StockTransactionsTable[[#This Row],[Transaction Type]]="Buy", StockTransactionsTable[[#This Row],[Total Amount with Fee]] / StockTransactionsTable[[#This Row],[Shares No.]],0)</f>
        <v>44.011610140644059</v>
      </c>
      <c r="L17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78" s="4">
        <f>YEAR(StockTransactionsTable[[#This Row],[Date]])</f>
        <v>2018</v>
      </c>
      <c r="N178" s="4">
        <f>MONTH(StockTransactionsTable[[#This Row],[Date]])</f>
        <v>4</v>
      </c>
      <c r="Q178" s="1"/>
      <c r="U178" s="33"/>
      <c r="V178" s="33"/>
    </row>
    <row r="179" spans="2:22">
      <c r="B179" s="3">
        <v>43203</v>
      </c>
      <c r="C179" s="6" t="s">
        <v>12</v>
      </c>
      <c r="D179" s="6" t="s">
        <v>30</v>
      </c>
      <c r="E179" s="5">
        <v>6</v>
      </c>
      <c r="F179" s="5">
        <v>0.2195</v>
      </c>
      <c r="G179" s="5">
        <f>StockTransactionsTable[[#This Row],[Shares No.]]*StockTransactionsTable[[#This Row],[Amount per Share]]</f>
        <v>1.3169999999999999</v>
      </c>
      <c r="H179" s="5">
        <v>0</v>
      </c>
      <c r="I17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1.3169999999999999</v>
      </c>
      <c r="J179" s="19">
        <f>StockTransactionsTable[[#This Row],[Fee]]/StockTransactionsTable[[#This Row],[Total Amount]]</f>
        <v>0</v>
      </c>
      <c r="K179" s="5">
        <f>IF(StockTransactionsTable[[#This Row],[Transaction Type]]="Buy", StockTransactionsTable[[#This Row],[Total Amount with Fee]] / StockTransactionsTable[[#This Row],[Shares No.]],0)</f>
        <v>0</v>
      </c>
      <c r="L17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79" s="4">
        <f>YEAR(StockTransactionsTable[[#This Row],[Date]])</f>
        <v>2018</v>
      </c>
      <c r="N179" s="4">
        <f>MONTH(StockTransactionsTable[[#This Row],[Date]])</f>
        <v>4</v>
      </c>
      <c r="Q179" s="1"/>
      <c r="U179" s="33"/>
      <c r="V179" s="33"/>
    </row>
    <row r="180" spans="2:22">
      <c r="B180" s="3">
        <v>43220</v>
      </c>
      <c r="C180" s="6" t="s">
        <v>20</v>
      </c>
      <c r="D180" s="6" t="s">
        <v>30</v>
      </c>
      <c r="E180" s="5">
        <v>68</v>
      </c>
      <c r="F180" s="5">
        <v>0.56000000000000005</v>
      </c>
      <c r="G180" s="5">
        <f>StockTransactionsTable[[#This Row],[Shares No.]]*StockTransactionsTable[[#This Row],[Amount per Share]]</f>
        <v>38.080000000000005</v>
      </c>
      <c r="H180" s="5">
        <v>0</v>
      </c>
      <c r="I18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38.080000000000005</v>
      </c>
      <c r="J180" s="19">
        <f>StockTransactionsTable[[#This Row],[Fee]]/StockTransactionsTable[[#This Row],[Total Amount]]</f>
        <v>0</v>
      </c>
      <c r="K180" s="5">
        <f>IF(StockTransactionsTable[[#This Row],[Transaction Type]]="Buy", StockTransactionsTable[[#This Row],[Total Amount with Fee]] / StockTransactionsTable[[#This Row],[Shares No.]],0)</f>
        <v>0</v>
      </c>
      <c r="L18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80" s="4">
        <f>YEAR(StockTransactionsTable[[#This Row],[Date]])</f>
        <v>2018</v>
      </c>
      <c r="N180" s="4">
        <f>MONTH(StockTransactionsTable[[#This Row],[Date]])</f>
        <v>4</v>
      </c>
      <c r="Q180" s="1"/>
      <c r="U180" s="33"/>
      <c r="V180" s="33"/>
    </row>
    <row r="181" spans="2:22">
      <c r="B181" s="3">
        <v>43221</v>
      </c>
      <c r="C181" s="6" t="s">
        <v>15</v>
      </c>
      <c r="D181" s="6" t="s">
        <v>30</v>
      </c>
      <c r="E181" s="5">
        <v>96</v>
      </c>
      <c r="F181" s="5">
        <v>0.5</v>
      </c>
      <c r="G181" s="5">
        <f>StockTransactionsTable[[#This Row],[Shares No.]]*StockTransactionsTable[[#This Row],[Amount per Share]]</f>
        <v>48</v>
      </c>
      <c r="H181" s="5">
        <v>0</v>
      </c>
      <c r="I18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48</v>
      </c>
      <c r="J181" s="19">
        <f>StockTransactionsTable[[#This Row],[Fee]]/StockTransactionsTable[[#This Row],[Total Amount]]</f>
        <v>0</v>
      </c>
      <c r="K181" s="5">
        <f>IF(StockTransactionsTable[[#This Row],[Transaction Type]]="Buy", StockTransactionsTable[[#This Row],[Total Amount with Fee]] / StockTransactionsTable[[#This Row],[Shares No.]],0)</f>
        <v>0</v>
      </c>
      <c r="L18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81" s="4">
        <f>YEAR(StockTransactionsTable[[#This Row],[Date]])</f>
        <v>2018</v>
      </c>
      <c r="N181" s="4">
        <f>MONTH(StockTransactionsTable[[#This Row],[Date]])</f>
        <v>5</v>
      </c>
      <c r="Q181" s="1"/>
      <c r="U181" s="33"/>
      <c r="V181" s="33"/>
    </row>
    <row r="182" spans="2:22">
      <c r="B182" s="3">
        <v>43235</v>
      </c>
      <c r="C182" s="6" t="s">
        <v>86</v>
      </c>
      <c r="D182" s="6" t="s">
        <v>30</v>
      </c>
      <c r="E182" s="5">
        <v>53</v>
      </c>
      <c r="F182" s="5">
        <v>0.96</v>
      </c>
      <c r="G182" s="5">
        <f>StockTransactionsTable[[#This Row],[Shares No.]]*StockTransactionsTable[[#This Row],[Amount per Share]]</f>
        <v>50.879999999999995</v>
      </c>
      <c r="H182" s="5">
        <v>0</v>
      </c>
      <c r="I18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50.879999999999995</v>
      </c>
      <c r="J182" s="19">
        <f>StockTransactionsTable[[#This Row],[Fee]]/StockTransactionsTable[[#This Row],[Total Amount]]</f>
        <v>0</v>
      </c>
      <c r="K182" s="5">
        <f>IF(StockTransactionsTable[[#This Row],[Transaction Type]]="Buy", StockTransactionsTable[[#This Row],[Total Amount with Fee]] / StockTransactionsTable[[#This Row],[Shares No.]],0)</f>
        <v>0</v>
      </c>
      <c r="L18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82" s="4">
        <f>YEAR(StockTransactionsTable[[#This Row],[Date]])</f>
        <v>2018</v>
      </c>
      <c r="N182" s="4">
        <f>MONTH(StockTransactionsTable[[#This Row],[Date]])</f>
        <v>5</v>
      </c>
      <c r="Q182" s="1"/>
      <c r="U182" s="33"/>
      <c r="V182" s="33"/>
    </row>
    <row r="183" spans="2:22">
      <c r="B183" s="3">
        <v>43235</v>
      </c>
      <c r="C183" s="6" t="s">
        <v>12</v>
      </c>
      <c r="D183" s="6" t="s">
        <v>30</v>
      </c>
      <c r="E183" s="5">
        <v>6</v>
      </c>
      <c r="F183" s="5">
        <v>0.2195</v>
      </c>
      <c r="G183" s="5">
        <f>StockTransactionsTable[[#This Row],[Shares No.]]*StockTransactionsTable[[#This Row],[Amount per Share]]</f>
        <v>1.3169999999999999</v>
      </c>
      <c r="H183" s="5">
        <v>0</v>
      </c>
      <c r="I18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1.3169999999999999</v>
      </c>
      <c r="J183" s="19">
        <f>StockTransactionsTable[[#This Row],[Fee]]/StockTransactionsTable[[#This Row],[Total Amount]]</f>
        <v>0</v>
      </c>
      <c r="K183" s="5">
        <f>IF(StockTransactionsTable[[#This Row],[Transaction Type]]="Buy", StockTransactionsTable[[#This Row],[Total Amount with Fee]] / StockTransactionsTable[[#This Row],[Shares No.]],0)</f>
        <v>0</v>
      </c>
      <c r="L18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83" s="4">
        <f>YEAR(StockTransactionsTable[[#This Row],[Date]])</f>
        <v>2018</v>
      </c>
      <c r="N183" s="4">
        <f>MONTH(StockTransactionsTable[[#This Row],[Date]])</f>
        <v>5</v>
      </c>
      <c r="Q183" s="1"/>
      <c r="U183" s="33"/>
      <c r="V183" s="33"/>
    </row>
    <row r="184" spans="2:22">
      <c r="B184" s="3">
        <v>43239</v>
      </c>
      <c r="C184" s="6" t="s">
        <v>22</v>
      </c>
      <c r="D184" s="6" t="s">
        <v>30</v>
      </c>
      <c r="E184" s="5">
        <v>61</v>
      </c>
      <c r="F184" s="5">
        <v>0.78</v>
      </c>
      <c r="G184" s="5">
        <f>StockTransactionsTable[[#This Row],[Shares No.]]*StockTransactionsTable[[#This Row],[Amount per Share]]</f>
        <v>47.58</v>
      </c>
      <c r="H184" s="5">
        <v>0</v>
      </c>
      <c r="I18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47.58</v>
      </c>
      <c r="J184" s="19">
        <f>StockTransactionsTable[[#This Row],[Fee]]/StockTransactionsTable[[#This Row],[Total Amount]]</f>
        <v>0</v>
      </c>
      <c r="K184" s="5">
        <f>IF(StockTransactionsTable[[#This Row],[Transaction Type]]="Buy", StockTransactionsTable[[#This Row],[Total Amount with Fee]] / StockTransactionsTable[[#This Row],[Shares No.]],0)</f>
        <v>0</v>
      </c>
      <c r="L18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84" s="4">
        <f>YEAR(StockTransactionsTable[[#This Row],[Date]])</f>
        <v>2018</v>
      </c>
      <c r="N184" s="4">
        <f>MONTH(StockTransactionsTable[[#This Row],[Date]])</f>
        <v>5</v>
      </c>
      <c r="Q184" s="1"/>
      <c r="U184" s="33"/>
      <c r="V184" s="33"/>
    </row>
    <row r="185" spans="2:22">
      <c r="B185" s="3">
        <v>43241</v>
      </c>
      <c r="C185" s="6" t="s">
        <v>17</v>
      </c>
      <c r="D185" s="6" t="s">
        <v>29</v>
      </c>
      <c r="E185" s="5">
        <v>14</v>
      </c>
      <c r="F185" s="5" vm="456">
        <v>145.49</v>
      </c>
      <c r="G185" s="5">
        <f>StockTransactionsTable[[#This Row],[Shares No.]]*StockTransactionsTable[[#This Row],[Amount per Share]]</f>
        <v>2036.8600000000001</v>
      </c>
      <c r="H185" s="5">
        <v>0.88659467197207276</v>
      </c>
      <c r="I18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2037.7465946719722</v>
      </c>
      <c r="J185" s="19">
        <f>StockTransactionsTable[[#This Row],[Fee]]/StockTransactionsTable[[#This Row],[Total Amount]]</f>
        <v>4.3527521379578012E-4</v>
      </c>
      <c r="K185" s="5">
        <f>IF(StockTransactionsTable[[#This Row],[Transaction Type]]="Buy", StockTransactionsTable[[#This Row],[Total Amount with Fee]] / StockTransactionsTable[[#This Row],[Shares No.]],0)</f>
        <v>145.55332819085515</v>
      </c>
      <c r="L18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85" s="4">
        <f>YEAR(StockTransactionsTable[[#This Row],[Date]])</f>
        <v>2018</v>
      </c>
      <c r="N185" s="4">
        <f>MONTH(StockTransactionsTable[[#This Row],[Date]])</f>
        <v>5</v>
      </c>
      <c r="Q185" s="1"/>
      <c r="U185" s="33"/>
      <c r="V185" s="33"/>
    </row>
    <row r="186" spans="2:22">
      <c r="B186" s="3">
        <v>43252</v>
      </c>
      <c r="C186" s="6" t="s">
        <v>13</v>
      </c>
      <c r="D186" s="6" t="s">
        <v>30</v>
      </c>
      <c r="E186" s="5">
        <v>25</v>
      </c>
      <c r="F186" s="5">
        <v>0.34</v>
      </c>
      <c r="G186" s="5">
        <f>StockTransactionsTable[[#This Row],[Shares No.]]*StockTransactionsTable[[#This Row],[Amount per Share]]</f>
        <v>8.5</v>
      </c>
      <c r="H186" s="5">
        <v>0</v>
      </c>
      <c r="I18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8.5</v>
      </c>
      <c r="J186" s="19">
        <f>StockTransactionsTable[[#This Row],[Fee]]/StockTransactionsTable[[#This Row],[Total Amount]]</f>
        <v>0</v>
      </c>
      <c r="K186" s="5">
        <f>IF(StockTransactionsTable[[#This Row],[Transaction Type]]="Buy", StockTransactionsTable[[#This Row],[Total Amount with Fee]] / StockTransactionsTable[[#This Row],[Shares No.]],0)</f>
        <v>0</v>
      </c>
      <c r="L18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86" s="4">
        <f>YEAR(StockTransactionsTable[[#This Row],[Date]])</f>
        <v>2018</v>
      </c>
      <c r="N186" s="4">
        <f>MONTH(StockTransactionsTable[[#This Row],[Date]])</f>
        <v>6</v>
      </c>
      <c r="Q186" s="1"/>
      <c r="U186" s="33"/>
      <c r="V186" s="33"/>
    </row>
    <row r="187" spans="2:22">
      <c r="B187" s="3">
        <v>43260</v>
      </c>
      <c r="C187" s="6" t="s">
        <v>17</v>
      </c>
      <c r="D187" s="6" t="s">
        <v>30</v>
      </c>
      <c r="E187" s="5">
        <v>33</v>
      </c>
      <c r="F187" s="5">
        <v>1.57</v>
      </c>
      <c r="G187" s="5">
        <f>StockTransactionsTable[[#This Row],[Shares No.]]*StockTransactionsTable[[#This Row],[Amount per Share]]</f>
        <v>51.81</v>
      </c>
      <c r="H187" s="5">
        <v>0</v>
      </c>
      <c r="I18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51.81</v>
      </c>
      <c r="J187" s="19">
        <f>StockTransactionsTable[[#This Row],[Fee]]/StockTransactionsTable[[#This Row],[Total Amount]]</f>
        <v>0</v>
      </c>
      <c r="K187" s="5">
        <f>IF(StockTransactionsTable[[#This Row],[Transaction Type]]="Buy", StockTransactionsTable[[#This Row],[Total Amount with Fee]] / StockTransactionsTable[[#This Row],[Shares No.]],0)</f>
        <v>0</v>
      </c>
      <c r="L18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87" s="4">
        <f>YEAR(StockTransactionsTable[[#This Row],[Date]])</f>
        <v>2018</v>
      </c>
      <c r="N187" s="4">
        <f>MONTH(StockTransactionsTable[[#This Row],[Date]])</f>
        <v>6</v>
      </c>
      <c r="Q187" s="1"/>
      <c r="U187" s="33"/>
      <c r="V187" s="33"/>
    </row>
    <row r="188" spans="2:22">
      <c r="B188" s="3">
        <v>43262</v>
      </c>
      <c r="C188" s="6" t="s">
        <v>16</v>
      </c>
      <c r="D188" s="6" t="s">
        <v>30</v>
      </c>
      <c r="E188" s="5">
        <v>135</v>
      </c>
      <c r="F188" s="5">
        <v>0.82</v>
      </c>
      <c r="G188" s="5">
        <f>StockTransactionsTable[[#This Row],[Shares No.]]*StockTransactionsTable[[#This Row],[Amount per Share]]</f>
        <v>110.69999999999999</v>
      </c>
      <c r="H188" s="5">
        <v>0</v>
      </c>
      <c r="I18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110.69999999999999</v>
      </c>
      <c r="J188" s="19">
        <f>StockTransactionsTable[[#This Row],[Fee]]/StockTransactionsTable[[#This Row],[Total Amount]]</f>
        <v>0</v>
      </c>
      <c r="K188" s="5">
        <f>IF(StockTransactionsTable[[#This Row],[Transaction Type]]="Buy", StockTransactionsTable[[#This Row],[Total Amount with Fee]] / StockTransactionsTable[[#This Row],[Shares No.]],0)</f>
        <v>0</v>
      </c>
      <c r="L18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88" s="4">
        <f>YEAR(StockTransactionsTable[[#This Row],[Date]])</f>
        <v>2018</v>
      </c>
      <c r="N188" s="4">
        <f>MONTH(StockTransactionsTable[[#This Row],[Date]])</f>
        <v>6</v>
      </c>
      <c r="Q188" s="1"/>
      <c r="U188" s="33"/>
      <c r="V188" s="33"/>
    </row>
    <row r="189" spans="2:22">
      <c r="B189" s="3">
        <v>43263</v>
      </c>
      <c r="C189" s="6" t="s">
        <v>84</v>
      </c>
      <c r="D189" s="6" t="s">
        <v>30</v>
      </c>
      <c r="E189" s="5">
        <v>51</v>
      </c>
      <c r="F189" s="5">
        <v>0.9</v>
      </c>
      <c r="G189" s="5">
        <f>StockTransactionsTable[[#This Row],[Shares No.]]*StockTransactionsTable[[#This Row],[Amount per Share]]</f>
        <v>45.9</v>
      </c>
      <c r="H189" s="5">
        <v>0</v>
      </c>
      <c r="I18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45.9</v>
      </c>
      <c r="J189" s="19">
        <f>StockTransactionsTable[[#This Row],[Fee]]/StockTransactionsTable[[#This Row],[Total Amount]]</f>
        <v>0</v>
      </c>
      <c r="K189" s="5">
        <f>IF(StockTransactionsTable[[#This Row],[Transaction Type]]="Buy", StockTransactionsTable[[#This Row],[Total Amount with Fee]] / StockTransactionsTable[[#This Row],[Shares No.]],0)</f>
        <v>0</v>
      </c>
      <c r="L18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89" s="4">
        <f>YEAR(StockTransactionsTable[[#This Row],[Date]])</f>
        <v>2018</v>
      </c>
      <c r="N189" s="4">
        <f>MONTH(StockTransactionsTable[[#This Row],[Date]])</f>
        <v>6</v>
      </c>
      <c r="Q189" s="1"/>
      <c r="U189" s="33"/>
      <c r="V189" s="33"/>
    </row>
    <row r="190" spans="2:22">
      <c r="B190" s="3">
        <v>43263</v>
      </c>
      <c r="C190" s="6" t="s">
        <v>106</v>
      </c>
      <c r="D190" s="6" t="s">
        <v>30</v>
      </c>
      <c r="E190" s="5">
        <v>35</v>
      </c>
      <c r="F190" s="5">
        <v>0.45</v>
      </c>
      <c r="G190" s="5">
        <f>StockTransactionsTable[[#This Row],[Shares No.]]*StockTransactionsTable[[#This Row],[Amount per Share]]</f>
        <v>15.75</v>
      </c>
      <c r="H190" s="5">
        <v>0</v>
      </c>
      <c r="I19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15.75</v>
      </c>
      <c r="J190" s="19">
        <f>StockTransactionsTable[[#This Row],[Fee]]/StockTransactionsTable[[#This Row],[Total Amount]]</f>
        <v>0</v>
      </c>
      <c r="K190" s="5">
        <f>IF(StockTransactionsTable[[#This Row],[Transaction Type]]="Buy", StockTransactionsTable[[#This Row],[Total Amount with Fee]] / StockTransactionsTable[[#This Row],[Shares No.]],0)</f>
        <v>0</v>
      </c>
      <c r="L19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90" s="4">
        <f>YEAR(StockTransactionsTable[[#This Row],[Date]])</f>
        <v>2018</v>
      </c>
      <c r="N190" s="4">
        <f>MONTH(StockTransactionsTable[[#This Row],[Date]])</f>
        <v>6</v>
      </c>
      <c r="Q190" s="1"/>
      <c r="U190" s="33"/>
      <c r="V190" s="33"/>
    </row>
    <row r="191" spans="2:22">
      <c r="B191" s="3">
        <v>43265</v>
      </c>
      <c r="C191" s="6" t="s">
        <v>95</v>
      </c>
      <c r="D191" s="6" t="s">
        <v>30</v>
      </c>
      <c r="E191" s="5">
        <v>43</v>
      </c>
      <c r="F191" s="5">
        <v>1.03</v>
      </c>
      <c r="G191" s="5">
        <f>StockTransactionsTable[[#This Row],[Shares No.]]*StockTransactionsTable[[#This Row],[Amount per Share]]</f>
        <v>44.29</v>
      </c>
      <c r="H191" s="5">
        <v>0</v>
      </c>
      <c r="I19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44.29</v>
      </c>
      <c r="J191" s="19">
        <f>StockTransactionsTable[[#This Row],[Fee]]/StockTransactionsTable[[#This Row],[Total Amount]]</f>
        <v>0</v>
      </c>
      <c r="K191" s="5">
        <f>IF(StockTransactionsTable[[#This Row],[Transaction Type]]="Buy", StockTransactionsTable[[#This Row],[Total Amount with Fee]] / StockTransactionsTable[[#This Row],[Shares No.]],0)</f>
        <v>0</v>
      </c>
      <c r="L19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91" s="4">
        <f>YEAR(StockTransactionsTable[[#This Row],[Date]])</f>
        <v>2018</v>
      </c>
      <c r="N191" s="4">
        <f>MONTH(StockTransactionsTable[[#This Row],[Date]])</f>
        <v>6</v>
      </c>
      <c r="Q191" s="1"/>
      <c r="U191" s="33"/>
      <c r="V191" s="33"/>
    </row>
    <row r="192" spans="2:22">
      <c r="B192" s="3">
        <v>43265</v>
      </c>
      <c r="C192" s="6" t="s">
        <v>91</v>
      </c>
      <c r="D192" s="6" t="s">
        <v>30</v>
      </c>
      <c r="E192" s="5">
        <v>79</v>
      </c>
      <c r="F192" s="5">
        <v>0.42</v>
      </c>
      <c r="G192" s="5">
        <f>StockTransactionsTable[[#This Row],[Shares No.]]*StockTransactionsTable[[#This Row],[Amount per Share]]</f>
        <v>33.18</v>
      </c>
      <c r="H192" s="5">
        <v>0</v>
      </c>
      <c r="I19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33.18</v>
      </c>
      <c r="J192" s="19">
        <f>StockTransactionsTable[[#This Row],[Fee]]/StockTransactionsTable[[#This Row],[Total Amount]]</f>
        <v>0</v>
      </c>
      <c r="K192" s="5">
        <f>IF(StockTransactionsTable[[#This Row],[Transaction Type]]="Buy", StockTransactionsTable[[#This Row],[Total Amount with Fee]] / StockTransactionsTable[[#This Row],[Shares No.]],0)</f>
        <v>0</v>
      </c>
      <c r="L19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92" s="4">
        <f>YEAR(StockTransactionsTable[[#This Row],[Date]])</f>
        <v>2018</v>
      </c>
      <c r="N192" s="4">
        <f>MONTH(StockTransactionsTable[[#This Row],[Date]])</f>
        <v>6</v>
      </c>
      <c r="Q192" s="1"/>
      <c r="U192" s="33"/>
      <c r="V192" s="33"/>
    </row>
    <row r="193" spans="2:22">
      <c r="B193" s="3">
        <v>43266</v>
      </c>
      <c r="C193" s="6" t="s">
        <v>98</v>
      </c>
      <c r="D193" s="6" t="s">
        <v>30</v>
      </c>
      <c r="E193" s="5">
        <v>51</v>
      </c>
      <c r="F193" s="5">
        <v>1.1100000000000001</v>
      </c>
      <c r="G193" s="5">
        <f>StockTransactionsTable[[#This Row],[Shares No.]]*StockTransactionsTable[[#This Row],[Amount per Share]]</f>
        <v>56.610000000000007</v>
      </c>
      <c r="H193" s="5">
        <v>0</v>
      </c>
      <c r="I19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56.610000000000007</v>
      </c>
      <c r="J193" s="19">
        <f>StockTransactionsTable[[#This Row],[Fee]]/StockTransactionsTable[[#This Row],[Total Amount]]</f>
        <v>0</v>
      </c>
      <c r="K193" s="5">
        <f>IF(StockTransactionsTable[[#This Row],[Transaction Type]]="Buy", StockTransactionsTable[[#This Row],[Total Amount with Fee]] / StockTransactionsTable[[#This Row],[Shares No.]],0)</f>
        <v>0</v>
      </c>
      <c r="L19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93" s="4">
        <f>YEAR(StockTransactionsTable[[#This Row],[Date]])</f>
        <v>2018</v>
      </c>
      <c r="N193" s="4">
        <f>MONTH(StockTransactionsTable[[#This Row],[Date]])</f>
        <v>6</v>
      </c>
      <c r="Q193" s="1"/>
      <c r="U193" s="33"/>
      <c r="V193" s="33"/>
    </row>
    <row r="194" spans="2:22">
      <c r="B194" s="3">
        <v>43266</v>
      </c>
      <c r="C194" s="6" t="s">
        <v>12</v>
      </c>
      <c r="D194" s="6" t="s">
        <v>30</v>
      </c>
      <c r="E194" s="5">
        <v>6</v>
      </c>
      <c r="F194" s="5">
        <v>0.2195</v>
      </c>
      <c r="G194" s="5">
        <f>StockTransactionsTable[[#This Row],[Shares No.]]*StockTransactionsTable[[#This Row],[Amount per Share]]</f>
        <v>1.3169999999999999</v>
      </c>
      <c r="H194" s="5">
        <v>0</v>
      </c>
      <c r="I19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1.3169999999999999</v>
      </c>
      <c r="J194" s="19">
        <f>StockTransactionsTable[[#This Row],[Fee]]/StockTransactionsTable[[#This Row],[Total Amount]]</f>
        <v>0</v>
      </c>
      <c r="K194" s="5">
        <f>IF(StockTransactionsTable[[#This Row],[Transaction Type]]="Buy", StockTransactionsTable[[#This Row],[Total Amount with Fee]] / StockTransactionsTable[[#This Row],[Shares No.]],0)</f>
        <v>0</v>
      </c>
      <c r="L19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94" s="4">
        <f>YEAR(StockTransactionsTable[[#This Row],[Date]])</f>
        <v>2018</v>
      </c>
      <c r="N194" s="4">
        <f>MONTH(StockTransactionsTable[[#This Row],[Date]])</f>
        <v>6</v>
      </c>
      <c r="Q194" s="1"/>
      <c r="U194" s="33"/>
      <c r="V194" s="33"/>
    </row>
    <row r="195" spans="2:22">
      <c r="B195" s="3">
        <v>43269</v>
      </c>
      <c r="C195" s="6" t="s">
        <v>100</v>
      </c>
      <c r="D195" s="6" t="s">
        <v>30</v>
      </c>
      <c r="E195" s="5">
        <v>33</v>
      </c>
      <c r="F195" s="5">
        <v>0.89</v>
      </c>
      <c r="G195" s="5">
        <f>StockTransactionsTable[[#This Row],[Shares No.]]*StockTransactionsTable[[#This Row],[Amount per Share]]</f>
        <v>29.37</v>
      </c>
      <c r="H195" s="5">
        <v>0</v>
      </c>
      <c r="I19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29.37</v>
      </c>
      <c r="J195" s="19">
        <f>StockTransactionsTable[[#This Row],[Fee]]/StockTransactionsTable[[#This Row],[Total Amount]]</f>
        <v>0</v>
      </c>
      <c r="K195" s="5">
        <f>IF(StockTransactionsTable[[#This Row],[Transaction Type]]="Buy", StockTransactionsTable[[#This Row],[Total Amount with Fee]] / StockTransactionsTable[[#This Row],[Shares No.]],0)</f>
        <v>0</v>
      </c>
      <c r="L19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95" s="4">
        <f>YEAR(StockTransactionsTable[[#This Row],[Date]])</f>
        <v>2018</v>
      </c>
      <c r="N195" s="4">
        <f>MONTH(StockTransactionsTable[[#This Row],[Date]])</f>
        <v>6</v>
      </c>
      <c r="Q195" s="1"/>
      <c r="U195" s="33"/>
      <c r="V195" s="33"/>
    </row>
    <row r="196" spans="2:22">
      <c r="B196" s="3">
        <v>43270</v>
      </c>
      <c r="C196" s="6" t="s">
        <v>16</v>
      </c>
      <c r="D196" s="6" t="s">
        <v>29</v>
      </c>
      <c r="E196" s="5">
        <v>10</v>
      </c>
      <c r="F196" s="5" vm="457">
        <v>80.7</v>
      </c>
      <c r="G196" s="5">
        <f>StockTransactionsTable[[#This Row],[Shares No.]]*StockTransactionsTable[[#This Row],[Amount per Share]]</f>
        <v>807</v>
      </c>
      <c r="H196" s="5">
        <v>0.32716289001776194</v>
      </c>
      <c r="I19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807.3271628900178</v>
      </c>
      <c r="J196" s="19">
        <f>StockTransactionsTable[[#This Row],[Fee]]/StockTransactionsTable[[#This Row],[Total Amount]]</f>
        <v>4.0540630733303833E-4</v>
      </c>
      <c r="K196" s="5">
        <f>IF(StockTransactionsTable[[#This Row],[Transaction Type]]="Buy", StockTransactionsTable[[#This Row],[Total Amount with Fee]] / StockTransactionsTable[[#This Row],[Shares No.]],0)</f>
        <v>80.732716289001786</v>
      </c>
      <c r="L19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96" s="4">
        <f>YEAR(StockTransactionsTable[[#This Row],[Date]])</f>
        <v>2018</v>
      </c>
      <c r="N196" s="4">
        <f>MONTH(StockTransactionsTable[[#This Row],[Date]])</f>
        <v>6</v>
      </c>
      <c r="Q196" s="1"/>
      <c r="U196" s="33"/>
      <c r="V196" s="33"/>
    </row>
    <row r="197" spans="2:22">
      <c r="B197" s="3">
        <v>43283</v>
      </c>
      <c r="C197" s="6" t="s">
        <v>23</v>
      </c>
      <c r="D197" s="6" t="s">
        <v>30</v>
      </c>
      <c r="E197" s="5">
        <v>27</v>
      </c>
      <c r="F197" s="5">
        <v>0.39</v>
      </c>
      <c r="G197" s="5">
        <f>StockTransactionsTable[[#This Row],[Shares No.]]*StockTransactionsTable[[#This Row],[Amount per Share]]</f>
        <v>10.530000000000001</v>
      </c>
      <c r="H197" s="5">
        <v>0</v>
      </c>
      <c r="I19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10.530000000000001</v>
      </c>
      <c r="J197" s="19">
        <f>StockTransactionsTable[[#This Row],[Fee]]/StockTransactionsTable[[#This Row],[Total Amount]]</f>
        <v>0</v>
      </c>
      <c r="K197" s="5">
        <f>IF(StockTransactionsTable[[#This Row],[Transaction Type]]="Buy", StockTransactionsTable[[#This Row],[Total Amount with Fee]] / StockTransactionsTable[[#This Row],[Shares No.]],0)</f>
        <v>0</v>
      </c>
      <c r="L19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97" s="4">
        <f>YEAR(StockTransactionsTable[[#This Row],[Date]])</f>
        <v>2018</v>
      </c>
      <c r="N197" s="4">
        <f>MONTH(StockTransactionsTable[[#This Row],[Date]])</f>
        <v>7</v>
      </c>
      <c r="Q197" s="1"/>
      <c r="U197" s="33"/>
      <c r="V197" s="33"/>
    </row>
    <row r="198" spans="2:22">
      <c r="B198" s="3">
        <v>43284</v>
      </c>
      <c r="C198" s="6" t="s">
        <v>15</v>
      </c>
      <c r="D198" s="6" t="s">
        <v>29</v>
      </c>
      <c r="E198" s="5">
        <v>28</v>
      </c>
      <c r="F198" s="5" vm="458">
        <v>24.701899999999998</v>
      </c>
      <c r="G198" s="5">
        <f>StockTransactionsTable[[#This Row],[Shares No.]]*StockTransactionsTable[[#This Row],[Amount per Share]]</f>
        <v>691.65319999999997</v>
      </c>
      <c r="H198" s="5">
        <v>0.29495699765955163</v>
      </c>
      <c r="I19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691.94815699765957</v>
      </c>
      <c r="J198" s="19">
        <f>StockTransactionsTable[[#This Row],[Fee]]/StockTransactionsTable[[#This Row],[Total Amount]]</f>
        <v>4.2645215500998425E-4</v>
      </c>
      <c r="K198" s="5">
        <f>IF(StockTransactionsTable[[#This Row],[Transaction Type]]="Buy", StockTransactionsTable[[#This Row],[Total Amount with Fee]] / StockTransactionsTable[[#This Row],[Shares No.]],0)</f>
        <v>24.712434178487843</v>
      </c>
      <c r="L19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98" s="4">
        <f>YEAR(StockTransactionsTable[[#This Row],[Date]])</f>
        <v>2018</v>
      </c>
      <c r="N198" s="4">
        <f>MONTH(StockTransactionsTable[[#This Row],[Date]])</f>
        <v>7</v>
      </c>
      <c r="Q198" s="1"/>
      <c r="U198" s="33"/>
      <c r="V198" s="33"/>
    </row>
    <row r="199" spans="2:22">
      <c r="B199" s="3">
        <v>43294</v>
      </c>
      <c r="C199" s="6" t="s">
        <v>12</v>
      </c>
      <c r="D199" s="6" t="s">
        <v>30</v>
      </c>
      <c r="E199" s="5">
        <v>6</v>
      </c>
      <c r="F199" s="5">
        <v>0.22</v>
      </c>
      <c r="G199" s="5">
        <f>StockTransactionsTable[[#This Row],[Shares No.]]*StockTransactionsTable[[#This Row],[Amount per Share]]</f>
        <v>1.32</v>
      </c>
      <c r="H199" s="5">
        <v>0</v>
      </c>
      <c r="I19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1.32</v>
      </c>
      <c r="J199" s="19">
        <f>StockTransactionsTable[[#This Row],[Fee]]/StockTransactionsTable[[#This Row],[Total Amount]]</f>
        <v>0</v>
      </c>
      <c r="K199" s="5">
        <f>IF(StockTransactionsTable[[#This Row],[Transaction Type]]="Buy", StockTransactionsTable[[#This Row],[Total Amount with Fee]] / StockTransactionsTable[[#This Row],[Shares No.]],0)</f>
        <v>0</v>
      </c>
      <c r="L19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199" s="4">
        <f>YEAR(StockTransactionsTable[[#This Row],[Date]])</f>
        <v>2018</v>
      </c>
      <c r="N199" s="4">
        <f>MONTH(StockTransactionsTable[[#This Row],[Date]])</f>
        <v>7</v>
      </c>
      <c r="Q199" s="1"/>
      <c r="U199" s="33"/>
      <c r="V199" s="33"/>
    </row>
    <row r="200" spans="2:22">
      <c r="B200" s="3">
        <v>43305</v>
      </c>
      <c r="C200" s="6" t="s">
        <v>17</v>
      </c>
      <c r="D200" s="6" t="s">
        <v>29</v>
      </c>
      <c r="E200" s="5">
        <v>16</v>
      </c>
      <c r="F200" s="5" vm="459">
        <v>146.38</v>
      </c>
      <c r="G200" s="5">
        <f>StockTransactionsTable[[#This Row],[Shares No.]]*StockTransactionsTable[[#This Row],[Amount per Share]]</f>
        <v>2342.08</v>
      </c>
      <c r="H200" s="5">
        <v>1.093706959308516</v>
      </c>
      <c r="I20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2343.1737069593082</v>
      </c>
      <c r="J200" s="19">
        <f>StockTransactionsTable[[#This Row],[Fee]]/StockTransactionsTable[[#This Row],[Total Amount]]</f>
        <v>4.6698104219690021E-4</v>
      </c>
      <c r="K200" s="5">
        <f>IF(StockTransactionsTable[[#This Row],[Transaction Type]]="Buy", StockTransactionsTable[[#This Row],[Total Amount with Fee]] / StockTransactionsTable[[#This Row],[Shares No.]],0)</f>
        <v>146.44835668495676</v>
      </c>
      <c r="L20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00" s="4">
        <f>YEAR(StockTransactionsTable[[#This Row],[Date]])</f>
        <v>2018</v>
      </c>
      <c r="N200" s="4">
        <f>MONTH(StockTransactionsTable[[#This Row],[Date]])</f>
        <v>7</v>
      </c>
      <c r="Q200" s="1"/>
      <c r="U200" s="33"/>
      <c r="V200" s="33"/>
    </row>
    <row r="201" spans="2:22">
      <c r="B201" s="3">
        <v>43312</v>
      </c>
      <c r="C201" s="6" t="s">
        <v>20</v>
      </c>
      <c r="D201" s="6" t="s">
        <v>30</v>
      </c>
      <c r="E201" s="5">
        <v>68</v>
      </c>
      <c r="F201" s="5">
        <v>0.56000000000000005</v>
      </c>
      <c r="G201" s="5">
        <f>StockTransactionsTable[[#This Row],[Shares No.]]*StockTransactionsTable[[#This Row],[Amount per Share]]</f>
        <v>38.080000000000005</v>
      </c>
      <c r="H201" s="5">
        <v>0</v>
      </c>
      <c r="I20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38.080000000000005</v>
      </c>
      <c r="J201" s="19">
        <f>StockTransactionsTable[[#This Row],[Fee]]/StockTransactionsTable[[#This Row],[Total Amount]]</f>
        <v>0</v>
      </c>
      <c r="K201" s="5">
        <f>IF(StockTransactionsTable[[#This Row],[Transaction Type]]="Buy", StockTransactionsTable[[#This Row],[Total Amount with Fee]] / StockTransactionsTable[[#This Row],[Shares No.]],0)</f>
        <v>0</v>
      </c>
      <c r="L20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01" s="4">
        <f>YEAR(StockTransactionsTable[[#This Row],[Date]])</f>
        <v>2018</v>
      </c>
      <c r="N201" s="4">
        <f>MONTH(StockTransactionsTable[[#This Row],[Date]])</f>
        <v>7</v>
      </c>
      <c r="Q201" s="1"/>
      <c r="U201" s="33"/>
      <c r="V201" s="33"/>
    </row>
    <row r="202" spans="2:22">
      <c r="B202" s="3">
        <v>43313</v>
      </c>
      <c r="C202" s="6" t="s">
        <v>15</v>
      </c>
      <c r="D202" s="6" t="s">
        <v>30</v>
      </c>
      <c r="E202" s="5">
        <v>124</v>
      </c>
      <c r="F202" s="5">
        <v>0.5</v>
      </c>
      <c r="G202" s="5">
        <f>StockTransactionsTable[[#This Row],[Shares No.]]*StockTransactionsTable[[#This Row],[Amount per Share]]</f>
        <v>62</v>
      </c>
      <c r="H202" s="5">
        <v>0</v>
      </c>
      <c r="I20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62</v>
      </c>
      <c r="J202" s="19">
        <f>StockTransactionsTable[[#This Row],[Fee]]/StockTransactionsTable[[#This Row],[Total Amount]]</f>
        <v>0</v>
      </c>
      <c r="K202" s="5">
        <f>IF(StockTransactionsTable[[#This Row],[Transaction Type]]="Buy", StockTransactionsTable[[#This Row],[Total Amount with Fee]] / StockTransactionsTable[[#This Row],[Shares No.]],0)</f>
        <v>0</v>
      </c>
      <c r="L20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02" s="4">
        <f>YEAR(StockTransactionsTable[[#This Row],[Date]])</f>
        <v>2018</v>
      </c>
      <c r="N202" s="4">
        <f>MONTH(StockTransactionsTable[[#This Row],[Date]])</f>
        <v>8</v>
      </c>
      <c r="Q202" s="1"/>
      <c r="U202" s="33"/>
      <c r="V202" s="33"/>
    </row>
    <row r="203" spans="2:22">
      <c r="B203" s="3">
        <v>43327</v>
      </c>
      <c r="C203" s="6" t="s">
        <v>86</v>
      </c>
      <c r="D203" s="6" t="s">
        <v>30</v>
      </c>
      <c r="E203" s="5">
        <v>53</v>
      </c>
      <c r="F203" s="5">
        <v>0.96</v>
      </c>
      <c r="G203" s="5">
        <f>StockTransactionsTable[[#This Row],[Shares No.]]*StockTransactionsTable[[#This Row],[Amount per Share]]</f>
        <v>50.879999999999995</v>
      </c>
      <c r="H203" s="5">
        <v>0</v>
      </c>
      <c r="I20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50.879999999999995</v>
      </c>
      <c r="J203" s="19">
        <f>StockTransactionsTable[[#This Row],[Fee]]/StockTransactionsTable[[#This Row],[Total Amount]]</f>
        <v>0</v>
      </c>
      <c r="K203" s="5">
        <f>IF(StockTransactionsTable[[#This Row],[Transaction Type]]="Buy", StockTransactionsTable[[#This Row],[Total Amount with Fee]] / StockTransactionsTable[[#This Row],[Shares No.]],0)</f>
        <v>0</v>
      </c>
      <c r="L20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03" s="4">
        <f>YEAR(StockTransactionsTable[[#This Row],[Date]])</f>
        <v>2018</v>
      </c>
      <c r="N203" s="4">
        <f>MONTH(StockTransactionsTable[[#This Row],[Date]])</f>
        <v>8</v>
      </c>
      <c r="Q203" s="1"/>
      <c r="U203" s="33"/>
      <c r="V203" s="33"/>
    </row>
    <row r="204" spans="2:22">
      <c r="B204" s="3">
        <v>43327</v>
      </c>
      <c r="C204" s="6" t="s">
        <v>12</v>
      </c>
      <c r="D204" s="6" t="s">
        <v>30</v>
      </c>
      <c r="E204" s="5">
        <v>6</v>
      </c>
      <c r="F204" s="5">
        <v>0.22</v>
      </c>
      <c r="G204" s="5">
        <f>StockTransactionsTable[[#This Row],[Shares No.]]*StockTransactionsTable[[#This Row],[Amount per Share]]</f>
        <v>1.32</v>
      </c>
      <c r="H204" s="5">
        <v>0</v>
      </c>
      <c r="I20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1.32</v>
      </c>
      <c r="J204" s="19">
        <f>StockTransactionsTable[[#This Row],[Fee]]/StockTransactionsTable[[#This Row],[Total Amount]]</f>
        <v>0</v>
      </c>
      <c r="K204" s="5">
        <f>IF(StockTransactionsTable[[#This Row],[Transaction Type]]="Buy", StockTransactionsTable[[#This Row],[Total Amount with Fee]] / StockTransactionsTable[[#This Row],[Shares No.]],0)</f>
        <v>0</v>
      </c>
      <c r="L20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04" s="4">
        <f>YEAR(StockTransactionsTable[[#This Row],[Date]])</f>
        <v>2018</v>
      </c>
      <c r="N204" s="4">
        <f>MONTH(StockTransactionsTable[[#This Row],[Date]])</f>
        <v>8</v>
      </c>
      <c r="Q204" s="1"/>
      <c r="U204" s="33"/>
      <c r="V204" s="33"/>
    </row>
    <row r="205" spans="2:22">
      <c r="B205" s="3">
        <v>43332</v>
      </c>
      <c r="C205" s="6" t="s">
        <v>20</v>
      </c>
      <c r="D205" s="6" t="s">
        <v>29</v>
      </c>
      <c r="E205" s="5">
        <v>10</v>
      </c>
      <c r="F205" s="5" vm="460">
        <v>114.62</v>
      </c>
      <c r="G205" s="5">
        <f>StockTransactionsTable[[#This Row],[Shares No.]]*StockTransactionsTable[[#This Row],[Amount per Share]]</f>
        <v>1146.2</v>
      </c>
      <c r="H205" s="5">
        <v>0.50636982934680319</v>
      </c>
      <c r="I20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1146.7063698293468</v>
      </c>
      <c r="J205" s="19">
        <f>StockTransactionsTable[[#This Row],[Fee]]/StockTransactionsTable[[#This Row],[Total Amount]]</f>
        <v>4.4178139011237408E-4</v>
      </c>
      <c r="K205" s="5">
        <f>IF(StockTransactionsTable[[#This Row],[Transaction Type]]="Buy", StockTransactionsTable[[#This Row],[Total Amount with Fee]] / StockTransactionsTable[[#This Row],[Shares No.]],0)</f>
        <v>114.67063698293468</v>
      </c>
      <c r="L20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05" s="4">
        <f>YEAR(StockTransactionsTable[[#This Row],[Date]])</f>
        <v>2018</v>
      </c>
      <c r="N205" s="4">
        <f>MONTH(StockTransactionsTable[[#This Row],[Date]])</f>
        <v>8</v>
      </c>
      <c r="Q205" s="1"/>
      <c r="U205" s="33"/>
      <c r="V205" s="33"/>
    </row>
    <row r="206" spans="2:22">
      <c r="B206" s="3">
        <v>43332</v>
      </c>
      <c r="C206" s="6" t="s">
        <v>22</v>
      </c>
      <c r="D206" s="6" t="s">
        <v>30</v>
      </c>
      <c r="E206" s="5">
        <v>61</v>
      </c>
      <c r="F206" s="5">
        <v>0.86</v>
      </c>
      <c r="G206" s="5">
        <f>StockTransactionsTable[[#This Row],[Shares No.]]*StockTransactionsTable[[#This Row],[Amount per Share]]</f>
        <v>52.46</v>
      </c>
      <c r="H206" s="5">
        <v>0</v>
      </c>
      <c r="I20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52.46</v>
      </c>
      <c r="J206" s="19">
        <f>StockTransactionsTable[[#This Row],[Fee]]/StockTransactionsTable[[#This Row],[Total Amount]]</f>
        <v>0</v>
      </c>
      <c r="K206" s="5">
        <f>IF(StockTransactionsTable[[#This Row],[Transaction Type]]="Buy", StockTransactionsTable[[#This Row],[Total Amount with Fee]] / StockTransactionsTable[[#This Row],[Shares No.]],0)</f>
        <v>0</v>
      </c>
      <c r="L20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06" s="4">
        <f>YEAR(StockTransactionsTable[[#This Row],[Date]])</f>
        <v>2018</v>
      </c>
      <c r="N206" s="4">
        <f>MONTH(StockTransactionsTable[[#This Row],[Date]])</f>
        <v>8</v>
      </c>
      <c r="Q206" s="1"/>
      <c r="U206" s="33"/>
      <c r="V206" s="33"/>
    </row>
    <row r="207" spans="2:22">
      <c r="B207" s="3">
        <v>43347</v>
      </c>
      <c r="C207" s="6" t="s">
        <v>13</v>
      </c>
      <c r="D207" s="6" t="s">
        <v>30</v>
      </c>
      <c r="E207" s="5">
        <v>25</v>
      </c>
      <c r="F207" s="5">
        <v>0.34</v>
      </c>
      <c r="G207" s="5">
        <f>StockTransactionsTable[[#This Row],[Shares No.]]*StockTransactionsTable[[#This Row],[Amount per Share]]</f>
        <v>8.5</v>
      </c>
      <c r="H207" s="5">
        <v>0</v>
      </c>
      <c r="I20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8.5</v>
      </c>
      <c r="J207" s="19">
        <f>StockTransactionsTable[[#This Row],[Fee]]/StockTransactionsTable[[#This Row],[Total Amount]]</f>
        <v>0</v>
      </c>
      <c r="K207" s="5">
        <f>IF(StockTransactionsTable[[#This Row],[Transaction Type]]="Buy", StockTransactionsTable[[#This Row],[Total Amount with Fee]] / StockTransactionsTable[[#This Row],[Shares No.]],0)</f>
        <v>0</v>
      </c>
      <c r="L20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07" s="4">
        <f>YEAR(StockTransactionsTable[[#This Row],[Date]])</f>
        <v>2018</v>
      </c>
      <c r="N207" s="4">
        <f>MONTH(StockTransactionsTable[[#This Row],[Date]])</f>
        <v>9</v>
      </c>
      <c r="Q207" s="1"/>
      <c r="U207" s="33"/>
      <c r="V207" s="33"/>
    </row>
    <row r="208" spans="2:22">
      <c r="B208" s="3">
        <v>43353</v>
      </c>
      <c r="C208" s="6" t="s">
        <v>17</v>
      </c>
      <c r="D208" s="6" t="s">
        <v>30</v>
      </c>
      <c r="E208" s="5">
        <v>63</v>
      </c>
      <c r="F208" s="5">
        <v>1.57</v>
      </c>
      <c r="G208" s="5">
        <f>StockTransactionsTable[[#This Row],[Shares No.]]*StockTransactionsTable[[#This Row],[Amount per Share]]</f>
        <v>98.910000000000011</v>
      </c>
      <c r="H208" s="5">
        <v>0</v>
      </c>
      <c r="I20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98.910000000000011</v>
      </c>
      <c r="J208" s="19">
        <f>StockTransactionsTable[[#This Row],[Fee]]/StockTransactionsTable[[#This Row],[Total Amount]]</f>
        <v>0</v>
      </c>
      <c r="K208" s="5">
        <f>IF(StockTransactionsTable[[#This Row],[Transaction Type]]="Buy", StockTransactionsTable[[#This Row],[Total Amount with Fee]] / StockTransactionsTable[[#This Row],[Shares No.]],0)</f>
        <v>0</v>
      </c>
      <c r="L20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08" s="4">
        <f>YEAR(StockTransactionsTable[[#This Row],[Date]])</f>
        <v>2018</v>
      </c>
      <c r="N208" s="4">
        <f>MONTH(StockTransactionsTable[[#This Row],[Date]])</f>
        <v>9</v>
      </c>
      <c r="Q208" s="1"/>
      <c r="U208" s="33"/>
      <c r="V208" s="33"/>
    </row>
    <row r="209" spans="2:22">
      <c r="B209" s="3">
        <v>43353</v>
      </c>
      <c r="C209" s="6" t="s">
        <v>16</v>
      </c>
      <c r="D209" s="6" t="s">
        <v>30</v>
      </c>
      <c r="E209" s="5">
        <v>145</v>
      </c>
      <c r="F209" s="5">
        <v>0.82</v>
      </c>
      <c r="G209" s="5">
        <f>StockTransactionsTable[[#This Row],[Shares No.]]*StockTransactionsTable[[#This Row],[Amount per Share]]</f>
        <v>118.89999999999999</v>
      </c>
      <c r="H209" s="5">
        <v>0</v>
      </c>
      <c r="I20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118.89999999999999</v>
      </c>
      <c r="J209" s="19">
        <f>StockTransactionsTable[[#This Row],[Fee]]/StockTransactionsTable[[#This Row],[Total Amount]]</f>
        <v>0</v>
      </c>
      <c r="K209" s="5">
        <f>IF(StockTransactionsTable[[#This Row],[Transaction Type]]="Buy", StockTransactionsTable[[#This Row],[Total Amount with Fee]] / StockTransactionsTable[[#This Row],[Shares No.]],0)</f>
        <v>0</v>
      </c>
      <c r="L20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09" s="4">
        <f>YEAR(StockTransactionsTable[[#This Row],[Date]])</f>
        <v>2018</v>
      </c>
      <c r="N209" s="4">
        <f>MONTH(StockTransactionsTable[[#This Row],[Date]])</f>
        <v>9</v>
      </c>
      <c r="Q209" s="1"/>
      <c r="U209" s="33"/>
      <c r="V209" s="33"/>
    </row>
    <row r="210" spans="2:22">
      <c r="B210" s="3">
        <v>43354</v>
      </c>
      <c r="C210" s="6" t="s">
        <v>84</v>
      </c>
      <c r="D210" s="6" t="s">
        <v>30</v>
      </c>
      <c r="E210" s="5">
        <v>51</v>
      </c>
      <c r="F210" s="5">
        <v>0.9</v>
      </c>
      <c r="G210" s="5">
        <f>StockTransactionsTable[[#This Row],[Shares No.]]*StockTransactionsTable[[#This Row],[Amount per Share]]</f>
        <v>45.9</v>
      </c>
      <c r="H210" s="5">
        <v>0</v>
      </c>
      <c r="I21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45.9</v>
      </c>
      <c r="J210" s="19">
        <f>StockTransactionsTable[[#This Row],[Fee]]/StockTransactionsTable[[#This Row],[Total Amount]]</f>
        <v>0</v>
      </c>
      <c r="K210" s="5">
        <f>IF(StockTransactionsTable[[#This Row],[Transaction Type]]="Buy", StockTransactionsTable[[#This Row],[Total Amount with Fee]] / StockTransactionsTable[[#This Row],[Shares No.]],0)</f>
        <v>0</v>
      </c>
      <c r="L21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10" s="4">
        <f>YEAR(StockTransactionsTable[[#This Row],[Date]])</f>
        <v>2018</v>
      </c>
      <c r="N210" s="4">
        <f>MONTH(StockTransactionsTable[[#This Row],[Date]])</f>
        <v>9</v>
      </c>
      <c r="Q210" s="1"/>
      <c r="U210" s="33"/>
      <c r="V210" s="33"/>
    </row>
    <row r="211" spans="2:22">
      <c r="B211" s="3">
        <v>43355</v>
      </c>
      <c r="C211" s="6" t="s">
        <v>106</v>
      </c>
      <c r="D211" s="6" t="s">
        <v>30</v>
      </c>
      <c r="E211" s="5">
        <v>35</v>
      </c>
      <c r="F211" s="5">
        <v>0.48</v>
      </c>
      <c r="G211" s="5">
        <f>StockTransactionsTable[[#This Row],[Shares No.]]*StockTransactionsTable[[#This Row],[Amount per Share]]</f>
        <v>16.8</v>
      </c>
      <c r="H211" s="5">
        <v>0</v>
      </c>
      <c r="I21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16.8</v>
      </c>
      <c r="J211" s="19">
        <f>StockTransactionsTable[[#This Row],[Fee]]/StockTransactionsTable[[#This Row],[Total Amount]]</f>
        <v>0</v>
      </c>
      <c r="K211" s="5">
        <f>IF(StockTransactionsTable[[#This Row],[Transaction Type]]="Buy", StockTransactionsTable[[#This Row],[Total Amount with Fee]] / StockTransactionsTable[[#This Row],[Shares No.]],0)</f>
        <v>0</v>
      </c>
      <c r="L21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11" s="4">
        <f>YEAR(StockTransactionsTable[[#This Row],[Date]])</f>
        <v>2018</v>
      </c>
      <c r="N211" s="4">
        <f>MONTH(StockTransactionsTable[[#This Row],[Date]])</f>
        <v>9</v>
      </c>
      <c r="Q211" s="1"/>
      <c r="U211" s="33"/>
      <c r="V211" s="33"/>
    </row>
    <row r="212" spans="2:22">
      <c r="B212" s="3">
        <v>43356</v>
      </c>
      <c r="C212" s="6" t="s">
        <v>95</v>
      </c>
      <c r="D212" s="6" t="s">
        <v>30</v>
      </c>
      <c r="E212" s="5">
        <v>43</v>
      </c>
      <c r="F212" s="5">
        <v>1.03</v>
      </c>
      <c r="G212" s="5">
        <f>StockTransactionsTable[[#This Row],[Shares No.]]*StockTransactionsTable[[#This Row],[Amount per Share]]</f>
        <v>44.29</v>
      </c>
      <c r="H212" s="5">
        <v>0</v>
      </c>
      <c r="I21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44.29</v>
      </c>
      <c r="J212" s="19">
        <f>StockTransactionsTable[[#This Row],[Fee]]/StockTransactionsTable[[#This Row],[Total Amount]]</f>
        <v>0</v>
      </c>
      <c r="K212" s="5">
        <f>IF(StockTransactionsTable[[#This Row],[Transaction Type]]="Buy", StockTransactionsTable[[#This Row],[Total Amount with Fee]] / StockTransactionsTable[[#This Row],[Shares No.]],0)</f>
        <v>0</v>
      </c>
      <c r="L21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12" s="4">
        <f>YEAR(StockTransactionsTable[[#This Row],[Date]])</f>
        <v>2018</v>
      </c>
      <c r="N212" s="4">
        <f>MONTH(StockTransactionsTable[[#This Row],[Date]])</f>
        <v>9</v>
      </c>
      <c r="Q212" s="1"/>
      <c r="U212" s="33"/>
      <c r="V212" s="33"/>
    </row>
    <row r="213" spans="2:22">
      <c r="B213" s="3">
        <v>43356</v>
      </c>
      <c r="C213" s="6" t="s">
        <v>91</v>
      </c>
      <c r="D213" s="6" t="s">
        <v>30</v>
      </c>
      <c r="E213" s="5">
        <v>79</v>
      </c>
      <c r="F213" s="5">
        <v>0.42</v>
      </c>
      <c r="G213" s="5">
        <f>StockTransactionsTable[[#This Row],[Shares No.]]*StockTransactionsTable[[#This Row],[Amount per Share]]</f>
        <v>33.18</v>
      </c>
      <c r="H213" s="5">
        <v>0</v>
      </c>
      <c r="I21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33.18</v>
      </c>
      <c r="J213" s="19">
        <f>StockTransactionsTable[[#This Row],[Fee]]/StockTransactionsTable[[#This Row],[Total Amount]]</f>
        <v>0</v>
      </c>
      <c r="K213" s="5">
        <f>IF(StockTransactionsTable[[#This Row],[Transaction Type]]="Buy", StockTransactionsTable[[#This Row],[Total Amount with Fee]] / StockTransactionsTable[[#This Row],[Shares No.]],0)</f>
        <v>0</v>
      </c>
      <c r="L21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13" s="4">
        <f>YEAR(StockTransactionsTable[[#This Row],[Date]])</f>
        <v>2018</v>
      </c>
      <c r="N213" s="4">
        <f>MONTH(StockTransactionsTable[[#This Row],[Date]])</f>
        <v>9</v>
      </c>
      <c r="Q213" s="1"/>
      <c r="U213" s="33"/>
      <c r="V213" s="33"/>
    </row>
    <row r="214" spans="2:22">
      <c r="B214" s="3">
        <v>43357</v>
      </c>
      <c r="C214" s="6" t="s">
        <v>12</v>
      </c>
      <c r="D214" s="6" t="s">
        <v>30</v>
      </c>
      <c r="E214" s="5">
        <v>6</v>
      </c>
      <c r="F214" s="5">
        <v>0.22</v>
      </c>
      <c r="G214" s="5">
        <f>StockTransactionsTable[[#This Row],[Shares No.]]*StockTransactionsTable[[#This Row],[Amount per Share]]</f>
        <v>1.32</v>
      </c>
      <c r="H214" s="5">
        <v>0</v>
      </c>
      <c r="I21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1.32</v>
      </c>
      <c r="J214" s="19">
        <f>StockTransactionsTable[[#This Row],[Fee]]/StockTransactionsTable[[#This Row],[Total Amount]]</f>
        <v>0</v>
      </c>
      <c r="K214" s="5">
        <f>IF(StockTransactionsTable[[#This Row],[Transaction Type]]="Buy", StockTransactionsTable[[#This Row],[Total Amount with Fee]] / StockTransactionsTable[[#This Row],[Shares No.]],0)</f>
        <v>0</v>
      </c>
      <c r="L21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14" s="4">
        <f>YEAR(StockTransactionsTable[[#This Row],[Date]])</f>
        <v>2018</v>
      </c>
      <c r="N214" s="4">
        <f>MONTH(StockTransactionsTable[[#This Row],[Date]])</f>
        <v>9</v>
      </c>
      <c r="Q214" s="1"/>
      <c r="U214" s="33"/>
      <c r="V214" s="33"/>
    </row>
    <row r="215" spans="2:22">
      <c r="B215" s="3">
        <v>43360</v>
      </c>
      <c r="C215" s="6" t="s">
        <v>100</v>
      </c>
      <c r="D215" s="6" t="s">
        <v>30</v>
      </c>
      <c r="E215" s="5">
        <v>33</v>
      </c>
      <c r="F215" s="5">
        <v>0.92749999999999999</v>
      </c>
      <c r="G215" s="5">
        <f>StockTransactionsTable[[#This Row],[Shares No.]]*StockTransactionsTable[[#This Row],[Amount per Share]]</f>
        <v>30.607499999999998</v>
      </c>
      <c r="H215" s="5">
        <v>0</v>
      </c>
      <c r="I21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30.607499999999998</v>
      </c>
      <c r="J215" s="19">
        <f>StockTransactionsTable[[#This Row],[Fee]]/StockTransactionsTable[[#This Row],[Total Amount]]</f>
        <v>0</v>
      </c>
      <c r="K215" s="5">
        <f>IF(StockTransactionsTable[[#This Row],[Transaction Type]]="Buy", StockTransactionsTable[[#This Row],[Total Amount with Fee]] / StockTransactionsTable[[#This Row],[Shares No.]],0)</f>
        <v>0</v>
      </c>
      <c r="L21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15" s="4">
        <f>YEAR(StockTransactionsTable[[#This Row],[Date]])</f>
        <v>2018</v>
      </c>
      <c r="N215" s="4">
        <f>MONTH(StockTransactionsTable[[#This Row],[Date]])</f>
        <v>9</v>
      </c>
      <c r="Q215" s="1"/>
      <c r="U215" s="33"/>
      <c r="V215" s="33"/>
    </row>
    <row r="216" spans="2:22">
      <c r="B216" s="3">
        <v>43360</v>
      </c>
      <c r="C216" s="6" t="s">
        <v>98</v>
      </c>
      <c r="D216" s="6" t="s">
        <v>30</v>
      </c>
      <c r="E216" s="5">
        <v>51</v>
      </c>
      <c r="F216" s="5">
        <v>1.1100000000000001</v>
      </c>
      <c r="G216" s="5">
        <f>StockTransactionsTable[[#This Row],[Shares No.]]*StockTransactionsTable[[#This Row],[Amount per Share]]</f>
        <v>56.610000000000007</v>
      </c>
      <c r="H216" s="5">
        <v>0</v>
      </c>
      <c r="I21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56.610000000000007</v>
      </c>
      <c r="J216" s="19">
        <f>StockTransactionsTable[[#This Row],[Fee]]/StockTransactionsTable[[#This Row],[Total Amount]]</f>
        <v>0</v>
      </c>
      <c r="K216" s="5">
        <f>IF(StockTransactionsTable[[#This Row],[Transaction Type]]="Buy", StockTransactionsTable[[#This Row],[Total Amount with Fee]] / StockTransactionsTable[[#This Row],[Shares No.]],0)</f>
        <v>0</v>
      </c>
      <c r="L21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16" s="4">
        <f>YEAR(StockTransactionsTable[[#This Row],[Date]])</f>
        <v>2018</v>
      </c>
      <c r="N216" s="4">
        <f>MONTH(StockTransactionsTable[[#This Row],[Date]])</f>
        <v>9</v>
      </c>
      <c r="Q216" s="1"/>
      <c r="U216" s="33"/>
      <c r="V216" s="33"/>
    </row>
    <row r="217" spans="2:22">
      <c r="B217" s="3">
        <v>43374</v>
      </c>
      <c r="C217" s="6" t="s">
        <v>23</v>
      </c>
      <c r="D217" s="6" t="s">
        <v>29</v>
      </c>
      <c r="E217" s="5">
        <v>18</v>
      </c>
      <c r="F217" s="5" vm="461">
        <v>46.23</v>
      </c>
      <c r="G217" s="5">
        <f>StockTransactionsTable[[#This Row],[Shares No.]]*StockTransactionsTable[[#This Row],[Amount per Share]]</f>
        <v>832.14</v>
      </c>
      <c r="H217" s="5">
        <v>0.35530377405765012</v>
      </c>
      <c r="I21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832.49530377405767</v>
      </c>
      <c r="J217" s="19">
        <f>StockTransactionsTable[[#This Row],[Fee]]/StockTransactionsTable[[#This Row],[Total Amount]]</f>
        <v>4.2697595844166865E-4</v>
      </c>
      <c r="K217" s="5">
        <f>IF(StockTransactionsTable[[#This Row],[Transaction Type]]="Buy", StockTransactionsTable[[#This Row],[Total Amount with Fee]] / StockTransactionsTable[[#This Row],[Shares No.]],0)</f>
        <v>46.249739098558763</v>
      </c>
      <c r="L21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17" s="4">
        <f>YEAR(StockTransactionsTable[[#This Row],[Date]])</f>
        <v>2018</v>
      </c>
      <c r="N217" s="4">
        <f>MONTH(StockTransactionsTable[[#This Row],[Date]])</f>
        <v>10</v>
      </c>
      <c r="Q217" s="1"/>
      <c r="U217" s="33"/>
      <c r="V217" s="33"/>
    </row>
    <row r="218" spans="2:22">
      <c r="B218" s="3">
        <v>43374</v>
      </c>
      <c r="C218" s="6" t="s">
        <v>23</v>
      </c>
      <c r="D218" s="6" t="s">
        <v>30</v>
      </c>
      <c r="E218" s="5">
        <v>27</v>
      </c>
      <c r="F218" s="5">
        <v>0.39</v>
      </c>
      <c r="G218" s="5">
        <f>StockTransactionsTable[[#This Row],[Shares No.]]*StockTransactionsTable[[#This Row],[Amount per Share]]</f>
        <v>10.530000000000001</v>
      </c>
      <c r="H218" s="5">
        <v>0</v>
      </c>
      <c r="I21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10.530000000000001</v>
      </c>
      <c r="J218" s="19">
        <f>StockTransactionsTable[[#This Row],[Fee]]/StockTransactionsTable[[#This Row],[Total Amount]]</f>
        <v>0</v>
      </c>
      <c r="K218" s="5">
        <f>IF(StockTransactionsTable[[#This Row],[Transaction Type]]="Buy", StockTransactionsTable[[#This Row],[Total Amount with Fee]] / StockTransactionsTable[[#This Row],[Shares No.]],0)</f>
        <v>0</v>
      </c>
      <c r="L21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18" s="4">
        <f>YEAR(StockTransactionsTable[[#This Row],[Date]])</f>
        <v>2018</v>
      </c>
      <c r="N218" s="4">
        <f>MONTH(StockTransactionsTable[[#This Row],[Date]])</f>
        <v>10</v>
      </c>
      <c r="Q218" s="1"/>
      <c r="U218" s="33"/>
      <c r="V218" s="33"/>
    </row>
    <row r="219" spans="2:22">
      <c r="B219" s="3">
        <v>43388</v>
      </c>
      <c r="C219" s="6" t="s">
        <v>12</v>
      </c>
      <c r="D219" s="6" t="s">
        <v>30</v>
      </c>
      <c r="E219" s="5">
        <v>6</v>
      </c>
      <c r="F219" s="5">
        <v>0.2205</v>
      </c>
      <c r="G219" s="5">
        <f>StockTransactionsTable[[#This Row],[Shares No.]]*StockTransactionsTable[[#This Row],[Amount per Share]]</f>
        <v>1.323</v>
      </c>
      <c r="H219" s="5">
        <v>0</v>
      </c>
      <c r="I21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1.323</v>
      </c>
      <c r="J219" s="19">
        <f>StockTransactionsTable[[#This Row],[Fee]]/StockTransactionsTable[[#This Row],[Total Amount]]</f>
        <v>0</v>
      </c>
      <c r="K219" s="5">
        <f>IF(StockTransactionsTable[[#This Row],[Transaction Type]]="Buy", StockTransactionsTable[[#This Row],[Total Amount with Fee]] / StockTransactionsTable[[#This Row],[Shares No.]],0)</f>
        <v>0</v>
      </c>
      <c r="L21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19" s="4">
        <f>YEAR(StockTransactionsTable[[#This Row],[Date]])</f>
        <v>2018</v>
      </c>
      <c r="N219" s="4">
        <f>MONTH(StockTransactionsTable[[#This Row],[Date]])</f>
        <v>10</v>
      </c>
      <c r="Q219" s="1"/>
      <c r="U219" s="33"/>
      <c r="V219" s="33"/>
    </row>
    <row r="220" spans="2:22">
      <c r="B220" s="3">
        <v>43389</v>
      </c>
      <c r="C220" s="6" t="s">
        <v>91</v>
      </c>
      <c r="D220" s="6" t="s">
        <v>29</v>
      </c>
      <c r="E220" s="5">
        <v>27</v>
      </c>
      <c r="F220" s="5" vm="462">
        <v>111</v>
      </c>
      <c r="G220" s="5">
        <f>StockTransactionsTable[[#This Row],[Shares No.]]*StockTransactionsTable[[#This Row],[Amount per Share]]</f>
        <v>2997</v>
      </c>
      <c r="H220" s="5">
        <v>1.3714140053334321</v>
      </c>
      <c r="I22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2998.3714140053335</v>
      </c>
      <c r="J220" s="19">
        <f>StockTransactionsTable[[#This Row],[Fee]]/StockTransactionsTable[[#This Row],[Total Amount]]</f>
        <v>4.5759559737518587E-4</v>
      </c>
      <c r="K220" s="5">
        <f>IF(StockTransactionsTable[[#This Row],[Transaction Type]]="Buy", StockTransactionsTable[[#This Row],[Total Amount with Fee]] / StockTransactionsTable[[#This Row],[Shares No.]],0)</f>
        <v>111.05079311130865</v>
      </c>
      <c r="L22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20" s="4">
        <f>YEAR(StockTransactionsTable[[#This Row],[Date]])</f>
        <v>2018</v>
      </c>
      <c r="N220" s="4">
        <f>MONTH(StockTransactionsTable[[#This Row],[Date]])</f>
        <v>10</v>
      </c>
      <c r="Q220" s="1"/>
      <c r="U220" s="33"/>
      <c r="V220" s="33"/>
    </row>
    <row r="221" spans="2:22">
      <c r="B221" s="3">
        <v>43404</v>
      </c>
      <c r="C221" s="6" t="s">
        <v>20</v>
      </c>
      <c r="D221" s="6" t="s">
        <v>30</v>
      </c>
      <c r="E221" s="5">
        <v>78</v>
      </c>
      <c r="F221" s="5">
        <v>0.8</v>
      </c>
      <c r="G221" s="5">
        <f>StockTransactionsTable[[#This Row],[Shares No.]]*StockTransactionsTable[[#This Row],[Amount per Share]]</f>
        <v>62.400000000000006</v>
      </c>
      <c r="H221" s="5">
        <v>0</v>
      </c>
      <c r="I22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62.400000000000006</v>
      </c>
      <c r="J221" s="19">
        <f>StockTransactionsTable[[#This Row],[Fee]]/StockTransactionsTable[[#This Row],[Total Amount]]</f>
        <v>0</v>
      </c>
      <c r="K221" s="5">
        <f>IF(StockTransactionsTable[[#This Row],[Transaction Type]]="Buy", StockTransactionsTable[[#This Row],[Total Amount with Fee]] / StockTransactionsTable[[#This Row],[Shares No.]],0)</f>
        <v>0</v>
      </c>
      <c r="L22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21" s="4">
        <f>YEAR(StockTransactionsTable[[#This Row],[Date]])</f>
        <v>2018</v>
      </c>
      <c r="N221" s="4">
        <f>MONTH(StockTransactionsTable[[#This Row],[Date]])</f>
        <v>10</v>
      </c>
      <c r="Q221" s="1"/>
      <c r="U221" s="33"/>
      <c r="V221" s="33"/>
    </row>
    <row r="222" spans="2:22">
      <c r="B222" s="3">
        <v>43405</v>
      </c>
      <c r="C222" s="6" t="s">
        <v>15</v>
      </c>
      <c r="D222" s="6" t="s">
        <v>30</v>
      </c>
      <c r="E222" s="5">
        <v>124</v>
      </c>
      <c r="F222" s="5">
        <v>0.5</v>
      </c>
      <c r="G222" s="5">
        <f>StockTransactionsTable[[#This Row],[Shares No.]]*StockTransactionsTable[[#This Row],[Amount per Share]]</f>
        <v>62</v>
      </c>
      <c r="H222" s="5">
        <v>0</v>
      </c>
      <c r="I22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62</v>
      </c>
      <c r="J222" s="19">
        <f>StockTransactionsTable[[#This Row],[Fee]]/StockTransactionsTable[[#This Row],[Total Amount]]</f>
        <v>0</v>
      </c>
      <c r="K222" s="5">
        <f>IF(StockTransactionsTable[[#This Row],[Transaction Type]]="Buy", StockTransactionsTable[[#This Row],[Total Amount with Fee]] / StockTransactionsTable[[#This Row],[Shares No.]],0)</f>
        <v>0</v>
      </c>
      <c r="L22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22" s="4">
        <f>YEAR(StockTransactionsTable[[#This Row],[Date]])</f>
        <v>2018</v>
      </c>
      <c r="N222" s="4">
        <f>MONTH(StockTransactionsTable[[#This Row],[Date]])</f>
        <v>11</v>
      </c>
      <c r="Q222" s="1"/>
      <c r="U222" s="33"/>
      <c r="V222" s="33"/>
    </row>
    <row r="223" spans="2:22">
      <c r="B223" s="3">
        <v>43419</v>
      </c>
      <c r="C223" s="6" t="s">
        <v>86</v>
      </c>
      <c r="D223" s="6" t="s">
        <v>30</v>
      </c>
      <c r="E223" s="5">
        <v>53</v>
      </c>
      <c r="F223" s="5">
        <v>0.96</v>
      </c>
      <c r="G223" s="5">
        <f>StockTransactionsTable[[#This Row],[Shares No.]]*StockTransactionsTable[[#This Row],[Amount per Share]]</f>
        <v>50.879999999999995</v>
      </c>
      <c r="H223" s="5">
        <v>0</v>
      </c>
      <c r="I22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50.879999999999995</v>
      </c>
      <c r="J223" s="19">
        <f>StockTransactionsTable[[#This Row],[Fee]]/StockTransactionsTable[[#This Row],[Total Amount]]</f>
        <v>0</v>
      </c>
      <c r="K223" s="5">
        <f>IF(StockTransactionsTable[[#This Row],[Transaction Type]]="Buy", StockTransactionsTable[[#This Row],[Total Amount with Fee]] / StockTransactionsTable[[#This Row],[Shares No.]],0)</f>
        <v>0</v>
      </c>
      <c r="L22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23" s="4">
        <f>YEAR(StockTransactionsTable[[#This Row],[Date]])</f>
        <v>2018</v>
      </c>
      <c r="N223" s="4">
        <f>MONTH(StockTransactionsTable[[#This Row],[Date]])</f>
        <v>11</v>
      </c>
      <c r="Q223" s="1"/>
      <c r="U223" s="33"/>
      <c r="V223" s="33"/>
    </row>
    <row r="224" spans="2:22">
      <c r="B224" s="3">
        <v>43419</v>
      </c>
      <c r="C224" s="6" t="s">
        <v>12</v>
      </c>
      <c r="D224" s="6" t="s">
        <v>30</v>
      </c>
      <c r="E224" s="5">
        <v>6</v>
      </c>
      <c r="F224" s="5">
        <v>0.2205</v>
      </c>
      <c r="G224" s="5">
        <f>StockTransactionsTable[[#This Row],[Shares No.]]*StockTransactionsTable[[#This Row],[Amount per Share]]</f>
        <v>1.323</v>
      </c>
      <c r="H224" s="5">
        <v>0</v>
      </c>
      <c r="I22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1.323</v>
      </c>
      <c r="J224" s="19">
        <f>StockTransactionsTable[[#This Row],[Fee]]/StockTransactionsTable[[#This Row],[Total Amount]]</f>
        <v>0</v>
      </c>
      <c r="K224" s="5">
        <f>IF(StockTransactionsTable[[#This Row],[Transaction Type]]="Buy", StockTransactionsTable[[#This Row],[Total Amount with Fee]] / StockTransactionsTable[[#This Row],[Shares No.]],0)</f>
        <v>0</v>
      </c>
      <c r="L22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24" s="4">
        <f>YEAR(StockTransactionsTable[[#This Row],[Date]])</f>
        <v>2018</v>
      </c>
      <c r="N224" s="4">
        <f>MONTH(StockTransactionsTable[[#This Row],[Date]])</f>
        <v>11</v>
      </c>
      <c r="Q224" s="1"/>
      <c r="U224" s="33"/>
      <c r="V224" s="33"/>
    </row>
    <row r="225" spans="2:23">
      <c r="B225" s="3">
        <v>43424</v>
      </c>
      <c r="C225" s="6" t="s">
        <v>22</v>
      </c>
      <c r="D225" s="6" t="s">
        <v>30</v>
      </c>
      <c r="E225" s="5">
        <v>61</v>
      </c>
      <c r="F225" s="5">
        <v>0.86</v>
      </c>
      <c r="G225" s="5">
        <f>StockTransactionsTable[[#This Row],[Shares No.]]*StockTransactionsTable[[#This Row],[Amount per Share]]</f>
        <v>52.46</v>
      </c>
      <c r="H225" s="5">
        <v>0</v>
      </c>
      <c r="I22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52.46</v>
      </c>
      <c r="J225" s="19">
        <f>StockTransactionsTable[[#This Row],[Fee]]/StockTransactionsTable[[#This Row],[Total Amount]]</f>
        <v>0</v>
      </c>
      <c r="K225" s="5">
        <f>IF(StockTransactionsTable[[#This Row],[Transaction Type]]="Buy", StockTransactionsTable[[#This Row],[Total Amount with Fee]] / StockTransactionsTable[[#This Row],[Shares No.]],0)</f>
        <v>0</v>
      </c>
      <c r="L22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25" s="4">
        <f>YEAR(StockTransactionsTable[[#This Row],[Date]])</f>
        <v>2018</v>
      </c>
      <c r="N225" s="4">
        <f>MONTH(StockTransactionsTable[[#This Row],[Date]])</f>
        <v>11</v>
      </c>
      <c r="Q225" s="1"/>
      <c r="U225" s="33"/>
      <c r="V225" s="33"/>
    </row>
    <row r="226" spans="2:23">
      <c r="B226" s="3">
        <v>43425</v>
      </c>
      <c r="C226" s="6" t="s">
        <v>23</v>
      </c>
      <c r="D226" s="6" t="s">
        <v>29</v>
      </c>
      <c r="E226" s="5">
        <v>13</v>
      </c>
      <c r="F226" s="5" vm="463">
        <v>48.73</v>
      </c>
      <c r="G226" s="5">
        <f>StockTransactionsTable[[#This Row],[Shares No.]]*StockTransactionsTable[[#This Row],[Amount per Share]]</f>
        <v>633.49</v>
      </c>
      <c r="H226" s="5">
        <v>0.27392596566360905</v>
      </c>
      <c r="I22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633.76392596566359</v>
      </c>
      <c r="J226" s="19">
        <f>StockTransactionsTable[[#This Row],[Fee]]/StockTransactionsTable[[#This Row],[Total Amount]]</f>
        <v>4.3240771861214705E-4</v>
      </c>
      <c r="K226" s="5">
        <f>IF(StockTransactionsTable[[#This Row],[Transaction Type]]="Buy", StockTransactionsTable[[#This Row],[Total Amount with Fee]] / StockTransactionsTable[[#This Row],[Shares No.]],0)</f>
        <v>48.751071228127969</v>
      </c>
      <c r="L22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26" s="4">
        <f>YEAR(StockTransactionsTable[[#This Row],[Date]])</f>
        <v>2018</v>
      </c>
      <c r="N226" s="4">
        <f>MONTH(StockTransactionsTable[[#This Row],[Date]])</f>
        <v>11</v>
      </c>
      <c r="Q226" s="1"/>
      <c r="U226" s="33"/>
      <c r="V226" s="33"/>
    </row>
    <row r="227" spans="2:23">
      <c r="B227" s="3">
        <v>43437</v>
      </c>
      <c r="C227" s="6" t="s">
        <v>13</v>
      </c>
      <c r="D227" s="6" t="s">
        <v>30</v>
      </c>
      <c r="E227" s="5">
        <v>25</v>
      </c>
      <c r="F227" s="5">
        <v>0.34</v>
      </c>
      <c r="G227" s="5">
        <f>StockTransactionsTable[[#This Row],[Shares No.]]*StockTransactionsTable[[#This Row],[Amount per Share]]</f>
        <v>8.5</v>
      </c>
      <c r="H227" s="5">
        <v>0</v>
      </c>
      <c r="I22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8.5</v>
      </c>
      <c r="J227" s="19">
        <f>StockTransactionsTable[[#This Row],[Fee]]/StockTransactionsTable[[#This Row],[Total Amount]]</f>
        <v>0</v>
      </c>
      <c r="K227" s="5">
        <f>IF(StockTransactionsTable[[#This Row],[Transaction Type]]="Buy", StockTransactionsTable[[#This Row],[Total Amount with Fee]] / StockTransactionsTable[[#This Row],[Shares No.]],0)</f>
        <v>0</v>
      </c>
      <c r="L22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27" s="4">
        <f>YEAR(StockTransactionsTable[[#This Row],[Date]])</f>
        <v>2018</v>
      </c>
      <c r="N227" s="4">
        <f>MONTH(StockTransactionsTable[[#This Row],[Date]])</f>
        <v>12</v>
      </c>
      <c r="Q227" s="1"/>
      <c r="U227" s="33"/>
      <c r="V227" s="33"/>
    </row>
    <row r="228" spans="2:23">
      <c r="B228" s="3">
        <v>43444</v>
      </c>
      <c r="C228" s="6" t="s">
        <v>17</v>
      </c>
      <c r="D228" s="6" t="s">
        <v>30</v>
      </c>
      <c r="E228" s="5">
        <v>63</v>
      </c>
      <c r="F228" s="5">
        <v>1.57</v>
      </c>
      <c r="G228" s="5">
        <f>StockTransactionsTable[[#This Row],[Shares No.]]*StockTransactionsTable[[#This Row],[Amount per Share]]</f>
        <v>98.910000000000011</v>
      </c>
      <c r="H228" s="5">
        <v>0</v>
      </c>
      <c r="I22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98.910000000000011</v>
      </c>
      <c r="J228" s="19">
        <f>StockTransactionsTable[[#This Row],[Fee]]/StockTransactionsTable[[#This Row],[Total Amount]]</f>
        <v>0</v>
      </c>
      <c r="K228" s="5">
        <f>IF(StockTransactionsTable[[#This Row],[Transaction Type]]="Buy", StockTransactionsTable[[#This Row],[Total Amount with Fee]] / StockTransactionsTable[[#This Row],[Shares No.]],0)</f>
        <v>0</v>
      </c>
      <c r="L22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28" s="4">
        <f>YEAR(StockTransactionsTable[[#This Row],[Date]])</f>
        <v>2018</v>
      </c>
      <c r="N228" s="4">
        <f>MONTH(StockTransactionsTable[[#This Row],[Date]])</f>
        <v>12</v>
      </c>
      <c r="Q228" s="1"/>
      <c r="U228" s="33"/>
      <c r="V228" s="33"/>
    </row>
    <row r="229" spans="2:23">
      <c r="B229" s="3">
        <v>43444</v>
      </c>
      <c r="C229" s="6" t="s">
        <v>16</v>
      </c>
      <c r="D229" s="6" t="s">
        <v>30</v>
      </c>
      <c r="E229" s="5">
        <v>145</v>
      </c>
      <c r="F229" s="5">
        <v>0.82</v>
      </c>
      <c r="G229" s="5">
        <f>StockTransactionsTable[[#This Row],[Shares No.]]*StockTransactionsTable[[#This Row],[Amount per Share]]</f>
        <v>118.89999999999999</v>
      </c>
      <c r="H229" s="5">
        <v>0</v>
      </c>
      <c r="I22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118.89999999999999</v>
      </c>
      <c r="J229" s="19">
        <f>StockTransactionsTable[[#This Row],[Fee]]/StockTransactionsTable[[#This Row],[Total Amount]]</f>
        <v>0</v>
      </c>
      <c r="K229" s="5">
        <f>IF(StockTransactionsTable[[#This Row],[Transaction Type]]="Buy", StockTransactionsTable[[#This Row],[Total Amount with Fee]] / StockTransactionsTable[[#This Row],[Shares No.]],0)</f>
        <v>0</v>
      </c>
      <c r="L22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29" s="4">
        <f>YEAR(StockTransactionsTable[[#This Row],[Date]])</f>
        <v>2018</v>
      </c>
      <c r="N229" s="4">
        <f>MONTH(StockTransactionsTable[[#This Row],[Date]])</f>
        <v>12</v>
      </c>
      <c r="Q229" s="1"/>
      <c r="U229" s="33"/>
      <c r="V229" s="33"/>
    </row>
    <row r="230" spans="2:23">
      <c r="B230" s="3">
        <v>43445</v>
      </c>
      <c r="C230" s="6" t="s">
        <v>84</v>
      </c>
      <c r="D230" s="6" t="s">
        <v>30</v>
      </c>
      <c r="E230" s="5">
        <v>51</v>
      </c>
      <c r="F230" s="5">
        <v>0.9</v>
      </c>
      <c r="G230" s="5">
        <f>StockTransactionsTable[[#This Row],[Shares No.]]*StockTransactionsTable[[#This Row],[Amount per Share]]</f>
        <v>45.9</v>
      </c>
      <c r="H230" s="5">
        <v>0</v>
      </c>
      <c r="I23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45.9</v>
      </c>
      <c r="J230" s="19">
        <f>StockTransactionsTable[[#This Row],[Fee]]/StockTransactionsTable[[#This Row],[Total Amount]]</f>
        <v>0</v>
      </c>
      <c r="K230" s="5">
        <f>IF(StockTransactionsTable[[#This Row],[Transaction Type]]="Buy", StockTransactionsTable[[#This Row],[Total Amount with Fee]] / StockTransactionsTable[[#This Row],[Shares No.]],0)</f>
        <v>0</v>
      </c>
      <c r="L23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30" s="4">
        <f>YEAR(StockTransactionsTable[[#This Row],[Date]])</f>
        <v>2018</v>
      </c>
      <c r="N230" s="4">
        <f>MONTH(StockTransactionsTable[[#This Row],[Date]])</f>
        <v>12</v>
      </c>
      <c r="Q230" s="1"/>
      <c r="U230" s="33"/>
      <c r="V230" s="33"/>
    </row>
    <row r="231" spans="2:23">
      <c r="B231" s="3">
        <v>43446</v>
      </c>
      <c r="C231" s="6" t="s">
        <v>106</v>
      </c>
      <c r="D231" s="6" t="s">
        <v>30</v>
      </c>
      <c r="E231" s="5">
        <v>35</v>
      </c>
      <c r="F231" s="5">
        <v>0.48</v>
      </c>
      <c r="G231" s="5">
        <f>StockTransactionsTable[[#This Row],[Shares No.]]*StockTransactionsTable[[#This Row],[Amount per Share]]</f>
        <v>16.8</v>
      </c>
      <c r="H231" s="5">
        <v>0</v>
      </c>
      <c r="I23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16.8</v>
      </c>
      <c r="J231" s="19">
        <f>StockTransactionsTable[[#This Row],[Fee]]/StockTransactionsTable[[#This Row],[Total Amount]]</f>
        <v>0</v>
      </c>
      <c r="K231" s="5">
        <f>IF(StockTransactionsTable[[#This Row],[Transaction Type]]="Buy", StockTransactionsTable[[#This Row],[Total Amount with Fee]] / StockTransactionsTable[[#This Row],[Shares No.]],0)</f>
        <v>0</v>
      </c>
      <c r="L23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31" s="4">
        <f>YEAR(StockTransactionsTable[[#This Row],[Date]])</f>
        <v>2018</v>
      </c>
      <c r="N231" s="4">
        <f>MONTH(StockTransactionsTable[[#This Row],[Date]])</f>
        <v>12</v>
      </c>
      <c r="Q231" s="1"/>
      <c r="U231" s="33"/>
      <c r="V231" s="33"/>
    </row>
    <row r="232" spans="2:23">
      <c r="B232" s="3">
        <v>43447</v>
      </c>
      <c r="C232" s="6" t="s">
        <v>95</v>
      </c>
      <c r="D232" s="6" t="s">
        <v>30</v>
      </c>
      <c r="E232" s="5">
        <v>43</v>
      </c>
      <c r="F232" s="5">
        <v>1.03</v>
      </c>
      <c r="G232" s="5">
        <f>StockTransactionsTable[[#This Row],[Shares No.]]*StockTransactionsTable[[#This Row],[Amount per Share]]</f>
        <v>44.29</v>
      </c>
      <c r="H232" s="5">
        <v>0</v>
      </c>
      <c r="I23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44.29</v>
      </c>
      <c r="J232" s="19">
        <f>StockTransactionsTable[[#This Row],[Fee]]/StockTransactionsTable[[#This Row],[Total Amount]]</f>
        <v>0</v>
      </c>
      <c r="K232" s="5">
        <f>IF(StockTransactionsTable[[#This Row],[Transaction Type]]="Buy", StockTransactionsTable[[#This Row],[Total Amount with Fee]] / StockTransactionsTable[[#This Row],[Shares No.]],0)</f>
        <v>0</v>
      </c>
      <c r="L23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32" s="4">
        <f>YEAR(StockTransactionsTable[[#This Row],[Date]])</f>
        <v>2018</v>
      </c>
      <c r="N232" s="4">
        <f>MONTH(StockTransactionsTable[[#This Row],[Date]])</f>
        <v>12</v>
      </c>
      <c r="Q232" s="1"/>
      <c r="U232" s="33"/>
      <c r="V232" s="33"/>
    </row>
    <row r="233" spans="2:23">
      <c r="B233" s="3">
        <v>43447</v>
      </c>
      <c r="C233" s="6" t="s">
        <v>91</v>
      </c>
      <c r="D233" s="6" t="s">
        <v>30</v>
      </c>
      <c r="E233" s="5">
        <v>106</v>
      </c>
      <c r="F233" s="5">
        <v>0.46</v>
      </c>
      <c r="G233" s="5">
        <f>StockTransactionsTable[[#This Row],[Shares No.]]*StockTransactionsTable[[#This Row],[Amount per Share]]</f>
        <v>48.760000000000005</v>
      </c>
      <c r="H233" s="5">
        <v>0</v>
      </c>
      <c r="I23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48.760000000000005</v>
      </c>
      <c r="J233" s="19">
        <f>StockTransactionsTable[[#This Row],[Fee]]/StockTransactionsTable[[#This Row],[Total Amount]]</f>
        <v>0</v>
      </c>
      <c r="K233" s="5">
        <f>IF(StockTransactionsTable[[#This Row],[Transaction Type]]="Buy", StockTransactionsTable[[#This Row],[Total Amount with Fee]] / StockTransactionsTable[[#This Row],[Shares No.]],0)</f>
        <v>0</v>
      </c>
      <c r="L23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33" s="4">
        <f>YEAR(StockTransactionsTable[[#This Row],[Date]])</f>
        <v>2018</v>
      </c>
      <c r="N233" s="4">
        <f>MONTH(StockTransactionsTable[[#This Row],[Date]])</f>
        <v>12</v>
      </c>
      <c r="Q233" s="1"/>
      <c r="U233" s="33"/>
      <c r="V233" s="33"/>
    </row>
    <row r="234" spans="2:23">
      <c r="B234" s="3">
        <v>43448</v>
      </c>
      <c r="C234" s="6" t="s">
        <v>23</v>
      </c>
      <c r="D234" s="6" t="s">
        <v>30</v>
      </c>
      <c r="E234" s="5">
        <v>58</v>
      </c>
      <c r="F234" s="5">
        <v>0.39</v>
      </c>
      <c r="G234" s="5">
        <f>StockTransactionsTable[[#This Row],[Shares No.]]*StockTransactionsTable[[#This Row],[Amount per Share]]</f>
        <v>22.62</v>
      </c>
      <c r="H234" s="5">
        <v>0</v>
      </c>
      <c r="I23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22.62</v>
      </c>
      <c r="J234" s="19">
        <f>StockTransactionsTable[[#This Row],[Fee]]/StockTransactionsTable[[#This Row],[Total Amount]]</f>
        <v>0</v>
      </c>
      <c r="K234" s="5">
        <f>IF(StockTransactionsTable[[#This Row],[Transaction Type]]="Buy", StockTransactionsTable[[#This Row],[Total Amount with Fee]] / StockTransactionsTable[[#This Row],[Shares No.]],0)</f>
        <v>0</v>
      </c>
      <c r="L23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34" s="4">
        <f>YEAR(StockTransactionsTable[[#This Row],[Date]])</f>
        <v>2018</v>
      </c>
      <c r="N234" s="4">
        <f>MONTH(StockTransactionsTable[[#This Row],[Date]])</f>
        <v>12</v>
      </c>
      <c r="Q234" s="1"/>
      <c r="U234" s="33"/>
      <c r="V234" s="33"/>
    </row>
    <row r="235" spans="2:23">
      <c r="B235" s="3">
        <v>43448</v>
      </c>
      <c r="C235" s="6" t="s">
        <v>12</v>
      </c>
      <c r="D235" s="6" t="s">
        <v>30</v>
      </c>
      <c r="E235" s="5">
        <v>6</v>
      </c>
      <c r="F235" s="5">
        <v>0.2205</v>
      </c>
      <c r="G235" s="5">
        <f>StockTransactionsTable[[#This Row],[Shares No.]]*StockTransactionsTable[[#This Row],[Amount per Share]]</f>
        <v>1.323</v>
      </c>
      <c r="H235" s="5">
        <v>0</v>
      </c>
      <c r="I23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1.323</v>
      </c>
      <c r="J235" s="19">
        <f>StockTransactionsTable[[#This Row],[Fee]]/StockTransactionsTable[[#This Row],[Total Amount]]</f>
        <v>0</v>
      </c>
      <c r="K235" s="5">
        <f>IF(StockTransactionsTable[[#This Row],[Transaction Type]]="Buy", StockTransactionsTable[[#This Row],[Total Amount with Fee]] / StockTransactionsTable[[#This Row],[Shares No.]],0)</f>
        <v>0</v>
      </c>
      <c r="L23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35" s="4">
        <f>YEAR(StockTransactionsTable[[#This Row],[Date]])</f>
        <v>2018</v>
      </c>
      <c r="N235" s="4">
        <f>MONTH(StockTransactionsTable[[#This Row],[Date]])</f>
        <v>12</v>
      </c>
      <c r="R235" s="1"/>
      <c r="V235" s="33"/>
      <c r="W235" s="33"/>
    </row>
    <row r="236" spans="2:23">
      <c r="B236" s="3">
        <v>43451</v>
      </c>
      <c r="C236" s="6" t="s">
        <v>100</v>
      </c>
      <c r="D236" s="6" t="s">
        <v>30</v>
      </c>
      <c r="E236" s="5">
        <v>33</v>
      </c>
      <c r="F236" s="5">
        <v>0.92749999999999999</v>
      </c>
      <c r="G236" s="5">
        <f>StockTransactionsTable[[#This Row],[Shares No.]]*StockTransactionsTable[[#This Row],[Amount per Share]]</f>
        <v>30.607499999999998</v>
      </c>
      <c r="H236" s="5">
        <v>0</v>
      </c>
      <c r="I23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30.607499999999998</v>
      </c>
      <c r="J236" s="19">
        <f>StockTransactionsTable[[#This Row],[Fee]]/StockTransactionsTable[[#This Row],[Total Amount]]</f>
        <v>0</v>
      </c>
      <c r="K236" s="5">
        <f>IF(StockTransactionsTable[[#This Row],[Transaction Type]]="Buy", StockTransactionsTable[[#This Row],[Total Amount with Fee]] / StockTransactionsTable[[#This Row],[Shares No.]],0)</f>
        <v>0</v>
      </c>
      <c r="L23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36" s="4">
        <f>YEAR(StockTransactionsTable[[#This Row],[Date]])</f>
        <v>2018</v>
      </c>
      <c r="N236" s="4">
        <f>MONTH(StockTransactionsTable[[#This Row],[Date]])</f>
        <v>12</v>
      </c>
      <c r="R236" s="1"/>
      <c r="V236" s="33"/>
      <c r="W236" s="33"/>
    </row>
    <row r="237" spans="2:23">
      <c r="B237" s="3">
        <v>43451</v>
      </c>
      <c r="C237" s="6" t="s">
        <v>98</v>
      </c>
      <c r="D237" s="6" t="s">
        <v>30</v>
      </c>
      <c r="E237" s="5">
        <v>51</v>
      </c>
      <c r="F237" s="5">
        <v>1.1100000000000001</v>
      </c>
      <c r="G237" s="5">
        <f>StockTransactionsTable[[#This Row],[Shares No.]]*StockTransactionsTable[[#This Row],[Amount per Share]]</f>
        <v>56.610000000000007</v>
      </c>
      <c r="H237" s="5">
        <v>0</v>
      </c>
      <c r="I23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56.610000000000007</v>
      </c>
      <c r="J237" s="19">
        <f>StockTransactionsTable[[#This Row],[Fee]]/StockTransactionsTable[[#This Row],[Total Amount]]</f>
        <v>0</v>
      </c>
      <c r="K237" s="5">
        <f>IF(StockTransactionsTable[[#This Row],[Transaction Type]]="Buy", StockTransactionsTable[[#This Row],[Total Amount with Fee]] / StockTransactionsTable[[#This Row],[Shares No.]],0)</f>
        <v>0</v>
      </c>
      <c r="L23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37" s="4">
        <f>YEAR(StockTransactionsTable[[#This Row],[Date]])</f>
        <v>2018</v>
      </c>
      <c r="N237" s="4">
        <f>MONTH(StockTransactionsTable[[#This Row],[Date]])</f>
        <v>12</v>
      </c>
      <c r="R237" s="1"/>
      <c r="V237" s="33"/>
      <c r="W237" s="33"/>
    </row>
    <row r="238" spans="2:23">
      <c r="B238" s="3">
        <v>43454</v>
      </c>
      <c r="C238" s="6" t="s">
        <v>106</v>
      </c>
      <c r="D238" s="6" t="s">
        <v>29</v>
      </c>
      <c r="E238" s="5">
        <v>17</v>
      </c>
      <c r="F238" s="5" vm="464">
        <v>97.07</v>
      </c>
      <c r="G238" s="5">
        <f>StockTransactionsTable[[#This Row],[Shares No.]]*StockTransactionsTable[[#This Row],[Amount per Share]]</f>
        <v>1650.1899999999998</v>
      </c>
      <c r="H238" s="5">
        <v>0.67951094964990699</v>
      </c>
      <c r="I23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1650.8695109496498</v>
      </c>
      <c r="J238" s="19">
        <f>StockTransactionsTable[[#This Row],[Fee]]/StockTransactionsTable[[#This Row],[Total Amount]]</f>
        <v>4.1177740117798986E-4</v>
      </c>
      <c r="K238" s="5">
        <f>IF(StockTransactionsTable[[#This Row],[Transaction Type]]="Buy", StockTransactionsTable[[#This Row],[Total Amount with Fee]] / StockTransactionsTable[[#This Row],[Shares No.]],0)</f>
        <v>97.109971232332342</v>
      </c>
      <c r="L23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38" s="4">
        <f>YEAR(StockTransactionsTable[[#This Row],[Date]])</f>
        <v>2018</v>
      </c>
      <c r="N238" s="4">
        <f>MONTH(StockTransactionsTable[[#This Row],[Date]])</f>
        <v>12</v>
      </c>
      <c r="R238" s="1"/>
      <c r="V238" s="33"/>
      <c r="W238" s="33"/>
    </row>
    <row r="239" spans="2:23">
      <c r="B239" s="3">
        <v>43474</v>
      </c>
      <c r="C239" s="6" t="s">
        <v>98</v>
      </c>
      <c r="D239" s="6" t="s">
        <v>29</v>
      </c>
      <c r="E239" s="5">
        <v>22</v>
      </c>
      <c r="F239" s="5" vm="465">
        <v>43.197499999999998</v>
      </c>
      <c r="G239" s="5">
        <f>StockTransactionsTable[[#This Row],[Shares No.]]*StockTransactionsTable[[#This Row],[Amount per Share]]</f>
        <v>950.34499999999991</v>
      </c>
      <c r="H239" s="5">
        <v>0.45944155730853237</v>
      </c>
      <c r="I23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950.80444155730845</v>
      </c>
      <c r="J239" s="19">
        <f>StockTransactionsTable[[#This Row],[Fee]]/StockTransactionsTable[[#This Row],[Total Amount]]</f>
        <v>4.8344712426385406E-4</v>
      </c>
      <c r="K239" s="5">
        <f>IF(StockTransactionsTable[[#This Row],[Transaction Type]]="Buy", StockTransactionsTable[[#This Row],[Total Amount with Fee]] / StockTransactionsTable[[#This Row],[Shares No.]],0)</f>
        <v>43.218383707150387</v>
      </c>
      <c r="L23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39" s="4">
        <f>YEAR(StockTransactionsTable[[#This Row],[Date]])</f>
        <v>2019</v>
      </c>
      <c r="N239" s="4">
        <f>MONTH(StockTransactionsTable[[#This Row],[Date]])</f>
        <v>1</v>
      </c>
      <c r="R239" s="1"/>
      <c r="V239" s="33"/>
      <c r="W239" s="33"/>
    </row>
    <row r="240" spans="2:23">
      <c r="B240" s="3">
        <v>43480</v>
      </c>
      <c r="C240" s="6" t="s">
        <v>12</v>
      </c>
      <c r="D240" s="6" t="s">
        <v>30</v>
      </c>
      <c r="E240" s="5">
        <v>6</v>
      </c>
      <c r="F240" s="5">
        <v>0.221</v>
      </c>
      <c r="G240" s="5">
        <f>StockTransactionsTable[[#This Row],[Shares No.]]*StockTransactionsTable[[#This Row],[Amount per Share]]</f>
        <v>1.3260000000000001</v>
      </c>
      <c r="H240" s="5">
        <v>0</v>
      </c>
      <c r="I24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1.3260000000000001</v>
      </c>
      <c r="J240" s="19">
        <f>StockTransactionsTable[[#This Row],[Fee]]/StockTransactionsTable[[#This Row],[Total Amount]]</f>
        <v>0</v>
      </c>
      <c r="K240" s="5">
        <f>IF(StockTransactionsTable[[#This Row],[Transaction Type]]="Buy", StockTransactionsTable[[#This Row],[Total Amount with Fee]] / StockTransactionsTable[[#This Row],[Shares No.]],0)</f>
        <v>0</v>
      </c>
      <c r="L24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40" s="4">
        <f>YEAR(StockTransactionsTable[[#This Row],[Date]])</f>
        <v>2019</v>
      </c>
      <c r="N240" s="4">
        <f>MONTH(StockTransactionsTable[[#This Row],[Date]])</f>
        <v>1</v>
      </c>
      <c r="R240" s="1"/>
      <c r="V240" s="33"/>
      <c r="W240" s="33"/>
    </row>
    <row r="241" spans="2:23">
      <c r="B241" s="3">
        <v>43496</v>
      </c>
      <c r="C241" s="6" t="s">
        <v>20</v>
      </c>
      <c r="D241" s="6" t="s">
        <v>30</v>
      </c>
      <c r="E241" s="5">
        <v>78</v>
      </c>
      <c r="F241" s="5">
        <v>0.8</v>
      </c>
      <c r="G241" s="5">
        <f>StockTransactionsTable[[#This Row],[Shares No.]]*StockTransactionsTable[[#This Row],[Amount per Share]]</f>
        <v>62.400000000000006</v>
      </c>
      <c r="H241" s="5">
        <v>0</v>
      </c>
      <c r="I24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62.400000000000006</v>
      </c>
      <c r="J241" s="19">
        <f>StockTransactionsTable[[#This Row],[Fee]]/StockTransactionsTable[[#This Row],[Total Amount]]</f>
        <v>0</v>
      </c>
      <c r="K241" s="5">
        <f>IF(StockTransactionsTable[[#This Row],[Transaction Type]]="Buy", StockTransactionsTable[[#This Row],[Total Amount with Fee]] / StockTransactionsTable[[#This Row],[Shares No.]],0)</f>
        <v>0</v>
      </c>
      <c r="L24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41" s="4">
        <f>YEAR(StockTransactionsTable[[#This Row],[Date]])</f>
        <v>2019</v>
      </c>
      <c r="N241" s="4">
        <f>MONTH(StockTransactionsTable[[#This Row],[Date]])</f>
        <v>1</v>
      </c>
      <c r="R241" s="1"/>
      <c r="V241" s="33"/>
      <c r="W241" s="33"/>
    </row>
    <row r="242" spans="2:23">
      <c r="B242" s="3">
        <v>43497</v>
      </c>
      <c r="C242" s="6" t="s">
        <v>100</v>
      </c>
      <c r="D242" s="6" t="s">
        <v>29</v>
      </c>
      <c r="E242" s="5">
        <v>33</v>
      </c>
      <c r="F242" s="5" vm="466">
        <v>87.78</v>
      </c>
      <c r="G242" s="5">
        <f>StockTransactionsTable[[#This Row],[Shares No.]]*StockTransactionsTable[[#This Row],[Amount per Share]]</f>
        <v>2896.7400000000002</v>
      </c>
      <c r="H242" s="5">
        <v>1.4213765297027428</v>
      </c>
      <c r="I24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2898.1613765297029</v>
      </c>
      <c r="J242" s="19">
        <f>StockTransactionsTable[[#This Row],[Fee]]/StockTransactionsTable[[#This Row],[Total Amount]]</f>
        <v>4.906814314376653E-4</v>
      </c>
      <c r="K242" s="5">
        <f>IF(StockTransactionsTable[[#This Row],[Transaction Type]]="Buy", StockTransactionsTable[[#This Row],[Total Amount with Fee]] / StockTransactionsTable[[#This Row],[Shares No.]],0)</f>
        <v>87.823072016051597</v>
      </c>
      <c r="L24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42" s="4">
        <f>YEAR(StockTransactionsTable[[#This Row],[Date]])</f>
        <v>2019</v>
      </c>
      <c r="N242" s="4">
        <f>MONTH(StockTransactionsTable[[#This Row],[Date]])</f>
        <v>2</v>
      </c>
      <c r="R242" s="1"/>
      <c r="V242" s="33"/>
      <c r="W242" s="33"/>
    </row>
    <row r="243" spans="2:23">
      <c r="B243" s="3">
        <v>43497</v>
      </c>
      <c r="C243" s="6" t="s">
        <v>15</v>
      </c>
      <c r="D243" s="6" t="s">
        <v>30</v>
      </c>
      <c r="E243" s="5">
        <v>124</v>
      </c>
      <c r="F243" s="5">
        <v>0.51</v>
      </c>
      <c r="G243" s="5">
        <f>StockTransactionsTable[[#This Row],[Shares No.]]*StockTransactionsTable[[#This Row],[Amount per Share]]</f>
        <v>63.24</v>
      </c>
      <c r="H243" s="5">
        <v>0</v>
      </c>
      <c r="I24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63.24</v>
      </c>
      <c r="J243" s="19">
        <f>StockTransactionsTable[[#This Row],[Fee]]/StockTransactionsTable[[#This Row],[Total Amount]]</f>
        <v>0</v>
      </c>
      <c r="K243" s="5">
        <f>IF(StockTransactionsTable[[#This Row],[Transaction Type]]="Buy", StockTransactionsTable[[#This Row],[Total Amount with Fee]] / StockTransactionsTable[[#This Row],[Shares No.]],0)</f>
        <v>0</v>
      </c>
      <c r="L24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43" s="4">
        <f>YEAR(StockTransactionsTable[[#This Row],[Date]])</f>
        <v>2019</v>
      </c>
      <c r="N243" s="4">
        <f>MONTH(StockTransactionsTable[[#This Row],[Date]])</f>
        <v>2</v>
      </c>
      <c r="R243" s="1"/>
      <c r="V243" s="33"/>
      <c r="W243" s="33"/>
    </row>
    <row r="244" spans="2:23">
      <c r="B244" s="3">
        <v>43511</v>
      </c>
      <c r="C244" s="6" t="s">
        <v>86</v>
      </c>
      <c r="D244" s="6" t="s">
        <v>30</v>
      </c>
      <c r="E244" s="5">
        <v>53</v>
      </c>
      <c r="F244" s="5">
        <v>1.07</v>
      </c>
      <c r="G244" s="5">
        <f>StockTransactionsTable[[#This Row],[Shares No.]]*StockTransactionsTable[[#This Row],[Amount per Share]]</f>
        <v>56.71</v>
      </c>
      <c r="H244" s="5">
        <v>0</v>
      </c>
      <c r="I24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56.71</v>
      </c>
      <c r="J244" s="19">
        <f>StockTransactionsTable[[#This Row],[Fee]]/StockTransactionsTable[[#This Row],[Total Amount]]</f>
        <v>0</v>
      </c>
      <c r="K244" s="5">
        <f>IF(StockTransactionsTable[[#This Row],[Transaction Type]]="Buy", StockTransactionsTable[[#This Row],[Total Amount with Fee]] / StockTransactionsTable[[#This Row],[Shares No.]],0)</f>
        <v>0</v>
      </c>
      <c r="L24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44" s="4">
        <f>YEAR(StockTransactionsTable[[#This Row],[Date]])</f>
        <v>2019</v>
      </c>
      <c r="N244" s="4">
        <f>MONTH(StockTransactionsTable[[#This Row],[Date]])</f>
        <v>2</v>
      </c>
      <c r="R244" s="1"/>
      <c r="V244" s="33"/>
      <c r="W244" s="33"/>
    </row>
    <row r="245" spans="2:23">
      <c r="B245" s="3">
        <v>43511</v>
      </c>
      <c r="C245" s="6" t="s">
        <v>12</v>
      </c>
      <c r="D245" s="6" t="s">
        <v>30</v>
      </c>
      <c r="E245" s="5">
        <v>6</v>
      </c>
      <c r="F245" s="5">
        <v>0.22550000000000001</v>
      </c>
      <c r="G245" s="5">
        <f>StockTransactionsTable[[#This Row],[Shares No.]]*StockTransactionsTable[[#This Row],[Amount per Share]]</f>
        <v>1.353</v>
      </c>
      <c r="H245" s="5">
        <v>0</v>
      </c>
      <c r="I24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1.353</v>
      </c>
      <c r="J245" s="19">
        <f>StockTransactionsTable[[#This Row],[Fee]]/StockTransactionsTable[[#This Row],[Total Amount]]</f>
        <v>0</v>
      </c>
      <c r="K245" s="5">
        <f>IF(StockTransactionsTable[[#This Row],[Transaction Type]]="Buy", StockTransactionsTable[[#This Row],[Total Amount with Fee]] / StockTransactionsTable[[#This Row],[Shares No.]],0)</f>
        <v>0</v>
      </c>
      <c r="L24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45" s="4">
        <f>YEAR(StockTransactionsTable[[#This Row],[Date]])</f>
        <v>2019</v>
      </c>
      <c r="N245" s="4">
        <f>MONTH(StockTransactionsTable[[#This Row],[Date]])</f>
        <v>2</v>
      </c>
      <c r="R245" s="1"/>
      <c r="V245" s="33"/>
      <c r="W245" s="33"/>
    </row>
    <row r="246" spans="2:23">
      <c r="B246" s="3">
        <v>43516</v>
      </c>
      <c r="C246" s="6" t="s">
        <v>22</v>
      </c>
      <c r="D246" s="6" t="s">
        <v>30</v>
      </c>
      <c r="E246" s="5">
        <v>61</v>
      </c>
      <c r="F246" s="5">
        <v>0.86</v>
      </c>
      <c r="G246" s="5">
        <f>StockTransactionsTable[[#This Row],[Shares No.]]*StockTransactionsTable[[#This Row],[Amount per Share]]</f>
        <v>52.46</v>
      </c>
      <c r="H246" s="5">
        <v>0</v>
      </c>
      <c r="I24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52.46</v>
      </c>
      <c r="J246" s="19">
        <f>StockTransactionsTable[[#This Row],[Fee]]/StockTransactionsTable[[#This Row],[Total Amount]]</f>
        <v>0</v>
      </c>
      <c r="K246" s="5">
        <f>IF(StockTransactionsTable[[#This Row],[Transaction Type]]="Buy", StockTransactionsTable[[#This Row],[Total Amount with Fee]] / StockTransactionsTable[[#This Row],[Shares No.]],0)</f>
        <v>0</v>
      </c>
      <c r="L24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46" s="4">
        <f>YEAR(StockTransactionsTable[[#This Row],[Date]])</f>
        <v>2019</v>
      </c>
      <c r="N246" s="4">
        <f>MONTH(StockTransactionsTable[[#This Row],[Date]])</f>
        <v>2</v>
      </c>
      <c r="R246" s="1"/>
      <c r="V246" s="33"/>
      <c r="W246" s="33"/>
    </row>
    <row r="247" spans="2:23">
      <c r="B247" s="3">
        <v>43525</v>
      </c>
      <c r="C247" s="6" t="s">
        <v>13</v>
      </c>
      <c r="D247" s="6" t="s">
        <v>30</v>
      </c>
      <c r="E247" s="5">
        <v>25</v>
      </c>
      <c r="F247" s="5">
        <v>0.36</v>
      </c>
      <c r="G247" s="5">
        <f>StockTransactionsTable[[#This Row],[Shares No.]]*StockTransactionsTable[[#This Row],[Amount per Share]]</f>
        <v>9</v>
      </c>
      <c r="H247" s="5">
        <v>0</v>
      </c>
      <c r="I24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v>
      </c>
      <c r="J247" s="19">
        <f>StockTransactionsTable[[#This Row],[Fee]]/StockTransactionsTable[[#This Row],[Total Amount]]</f>
        <v>0</v>
      </c>
      <c r="K247" s="5">
        <f>IF(StockTransactionsTable[[#This Row],[Transaction Type]]="Buy", StockTransactionsTable[[#This Row],[Total Amount with Fee]] / StockTransactionsTable[[#This Row],[Shares No.]],0)</f>
        <v>0</v>
      </c>
      <c r="L24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47" s="4">
        <f>YEAR(StockTransactionsTable[[#This Row],[Date]])</f>
        <v>2019</v>
      </c>
      <c r="N247" s="4">
        <f>MONTH(StockTransactionsTable[[#This Row],[Date]])</f>
        <v>3</v>
      </c>
      <c r="R247" s="1"/>
      <c r="V247" s="33"/>
      <c r="W247" s="33"/>
    </row>
    <row r="248" spans="2:23">
      <c r="B248" s="3">
        <v>43532</v>
      </c>
      <c r="C248" s="6" t="s">
        <v>19</v>
      </c>
      <c r="D248" s="6" t="s">
        <v>29</v>
      </c>
      <c r="E248" s="5">
        <v>32</v>
      </c>
      <c r="F248" s="5" vm="467">
        <v>157.83000000000001</v>
      </c>
      <c r="G248" s="5">
        <f>StockTransactionsTable[[#This Row],[Shares No.]]*StockTransactionsTable[[#This Row],[Amount per Share]]</f>
        <v>5050.5600000000004</v>
      </c>
      <c r="H248" s="5">
        <v>2.2811971764702577</v>
      </c>
      <c r="I24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5052.8411971764708</v>
      </c>
      <c r="J248" s="19">
        <f>StockTransactionsTable[[#This Row],[Fee]]/StockTransactionsTable[[#This Row],[Total Amount]]</f>
        <v>4.5167212674837197E-4</v>
      </c>
      <c r="K248" s="5">
        <f>IF(StockTransactionsTable[[#This Row],[Transaction Type]]="Buy", StockTransactionsTable[[#This Row],[Total Amount with Fee]] / StockTransactionsTable[[#This Row],[Shares No.]],0)</f>
        <v>157.90128741176471</v>
      </c>
      <c r="L24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48" s="4">
        <f>YEAR(StockTransactionsTable[[#This Row],[Date]])</f>
        <v>2019</v>
      </c>
      <c r="N248" s="4">
        <f>MONTH(StockTransactionsTable[[#This Row],[Date]])</f>
        <v>3</v>
      </c>
      <c r="R248" s="1"/>
      <c r="V248" s="33"/>
      <c r="W248" s="33"/>
    </row>
    <row r="249" spans="2:23">
      <c r="B249" s="3">
        <v>43533</v>
      </c>
      <c r="C249" s="6" t="s">
        <v>17</v>
      </c>
      <c r="D249" s="6" t="s">
        <v>30</v>
      </c>
      <c r="E249" s="5">
        <v>63</v>
      </c>
      <c r="F249" s="5">
        <v>1.57</v>
      </c>
      <c r="G249" s="5">
        <f>StockTransactionsTable[[#This Row],[Shares No.]]*StockTransactionsTable[[#This Row],[Amount per Share]]</f>
        <v>98.910000000000011</v>
      </c>
      <c r="H249" s="5">
        <v>0</v>
      </c>
      <c r="I24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98.910000000000011</v>
      </c>
      <c r="J249" s="19">
        <f>StockTransactionsTable[[#This Row],[Fee]]/StockTransactionsTable[[#This Row],[Total Amount]]</f>
        <v>0</v>
      </c>
      <c r="K249" s="5">
        <f>IF(StockTransactionsTable[[#This Row],[Transaction Type]]="Buy", StockTransactionsTable[[#This Row],[Total Amount with Fee]] / StockTransactionsTable[[#This Row],[Shares No.]],0)</f>
        <v>0</v>
      </c>
      <c r="L24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49" s="4">
        <f>YEAR(StockTransactionsTable[[#This Row],[Date]])</f>
        <v>2019</v>
      </c>
      <c r="N249" s="4">
        <f>MONTH(StockTransactionsTable[[#This Row],[Date]])</f>
        <v>3</v>
      </c>
      <c r="R249" s="1"/>
      <c r="V249" s="33"/>
      <c r="W249" s="33"/>
    </row>
    <row r="250" spans="2:23">
      <c r="B250" s="3">
        <v>43535</v>
      </c>
      <c r="C250" s="6" t="s">
        <v>16</v>
      </c>
      <c r="D250" s="6" t="s">
        <v>30</v>
      </c>
      <c r="E250" s="5">
        <v>145</v>
      </c>
      <c r="F250" s="5">
        <v>0.82</v>
      </c>
      <c r="G250" s="5">
        <f>StockTransactionsTable[[#This Row],[Shares No.]]*StockTransactionsTable[[#This Row],[Amount per Share]]</f>
        <v>118.89999999999999</v>
      </c>
      <c r="H250" s="5">
        <v>0</v>
      </c>
      <c r="I25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118.89999999999999</v>
      </c>
      <c r="J250" s="19">
        <f>StockTransactionsTable[[#This Row],[Fee]]/StockTransactionsTable[[#This Row],[Total Amount]]</f>
        <v>0</v>
      </c>
      <c r="K250" s="5">
        <f>IF(StockTransactionsTable[[#This Row],[Transaction Type]]="Buy", StockTransactionsTable[[#This Row],[Total Amount with Fee]] / StockTransactionsTable[[#This Row],[Shares No.]],0)</f>
        <v>0</v>
      </c>
      <c r="L25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50" s="4">
        <f>YEAR(StockTransactionsTable[[#This Row],[Date]])</f>
        <v>2019</v>
      </c>
      <c r="N250" s="4">
        <f>MONTH(StockTransactionsTable[[#This Row],[Date]])</f>
        <v>3</v>
      </c>
      <c r="R250" s="1"/>
      <c r="V250" s="33"/>
      <c r="W250" s="33"/>
    </row>
    <row r="251" spans="2:23">
      <c r="B251" s="3">
        <v>43536</v>
      </c>
      <c r="C251" s="6" t="s">
        <v>84</v>
      </c>
      <c r="D251" s="6" t="s">
        <v>30</v>
      </c>
      <c r="E251" s="5">
        <v>51</v>
      </c>
      <c r="F251" s="5">
        <v>0.9</v>
      </c>
      <c r="G251" s="5">
        <f>StockTransactionsTable[[#This Row],[Shares No.]]*StockTransactionsTable[[#This Row],[Amount per Share]]</f>
        <v>45.9</v>
      </c>
      <c r="H251" s="5">
        <v>0</v>
      </c>
      <c r="I25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45.9</v>
      </c>
      <c r="J251" s="19">
        <f>StockTransactionsTable[[#This Row],[Fee]]/StockTransactionsTable[[#This Row],[Total Amount]]</f>
        <v>0</v>
      </c>
      <c r="K251" s="5">
        <f>IF(StockTransactionsTable[[#This Row],[Transaction Type]]="Buy", StockTransactionsTable[[#This Row],[Total Amount with Fee]] / StockTransactionsTable[[#This Row],[Shares No.]],0)</f>
        <v>0</v>
      </c>
      <c r="L25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51" s="4">
        <f>YEAR(StockTransactionsTable[[#This Row],[Date]])</f>
        <v>2019</v>
      </c>
      <c r="N251" s="4">
        <f>MONTH(StockTransactionsTable[[#This Row],[Date]])</f>
        <v>3</v>
      </c>
      <c r="R251" s="1"/>
      <c r="V251" s="33"/>
      <c r="W251" s="33"/>
    </row>
    <row r="252" spans="2:23">
      <c r="B252" s="3">
        <v>43536</v>
      </c>
      <c r="C252" s="6" t="s">
        <v>106</v>
      </c>
      <c r="D252" s="6" t="s">
        <v>30</v>
      </c>
      <c r="E252" s="5">
        <v>52</v>
      </c>
      <c r="F252" s="5">
        <v>0.48</v>
      </c>
      <c r="G252" s="5">
        <f>StockTransactionsTable[[#This Row],[Shares No.]]*StockTransactionsTable[[#This Row],[Amount per Share]]</f>
        <v>24.96</v>
      </c>
      <c r="H252" s="5">
        <v>0</v>
      </c>
      <c r="I25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24.96</v>
      </c>
      <c r="J252" s="19">
        <f>StockTransactionsTable[[#This Row],[Fee]]/StockTransactionsTable[[#This Row],[Total Amount]]</f>
        <v>0</v>
      </c>
      <c r="K252" s="5">
        <f>IF(StockTransactionsTable[[#This Row],[Transaction Type]]="Buy", StockTransactionsTable[[#This Row],[Total Amount with Fee]] / StockTransactionsTable[[#This Row],[Shares No.]],0)</f>
        <v>0</v>
      </c>
      <c r="L25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52" s="4">
        <f>YEAR(StockTransactionsTable[[#This Row],[Date]])</f>
        <v>2019</v>
      </c>
      <c r="N252" s="4">
        <f>MONTH(StockTransactionsTable[[#This Row],[Date]])</f>
        <v>3</v>
      </c>
      <c r="R252" s="1"/>
      <c r="V252" s="33"/>
      <c r="W252" s="33"/>
    </row>
    <row r="253" spans="2:23">
      <c r="B253" s="3">
        <v>43538</v>
      </c>
      <c r="C253" s="6" t="s">
        <v>91</v>
      </c>
      <c r="D253" s="6" t="s">
        <v>30</v>
      </c>
      <c r="E253" s="5">
        <v>106</v>
      </c>
      <c r="F253" s="5">
        <v>0.46</v>
      </c>
      <c r="G253" s="5">
        <f>StockTransactionsTable[[#This Row],[Shares No.]]*StockTransactionsTable[[#This Row],[Amount per Share]]</f>
        <v>48.760000000000005</v>
      </c>
      <c r="H253" s="5">
        <v>0</v>
      </c>
      <c r="I25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48.760000000000005</v>
      </c>
      <c r="J253" s="19">
        <f>StockTransactionsTable[[#This Row],[Fee]]/StockTransactionsTable[[#This Row],[Total Amount]]</f>
        <v>0</v>
      </c>
      <c r="K253" s="5">
        <f>IF(StockTransactionsTable[[#This Row],[Transaction Type]]="Buy", StockTransactionsTable[[#This Row],[Total Amount with Fee]] / StockTransactionsTable[[#This Row],[Shares No.]],0)</f>
        <v>0</v>
      </c>
      <c r="L25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53" s="4">
        <f>YEAR(StockTransactionsTable[[#This Row],[Date]])</f>
        <v>2019</v>
      </c>
      <c r="N253" s="4">
        <f>MONTH(StockTransactionsTable[[#This Row],[Date]])</f>
        <v>3</v>
      </c>
      <c r="R253" s="1"/>
      <c r="V253" s="33"/>
      <c r="W253" s="33"/>
    </row>
    <row r="254" spans="2:23">
      <c r="B254" s="3">
        <v>43539</v>
      </c>
      <c r="C254" s="6" t="s">
        <v>98</v>
      </c>
      <c r="D254" s="6" t="s">
        <v>30</v>
      </c>
      <c r="E254" s="5">
        <v>73</v>
      </c>
      <c r="F254" s="5">
        <v>1.25</v>
      </c>
      <c r="G254" s="5">
        <f>StockTransactionsTable[[#This Row],[Shares No.]]*StockTransactionsTable[[#This Row],[Amount per Share]]</f>
        <v>91.25</v>
      </c>
      <c r="H254" s="5">
        <v>0</v>
      </c>
      <c r="I25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91.25</v>
      </c>
      <c r="J254" s="19">
        <f>StockTransactionsTable[[#This Row],[Fee]]/StockTransactionsTable[[#This Row],[Total Amount]]</f>
        <v>0</v>
      </c>
      <c r="K254" s="5">
        <f>IF(StockTransactionsTable[[#This Row],[Transaction Type]]="Buy", StockTransactionsTable[[#This Row],[Total Amount with Fee]] / StockTransactionsTable[[#This Row],[Shares No.]],0)</f>
        <v>0</v>
      </c>
      <c r="L25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54" s="4">
        <f>YEAR(StockTransactionsTable[[#This Row],[Date]])</f>
        <v>2019</v>
      </c>
      <c r="N254" s="4">
        <f>MONTH(StockTransactionsTable[[#This Row],[Date]])</f>
        <v>3</v>
      </c>
      <c r="R254" s="1"/>
      <c r="V254" s="33"/>
      <c r="W254" s="33"/>
    </row>
    <row r="255" spans="2:23">
      <c r="B255" s="3">
        <v>43539</v>
      </c>
      <c r="C255" s="6" t="s">
        <v>12</v>
      </c>
      <c r="D255" s="6" t="s">
        <v>30</v>
      </c>
      <c r="E255" s="5">
        <v>6</v>
      </c>
      <c r="F255" s="5">
        <v>0.22550000000000001</v>
      </c>
      <c r="G255" s="5">
        <f>StockTransactionsTable[[#This Row],[Shares No.]]*StockTransactionsTable[[#This Row],[Amount per Share]]</f>
        <v>1.353</v>
      </c>
      <c r="H255" s="5">
        <v>0</v>
      </c>
      <c r="I25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1.353</v>
      </c>
      <c r="J255" s="19">
        <f>StockTransactionsTable[[#This Row],[Fee]]/StockTransactionsTable[[#This Row],[Total Amount]]</f>
        <v>0</v>
      </c>
      <c r="K255" s="5">
        <f>IF(StockTransactionsTable[[#This Row],[Transaction Type]]="Buy", StockTransactionsTable[[#This Row],[Total Amount with Fee]] / StockTransactionsTable[[#This Row],[Shares No.]],0)</f>
        <v>0</v>
      </c>
      <c r="L25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55" s="4">
        <f>YEAR(StockTransactionsTable[[#This Row],[Date]])</f>
        <v>2019</v>
      </c>
      <c r="N255" s="4">
        <f>MONTH(StockTransactionsTable[[#This Row],[Date]])</f>
        <v>3</v>
      </c>
      <c r="R255" s="1"/>
      <c r="V255" s="33"/>
      <c r="W255" s="33"/>
    </row>
    <row r="256" spans="2:23">
      <c r="B256" s="3">
        <v>43542</v>
      </c>
      <c r="C256" s="6" t="s">
        <v>100</v>
      </c>
      <c r="D256" s="6" t="s">
        <v>30</v>
      </c>
      <c r="E256" s="5">
        <v>66</v>
      </c>
      <c r="F256" s="5">
        <v>0.92749999999999999</v>
      </c>
      <c r="G256" s="5">
        <f>StockTransactionsTable[[#This Row],[Shares No.]]*StockTransactionsTable[[#This Row],[Amount per Share]]</f>
        <v>61.214999999999996</v>
      </c>
      <c r="H256" s="5">
        <v>0</v>
      </c>
      <c r="I25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61.214999999999996</v>
      </c>
      <c r="J256" s="19">
        <f>StockTransactionsTable[[#This Row],[Fee]]/StockTransactionsTable[[#This Row],[Total Amount]]</f>
        <v>0</v>
      </c>
      <c r="K256" s="5">
        <f>IF(StockTransactionsTable[[#This Row],[Transaction Type]]="Buy", StockTransactionsTable[[#This Row],[Total Amount with Fee]] / StockTransactionsTable[[#This Row],[Shares No.]],0)</f>
        <v>0</v>
      </c>
      <c r="L25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56" s="4">
        <f>YEAR(StockTransactionsTable[[#This Row],[Date]])</f>
        <v>2019</v>
      </c>
      <c r="N256" s="4">
        <f>MONTH(StockTransactionsTable[[#This Row],[Date]])</f>
        <v>3</v>
      </c>
      <c r="R256" s="1"/>
      <c r="V256" s="33"/>
      <c r="W256" s="33"/>
    </row>
    <row r="257" spans="2:23">
      <c r="B257" s="3">
        <v>43552</v>
      </c>
      <c r="C257" s="6" t="s">
        <v>95</v>
      </c>
      <c r="D257" s="6" t="s">
        <v>30</v>
      </c>
      <c r="E257" s="5">
        <v>43</v>
      </c>
      <c r="F257" s="5">
        <v>1.36</v>
      </c>
      <c r="G257" s="5">
        <f>StockTransactionsTable[[#This Row],[Shares No.]]*StockTransactionsTable[[#This Row],[Amount per Share]]</f>
        <v>58.480000000000004</v>
      </c>
      <c r="H257" s="5">
        <v>0</v>
      </c>
      <c r="I25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58.480000000000004</v>
      </c>
      <c r="J257" s="19">
        <f>StockTransactionsTable[[#This Row],[Fee]]/StockTransactionsTable[[#This Row],[Total Amount]]</f>
        <v>0</v>
      </c>
      <c r="K257" s="5">
        <f>IF(StockTransactionsTable[[#This Row],[Transaction Type]]="Buy", StockTransactionsTable[[#This Row],[Total Amount with Fee]] / StockTransactionsTable[[#This Row],[Shares No.]],0)</f>
        <v>0</v>
      </c>
      <c r="L25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57" s="4">
        <f>YEAR(StockTransactionsTable[[#This Row],[Date]])</f>
        <v>2019</v>
      </c>
      <c r="N257" s="4">
        <f>MONTH(StockTransactionsTable[[#This Row],[Date]])</f>
        <v>3</v>
      </c>
      <c r="R257" s="1"/>
      <c r="V257" s="33"/>
      <c r="W257" s="33"/>
    </row>
    <row r="258" spans="2:23">
      <c r="B258" s="3">
        <v>43556</v>
      </c>
      <c r="C258" s="6" t="s">
        <v>23</v>
      </c>
      <c r="D258" s="6" t="s">
        <v>30</v>
      </c>
      <c r="E258" s="5">
        <v>58</v>
      </c>
      <c r="F258" s="5">
        <v>0.4</v>
      </c>
      <c r="G258" s="5">
        <f>StockTransactionsTable[[#This Row],[Shares No.]]*StockTransactionsTable[[#This Row],[Amount per Share]]</f>
        <v>23.200000000000003</v>
      </c>
      <c r="H258" s="5">
        <v>0</v>
      </c>
      <c r="I25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23.200000000000003</v>
      </c>
      <c r="J258" s="19">
        <f>StockTransactionsTable[[#This Row],[Fee]]/StockTransactionsTable[[#This Row],[Total Amount]]</f>
        <v>0</v>
      </c>
      <c r="K258" s="5">
        <f>IF(StockTransactionsTable[[#This Row],[Transaction Type]]="Buy", StockTransactionsTable[[#This Row],[Total Amount with Fee]] / StockTransactionsTable[[#This Row],[Shares No.]],0)</f>
        <v>0</v>
      </c>
      <c r="L25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58" s="4">
        <f>YEAR(StockTransactionsTable[[#This Row],[Date]])</f>
        <v>2019</v>
      </c>
      <c r="N258" s="4">
        <f>MONTH(StockTransactionsTable[[#This Row],[Date]])</f>
        <v>4</v>
      </c>
      <c r="R258" s="1"/>
      <c r="V258" s="33"/>
      <c r="W258" s="33"/>
    </row>
    <row r="259" spans="2:23">
      <c r="B259" s="3">
        <v>43557</v>
      </c>
      <c r="C259" s="6" t="s">
        <v>100</v>
      </c>
      <c r="D259" s="6" t="s">
        <v>29</v>
      </c>
      <c r="E259" s="5">
        <v>8</v>
      </c>
      <c r="F259" s="5" vm="468">
        <v>89.13</v>
      </c>
      <c r="G259" s="5">
        <f>StockTransactionsTable[[#This Row],[Shares No.]]*StockTransactionsTable[[#This Row],[Amount per Share]]</f>
        <v>713.04</v>
      </c>
      <c r="H259" s="5">
        <v>0.3555254190157599</v>
      </c>
      <c r="I25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713.39552541901571</v>
      </c>
      <c r="J259" s="19">
        <f>StockTransactionsTable[[#This Row],[Fee]]/StockTransactionsTable[[#This Row],[Total Amount]]</f>
        <v>4.9860515401065845E-4</v>
      </c>
      <c r="K259" s="5">
        <f>IF(StockTransactionsTable[[#This Row],[Transaction Type]]="Buy", StockTransactionsTable[[#This Row],[Total Amount with Fee]] / StockTransactionsTable[[#This Row],[Shares No.]],0)</f>
        <v>89.174440677376964</v>
      </c>
      <c r="L25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59" s="4">
        <f>YEAR(StockTransactionsTable[[#This Row],[Date]])</f>
        <v>2019</v>
      </c>
      <c r="N259" s="4">
        <f>MONTH(StockTransactionsTable[[#This Row],[Date]])</f>
        <v>4</v>
      </c>
      <c r="R259" s="1"/>
      <c r="V259" s="33"/>
      <c r="W259" s="33"/>
    </row>
    <row r="260" spans="2:23">
      <c r="B260" s="3">
        <v>43570</v>
      </c>
      <c r="C260" s="6" t="s">
        <v>12</v>
      </c>
      <c r="D260" s="6" t="s">
        <v>30</v>
      </c>
      <c r="E260" s="5">
        <v>6</v>
      </c>
      <c r="F260" s="5">
        <v>0.22600000000000001</v>
      </c>
      <c r="G260" s="5">
        <f>StockTransactionsTable[[#This Row],[Shares No.]]*StockTransactionsTable[[#This Row],[Amount per Share]]</f>
        <v>1.3560000000000001</v>
      </c>
      <c r="H260" s="5">
        <v>0</v>
      </c>
      <c r="I26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1.3560000000000001</v>
      </c>
      <c r="J260" s="19">
        <f>StockTransactionsTable[[#This Row],[Fee]]/StockTransactionsTable[[#This Row],[Total Amount]]</f>
        <v>0</v>
      </c>
      <c r="K260" s="5">
        <f>IF(StockTransactionsTable[[#This Row],[Transaction Type]]="Buy", StockTransactionsTable[[#This Row],[Total Amount with Fee]] / StockTransactionsTable[[#This Row],[Shares No.]],0)</f>
        <v>0</v>
      </c>
      <c r="L26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60" s="4">
        <f>YEAR(StockTransactionsTable[[#This Row],[Date]])</f>
        <v>2019</v>
      </c>
      <c r="N260" s="4">
        <f>MONTH(StockTransactionsTable[[#This Row],[Date]])</f>
        <v>4</v>
      </c>
      <c r="R260" s="1"/>
      <c r="V260" s="33"/>
      <c r="W260" s="33"/>
    </row>
    <row r="261" spans="2:23">
      <c r="B261" s="3">
        <v>43585</v>
      </c>
      <c r="C261" s="6" t="s">
        <v>20</v>
      </c>
      <c r="D261" s="6" t="s">
        <v>30</v>
      </c>
      <c r="E261" s="5">
        <v>78</v>
      </c>
      <c r="F261" s="5">
        <v>0.8</v>
      </c>
      <c r="G261" s="5">
        <f>StockTransactionsTable[[#This Row],[Shares No.]]*StockTransactionsTable[[#This Row],[Amount per Share]]</f>
        <v>62.400000000000006</v>
      </c>
      <c r="H261" s="5">
        <v>0</v>
      </c>
      <c r="I26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62.400000000000006</v>
      </c>
      <c r="J261" s="19">
        <f>StockTransactionsTable[[#This Row],[Fee]]/StockTransactionsTable[[#This Row],[Total Amount]]</f>
        <v>0</v>
      </c>
      <c r="K261" s="5">
        <f>IF(StockTransactionsTable[[#This Row],[Transaction Type]]="Buy", StockTransactionsTable[[#This Row],[Total Amount with Fee]] / StockTransactionsTable[[#This Row],[Shares No.]],0)</f>
        <v>0</v>
      </c>
      <c r="L26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61" s="4">
        <f>YEAR(StockTransactionsTable[[#This Row],[Date]])</f>
        <v>2019</v>
      </c>
      <c r="N261" s="4">
        <f>MONTH(StockTransactionsTable[[#This Row],[Date]])</f>
        <v>4</v>
      </c>
      <c r="R261" s="1"/>
      <c r="V261" s="33"/>
      <c r="W261" s="33"/>
    </row>
    <row r="262" spans="2:23">
      <c r="B262" s="3">
        <v>43586</v>
      </c>
      <c r="C262" s="6" t="s">
        <v>12</v>
      </c>
      <c r="D262" s="6" t="s">
        <v>29</v>
      </c>
      <c r="E262" s="5">
        <v>23</v>
      </c>
      <c r="F262" s="5" vm="469">
        <v>70</v>
      </c>
      <c r="G262" s="5">
        <f>StockTransactionsTable[[#This Row],[Shares No.]]*StockTransactionsTable[[#This Row],[Amount per Share]]</f>
        <v>1610</v>
      </c>
      <c r="H262" s="5">
        <v>0.74899087964985256</v>
      </c>
      <c r="I26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1610.7489908796499</v>
      </c>
      <c r="J262" s="19">
        <f>StockTransactionsTable[[#This Row],[Fee]]/StockTransactionsTable[[#This Row],[Total Amount]]</f>
        <v>4.6521172649059163E-4</v>
      </c>
      <c r="K262" s="5">
        <f>IF(StockTransactionsTable[[#This Row],[Transaction Type]]="Buy", StockTransactionsTable[[#This Row],[Total Amount with Fee]] / StockTransactionsTable[[#This Row],[Shares No.]],0)</f>
        <v>70.032564820854347</v>
      </c>
      <c r="L26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62" s="4">
        <f>YEAR(StockTransactionsTable[[#This Row],[Date]])</f>
        <v>2019</v>
      </c>
      <c r="N262" s="4">
        <f>MONTH(StockTransactionsTable[[#This Row],[Date]])</f>
        <v>5</v>
      </c>
      <c r="R262" s="1"/>
      <c r="V262" s="33"/>
      <c r="W262" s="33"/>
    </row>
    <row r="263" spans="2:23">
      <c r="B263" s="3">
        <v>43586</v>
      </c>
      <c r="C263" s="6" t="s">
        <v>15</v>
      </c>
      <c r="D263" s="6" t="s">
        <v>30</v>
      </c>
      <c r="E263" s="5">
        <v>124</v>
      </c>
      <c r="F263" s="5">
        <v>0.51</v>
      </c>
      <c r="G263" s="5">
        <f>StockTransactionsTable[[#This Row],[Shares No.]]*StockTransactionsTable[[#This Row],[Amount per Share]]</f>
        <v>63.24</v>
      </c>
      <c r="H263" s="5">
        <v>0</v>
      </c>
      <c r="I26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63.24</v>
      </c>
      <c r="J263" s="19">
        <f>StockTransactionsTable[[#This Row],[Fee]]/StockTransactionsTable[[#This Row],[Total Amount]]</f>
        <v>0</v>
      </c>
      <c r="K263" s="5">
        <f>IF(StockTransactionsTable[[#This Row],[Transaction Type]]="Buy", StockTransactionsTable[[#This Row],[Total Amount with Fee]] / StockTransactionsTable[[#This Row],[Shares No.]],0)</f>
        <v>0</v>
      </c>
      <c r="L26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63" s="4">
        <f>YEAR(StockTransactionsTable[[#This Row],[Date]])</f>
        <v>2019</v>
      </c>
      <c r="N263" s="4">
        <f>MONTH(StockTransactionsTable[[#This Row],[Date]])</f>
        <v>5</v>
      </c>
      <c r="R263" s="1"/>
      <c r="V263" s="33"/>
      <c r="W263" s="33"/>
    </row>
    <row r="264" spans="2:23">
      <c r="B264" s="3">
        <v>43595</v>
      </c>
      <c r="C264" s="6" t="s">
        <v>19</v>
      </c>
      <c r="D264" s="6" t="s">
        <v>30</v>
      </c>
      <c r="E264" s="5">
        <v>32</v>
      </c>
      <c r="F264" s="5">
        <v>0.96</v>
      </c>
      <c r="G264" s="5">
        <f>StockTransactionsTable[[#This Row],[Shares No.]]*StockTransactionsTable[[#This Row],[Amount per Share]]</f>
        <v>30.72</v>
      </c>
      <c r="H264" s="5">
        <v>0</v>
      </c>
      <c r="I26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30.72</v>
      </c>
      <c r="J264" s="19">
        <f>StockTransactionsTable[[#This Row],[Fee]]/StockTransactionsTable[[#This Row],[Total Amount]]</f>
        <v>0</v>
      </c>
      <c r="K264" s="5">
        <f>IF(StockTransactionsTable[[#This Row],[Transaction Type]]="Buy", StockTransactionsTable[[#This Row],[Total Amount with Fee]] / StockTransactionsTable[[#This Row],[Shares No.]],0)</f>
        <v>0</v>
      </c>
      <c r="L26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64" s="4">
        <f>YEAR(StockTransactionsTable[[#This Row],[Date]])</f>
        <v>2019</v>
      </c>
      <c r="N264" s="4">
        <f>MONTH(StockTransactionsTable[[#This Row],[Date]])</f>
        <v>5</v>
      </c>
      <c r="R264" s="1"/>
      <c r="V264" s="33"/>
      <c r="W264" s="33"/>
    </row>
    <row r="265" spans="2:23">
      <c r="B265" s="3">
        <v>43600</v>
      </c>
      <c r="C265" s="6" t="s">
        <v>86</v>
      </c>
      <c r="D265" s="6" t="s">
        <v>30</v>
      </c>
      <c r="E265" s="5">
        <v>53</v>
      </c>
      <c r="F265" s="5">
        <v>1.07</v>
      </c>
      <c r="G265" s="5">
        <f>StockTransactionsTable[[#This Row],[Shares No.]]*StockTransactionsTable[[#This Row],[Amount per Share]]</f>
        <v>56.71</v>
      </c>
      <c r="H265" s="5">
        <v>0</v>
      </c>
      <c r="I26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56.71</v>
      </c>
      <c r="J265" s="19">
        <f>StockTransactionsTable[[#This Row],[Fee]]/StockTransactionsTable[[#This Row],[Total Amount]]</f>
        <v>0</v>
      </c>
      <c r="K265" s="5">
        <f>IF(StockTransactionsTable[[#This Row],[Transaction Type]]="Buy", StockTransactionsTable[[#This Row],[Total Amount with Fee]] / StockTransactionsTable[[#This Row],[Shares No.]],0)</f>
        <v>0</v>
      </c>
      <c r="L26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65" s="4">
        <f>YEAR(StockTransactionsTable[[#This Row],[Date]])</f>
        <v>2019</v>
      </c>
      <c r="N265" s="4">
        <f>MONTH(StockTransactionsTable[[#This Row],[Date]])</f>
        <v>5</v>
      </c>
      <c r="R265" s="1"/>
      <c r="V265" s="33"/>
      <c r="W265" s="33"/>
    </row>
    <row r="266" spans="2:23">
      <c r="B266" s="3">
        <v>43600</v>
      </c>
      <c r="C266" s="6" t="s">
        <v>12</v>
      </c>
      <c r="D266" s="6" t="s">
        <v>30</v>
      </c>
      <c r="E266" s="5">
        <v>6</v>
      </c>
      <c r="F266" s="5">
        <v>0.22600000000000001</v>
      </c>
      <c r="G266" s="5">
        <f>StockTransactionsTable[[#This Row],[Shares No.]]*StockTransactionsTable[[#This Row],[Amount per Share]]</f>
        <v>1.3560000000000001</v>
      </c>
      <c r="H266" s="5">
        <v>0</v>
      </c>
      <c r="I26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1.3560000000000001</v>
      </c>
      <c r="J266" s="19">
        <f>StockTransactionsTable[[#This Row],[Fee]]/StockTransactionsTable[[#This Row],[Total Amount]]</f>
        <v>0</v>
      </c>
      <c r="K266" s="5">
        <f>IF(StockTransactionsTable[[#This Row],[Transaction Type]]="Buy", StockTransactionsTable[[#This Row],[Total Amount with Fee]] / StockTransactionsTable[[#This Row],[Shares No.]],0)</f>
        <v>0</v>
      </c>
      <c r="L26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66" s="4">
        <f>YEAR(StockTransactionsTable[[#This Row],[Date]])</f>
        <v>2019</v>
      </c>
      <c r="N266" s="4">
        <f>MONTH(StockTransactionsTable[[#This Row],[Date]])</f>
        <v>5</v>
      </c>
      <c r="R266" s="1"/>
      <c r="V266" s="33"/>
      <c r="W266" s="33"/>
    </row>
    <row r="267" spans="2:23">
      <c r="B267" s="3">
        <v>43605</v>
      </c>
      <c r="C267" s="6" t="s">
        <v>22</v>
      </c>
      <c r="D267" s="6" t="s">
        <v>30</v>
      </c>
      <c r="E267" s="5">
        <v>61</v>
      </c>
      <c r="F267" s="5">
        <v>0.86</v>
      </c>
      <c r="G267" s="5">
        <f>StockTransactionsTable[[#This Row],[Shares No.]]*StockTransactionsTable[[#This Row],[Amount per Share]]</f>
        <v>52.46</v>
      </c>
      <c r="H267" s="5">
        <v>0</v>
      </c>
      <c r="I26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52.46</v>
      </c>
      <c r="J267" s="19">
        <f>StockTransactionsTable[[#This Row],[Fee]]/StockTransactionsTable[[#This Row],[Total Amount]]</f>
        <v>0</v>
      </c>
      <c r="K267" s="5">
        <f>IF(StockTransactionsTable[[#This Row],[Transaction Type]]="Buy", StockTransactionsTable[[#This Row],[Total Amount with Fee]] / StockTransactionsTable[[#This Row],[Shares No.]],0)</f>
        <v>0</v>
      </c>
      <c r="L26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67" s="4">
        <f>YEAR(StockTransactionsTable[[#This Row],[Date]])</f>
        <v>2019</v>
      </c>
      <c r="N267" s="4">
        <f>MONTH(StockTransactionsTable[[#This Row],[Date]])</f>
        <v>5</v>
      </c>
      <c r="R267" s="1"/>
      <c r="V267" s="33"/>
      <c r="W267" s="33"/>
    </row>
    <row r="268" spans="2:23">
      <c r="B268" s="3">
        <v>43614</v>
      </c>
      <c r="C268" s="6" t="s">
        <v>13</v>
      </c>
      <c r="D268" s="6" t="s">
        <v>29</v>
      </c>
      <c r="E268" s="5">
        <v>30</v>
      </c>
      <c r="F268" s="5" vm="470">
        <v>39.548499999999997</v>
      </c>
      <c r="G268" s="5">
        <f>StockTransactionsTable[[#This Row],[Shares No.]]*StockTransactionsTable[[#This Row],[Amount per Share]]</f>
        <v>1186.4549999999999</v>
      </c>
      <c r="H268" s="5">
        <v>0.53964964282089201</v>
      </c>
      <c r="I26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1186.9946496428208</v>
      </c>
      <c r="J268" s="19">
        <f>StockTransactionsTable[[#This Row],[Fee]]/StockTransactionsTable[[#This Row],[Total Amount]]</f>
        <v>4.5484206549838976E-4</v>
      </c>
      <c r="K268" s="5">
        <f>IF(StockTransactionsTable[[#This Row],[Transaction Type]]="Buy", StockTransactionsTable[[#This Row],[Total Amount with Fee]] / StockTransactionsTable[[#This Row],[Shares No.]],0)</f>
        <v>39.566488321427364</v>
      </c>
      <c r="L26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68" s="4">
        <f>YEAR(StockTransactionsTable[[#This Row],[Date]])</f>
        <v>2019</v>
      </c>
      <c r="N268" s="4">
        <f>MONTH(StockTransactionsTable[[#This Row],[Date]])</f>
        <v>5</v>
      </c>
      <c r="R268" s="1"/>
      <c r="V268" s="33"/>
      <c r="W268" s="33"/>
    </row>
    <row r="269" spans="2:23">
      <c r="B269" s="3">
        <v>43623</v>
      </c>
      <c r="C269" s="6" t="s">
        <v>13</v>
      </c>
      <c r="D269" s="6" t="s">
        <v>30</v>
      </c>
      <c r="E269" s="5">
        <v>25</v>
      </c>
      <c r="F269" s="5">
        <v>0.36</v>
      </c>
      <c r="G269" s="5">
        <f>StockTransactionsTable[[#This Row],[Shares No.]]*StockTransactionsTable[[#This Row],[Amount per Share]]</f>
        <v>9</v>
      </c>
      <c r="H269" s="5">
        <v>0</v>
      </c>
      <c r="I26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v>
      </c>
      <c r="J269" s="19">
        <f>StockTransactionsTable[[#This Row],[Fee]]/StockTransactionsTable[[#This Row],[Total Amount]]</f>
        <v>0</v>
      </c>
      <c r="K269" s="5">
        <f>IF(StockTransactionsTable[[#This Row],[Transaction Type]]="Buy", StockTransactionsTable[[#This Row],[Total Amount with Fee]] / StockTransactionsTable[[#This Row],[Shares No.]],0)</f>
        <v>0</v>
      </c>
      <c r="L26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69" s="4">
        <f>YEAR(StockTransactionsTable[[#This Row],[Date]])</f>
        <v>2019</v>
      </c>
      <c r="N269" s="4">
        <f>MONTH(StockTransactionsTable[[#This Row],[Date]])</f>
        <v>6</v>
      </c>
      <c r="R269" s="1"/>
      <c r="V269" s="33"/>
      <c r="W269" s="33"/>
    </row>
    <row r="270" spans="2:23">
      <c r="B270" s="3">
        <v>43626</v>
      </c>
      <c r="C270" s="6" t="s">
        <v>17</v>
      </c>
      <c r="D270" s="6" t="s">
        <v>30</v>
      </c>
      <c r="E270" s="5">
        <v>63</v>
      </c>
      <c r="F270" s="5">
        <v>1.62</v>
      </c>
      <c r="G270" s="5">
        <f>StockTransactionsTable[[#This Row],[Shares No.]]*StockTransactionsTable[[#This Row],[Amount per Share]]</f>
        <v>102.06</v>
      </c>
      <c r="H270" s="5">
        <v>0</v>
      </c>
      <c r="I27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102.06</v>
      </c>
      <c r="J270" s="19">
        <f>StockTransactionsTable[[#This Row],[Fee]]/StockTransactionsTable[[#This Row],[Total Amount]]</f>
        <v>0</v>
      </c>
      <c r="K270" s="5">
        <f>IF(StockTransactionsTable[[#This Row],[Transaction Type]]="Buy", StockTransactionsTable[[#This Row],[Total Amount with Fee]] / StockTransactionsTable[[#This Row],[Shares No.]],0)</f>
        <v>0</v>
      </c>
      <c r="L27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70" s="4">
        <f>YEAR(StockTransactionsTable[[#This Row],[Date]])</f>
        <v>2019</v>
      </c>
      <c r="N270" s="4">
        <f>MONTH(StockTransactionsTable[[#This Row],[Date]])</f>
        <v>6</v>
      </c>
      <c r="R270" s="1"/>
      <c r="V270" s="33"/>
      <c r="W270" s="33"/>
    </row>
    <row r="271" spans="2:23">
      <c r="B271" s="3">
        <v>43626</v>
      </c>
      <c r="C271" s="6" t="s">
        <v>16</v>
      </c>
      <c r="D271" s="6" t="s">
        <v>30</v>
      </c>
      <c r="E271" s="5">
        <v>145</v>
      </c>
      <c r="F271" s="5">
        <v>0.87</v>
      </c>
      <c r="G271" s="5">
        <f>StockTransactionsTable[[#This Row],[Shares No.]]*StockTransactionsTable[[#This Row],[Amount per Share]]</f>
        <v>126.15</v>
      </c>
      <c r="H271" s="5">
        <v>0</v>
      </c>
      <c r="I27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126.15</v>
      </c>
      <c r="J271" s="19">
        <f>StockTransactionsTable[[#This Row],[Fee]]/StockTransactionsTable[[#This Row],[Total Amount]]</f>
        <v>0</v>
      </c>
      <c r="K271" s="5">
        <f>IF(StockTransactionsTable[[#This Row],[Transaction Type]]="Buy", StockTransactionsTable[[#This Row],[Total Amount with Fee]] / StockTransactionsTable[[#This Row],[Shares No.]],0)</f>
        <v>0</v>
      </c>
      <c r="L27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71" s="4">
        <f>YEAR(StockTransactionsTable[[#This Row],[Date]])</f>
        <v>2019</v>
      </c>
      <c r="N271" s="4">
        <f>MONTH(StockTransactionsTable[[#This Row],[Date]])</f>
        <v>6</v>
      </c>
      <c r="R271" s="1"/>
      <c r="V271" s="33"/>
      <c r="W271" s="33"/>
    </row>
    <row r="272" spans="2:23">
      <c r="B272" s="3">
        <v>43627</v>
      </c>
      <c r="C272" s="6" t="s">
        <v>84</v>
      </c>
      <c r="D272" s="6" t="s">
        <v>30</v>
      </c>
      <c r="E272" s="5">
        <v>51</v>
      </c>
      <c r="F272" s="5">
        <v>0.95</v>
      </c>
      <c r="G272" s="5">
        <f>StockTransactionsTable[[#This Row],[Shares No.]]*StockTransactionsTable[[#This Row],[Amount per Share]]</f>
        <v>48.449999999999996</v>
      </c>
      <c r="H272" s="5">
        <v>0</v>
      </c>
      <c r="I27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48.449999999999996</v>
      </c>
      <c r="J272" s="19">
        <f>StockTransactionsTable[[#This Row],[Fee]]/StockTransactionsTable[[#This Row],[Total Amount]]</f>
        <v>0</v>
      </c>
      <c r="K272" s="5">
        <f>IF(StockTransactionsTable[[#This Row],[Transaction Type]]="Buy", StockTransactionsTable[[#This Row],[Total Amount with Fee]] / StockTransactionsTable[[#This Row],[Shares No.]],0)</f>
        <v>0</v>
      </c>
      <c r="L27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72" s="4">
        <f>YEAR(StockTransactionsTable[[#This Row],[Date]])</f>
        <v>2019</v>
      </c>
      <c r="N272" s="4">
        <f>MONTH(StockTransactionsTable[[#This Row],[Date]])</f>
        <v>6</v>
      </c>
      <c r="R272" s="1"/>
      <c r="V272" s="33"/>
      <c r="W272" s="33"/>
    </row>
    <row r="273" spans="2:23">
      <c r="B273" s="3">
        <v>43628</v>
      </c>
      <c r="C273" s="6" t="s">
        <v>106</v>
      </c>
      <c r="D273" s="6" t="s">
        <v>30</v>
      </c>
      <c r="E273" s="5">
        <v>52</v>
      </c>
      <c r="F273" s="5">
        <v>0.48</v>
      </c>
      <c r="G273" s="5">
        <f>StockTransactionsTable[[#This Row],[Shares No.]]*StockTransactionsTable[[#This Row],[Amount per Share]]</f>
        <v>24.96</v>
      </c>
      <c r="H273" s="5">
        <v>0</v>
      </c>
      <c r="I27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24.96</v>
      </c>
      <c r="J273" s="19">
        <f>StockTransactionsTable[[#This Row],[Fee]]/StockTransactionsTable[[#This Row],[Total Amount]]</f>
        <v>0</v>
      </c>
      <c r="K273" s="5">
        <f>IF(StockTransactionsTable[[#This Row],[Transaction Type]]="Buy", StockTransactionsTable[[#This Row],[Total Amount with Fee]] / StockTransactionsTable[[#This Row],[Shares No.]],0)</f>
        <v>0</v>
      </c>
      <c r="L27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73" s="4">
        <f>YEAR(StockTransactionsTable[[#This Row],[Date]])</f>
        <v>2019</v>
      </c>
      <c r="N273" s="4">
        <f>MONTH(StockTransactionsTable[[#This Row],[Date]])</f>
        <v>6</v>
      </c>
      <c r="R273" s="1"/>
      <c r="V273" s="33"/>
      <c r="W273" s="33"/>
    </row>
    <row r="274" spans="2:23">
      <c r="B274" s="3">
        <v>43629</v>
      </c>
      <c r="C274" s="6" t="s">
        <v>91</v>
      </c>
      <c r="D274" s="6" t="s">
        <v>30</v>
      </c>
      <c r="E274" s="5">
        <v>106</v>
      </c>
      <c r="F274" s="5">
        <v>0.46</v>
      </c>
      <c r="G274" s="5">
        <f>StockTransactionsTable[[#This Row],[Shares No.]]*StockTransactionsTable[[#This Row],[Amount per Share]]</f>
        <v>48.760000000000005</v>
      </c>
      <c r="H274" s="5">
        <v>0</v>
      </c>
      <c r="I27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48.760000000000005</v>
      </c>
      <c r="J274" s="19">
        <f>StockTransactionsTable[[#This Row],[Fee]]/StockTransactionsTable[[#This Row],[Total Amount]]</f>
        <v>0</v>
      </c>
      <c r="K274" s="5">
        <f>IF(StockTransactionsTable[[#This Row],[Transaction Type]]="Buy", StockTransactionsTable[[#This Row],[Total Amount with Fee]] / StockTransactionsTable[[#This Row],[Shares No.]],0)</f>
        <v>0</v>
      </c>
      <c r="L27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74" s="4">
        <f>YEAR(StockTransactionsTable[[#This Row],[Date]])</f>
        <v>2019</v>
      </c>
      <c r="N274" s="4">
        <f>MONTH(StockTransactionsTable[[#This Row],[Date]])</f>
        <v>6</v>
      </c>
      <c r="R274" s="1"/>
      <c r="V274" s="33"/>
      <c r="W274" s="33"/>
    </row>
    <row r="275" spans="2:23">
      <c r="B275" s="3">
        <v>43630</v>
      </c>
      <c r="C275" s="6" t="s">
        <v>12</v>
      </c>
      <c r="D275" s="6" t="s">
        <v>30</v>
      </c>
      <c r="E275" s="5">
        <v>29</v>
      </c>
      <c r="F275" s="5">
        <v>0.22600000000000001</v>
      </c>
      <c r="G275" s="5">
        <f>StockTransactionsTable[[#This Row],[Shares No.]]*StockTransactionsTable[[#This Row],[Amount per Share]]</f>
        <v>6.5540000000000003</v>
      </c>
      <c r="H275" s="5">
        <v>0</v>
      </c>
      <c r="I27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6.5540000000000003</v>
      </c>
      <c r="J275" s="19">
        <f>StockTransactionsTable[[#This Row],[Fee]]/StockTransactionsTable[[#This Row],[Total Amount]]</f>
        <v>0</v>
      </c>
      <c r="K275" s="5">
        <f>IF(StockTransactionsTable[[#This Row],[Transaction Type]]="Buy", StockTransactionsTable[[#This Row],[Total Amount with Fee]] / StockTransactionsTable[[#This Row],[Shares No.]],0)</f>
        <v>0</v>
      </c>
      <c r="L27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75" s="4">
        <f>YEAR(StockTransactionsTable[[#This Row],[Date]])</f>
        <v>2019</v>
      </c>
      <c r="N275" s="4">
        <f>MONTH(StockTransactionsTable[[#This Row],[Date]])</f>
        <v>6</v>
      </c>
      <c r="R275" s="1"/>
      <c r="V275" s="33"/>
      <c r="W275" s="33"/>
    </row>
    <row r="276" spans="2:23">
      <c r="B276" s="3">
        <v>43633</v>
      </c>
      <c r="C276" s="6" t="s">
        <v>100</v>
      </c>
      <c r="D276" s="6" t="s">
        <v>30</v>
      </c>
      <c r="E276" s="5">
        <v>74</v>
      </c>
      <c r="F276" s="5">
        <v>0.92749999999999999</v>
      </c>
      <c r="G276" s="5">
        <f>StockTransactionsTable[[#This Row],[Shares No.]]*StockTransactionsTable[[#This Row],[Amount per Share]]</f>
        <v>68.635000000000005</v>
      </c>
      <c r="H276" s="5">
        <v>0</v>
      </c>
      <c r="I27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68.635000000000005</v>
      </c>
      <c r="J276" s="19">
        <f>StockTransactionsTable[[#This Row],[Fee]]/StockTransactionsTable[[#This Row],[Total Amount]]</f>
        <v>0</v>
      </c>
      <c r="K276" s="5">
        <f>IF(StockTransactionsTable[[#This Row],[Transaction Type]]="Buy", StockTransactionsTable[[#This Row],[Total Amount with Fee]] / StockTransactionsTable[[#This Row],[Shares No.]],0)</f>
        <v>0</v>
      </c>
      <c r="L27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76" s="4">
        <f>YEAR(StockTransactionsTable[[#This Row],[Date]])</f>
        <v>2019</v>
      </c>
      <c r="N276" s="4">
        <f>MONTH(StockTransactionsTable[[#This Row],[Date]])</f>
        <v>6</v>
      </c>
      <c r="R276" s="1"/>
      <c r="V276" s="33"/>
      <c r="W276" s="33"/>
    </row>
    <row r="277" spans="2:23">
      <c r="B277" s="3">
        <v>43633</v>
      </c>
      <c r="C277" s="6" t="s">
        <v>98</v>
      </c>
      <c r="D277" s="6" t="s">
        <v>30</v>
      </c>
      <c r="E277" s="5">
        <v>73</v>
      </c>
      <c r="F277" s="5">
        <v>1.25</v>
      </c>
      <c r="G277" s="5">
        <f>StockTransactionsTable[[#This Row],[Shares No.]]*StockTransactionsTable[[#This Row],[Amount per Share]]</f>
        <v>91.25</v>
      </c>
      <c r="H277" s="5">
        <v>0</v>
      </c>
      <c r="I27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91.25</v>
      </c>
      <c r="J277" s="19">
        <f>StockTransactionsTable[[#This Row],[Fee]]/StockTransactionsTable[[#This Row],[Total Amount]]</f>
        <v>0</v>
      </c>
      <c r="K277" s="5">
        <f>IF(StockTransactionsTable[[#This Row],[Transaction Type]]="Buy", StockTransactionsTable[[#This Row],[Total Amount with Fee]] / StockTransactionsTable[[#This Row],[Shares No.]],0)</f>
        <v>0</v>
      </c>
      <c r="L27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77" s="4">
        <f>YEAR(StockTransactionsTable[[#This Row],[Date]])</f>
        <v>2019</v>
      </c>
      <c r="N277" s="4">
        <f>MONTH(StockTransactionsTable[[#This Row],[Date]])</f>
        <v>6</v>
      </c>
      <c r="R277" s="1"/>
      <c r="V277" s="33"/>
      <c r="W277" s="33"/>
    </row>
    <row r="278" spans="2:23">
      <c r="B278" s="3">
        <v>43636</v>
      </c>
      <c r="C278" s="6" t="s">
        <v>95</v>
      </c>
      <c r="D278" s="6" t="s">
        <v>30</v>
      </c>
      <c r="E278" s="5">
        <v>43</v>
      </c>
      <c r="F278" s="5">
        <v>1.36</v>
      </c>
      <c r="G278" s="5">
        <f>StockTransactionsTable[[#This Row],[Shares No.]]*StockTransactionsTable[[#This Row],[Amount per Share]]</f>
        <v>58.480000000000004</v>
      </c>
      <c r="H278" s="5">
        <v>0</v>
      </c>
      <c r="I27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58.480000000000004</v>
      </c>
      <c r="J278" s="19">
        <f>StockTransactionsTable[[#This Row],[Fee]]/StockTransactionsTable[[#This Row],[Total Amount]]</f>
        <v>0</v>
      </c>
      <c r="K278" s="5">
        <f>IF(StockTransactionsTable[[#This Row],[Transaction Type]]="Buy", StockTransactionsTable[[#This Row],[Total Amount with Fee]] / StockTransactionsTable[[#This Row],[Shares No.]],0)</f>
        <v>0</v>
      </c>
      <c r="L27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78" s="4">
        <f>YEAR(StockTransactionsTable[[#This Row],[Date]])</f>
        <v>2019</v>
      </c>
      <c r="N278" s="4">
        <f>MONTH(StockTransactionsTable[[#This Row],[Date]])</f>
        <v>6</v>
      </c>
      <c r="R278" s="1"/>
      <c r="V278" s="33"/>
      <c r="W278" s="33"/>
    </row>
    <row r="279" spans="2:23">
      <c r="B279" s="3">
        <v>43642</v>
      </c>
      <c r="C279" s="6" t="s">
        <v>22</v>
      </c>
      <c r="D279" s="6" t="s">
        <v>29</v>
      </c>
      <c r="E279" s="5">
        <v>20</v>
      </c>
      <c r="F279" s="5" vm="471">
        <v>135.15</v>
      </c>
      <c r="G279" s="5">
        <f>StockTransactionsTable[[#This Row],[Shares No.]]*StockTransactionsTable[[#This Row],[Amount per Share]]</f>
        <v>2703</v>
      </c>
      <c r="H279" s="5">
        <v>1.1120966758515416</v>
      </c>
      <c r="I27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2704.1120966758517</v>
      </c>
      <c r="J279" s="19">
        <f>StockTransactionsTable[[#This Row],[Fee]]/StockTransactionsTable[[#This Row],[Total Amount]]</f>
        <v>4.1143051270867246E-4</v>
      </c>
      <c r="K279" s="5">
        <f>IF(StockTransactionsTable[[#This Row],[Transaction Type]]="Buy", StockTransactionsTable[[#This Row],[Total Amount with Fee]] / StockTransactionsTable[[#This Row],[Shares No.]],0)</f>
        <v>135.20560483379259</v>
      </c>
      <c r="L27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79" s="4">
        <f>YEAR(StockTransactionsTable[[#This Row],[Date]])</f>
        <v>2019</v>
      </c>
      <c r="N279" s="4">
        <f>MONTH(StockTransactionsTable[[#This Row],[Date]])</f>
        <v>6</v>
      </c>
      <c r="R279" s="1"/>
      <c r="V279" s="33"/>
      <c r="W279" s="33"/>
    </row>
    <row r="280" spans="2:23">
      <c r="B280" s="3">
        <v>43647</v>
      </c>
      <c r="C280" s="6" t="s">
        <v>23</v>
      </c>
      <c r="D280" s="6" t="s">
        <v>30</v>
      </c>
      <c r="E280" s="5">
        <v>58</v>
      </c>
      <c r="F280" s="5">
        <v>0.4</v>
      </c>
      <c r="G280" s="5">
        <f>StockTransactionsTable[[#This Row],[Shares No.]]*StockTransactionsTable[[#This Row],[Amount per Share]]</f>
        <v>23.200000000000003</v>
      </c>
      <c r="H280" s="5">
        <v>0</v>
      </c>
      <c r="I28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23.200000000000003</v>
      </c>
      <c r="J280" s="19">
        <f>StockTransactionsTable[[#This Row],[Fee]]/StockTransactionsTable[[#This Row],[Total Amount]]</f>
        <v>0</v>
      </c>
      <c r="K280" s="5">
        <f>IF(StockTransactionsTable[[#This Row],[Transaction Type]]="Buy", StockTransactionsTable[[#This Row],[Total Amount with Fee]] / StockTransactionsTable[[#This Row],[Shares No.]],0)</f>
        <v>0</v>
      </c>
      <c r="L28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80" s="4">
        <f>YEAR(StockTransactionsTable[[#This Row],[Date]])</f>
        <v>2019</v>
      </c>
      <c r="N280" s="4">
        <f>MONTH(StockTransactionsTable[[#This Row],[Date]])</f>
        <v>7</v>
      </c>
      <c r="R280" s="1"/>
      <c r="V280" s="33"/>
      <c r="W280" s="33"/>
    </row>
    <row r="281" spans="2:23">
      <c r="B281" s="3">
        <v>43661</v>
      </c>
      <c r="C281" s="6" t="s">
        <v>12</v>
      </c>
      <c r="D281" s="6" t="s">
        <v>30</v>
      </c>
      <c r="E281" s="5">
        <v>29</v>
      </c>
      <c r="F281" s="5">
        <v>0.22650000000000001</v>
      </c>
      <c r="G281" s="5">
        <f>StockTransactionsTable[[#This Row],[Shares No.]]*StockTransactionsTable[[#This Row],[Amount per Share]]</f>
        <v>6.5685000000000002</v>
      </c>
      <c r="H281" s="5">
        <v>0</v>
      </c>
      <c r="I28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6.5685000000000002</v>
      </c>
      <c r="J281" s="19">
        <f>StockTransactionsTable[[#This Row],[Fee]]/StockTransactionsTable[[#This Row],[Total Amount]]</f>
        <v>0</v>
      </c>
      <c r="K281" s="5">
        <f>IF(StockTransactionsTable[[#This Row],[Transaction Type]]="Buy", StockTransactionsTable[[#This Row],[Total Amount with Fee]] / StockTransactionsTable[[#This Row],[Shares No.]],0)</f>
        <v>0</v>
      </c>
      <c r="L28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81" s="4">
        <f>YEAR(StockTransactionsTable[[#This Row],[Date]])</f>
        <v>2019</v>
      </c>
      <c r="N281" s="4">
        <f>MONTH(StockTransactionsTable[[#This Row],[Date]])</f>
        <v>7</v>
      </c>
      <c r="R281" s="1"/>
      <c r="V281" s="33"/>
      <c r="W281" s="33"/>
    </row>
    <row r="282" spans="2:23">
      <c r="B282" s="3">
        <v>43677</v>
      </c>
      <c r="C282" s="6" t="s">
        <v>20</v>
      </c>
      <c r="D282" s="6" t="s">
        <v>30</v>
      </c>
      <c r="E282" s="5">
        <v>78</v>
      </c>
      <c r="F282" s="5">
        <v>0.8</v>
      </c>
      <c r="G282" s="5">
        <f>StockTransactionsTable[[#This Row],[Shares No.]]*StockTransactionsTable[[#This Row],[Amount per Share]]</f>
        <v>62.400000000000006</v>
      </c>
      <c r="H282" s="5">
        <v>0</v>
      </c>
      <c r="I28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62.400000000000006</v>
      </c>
      <c r="J282" s="19">
        <f>StockTransactionsTable[[#This Row],[Fee]]/StockTransactionsTable[[#This Row],[Total Amount]]</f>
        <v>0</v>
      </c>
      <c r="K282" s="5">
        <f>IF(StockTransactionsTable[[#This Row],[Transaction Type]]="Buy", StockTransactionsTable[[#This Row],[Total Amount with Fee]] / StockTransactionsTable[[#This Row],[Shares No.]],0)</f>
        <v>0</v>
      </c>
      <c r="L28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82" s="4">
        <f>YEAR(StockTransactionsTable[[#This Row],[Date]])</f>
        <v>2019</v>
      </c>
      <c r="N282" s="4">
        <f>MONTH(StockTransactionsTable[[#This Row],[Date]])</f>
        <v>7</v>
      </c>
      <c r="R282" s="1"/>
      <c r="V282" s="33"/>
      <c r="W282" s="33"/>
    </row>
    <row r="283" spans="2:23">
      <c r="B283" s="3">
        <v>43678</v>
      </c>
      <c r="C283" s="6" t="s">
        <v>15</v>
      </c>
      <c r="D283" s="6" t="s">
        <v>30</v>
      </c>
      <c r="E283" s="5">
        <v>124</v>
      </c>
      <c r="F283" s="5">
        <v>0.51</v>
      </c>
      <c r="G283" s="5">
        <f>StockTransactionsTable[[#This Row],[Shares No.]]*StockTransactionsTable[[#This Row],[Amount per Share]]</f>
        <v>63.24</v>
      </c>
      <c r="H283" s="5">
        <v>0</v>
      </c>
      <c r="I28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63.24</v>
      </c>
      <c r="J283" s="19">
        <f>StockTransactionsTable[[#This Row],[Fee]]/StockTransactionsTable[[#This Row],[Total Amount]]</f>
        <v>0</v>
      </c>
      <c r="K283" s="5">
        <f>IF(StockTransactionsTable[[#This Row],[Transaction Type]]="Buy", StockTransactionsTable[[#This Row],[Total Amount with Fee]] / StockTransactionsTable[[#This Row],[Shares No.]],0)</f>
        <v>0</v>
      </c>
      <c r="L28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83" s="4">
        <f>YEAR(StockTransactionsTable[[#This Row],[Date]])</f>
        <v>2019</v>
      </c>
      <c r="N283" s="4">
        <f>MONTH(StockTransactionsTable[[#This Row],[Date]])</f>
        <v>8</v>
      </c>
      <c r="R283" s="1"/>
      <c r="V283" s="33"/>
      <c r="W283" s="33"/>
    </row>
    <row r="284" spans="2:23">
      <c r="B284" s="3">
        <v>43683</v>
      </c>
      <c r="C284" s="6" t="s">
        <v>88</v>
      </c>
      <c r="D284" s="6" t="s">
        <v>29</v>
      </c>
      <c r="E284" s="5">
        <v>20</v>
      </c>
      <c r="F284" s="5" vm="472">
        <v>214.08</v>
      </c>
      <c r="G284" s="5">
        <f>StockTransactionsTable[[#This Row],[Shares No.]]*StockTransactionsTable[[#This Row],[Amount per Share]]</f>
        <v>4281.6000000000004</v>
      </c>
      <c r="H284" s="5">
        <v>2.107313898159576</v>
      </c>
      <c r="I28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4283.7073138981596</v>
      </c>
      <c r="J284" s="19">
        <f>StockTransactionsTable[[#This Row],[Fee]]/StockTransactionsTable[[#This Row],[Total Amount]]</f>
        <v>4.9217906814265128E-4</v>
      </c>
      <c r="K284" s="5">
        <f>IF(StockTransactionsTable[[#This Row],[Transaction Type]]="Buy", StockTransactionsTable[[#This Row],[Total Amount with Fee]] / StockTransactionsTable[[#This Row],[Shares No.]],0)</f>
        <v>214.18536569490797</v>
      </c>
      <c r="L28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84" s="4">
        <f>YEAR(StockTransactionsTable[[#This Row],[Date]])</f>
        <v>2019</v>
      </c>
      <c r="N284" s="4">
        <f>MONTH(StockTransactionsTable[[#This Row],[Date]])</f>
        <v>8</v>
      </c>
      <c r="R284" s="1"/>
      <c r="V284" s="33"/>
      <c r="W284" s="33"/>
    </row>
    <row r="285" spans="2:23">
      <c r="B285" s="3">
        <v>43692</v>
      </c>
      <c r="C285" s="6" t="s">
        <v>86</v>
      </c>
      <c r="D285" s="6" t="s">
        <v>30</v>
      </c>
      <c r="E285" s="5">
        <v>53</v>
      </c>
      <c r="F285" s="5">
        <v>1.07</v>
      </c>
      <c r="G285" s="5">
        <f>StockTransactionsTable[[#This Row],[Shares No.]]*StockTransactionsTable[[#This Row],[Amount per Share]]</f>
        <v>56.71</v>
      </c>
      <c r="H285" s="5">
        <v>0</v>
      </c>
      <c r="I28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56.71</v>
      </c>
      <c r="J285" s="19">
        <f>StockTransactionsTable[[#This Row],[Fee]]/StockTransactionsTable[[#This Row],[Total Amount]]</f>
        <v>0</v>
      </c>
      <c r="K285" s="5">
        <f>IF(StockTransactionsTable[[#This Row],[Transaction Type]]="Buy", StockTransactionsTable[[#This Row],[Total Amount with Fee]] / StockTransactionsTable[[#This Row],[Shares No.]],0)</f>
        <v>0</v>
      </c>
      <c r="L28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85" s="4">
        <f>YEAR(StockTransactionsTable[[#This Row],[Date]])</f>
        <v>2019</v>
      </c>
      <c r="N285" s="4">
        <f>MONTH(StockTransactionsTable[[#This Row],[Date]])</f>
        <v>8</v>
      </c>
      <c r="R285" s="1"/>
      <c r="V285" s="33"/>
      <c r="W285" s="33"/>
    </row>
    <row r="286" spans="2:23">
      <c r="B286" s="3">
        <v>43692</v>
      </c>
      <c r="C286" s="6" t="s">
        <v>12</v>
      </c>
      <c r="D286" s="6" t="s">
        <v>30</v>
      </c>
      <c r="E286" s="5">
        <v>29</v>
      </c>
      <c r="F286" s="5">
        <v>0.22650000000000001</v>
      </c>
      <c r="G286" s="5">
        <f>StockTransactionsTable[[#This Row],[Shares No.]]*StockTransactionsTable[[#This Row],[Amount per Share]]</f>
        <v>6.5685000000000002</v>
      </c>
      <c r="H286" s="5">
        <v>0</v>
      </c>
      <c r="I28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6.5685000000000002</v>
      </c>
      <c r="J286" s="19">
        <f>StockTransactionsTable[[#This Row],[Fee]]/StockTransactionsTable[[#This Row],[Total Amount]]</f>
        <v>0</v>
      </c>
      <c r="K286" s="5">
        <f>IF(StockTransactionsTable[[#This Row],[Transaction Type]]="Buy", StockTransactionsTable[[#This Row],[Total Amount with Fee]] / StockTransactionsTable[[#This Row],[Shares No.]],0)</f>
        <v>0</v>
      </c>
      <c r="L28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86" s="4">
        <f>YEAR(StockTransactionsTable[[#This Row],[Date]])</f>
        <v>2019</v>
      </c>
      <c r="N286" s="4">
        <f>MONTH(StockTransactionsTable[[#This Row],[Date]])</f>
        <v>8</v>
      </c>
      <c r="R286" s="1"/>
      <c r="V286" s="33"/>
      <c r="W286" s="33"/>
    </row>
    <row r="287" spans="2:23">
      <c r="B287" s="3">
        <v>43693</v>
      </c>
      <c r="C287" s="6" t="s">
        <v>19</v>
      </c>
      <c r="D287" s="6" t="s">
        <v>30</v>
      </c>
      <c r="E287" s="5">
        <v>32</v>
      </c>
      <c r="F287" s="5">
        <v>1.06</v>
      </c>
      <c r="G287" s="5">
        <f>StockTransactionsTable[[#This Row],[Shares No.]]*StockTransactionsTable[[#This Row],[Amount per Share]]</f>
        <v>33.92</v>
      </c>
      <c r="H287" s="5">
        <v>0</v>
      </c>
      <c r="I28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33.92</v>
      </c>
      <c r="J287" s="19">
        <f>StockTransactionsTable[[#This Row],[Fee]]/StockTransactionsTable[[#This Row],[Total Amount]]</f>
        <v>0</v>
      </c>
      <c r="K287" s="5">
        <f>IF(StockTransactionsTable[[#This Row],[Transaction Type]]="Buy", StockTransactionsTable[[#This Row],[Total Amount with Fee]] / StockTransactionsTable[[#This Row],[Shares No.]],0)</f>
        <v>0</v>
      </c>
      <c r="L28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87" s="4">
        <f>YEAR(StockTransactionsTable[[#This Row],[Date]])</f>
        <v>2019</v>
      </c>
      <c r="N287" s="4">
        <f>MONTH(StockTransactionsTable[[#This Row],[Date]])</f>
        <v>8</v>
      </c>
      <c r="R287" s="1"/>
      <c r="V287" s="33"/>
      <c r="W287" s="33"/>
    </row>
    <row r="288" spans="2:23">
      <c r="B288" s="3">
        <v>43697</v>
      </c>
      <c r="C288" s="6" t="s">
        <v>22</v>
      </c>
      <c r="D288" s="6" t="s">
        <v>30</v>
      </c>
      <c r="E288" s="5">
        <v>81</v>
      </c>
      <c r="F288" s="5">
        <v>1.03</v>
      </c>
      <c r="G288" s="5">
        <f>StockTransactionsTable[[#This Row],[Shares No.]]*StockTransactionsTable[[#This Row],[Amount per Share]]</f>
        <v>83.43</v>
      </c>
      <c r="H288" s="5">
        <v>0</v>
      </c>
      <c r="I28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83.43</v>
      </c>
      <c r="J288" s="19">
        <f>StockTransactionsTable[[#This Row],[Fee]]/StockTransactionsTable[[#This Row],[Total Amount]]</f>
        <v>0</v>
      </c>
      <c r="K288" s="5">
        <f>IF(StockTransactionsTable[[#This Row],[Transaction Type]]="Buy", StockTransactionsTable[[#This Row],[Total Amount with Fee]] / StockTransactionsTable[[#This Row],[Shares No.]],0)</f>
        <v>0</v>
      </c>
      <c r="L28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88" s="4">
        <f>YEAR(StockTransactionsTable[[#This Row],[Date]])</f>
        <v>2019</v>
      </c>
      <c r="N288" s="4">
        <f>MONTH(StockTransactionsTable[[#This Row],[Date]])</f>
        <v>8</v>
      </c>
      <c r="R288" s="1"/>
      <c r="V288" s="33"/>
      <c r="W288" s="33"/>
    </row>
    <row r="289" spans="2:23">
      <c r="B289" s="3">
        <v>43711</v>
      </c>
      <c r="C289" s="6" t="s">
        <v>13</v>
      </c>
      <c r="D289" s="6" t="s">
        <v>30</v>
      </c>
      <c r="E289" s="5">
        <v>55</v>
      </c>
      <c r="F289" s="5">
        <v>0.36</v>
      </c>
      <c r="G289" s="5">
        <f>StockTransactionsTable[[#This Row],[Shares No.]]*StockTransactionsTable[[#This Row],[Amount per Share]]</f>
        <v>19.8</v>
      </c>
      <c r="H289" s="5">
        <v>0</v>
      </c>
      <c r="I28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19.8</v>
      </c>
      <c r="J289" s="19">
        <f>StockTransactionsTable[[#This Row],[Fee]]/StockTransactionsTable[[#This Row],[Total Amount]]</f>
        <v>0</v>
      </c>
      <c r="K289" s="5">
        <f>IF(StockTransactionsTable[[#This Row],[Transaction Type]]="Buy", StockTransactionsTable[[#This Row],[Total Amount with Fee]] / StockTransactionsTable[[#This Row],[Shares No.]],0)</f>
        <v>0</v>
      </c>
      <c r="L28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89" s="4">
        <f>YEAR(StockTransactionsTable[[#This Row],[Date]])</f>
        <v>2019</v>
      </c>
      <c r="N289" s="4">
        <f>MONTH(StockTransactionsTable[[#This Row],[Date]])</f>
        <v>9</v>
      </c>
      <c r="R289" s="1"/>
      <c r="V289" s="33"/>
      <c r="W289" s="33"/>
    </row>
    <row r="290" spans="2:23">
      <c r="B290" s="3">
        <v>43718</v>
      </c>
      <c r="C290" s="6" t="s">
        <v>17</v>
      </c>
      <c r="D290" s="6" t="s">
        <v>30</v>
      </c>
      <c r="E290" s="5">
        <v>63</v>
      </c>
      <c r="F290" s="5">
        <v>1.62</v>
      </c>
      <c r="G290" s="5">
        <f>StockTransactionsTable[[#This Row],[Shares No.]]*StockTransactionsTable[[#This Row],[Amount per Share]]</f>
        <v>102.06</v>
      </c>
      <c r="H290" s="5">
        <v>0</v>
      </c>
      <c r="I29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102.06</v>
      </c>
      <c r="J290" s="19">
        <f>StockTransactionsTable[[#This Row],[Fee]]/StockTransactionsTable[[#This Row],[Total Amount]]</f>
        <v>0</v>
      </c>
      <c r="K290" s="5">
        <f>IF(StockTransactionsTable[[#This Row],[Transaction Type]]="Buy", StockTransactionsTable[[#This Row],[Total Amount with Fee]] / StockTransactionsTable[[#This Row],[Shares No.]],0)</f>
        <v>0</v>
      </c>
      <c r="L29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90" s="4">
        <f>YEAR(StockTransactionsTable[[#This Row],[Date]])</f>
        <v>2019</v>
      </c>
      <c r="N290" s="4">
        <f>MONTH(StockTransactionsTable[[#This Row],[Date]])</f>
        <v>9</v>
      </c>
      <c r="R290" s="1"/>
      <c r="V290" s="33"/>
      <c r="W290" s="33"/>
    </row>
    <row r="291" spans="2:23">
      <c r="B291" s="3">
        <v>43718</v>
      </c>
      <c r="C291" s="6" t="s">
        <v>84</v>
      </c>
      <c r="D291" s="6" t="s">
        <v>30</v>
      </c>
      <c r="E291" s="5">
        <v>51</v>
      </c>
      <c r="F291" s="5">
        <v>0.95</v>
      </c>
      <c r="G291" s="5">
        <f>StockTransactionsTable[[#This Row],[Shares No.]]*StockTransactionsTable[[#This Row],[Amount per Share]]</f>
        <v>48.449999999999996</v>
      </c>
      <c r="H291" s="5">
        <v>0</v>
      </c>
      <c r="I29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48.449999999999996</v>
      </c>
      <c r="J291" s="19">
        <f>StockTransactionsTable[[#This Row],[Fee]]/StockTransactionsTable[[#This Row],[Total Amount]]</f>
        <v>0</v>
      </c>
      <c r="K291" s="5">
        <f>IF(StockTransactionsTable[[#This Row],[Transaction Type]]="Buy", StockTransactionsTable[[#This Row],[Total Amount with Fee]] / StockTransactionsTable[[#This Row],[Shares No.]],0)</f>
        <v>0</v>
      </c>
      <c r="L29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91" s="4">
        <f>YEAR(StockTransactionsTable[[#This Row],[Date]])</f>
        <v>2019</v>
      </c>
      <c r="N291" s="4">
        <f>MONTH(StockTransactionsTable[[#This Row],[Date]])</f>
        <v>9</v>
      </c>
      <c r="R291" s="1"/>
      <c r="V291" s="33"/>
      <c r="W291" s="33"/>
    </row>
    <row r="292" spans="2:23">
      <c r="B292" s="3">
        <v>43718</v>
      </c>
      <c r="C292" s="6" t="s">
        <v>16</v>
      </c>
      <c r="D292" s="6" t="s">
        <v>30</v>
      </c>
      <c r="E292" s="5">
        <v>145</v>
      </c>
      <c r="F292" s="5">
        <v>0.87</v>
      </c>
      <c r="G292" s="5">
        <f>StockTransactionsTable[[#This Row],[Shares No.]]*StockTransactionsTable[[#This Row],[Amount per Share]]</f>
        <v>126.15</v>
      </c>
      <c r="H292" s="5">
        <v>0</v>
      </c>
      <c r="I29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126.15</v>
      </c>
      <c r="J292" s="19">
        <f>StockTransactionsTable[[#This Row],[Fee]]/StockTransactionsTable[[#This Row],[Total Amount]]</f>
        <v>0</v>
      </c>
      <c r="K292" s="5">
        <f>IF(StockTransactionsTable[[#This Row],[Transaction Type]]="Buy", StockTransactionsTable[[#This Row],[Total Amount with Fee]] / StockTransactionsTable[[#This Row],[Shares No.]],0)</f>
        <v>0</v>
      </c>
      <c r="L29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92" s="4">
        <f>YEAR(StockTransactionsTable[[#This Row],[Date]])</f>
        <v>2019</v>
      </c>
      <c r="N292" s="4">
        <f>MONTH(StockTransactionsTable[[#This Row],[Date]])</f>
        <v>9</v>
      </c>
      <c r="R292" s="1"/>
      <c r="V292" s="33"/>
      <c r="W292" s="33"/>
    </row>
    <row r="293" spans="2:23">
      <c r="B293" s="3">
        <v>43720</v>
      </c>
      <c r="C293" s="6" t="s">
        <v>21</v>
      </c>
      <c r="D293" s="6" t="s">
        <v>29</v>
      </c>
      <c r="E293" s="5">
        <v>17</v>
      </c>
      <c r="F293" s="5" vm="473">
        <v>122.77</v>
      </c>
      <c r="G293" s="5">
        <f>StockTransactionsTable[[#This Row],[Shares No.]]*StockTransactionsTable[[#This Row],[Amount per Share]]</f>
        <v>2087.09</v>
      </c>
      <c r="H293" s="5">
        <v>0.872360522258676</v>
      </c>
      <c r="I29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2087.9623605222587</v>
      </c>
      <c r="J293" s="19">
        <f>StockTransactionsTable[[#This Row],[Fee]]/StockTransactionsTable[[#This Row],[Total Amount]]</f>
        <v>4.1797935031966804E-4</v>
      </c>
      <c r="K293" s="5">
        <f>IF(StockTransactionsTable[[#This Row],[Transaction Type]]="Buy", StockTransactionsTable[[#This Row],[Total Amount with Fee]] / StockTransactionsTable[[#This Row],[Shares No.]],0)</f>
        <v>122.82131532483875</v>
      </c>
      <c r="L29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93" s="4">
        <f>YEAR(StockTransactionsTable[[#This Row],[Date]])</f>
        <v>2019</v>
      </c>
      <c r="N293" s="4">
        <f>MONTH(StockTransactionsTable[[#This Row],[Date]])</f>
        <v>9</v>
      </c>
      <c r="R293" s="1"/>
      <c r="V293" s="33"/>
      <c r="W293" s="33"/>
    </row>
    <row r="294" spans="2:23">
      <c r="B294" s="3">
        <v>43720</v>
      </c>
      <c r="C294" s="6" t="s">
        <v>91</v>
      </c>
      <c r="D294" s="6" t="s">
        <v>30</v>
      </c>
      <c r="E294" s="5">
        <v>106</v>
      </c>
      <c r="F294" s="5">
        <v>0.46</v>
      </c>
      <c r="G294" s="5">
        <f>StockTransactionsTable[[#This Row],[Shares No.]]*StockTransactionsTable[[#This Row],[Amount per Share]]</f>
        <v>48.760000000000005</v>
      </c>
      <c r="H294" s="5">
        <v>0</v>
      </c>
      <c r="I29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48.760000000000005</v>
      </c>
      <c r="J294" s="19">
        <f>StockTransactionsTable[[#This Row],[Fee]]/StockTransactionsTable[[#This Row],[Total Amount]]</f>
        <v>0</v>
      </c>
      <c r="K294" s="5">
        <f>IF(StockTransactionsTable[[#This Row],[Transaction Type]]="Buy", StockTransactionsTable[[#This Row],[Total Amount with Fee]] / StockTransactionsTable[[#This Row],[Shares No.]],0)</f>
        <v>0</v>
      </c>
      <c r="L29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94" s="4">
        <f>YEAR(StockTransactionsTable[[#This Row],[Date]])</f>
        <v>2019</v>
      </c>
      <c r="N294" s="4">
        <f>MONTH(StockTransactionsTable[[#This Row],[Date]])</f>
        <v>9</v>
      </c>
      <c r="R294" s="1"/>
      <c r="V294" s="33"/>
      <c r="W294" s="33"/>
    </row>
    <row r="295" spans="2:23">
      <c r="B295" s="3">
        <v>43720</v>
      </c>
      <c r="C295" s="6" t="s">
        <v>106</v>
      </c>
      <c r="D295" s="6" t="s">
        <v>30</v>
      </c>
      <c r="E295" s="5">
        <v>52</v>
      </c>
      <c r="F295" s="5">
        <v>0.51</v>
      </c>
      <c r="G295" s="5">
        <f>StockTransactionsTable[[#This Row],[Shares No.]]*StockTransactionsTable[[#This Row],[Amount per Share]]</f>
        <v>26.52</v>
      </c>
      <c r="H295" s="5">
        <v>0</v>
      </c>
      <c r="I29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26.52</v>
      </c>
      <c r="J295" s="19">
        <f>StockTransactionsTable[[#This Row],[Fee]]/StockTransactionsTable[[#This Row],[Total Amount]]</f>
        <v>0</v>
      </c>
      <c r="K295" s="5">
        <f>IF(StockTransactionsTable[[#This Row],[Transaction Type]]="Buy", StockTransactionsTable[[#This Row],[Total Amount with Fee]] / StockTransactionsTable[[#This Row],[Shares No.]],0)</f>
        <v>0</v>
      </c>
      <c r="L29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95" s="4">
        <f>YEAR(StockTransactionsTable[[#This Row],[Date]])</f>
        <v>2019</v>
      </c>
      <c r="N295" s="4">
        <f>MONTH(StockTransactionsTable[[#This Row],[Date]])</f>
        <v>9</v>
      </c>
      <c r="R295" s="1"/>
      <c r="V295" s="33"/>
      <c r="W295" s="33"/>
    </row>
    <row r="296" spans="2:23">
      <c r="B296" s="3">
        <v>43721</v>
      </c>
      <c r="C296" s="6" t="s">
        <v>12</v>
      </c>
      <c r="D296" s="6" t="s">
        <v>30</v>
      </c>
      <c r="E296" s="5">
        <v>29</v>
      </c>
      <c r="F296" s="5">
        <v>0.22650000000000001</v>
      </c>
      <c r="G296" s="5">
        <f>StockTransactionsTable[[#This Row],[Shares No.]]*StockTransactionsTable[[#This Row],[Amount per Share]]</f>
        <v>6.5685000000000002</v>
      </c>
      <c r="H296" s="5">
        <v>0</v>
      </c>
      <c r="I29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6.5685000000000002</v>
      </c>
      <c r="J296" s="19">
        <f>StockTransactionsTable[[#This Row],[Fee]]/StockTransactionsTable[[#This Row],[Total Amount]]</f>
        <v>0</v>
      </c>
      <c r="K296" s="5">
        <f>IF(StockTransactionsTable[[#This Row],[Transaction Type]]="Buy", StockTransactionsTable[[#This Row],[Total Amount with Fee]] / StockTransactionsTable[[#This Row],[Shares No.]],0)</f>
        <v>0</v>
      </c>
      <c r="L29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96" s="4">
        <f>YEAR(StockTransactionsTable[[#This Row],[Date]])</f>
        <v>2019</v>
      </c>
      <c r="N296" s="4">
        <f>MONTH(StockTransactionsTable[[#This Row],[Date]])</f>
        <v>9</v>
      </c>
      <c r="R296" s="1"/>
      <c r="V296" s="33"/>
      <c r="W296" s="33"/>
    </row>
    <row r="297" spans="2:23">
      <c r="B297" s="3">
        <v>43724</v>
      </c>
      <c r="C297" s="6" t="s">
        <v>100</v>
      </c>
      <c r="D297" s="6" t="s">
        <v>30</v>
      </c>
      <c r="E297" s="5">
        <v>74</v>
      </c>
      <c r="F297" s="5">
        <v>0.94499999999999995</v>
      </c>
      <c r="G297" s="5">
        <f>StockTransactionsTable[[#This Row],[Shares No.]]*StockTransactionsTable[[#This Row],[Amount per Share]]</f>
        <v>69.929999999999993</v>
      </c>
      <c r="H297" s="5">
        <v>0</v>
      </c>
      <c r="I29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69.929999999999993</v>
      </c>
      <c r="J297" s="19">
        <f>StockTransactionsTable[[#This Row],[Fee]]/StockTransactionsTable[[#This Row],[Total Amount]]</f>
        <v>0</v>
      </c>
      <c r="K297" s="5">
        <f>IF(StockTransactionsTable[[#This Row],[Transaction Type]]="Buy", StockTransactionsTable[[#This Row],[Total Amount with Fee]] / StockTransactionsTable[[#This Row],[Shares No.]],0)</f>
        <v>0</v>
      </c>
      <c r="L29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97" s="4">
        <f>YEAR(StockTransactionsTable[[#This Row],[Date]])</f>
        <v>2019</v>
      </c>
      <c r="N297" s="4">
        <f>MONTH(StockTransactionsTable[[#This Row],[Date]])</f>
        <v>9</v>
      </c>
      <c r="R297" s="1"/>
      <c r="V297" s="33"/>
      <c r="W297" s="33"/>
    </row>
    <row r="298" spans="2:23">
      <c r="B298" s="3">
        <v>43724</v>
      </c>
      <c r="C298" s="6" t="s">
        <v>98</v>
      </c>
      <c r="D298" s="6" t="s">
        <v>30</v>
      </c>
      <c r="E298" s="5">
        <v>73</v>
      </c>
      <c r="F298" s="5">
        <v>1.25</v>
      </c>
      <c r="G298" s="5">
        <f>StockTransactionsTable[[#This Row],[Shares No.]]*StockTransactionsTable[[#This Row],[Amount per Share]]</f>
        <v>91.25</v>
      </c>
      <c r="H298" s="5">
        <v>0</v>
      </c>
      <c r="I29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91.25</v>
      </c>
      <c r="J298" s="19">
        <f>StockTransactionsTable[[#This Row],[Fee]]/StockTransactionsTable[[#This Row],[Total Amount]]</f>
        <v>0</v>
      </c>
      <c r="K298" s="5">
        <f>IF(StockTransactionsTable[[#This Row],[Transaction Type]]="Buy", StockTransactionsTable[[#This Row],[Total Amount with Fee]] / StockTransactionsTable[[#This Row],[Shares No.]],0)</f>
        <v>0</v>
      </c>
      <c r="L29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98" s="4">
        <f>YEAR(StockTransactionsTable[[#This Row],[Date]])</f>
        <v>2019</v>
      </c>
      <c r="N298" s="4">
        <f>MONTH(StockTransactionsTable[[#This Row],[Date]])</f>
        <v>9</v>
      </c>
      <c r="R298" s="1"/>
      <c r="V298" s="33"/>
      <c r="W298" s="33"/>
    </row>
    <row r="299" spans="2:23">
      <c r="B299" s="3">
        <v>43725</v>
      </c>
      <c r="C299" s="6" t="s">
        <v>88</v>
      </c>
      <c r="D299" s="6" t="s">
        <v>30</v>
      </c>
      <c r="E299" s="5">
        <v>20</v>
      </c>
      <c r="F299" s="5">
        <v>1.1599999999999999</v>
      </c>
      <c r="G299" s="5">
        <f>StockTransactionsTable[[#This Row],[Shares No.]]*StockTransactionsTable[[#This Row],[Amount per Share]]</f>
        <v>23.2</v>
      </c>
      <c r="H299" s="5">
        <v>0</v>
      </c>
      <c r="I29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23.2</v>
      </c>
      <c r="J299" s="19">
        <f>StockTransactionsTable[[#This Row],[Fee]]/StockTransactionsTable[[#This Row],[Total Amount]]</f>
        <v>0</v>
      </c>
      <c r="K299" s="5">
        <f>IF(StockTransactionsTable[[#This Row],[Transaction Type]]="Buy", StockTransactionsTable[[#This Row],[Total Amount with Fee]] / StockTransactionsTable[[#This Row],[Shares No.]],0)</f>
        <v>0</v>
      </c>
      <c r="L29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299" s="4">
        <f>YEAR(StockTransactionsTable[[#This Row],[Date]])</f>
        <v>2019</v>
      </c>
      <c r="N299" s="4">
        <f>MONTH(StockTransactionsTable[[#This Row],[Date]])</f>
        <v>9</v>
      </c>
      <c r="R299" s="1"/>
      <c r="V299" s="33"/>
      <c r="W299" s="33"/>
    </row>
    <row r="300" spans="2:23">
      <c r="B300" s="3">
        <v>43727</v>
      </c>
      <c r="C300" s="6" t="s">
        <v>95</v>
      </c>
      <c r="D300" s="6" t="s">
        <v>30</v>
      </c>
      <c r="E300" s="5">
        <v>43</v>
      </c>
      <c r="F300" s="5">
        <v>1.36</v>
      </c>
      <c r="G300" s="5">
        <f>StockTransactionsTable[[#This Row],[Shares No.]]*StockTransactionsTable[[#This Row],[Amount per Share]]</f>
        <v>58.480000000000004</v>
      </c>
      <c r="H300" s="5">
        <v>0</v>
      </c>
      <c r="I30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58.480000000000004</v>
      </c>
      <c r="J300" s="19">
        <f>StockTransactionsTable[[#This Row],[Fee]]/StockTransactionsTable[[#This Row],[Total Amount]]</f>
        <v>0</v>
      </c>
      <c r="K300" s="5">
        <f>IF(StockTransactionsTable[[#This Row],[Transaction Type]]="Buy", StockTransactionsTable[[#This Row],[Total Amount with Fee]] / StockTransactionsTable[[#This Row],[Shares No.]],0)</f>
        <v>0</v>
      </c>
      <c r="L30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00" s="4">
        <f>YEAR(StockTransactionsTable[[#This Row],[Date]])</f>
        <v>2019</v>
      </c>
      <c r="N300" s="4">
        <f>MONTH(StockTransactionsTable[[#This Row],[Date]])</f>
        <v>9</v>
      </c>
      <c r="R300" s="1"/>
      <c r="V300" s="33"/>
      <c r="W300" s="33"/>
    </row>
    <row r="301" spans="2:23">
      <c r="B301" s="3">
        <v>43739</v>
      </c>
      <c r="C301" s="6" t="s">
        <v>23</v>
      </c>
      <c r="D301" s="6" t="s">
        <v>30</v>
      </c>
      <c r="E301" s="5">
        <v>58</v>
      </c>
      <c r="F301" s="5">
        <v>0.4</v>
      </c>
      <c r="G301" s="5">
        <f>StockTransactionsTable[[#This Row],[Shares No.]]*StockTransactionsTable[[#This Row],[Amount per Share]]</f>
        <v>23.200000000000003</v>
      </c>
      <c r="H301" s="5">
        <v>0</v>
      </c>
      <c r="I30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23.200000000000003</v>
      </c>
      <c r="J301" s="19">
        <f>StockTransactionsTable[[#This Row],[Fee]]/StockTransactionsTable[[#This Row],[Total Amount]]</f>
        <v>0</v>
      </c>
      <c r="K301" s="5">
        <f>IF(StockTransactionsTable[[#This Row],[Transaction Type]]="Buy", StockTransactionsTable[[#This Row],[Total Amount with Fee]] / StockTransactionsTable[[#This Row],[Shares No.]],0)</f>
        <v>0</v>
      </c>
      <c r="L30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01" s="4">
        <f>YEAR(StockTransactionsTable[[#This Row],[Date]])</f>
        <v>2019</v>
      </c>
      <c r="N301" s="4">
        <f>MONTH(StockTransactionsTable[[#This Row],[Date]])</f>
        <v>10</v>
      </c>
      <c r="R301" s="1"/>
      <c r="V301" s="33"/>
      <c r="W301" s="33"/>
    </row>
    <row r="302" spans="2:23">
      <c r="B302" s="3">
        <v>43753</v>
      </c>
      <c r="C302" s="6" t="s">
        <v>12</v>
      </c>
      <c r="D302" s="6" t="s">
        <v>30</v>
      </c>
      <c r="E302" s="5">
        <v>29</v>
      </c>
      <c r="F302" s="5">
        <v>0.22700000000000001</v>
      </c>
      <c r="G302" s="5">
        <f>StockTransactionsTable[[#This Row],[Shares No.]]*StockTransactionsTable[[#This Row],[Amount per Share]]</f>
        <v>6.5830000000000002</v>
      </c>
      <c r="H302" s="5">
        <v>0</v>
      </c>
      <c r="I30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6.5830000000000002</v>
      </c>
      <c r="J302" s="19">
        <f>StockTransactionsTable[[#This Row],[Fee]]/StockTransactionsTable[[#This Row],[Total Amount]]</f>
        <v>0</v>
      </c>
      <c r="K302" s="5">
        <f>IF(StockTransactionsTable[[#This Row],[Transaction Type]]="Buy", StockTransactionsTable[[#This Row],[Total Amount with Fee]] / StockTransactionsTable[[#This Row],[Shares No.]],0)</f>
        <v>0</v>
      </c>
      <c r="L30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02" s="4">
        <f>YEAR(StockTransactionsTable[[#This Row],[Date]])</f>
        <v>2019</v>
      </c>
      <c r="N302" s="4">
        <f>MONTH(StockTransactionsTable[[#This Row],[Date]])</f>
        <v>10</v>
      </c>
      <c r="R302" s="1"/>
      <c r="V302" s="33"/>
      <c r="W302" s="33"/>
    </row>
    <row r="303" spans="2:23">
      <c r="B303" s="3">
        <v>43755</v>
      </c>
      <c r="C303" s="6" t="s">
        <v>91</v>
      </c>
      <c r="D303" s="6" t="s">
        <v>29</v>
      </c>
      <c r="E303" s="5">
        <v>7</v>
      </c>
      <c r="F303" s="5" vm="474">
        <v>139.69</v>
      </c>
      <c r="G303" s="5">
        <f>StockTransactionsTable[[#This Row],[Shares No.]]*StockTransactionsTable[[#This Row],[Amount per Share]]</f>
        <v>977.82999999999993</v>
      </c>
      <c r="H303" s="5">
        <v>0.41496291675332403</v>
      </c>
      <c r="I30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978.24496291675325</v>
      </c>
      <c r="J303" s="19">
        <f>StockTransactionsTable[[#This Row],[Fee]]/StockTransactionsTable[[#This Row],[Total Amount]]</f>
        <v>4.2437122685264723E-4</v>
      </c>
      <c r="K303" s="5">
        <f>IF(StockTransactionsTable[[#This Row],[Transaction Type]]="Buy", StockTransactionsTable[[#This Row],[Total Amount with Fee]] / StockTransactionsTable[[#This Row],[Shares No.]],0)</f>
        <v>139.74928041667903</v>
      </c>
      <c r="L30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03" s="4">
        <f>YEAR(StockTransactionsTable[[#This Row],[Date]])</f>
        <v>2019</v>
      </c>
      <c r="N303" s="4">
        <f>MONTH(StockTransactionsTable[[#This Row],[Date]])</f>
        <v>10</v>
      </c>
      <c r="R303" s="1"/>
      <c r="V303" s="33"/>
      <c r="W303" s="33"/>
    </row>
    <row r="304" spans="2:23">
      <c r="B304" s="3">
        <v>43769</v>
      </c>
      <c r="C304" s="6" t="s">
        <v>20</v>
      </c>
      <c r="D304" s="6" t="s">
        <v>30</v>
      </c>
      <c r="E304" s="5">
        <v>78</v>
      </c>
      <c r="F304" s="5">
        <v>0.9</v>
      </c>
      <c r="G304" s="5">
        <f>StockTransactionsTable[[#This Row],[Shares No.]]*StockTransactionsTable[[#This Row],[Amount per Share]]</f>
        <v>70.2</v>
      </c>
      <c r="H304" s="5">
        <v>0</v>
      </c>
      <c r="I30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70.2</v>
      </c>
      <c r="J304" s="19">
        <f>StockTransactionsTable[[#This Row],[Fee]]/StockTransactionsTable[[#This Row],[Total Amount]]</f>
        <v>0</v>
      </c>
      <c r="K304" s="5">
        <f>IF(StockTransactionsTable[[#This Row],[Transaction Type]]="Buy", StockTransactionsTable[[#This Row],[Total Amount with Fee]] / StockTransactionsTable[[#This Row],[Shares No.]],0)</f>
        <v>0</v>
      </c>
      <c r="L30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04" s="4">
        <f>YEAR(StockTransactionsTable[[#This Row],[Date]])</f>
        <v>2019</v>
      </c>
      <c r="N304" s="4">
        <f>MONTH(StockTransactionsTable[[#This Row],[Date]])</f>
        <v>10</v>
      </c>
      <c r="R304" s="1"/>
      <c r="V304" s="33"/>
      <c r="W304" s="33"/>
    </row>
    <row r="305" spans="2:23">
      <c r="B305" s="3">
        <v>43770</v>
      </c>
      <c r="C305" s="6" t="s">
        <v>15</v>
      </c>
      <c r="D305" s="6" t="s">
        <v>30</v>
      </c>
      <c r="E305" s="5">
        <v>124</v>
      </c>
      <c r="F305" s="5">
        <v>0.51</v>
      </c>
      <c r="G305" s="5">
        <f>StockTransactionsTable[[#This Row],[Shares No.]]*StockTransactionsTable[[#This Row],[Amount per Share]]</f>
        <v>63.24</v>
      </c>
      <c r="H305" s="5">
        <v>0</v>
      </c>
      <c r="I30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63.24</v>
      </c>
      <c r="J305" s="19">
        <f>StockTransactionsTable[[#This Row],[Fee]]/StockTransactionsTable[[#This Row],[Total Amount]]</f>
        <v>0</v>
      </c>
      <c r="K305" s="5">
        <f>IF(StockTransactionsTable[[#This Row],[Transaction Type]]="Buy", StockTransactionsTable[[#This Row],[Total Amount with Fee]] / StockTransactionsTable[[#This Row],[Shares No.]],0)</f>
        <v>0</v>
      </c>
      <c r="L30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05" s="4">
        <f>YEAR(StockTransactionsTable[[#This Row],[Date]])</f>
        <v>2019</v>
      </c>
      <c r="N305" s="4">
        <f>MONTH(StockTransactionsTable[[#This Row],[Date]])</f>
        <v>11</v>
      </c>
      <c r="R305" s="1"/>
      <c r="V305" s="33"/>
      <c r="W305" s="33"/>
    </row>
    <row r="306" spans="2:23">
      <c r="B306" s="3">
        <v>43784</v>
      </c>
      <c r="C306" s="6" t="s">
        <v>86</v>
      </c>
      <c r="D306" s="6" t="s">
        <v>30</v>
      </c>
      <c r="E306" s="5">
        <v>53</v>
      </c>
      <c r="F306" s="5">
        <v>1.07</v>
      </c>
      <c r="G306" s="5">
        <f>StockTransactionsTable[[#This Row],[Shares No.]]*StockTransactionsTable[[#This Row],[Amount per Share]]</f>
        <v>56.71</v>
      </c>
      <c r="H306" s="5">
        <v>0</v>
      </c>
      <c r="I30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56.71</v>
      </c>
      <c r="J306" s="19">
        <f>StockTransactionsTable[[#This Row],[Fee]]/StockTransactionsTable[[#This Row],[Total Amount]]</f>
        <v>0</v>
      </c>
      <c r="K306" s="5">
        <f>IF(StockTransactionsTable[[#This Row],[Transaction Type]]="Buy", StockTransactionsTable[[#This Row],[Total Amount with Fee]] / StockTransactionsTable[[#This Row],[Shares No.]],0)</f>
        <v>0</v>
      </c>
      <c r="L30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06" s="4">
        <f>YEAR(StockTransactionsTable[[#This Row],[Date]])</f>
        <v>2019</v>
      </c>
      <c r="N306" s="4">
        <f>MONTH(StockTransactionsTable[[#This Row],[Date]])</f>
        <v>11</v>
      </c>
      <c r="R306" s="1"/>
      <c r="V306" s="33"/>
      <c r="W306" s="33"/>
    </row>
    <row r="307" spans="2:23">
      <c r="B307" s="3">
        <v>43784</v>
      </c>
      <c r="C307" s="6" t="s">
        <v>19</v>
      </c>
      <c r="D307" s="6" t="s">
        <v>30</v>
      </c>
      <c r="E307" s="5">
        <v>32</v>
      </c>
      <c r="F307" s="5">
        <v>1.06</v>
      </c>
      <c r="G307" s="5">
        <f>StockTransactionsTable[[#This Row],[Shares No.]]*StockTransactionsTable[[#This Row],[Amount per Share]]</f>
        <v>33.92</v>
      </c>
      <c r="H307" s="5">
        <v>0</v>
      </c>
      <c r="I30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33.92</v>
      </c>
      <c r="J307" s="19">
        <f>StockTransactionsTable[[#This Row],[Fee]]/StockTransactionsTable[[#This Row],[Total Amount]]</f>
        <v>0</v>
      </c>
      <c r="K307" s="5">
        <f>IF(StockTransactionsTable[[#This Row],[Transaction Type]]="Buy", StockTransactionsTable[[#This Row],[Total Amount with Fee]] / StockTransactionsTable[[#This Row],[Shares No.]],0)</f>
        <v>0</v>
      </c>
      <c r="L30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07" s="4">
        <f>YEAR(StockTransactionsTable[[#This Row],[Date]])</f>
        <v>2019</v>
      </c>
      <c r="N307" s="4">
        <f>MONTH(StockTransactionsTable[[#This Row],[Date]])</f>
        <v>11</v>
      </c>
      <c r="R307" s="1"/>
      <c r="V307" s="33"/>
      <c r="W307" s="33"/>
    </row>
    <row r="308" spans="2:23">
      <c r="B308" s="3">
        <v>43784</v>
      </c>
      <c r="C308" s="6" t="s">
        <v>12</v>
      </c>
      <c r="D308" s="6" t="s">
        <v>30</v>
      </c>
      <c r="E308" s="5">
        <v>29</v>
      </c>
      <c r="F308" s="5">
        <v>0.22700000000000001</v>
      </c>
      <c r="G308" s="5">
        <f>StockTransactionsTable[[#This Row],[Shares No.]]*StockTransactionsTable[[#This Row],[Amount per Share]]</f>
        <v>6.5830000000000002</v>
      </c>
      <c r="H308" s="5">
        <v>0</v>
      </c>
      <c r="I30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6.5830000000000002</v>
      </c>
      <c r="J308" s="19">
        <f>StockTransactionsTable[[#This Row],[Fee]]/StockTransactionsTable[[#This Row],[Total Amount]]</f>
        <v>0</v>
      </c>
      <c r="K308" s="5">
        <f>IF(StockTransactionsTable[[#This Row],[Transaction Type]]="Buy", StockTransactionsTable[[#This Row],[Total Amount with Fee]] / StockTransactionsTable[[#This Row],[Shares No.]],0)</f>
        <v>0</v>
      </c>
      <c r="L30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08" s="4">
        <f>YEAR(StockTransactionsTable[[#This Row],[Date]])</f>
        <v>2019</v>
      </c>
      <c r="N308" s="4">
        <f>MONTH(StockTransactionsTable[[#This Row],[Date]])</f>
        <v>11</v>
      </c>
      <c r="R308" s="1"/>
      <c r="V308" s="33"/>
      <c r="W308" s="33"/>
    </row>
    <row r="309" spans="2:23">
      <c r="B309" s="3">
        <v>43784</v>
      </c>
      <c r="C309" s="6" t="s">
        <v>21</v>
      </c>
      <c r="D309" s="6" t="s">
        <v>30</v>
      </c>
      <c r="E309" s="5">
        <v>17</v>
      </c>
      <c r="F309" s="5">
        <v>0.74590000000000001</v>
      </c>
      <c r="G309" s="5">
        <f>StockTransactionsTable[[#This Row],[Shares No.]]*StockTransactionsTable[[#This Row],[Amount per Share]]</f>
        <v>12.680300000000001</v>
      </c>
      <c r="H309" s="5">
        <v>0</v>
      </c>
      <c r="I30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12.680300000000001</v>
      </c>
      <c r="J309" s="19">
        <f>StockTransactionsTable[[#This Row],[Fee]]/StockTransactionsTable[[#This Row],[Total Amount]]</f>
        <v>0</v>
      </c>
      <c r="K309" s="5">
        <f>IF(StockTransactionsTable[[#This Row],[Transaction Type]]="Buy", StockTransactionsTable[[#This Row],[Total Amount with Fee]] / StockTransactionsTable[[#This Row],[Shares No.]],0)</f>
        <v>0</v>
      </c>
      <c r="L30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09" s="4">
        <f>YEAR(StockTransactionsTable[[#This Row],[Date]])</f>
        <v>2019</v>
      </c>
      <c r="N309" s="4">
        <f>MONTH(StockTransactionsTable[[#This Row],[Date]])</f>
        <v>11</v>
      </c>
      <c r="R309" s="1"/>
      <c r="V309" s="33"/>
      <c r="W309" s="33"/>
    </row>
    <row r="310" spans="2:23">
      <c r="B310" s="3">
        <v>43789</v>
      </c>
      <c r="C310" s="6" t="s">
        <v>22</v>
      </c>
      <c r="D310" s="6" t="s">
        <v>30</v>
      </c>
      <c r="E310" s="5">
        <v>81</v>
      </c>
      <c r="F310" s="5">
        <v>1.03</v>
      </c>
      <c r="G310" s="5">
        <f>StockTransactionsTable[[#This Row],[Shares No.]]*StockTransactionsTable[[#This Row],[Amount per Share]]</f>
        <v>83.43</v>
      </c>
      <c r="H310" s="5">
        <v>0</v>
      </c>
      <c r="I31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83.43</v>
      </c>
      <c r="J310" s="19">
        <f>StockTransactionsTable[[#This Row],[Fee]]/StockTransactionsTable[[#This Row],[Total Amount]]</f>
        <v>0</v>
      </c>
      <c r="K310" s="5">
        <f>IF(StockTransactionsTable[[#This Row],[Transaction Type]]="Buy", StockTransactionsTable[[#This Row],[Total Amount with Fee]] / StockTransactionsTable[[#This Row],[Shares No.]],0)</f>
        <v>0</v>
      </c>
      <c r="L31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10" s="4">
        <f>YEAR(StockTransactionsTable[[#This Row],[Date]])</f>
        <v>2019</v>
      </c>
      <c r="N310" s="4">
        <f>MONTH(StockTransactionsTable[[#This Row],[Date]])</f>
        <v>11</v>
      </c>
      <c r="R310" s="1"/>
      <c r="V310" s="33"/>
      <c r="W310" s="33"/>
    </row>
    <row r="311" spans="2:23">
      <c r="B311" s="3">
        <v>43794</v>
      </c>
      <c r="C311" s="6" t="s">
        <v>106</v>
      </c>
      <c r="D311" s="6" t="s">
        <v>29</v>
      </c>
      <c r="E311" s="5">
        <v>13</v>
      </c>
      <c r="F311" s="5" vm="475">
        <v>127.79</v>
      </c>
      <c r="G311" s="5">
        <f>StockTransactionsTable[[#This Row],[Shares No.]]*StockTransactionsTable[[#This Row],[Amount per Share]]</f>
        <v>1661.27</v>
      </c>
      <c r="H311" s="5">
        <v>0.73296012078481476</v>
      </c>
      <c r="I31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1662.0029601207848</v>
      </c>
      <c r="J311" s="19">
        <f>StockTransactionsTable[[#This Row],[Fee]]/StockTransactionsTable[[#This Row],[Total Amount]]</f>
        <v>4.4120469326768962E-4</v>
      </c>
      <c r="K311" s="5">
        <f>IF(StockTransactionsTable[[#This Row],[Transaction Type]]="Buy", StockTransactionsTable[[#This Row],[Total Amount with Fee]] / StockTransactionsTable[[#This Row],[Shares No.]],0)</f>
        <v>127.84638154775267</v>
      </c>
      <c r="L31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11" s="4">
        <f>YEAR(StockTransactionsTable[[#This Row],[Date]])</f>
        <v>2019</v>
      </c>
      <c r="N311" s="4">
        <f>MONTH(StockTransactionsTable[[#This Row],[Date]])</f>
        <v>11</v>
      </c>
      <c r="R311" s="1"/>
      <c r="V311" s="33"/>
      <c r="W311" s="33"/>
    </row>
    <row r="312" spans="2:23">
      <c r="B312" s="3">
        <v>43801</v>
      </c>
      <c r="C312" s="6" t="s">
        <v>13</v>
      </c>
      <c r="D312" s="6" t="s">
        <v>30</v>
      </c>
      <c r="E312" s="5">
        <v>55</v>
      </c>
      <c r="F312" s="5">
        <v>0.36</v>
      </c>
      <c r="G312" s="5">
        <f>StockTransactionsTable[[#This Row],[Shares No.]]*StockTransactionsTable[[#This Row],[Amount per Share]]</f>
        <v>19.8</v>
      </c>
      <c r="H312" s="5">
        <v>0</v>
      </c>
      <c r="I31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19.8</v>
      </c>
      <c r="J312" s="19">
        <f>StockTransactionsTable[[#This Row],[Fee]]/StockTransactionsTable[[#This Row],[Total Amount]]</f>
        <v>0</v>
      </c>
      <c r="K312" s="5">
        <f>IF(StockTransactionsTable[[#This Row],[Transaction Type]]="Buy", StockTransactionsTable[[#This Row],[Total Amount with Fee]] / StockTransactionsTable[[#This Row],[Shares No.]],0)</f>
        <v>0</v>
      </c>
      <c r="L31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12" s="4">
        <f>YEAR(StockTransactionsTable[[#This Row],[Date]])</f>
        <v>2019</v>
      </c>
      <c r="N312" s="4">
        <f>MONTH(StockTransactionsTable[[#This Row],[Date]])</f>
        <v>12</v>
      </c>
      <c r="R312" s="1"/>
      <c r="V312" s="33"/>
      <c r="W312" s="33"/>
    </row>
    <row r="313" spans="2:23">
      <c r="B313" s="3">
        <v>43809</v>
      </c>
      <c r="C313" s="6" t="s">
        <v>17</v>
      </c>
      <c r="D313" s="6" t="s">
        <v>30</v>
      </c>
      <c r="E313" s="5">
        <v>63</v>
      </c>
      <c r="F313" s="5">
        <v>1.62</v>
      </c>
      <c r="G313" s="5">
        <f>StockTransactionsTable[[#This Row],[Shares No.]]*StockTransactionsTable[[#This Row],[Amount per Share]]</f>
        <v>102.06</v>
      </c>
      <c r="H313" s="5">
        <v>0</v>
      </c>
      <c r="I31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102.06</v>
      </c>
      <c r="J313" s="19">
        <f>StockTransactionsTable[[#This Row],[Fee]]/StockTransactionsTable[[#This Row],[Total Amount]]</f>
        <v>0</v>
      </c>
      <c r="K313" s="5">
        <f>IF(StockTransactionsTable[[#This Row],[Transaction Type]]="Buy", StockTransactionsTable[[#This Row],[Total Amount with Fee]] / StockTransactionsTable[[#This Row],[Shares No.]],0)</f>
        <v>0</v>
      </c>
      <c r="L31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13" s="4">
        <f>YEAR(StockTransactionsTable[[#This Row],[Date]])</f>
        <v>2019</v>
      </c>
      <c r="N313" s="4">
        <f>MONTH(StockTransactionsTable[[#This Row],[Date]])</f>
        <v>12</v>
      </c>
      <c r="R313" s="1"/>
      <c r="V313" s="33"/>
      <c r="W313" s="33"/>
    </row>
    <row r="314" spans="2:23">
      <c r="B314" s="3">
        <v>43809</v>
      </c>
      <c r="C314" s="6" t="s">
        <v>84</v>
      </c>
      <c r="D314" s="6" t="s">
        <v>30</v>
      </c>
      <c r="E314" s="5">
        <v>51</v>
      </c>
      <c r="F314" s="5">
        <v>0.95</v>
      </c>
      <c r="G314" s="5">
        <f>StockTransactionsTable[[#This Row],[Shares No.]]*StockTransactionsTable[[#This Row],[Amount per Share]]</f>
        <v>48.449999999999996</v>
      </c>
      <c r="H314" s="5">
        <v>0</v>
      </c>
      <c r="I31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48.449999999999996</v>
      </c>
      <c r="J314" s="19">
        <f>StockTransactionsTable[[#This Row],[Fee]]/StockTransactionsTable[[#This Row],[Total Amount]]</f>
        <v>0</v>
      </c>
      <c r="K314" s="5">
        <f>IF(StockTransactionsTable[[#This Row],[Transaction Type]]="Buy", StockTransactionsTable[[#This Row],[Total Amount with Fee]] / StockTransactionsTable[[#This Row],[Shares No.]],0)</f>
        <v>0</v>
      </c>
      <c r="L31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14" s="4">
        <f>YEAR(StockTransactionsTable[[#This Row],[Date]])</f>
        <v>2019</v>
      </c>
      <c r="N314" s="4">
        <f>MONTH(StockTransactionsTable[[#This Row],[Date]])</f>
        <v>12</v>
      </c>
      <c r="R314" s="1"/>
      <c r="V314" s="33"/>
      <c r="W314" s="33"/>
    </row>
    <row r="315" spans="2:23">
      <c r="B315" s="3">
        <v>43809</v>
      </c>
      <c r="C315" s="6" t="s">
        <v>16</v>
      </c>
      <c r="D315" s="6" t="s">
        <v>30</v>
      </c>
      <c r="E315" s="5">
        <v>145</v>
      </c>
      <c r="F315" s="5">
        <v>0.87</v>
      </c>
      <c r="G315" s="5">
        <f>StockTransactionsTable[[#This Row],[Shares No.]]*StockTransactionsTable[[#This Row],[Amount per Share]]</f>
        <v>126.15</v>
      </c>
      <c r="H315" s="5">
        <v>0</v>
      </c>
      <c r="I31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126.15</v>
      </c>
      <c r="J315" s="19">
        <f>StockTransactionsTable[[#This Row],[Fee]]/StockTransactionsTable[[#This Row],[Total Amount]]</f>
        <v>0</v>
      </c>
      <c r="K315" s="5">
        <f>IF(StockTransactionsTable[[#This Row],[Transaction Type]]="Buy", StockTransactionsTable[[#This Row],[Total Amount with Fee]] / StockTransactionsTable[[#This Row],[Shares No.]],0)</f>
        <v>0</v>
      </c>
      <c r="L31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15" s="4">
        <f>YEAR(StockTransactionsTable[[#This Row],[Date]])</f>
        <v>2019</v>
      </c>
      <c r="N315" s="4">
        <f>MONTH(StockTransactionsTable[[#This Row],[Date]])</f>
        <v>12</v>
      </c>
      <c r="R315" s="1"/>
      <c r="V315" s="33"/>
      <c r="W315" s="33"/>
    </row>
    <row r="316" spans="2:23">
      <c r="B316" s="3">
        <v>43811</v>
      </c>
      <c r="C316" s="6" t="s">
        <v>17</v>
      </c>
      <c r="D316" s="6" t="s">
        <v>29</v>
      </c>
      <c r="E316" s="5">
        <v>12</v>
      </c>
      <c r="F316" s="5" vm="476">
        <v>135.32</v>
      </c>
      <c r="G316" s="5">
        <f>StockTransactionsTable[[#This Row],[Shares No.]]*StockTransactionsTable[[#This Row],[Amount per Share]]</f>
        <v>1623.84</v>
      </c>
      <c r="H316" s="5">
        <v>0.75686348521977209</v>
      </c>
      <c r="I31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1624.5968634852197</v>
      </c>
      <c r="J316" s="19">
        <f>StockTransactionsTable[[#This Row],[Fee]]/StockTransactionsTable[[#This Row],[Total Amount]]</f>
        <v>4.6609486477717762E-4</v>
      </c>
      <c r="K316" s="5">
        <f>IF(StockTransactionsTable[[#This Row],[Transaction Type]]="Buy", StockTransactionsTable[[#This Row],[Total Amount with Fee]] / StockTransactionsTable[[#This Row],[Shares No.]],0)</f>
        <v>135.38307195710163</v>
      </c>
      <c r="L31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16" s="4">
        <f>YEAR(StockTransactionsTable[[#This Row],[Date]])</f>
        <v>2019</v>
      </c>
      <c r="N316" s="4">
        <f>MONTH(StockTransactionsTable[[#This Row],[Date]])</f>
        <v>12</v>
      </c>
      <c r="R316" s="1"/>
      <c r="V316" s="33"/>
      <c r="W316" s="33"/>
    </row>
    <row r="317" spans="2:23">
      <c r="B317" s="3">
        <v>43811</v>
      </c>
      <c r="C317" s="6" t="s">
        <v>91</v>
      </c>
      <c r="D317" s="6" t="s">
        <v>30</v>
      </c>
      <c r="E317" s="5">
        <v>113</v>
      </c>
      <c r="F317" s="5">
        <v>0.51</v>
      </c>
      <c r="G317" s="5">
        <f>StockTransactionsTable[[#This Row],[Shares No.]]*StockTransactionsTable[[#This Row],[Amount per Share]]</f>
        <v>57.63</v>
      </c>
      <c r="H317" s="5">
        <v>0</v>
      </c>
      <c r="I31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57.63</v>
      </c>
      <c r="J317" s="19">
        <f>StockTransactionsTable[[#This Row],[Fee]]/StockTransactionsTable[[#This Row],[Total Amount]]</f>
        <v>0</v>
      </c>
      <c r="K317" s="5">
        <f>IF(StockTransactionsTable[[#This Row],[Transaction Type]]="Buy", StockTransactionsTable[[#This Row],[Total Amount with Fee]] / StockTransactionsTable[[#This Row],[Shares No.]],0)</f>
        <v>0</v>
      </c>
      <c r="L31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17" s="4">
        <f>YEAR(StockTransactionsTable[[#This Row],[Date]])</f>
        <v>2019</v>
      </c>
      <c r="N317" s="4">
        <f>MONTH(StockTransactionsTable[[#This Row],[Date]])</f>
        <v>12</v>
      </c>
      <c r="R317" s="1"/>
      <c r="V317" s="33"/>
      <c r="W317" s="33"/>
    </row>
    <row r="318" spans="2:23">
      <c r="B318" s="3">
        <v>43811</v>
      </c>
      <c r="C318" s="6" t="s">
        <v>106</v>
      </c>
      <c r="D318" s="6" t="s">
        <v>30</v>
      </c>
      <c r="E318" s="5">
        <v>52</v>
      </c>
      <c r="F318" s="5">
        <v>0.51</v>
      </c>
      <c r="G318" s="5">
        <f>StockTransactionsTable[[#This Row],[Shares No.]]*StockTransactionsTable[[#This Row],[Amount per Share]]</f>
        <v>26.52</v>
      </c>
      <c r="H318" s="5">
        <v>0</v>
      </c>
      <c r="I31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26.52</v>
      </c>
      <c r="J318" s="19">
        <f>StockTransactionsTable[[#This Row],[Fee]]/StockTransactionsTable[[#This Row],[Total Amount]]</f>
        <v>0</v>
      </c>
      <c r="K318" s="5">
        <f>IF(StockTransactionsTable[[#This Row],[Transaction Type]]="Buy", StockTransactionsTable[[#This Row],[Total Amount with Fee]] / StockTransactionsTable[[#This Row],[Shares No.]],0)</f>
        <v>0</v>
      </c>
      <c r="L31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18" s="4">
        <f>YEAR(StockTransactionsTable[[#This Row],[Date]])</f>
        <v>2019</v>
      </c>
      <c r="N318" s="4">
        <f>MONTH(StockTransactionsTable[[#This Row],[Date]])</f>
        <v>12</v>
      </c>
      <c r="R318" s="1"/>
      <c r="V318" s="33"/>
      <c r="W318" s="33"/>
    </row>
    <row r="319" spans="2:23">
      <c r="B319" s="3">
        <v>43812</v>
      </c>
      <c r="C319" s="6" t="s">
        <v>12</v>
      </c>
      <c r="D319" s="6" t="s">
        <v>30</v>
      </c>
      <c r="E319" s="5">
        <v>29</v>
      </c>
      <c r="F319" s="5">
        <v>0.22700000000000001</v>
      </c>
      <c r="G319" s="5">
        <f>StockTransactionsTable[[#This Row],[Shares No.]]*StockTransactionsTable[[#This Row],[Amount per Share]]</f>
        <v>6.5830000000000002</v>
      </c>
      <c r="H319" s="5">
        <v>0</v>
      </c>
      <c r="I31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6.5830000000000002</v>
      </c>
      <c r="J319" s="19">
        <f>StockTransactionsTable[[#This Row],[Fee]]/StockTransactionsTable[[#This Row],[Total Amount]]</f>
        <v>0</v>
      </c>
      <c r="K319" s="5">
        <f>IF(StockTransactionsTable[[#This Row],[Transaction Type]]="Buy", StockTransactionsTable[[#This Row],[Total Amount with Fee]] / StockTransactionsTable[[#This Row],[Shares No.]],0)</f>
        <v>0</v>
      </c>
      <c r="L31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19" s="4">
        <f>YEAR(StockTransactionsTable[[#This Row],[Date]])</f>
        <v>2019</v>
      </c>
      <c r="N319" s="4">
        <f>MONTH(StockTransactionsTable[[#This Row],[Date]])</f>
        <v>12</v>
      </c>
      <c r="R319" s="1"/>
      <c r="V319" s="33"/>
      <c r="W319" s="33"/>
    </row>
    <row r="320" spans="2:23">
      <c r="B320" s="3">
        <v>43815</v>
      </c>
      <c r="C320" s="6" t="s">
        <v>100</v>
      </c>
      <c r="D320" s="6" t="s">
        <v>30</v>
      </c>
      <c r="E320" s="5">
        <v>74</v>
      </c>
      <c r="F320" s="5">
        <v>0.94499999999999995</v>
      </c>
      <c r="G320" s="5">
        <f>StockTransactionsTable[[#This Row],[Shares No.]]*StockTransactionsTable[[#This Row],[Amount per Share]]</f>
        <v>69.929999999999993</v>
      </c>
      <c r="H320" s="5">
        <v>0</v>
      </c>
      <c r="I32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69.929999999999993</v>
      </c>
      <c r="J320" s="19">
        <f>StockTransactionsTable[[#This Row],[Fee]]/StockTransactionsTable[[#This Row],[Total Amount]]</f>
        <v>0</v>
      </c>
      <c r="K320" s="5">
        <f>IF(StockTransactionsTable[[#This Row],[Transaction Type]]="Buy", StockTransactionsTable[[#This Row],[Total Amount with Fee]] / StockTransactionsTable[[#This Row],[Shares No.]],0)</f>
        <v>0</v>
      </c>
      <c r="L32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20" s="4">
        <f>YEAR(StockTransactionsTable[[#This Row],[Date]])</f>
        <v>2019</v>
      </c>
      <c r="N320" s="4">
        <f>MONTH(StockTransactionsTable[[#This Row],[Date]])</f>
        <v>12</v>
      </c>
      <c r="R320" s="1"/>
      <c r="V320" s="33"/>
      <c r="W320" s="33"/>
    </row>
    <row r="321" spans="2:23">
      <c r="B321" s="3">
        <v>43815</v>
      </c>
      <c r="C321" s="6" t="s">
        <v>23</v>
      </c>
      <c r="D321" s="6" t="s">
        <v>30</v>
      </c>
      <c r="E321" s="5">
        <v>58</v>
      </c>
      <c r="F321" s="5">
        <v>0.4</v>
      </c>
      <c r="G321" s="5">
        <f>StockTransactionsTable[[#This Row],[Shares No.]]*StockTransactionsTable[[#This Row],[Amount per Share]]</f>
        <v>23.200000000000003</v>
      </c>
      <c r="H321" s="5">
        <v>0</v>
      </c>
      <c r="I32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23.200000000000003</v>
      </c>
      <c r="J321" s="19">
        <f>StockTransactionsTable[[#This Row],[Fee]]/StockTransactionsTable[[#This Row],[Total Amount]]</f>
        <v>0</v>
      </c>
      <c r="K321" s="5">
        <f>IF(StockTransactionsTable[[#This Row],[Transaction Type]]="Buy", StockTransactionsTable[[#This Row],[Total Amount with Fee]] / StockTransactionsTable[[#This Row],[Shares No.]],0)</f>
        <v>0</v>
      </c>
      <c r="L32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21" s="4">
        <f>YEAR(StockTransactionsTable[[#This Row],[Date]])</f>
        <v>2019</v>
      </c>
      <c r="N321" s="4">
        <f>MONTH(StockTransactionsTable[[#This Row],[Date]])</f>
        <v>12</v>
      </c>
      <c r="R321" s="1"/>
      <c r="V321" s="33"/>
      <c r="W321" s="33"/>
    </row>
    <row r="322" spans="2:23">
      <c r="B322" s="3">
        <v>43815</v>
      </c>
      <c r="C322" s="6" t="s">
        <v>88</v>
      </c>
      <c r="D322" s="6" t="s">
        <v>30</v>
      </c>
      <c r="E322" s="5">
        <v>20</v>
      </c>
      <c r="F322" s="5">
        <v>1.25</v>
      </c>
      <c r="G322" s="5">
        <f>StockTransactionsTable[[#This Row],[Shares No.]]*StockTransactionsTable[[#This Row],[Amount per Share]]</f>
        <v>25</v>
      </c>
      <c r="H322" s="5">
        <v>0</v>
      </c>
      <c r="I32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v>
      </c>
      <c r="J322" s="19">
        <f>StockTransactionsTable[[#This Row],[Fee]]/StockTransactionsTable[[#This Row],[Total Amount]]</f>
        <v>0</v>
      </c>
      <c r="K322" s="5">
        <f>IF(StockTransactionsTable[[#This Row],[Transaction Type]]="Buy", StockTransactionsTable[[#This Row],[Total Amount with Fee]] / StockTransactionsTable[[#This Row],[Shares No.]],0)</f>
        <v>0</v>
      </c>
      <c r="L32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22" s="4">
        <f>YEAR(StockTransactionsTable[[#This Row],[Date]])</f>
        <v>2019</v>
      </c>
      <c r="N322" s="4">
        <f>MONTH(StockTransactionsTable[[#This Row],[Date]])</f>
        <v>12</v>
      </c>
      <c r="R322" s="1"/>
      <c r="V322" s="33"/>
      <c r="W322" s="33"/>
    </row>
    <row r="323" spans="2:23">
      <c r="B323" s="3">
        <v>43815</v>
      </c>
      <c r="C323" s="6" t="s">
        <v>98</v>
      </c>
      <c r="D323" s="6" t="s">
        <v>30</v>
      </c>
      <c r="E323" s="5">
        <v>73</v>
      </c>
      <c r="F323" s="5">
        <v>1.25</v>
      </c>
      <c r="G323" s="5">
        <f>StockTransactionsTable[[#This Row],[Shares No.]]*StockTransactionsTable[[#This Row],[Amount per Share]]</f>
        <v>91.25</v>
      </c>
      <c r="H323" s="5">
        <v>0</v>
      </c>
      <c r="I32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91.25</v>
      </c>
      <c r="J323" s="19">
        <f>StockTransactionsTable[[#This Row],[Fee]]/StockTransactionsTable[[#This Row],[Total Amount]]</f>
        <v>0</v>
      </c>
      <c r="K323" s="5">
        <f>IF(StockTransactionsTable[[#This Row],[Transaction Type]]="Buy", StockTransactionsTable[[#This Row],[Total Amount with Fee]] / StockTransactionsTable[[#This Row],[Shares No.]],0)</f>
        <v>0</v>
      </c>
      <c r="L32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23" s="4">
        <f>YEAR(StockTransactionsTable[[#This Row],[Date]])</f>
        <v>2019</v>
      </c>
      <c r="N323" s="4">
        <f>MONTH(StockTransactionsTable[[#This Row],[Date]])</f>
        <v>12</v>
      </c>
      <c r="R323" s="1"/>
      <c r="V323" s="33"/>
      <c r="W323" s="33"/>
    </row>
    <row r="324" spans="2:23">
      <c r="B324" s="3">
        <v>43818</v>
      </c>
      <c r="C324" s="6" t="s">
        <v>95</v>
      </c>
      <c r="D324" s="6" t="s">
        <v>30</v>
      </c>
      <c r="E324" s="5">
        <v>43</v>
      </c>
      <c r="F324" s="5">
        <v>1.36</v>
      </c>
      <c r="G324" s="5">
        <f>StockTransactionsTable[[#This Row],[Shares No.]]*StockTransactionsTable[[#This Row],[Amount per Share]]</f>
        <v>58.480000000000004</v>
      </c>
      <c r="H324" s="5">
        <v>0</v>
      </c>
      <c r="I32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58.480000000000004</v>
      </c>
      <c r="J324" s="19">
        <f>StockTransactionsTable[[#This Row],[Fee]]/StockTransactionsTable[[#This Row],[Total Amount]]</f>
        <v>0</v>
      </c>
      <c r="K324" s="5">
        <f>IF(StockTransactionsTable[[#This Row],[Transaction Type]]="Buy", StockTransactionsTable[[#This Row],[Total Amount with Fee]] / StockTransactionsTable[[#This Row],[Shares No.]],0)</f>
        <v>0</v>
      </c>
      <c r="L32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24" s="4">
        <f>YEAR(StockTransactionsTable[[#This Row],[Date]])</f>
        <v>2019</v>
      </c>
      <c r="N324" s="4">
        <f>MONTH(StockTransactionsTable[[#This Row],[Date]])</f>
        <v>12</v>
      </c>
      <c r="R324" s="1"/>
      <c r="V324" s="33"/>
      <c r="W324" s="33"/>
    </row>
    <row r="325" spans="2:23">
      <c r="B325" s="3">
        <v>43845</v>
      </c>
      <c r="C325" s="6" t="s">
        <v>12</v>
      </c>
      <c r="D325" s="6" t="s">
        <v>30</v>
      </c>
      <c r="E325" s="5">
        <v>29</v>
      </c>
      <c r="F325" s="5">
        <v>0.22750000000000001</v>
      </c>
      <c r="G325" s="5">
        <f>StockTransactionsTable[[#This Row],[Shares No.]]*StockTransactionsTable[[#This Row],[Amount per Share]]</f>
        <v>6.5975000000000001</v>
      </c>
      <c r="H325" s="5">
        <v>0</v>
      </c>
      <c r="I32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6.5975000000000001</v>
      </c>
      <c r="J325" s="19">
        <f>StockTransactionsTable[[#This Row],[Fee]]/StockTransactionsTable[[#This Row],[Total Amount]]</f>
        <v>0</v>
      </c>
      <c r="K325" s="5">
        <f>IF(StockTransactionsTable[[#This Row],[Transaction Type]]="Buy", StockTransactionsTable[[#This Row],[Total Amount with Fee]] / StockTransactionsTable[[#This Row],[Shares No.]],0)</f>
        <v>0</v>
      </c>
      <c r="L32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25" s="4">
        <f>YEAR(StockTransactionsTable[[#This Row],[Date]])</f>
        <v>2020</v>
      </c>
      <c r="N325" s="4">
        <f>MONTH(StockTransactionsTable[[#This Row],[Date]])</f>
        <v>1</v>
      </c>
      <c r="R325" s="1"/>
      <c r="V325" s="33"/>
      <c r="W325" s="33"/>
    </row>
    <row r="326" spans="2:23">
      <c r="B326" s="3">
        <v>43851</v>
      </c>
      <c r="C326" s="6" t="s">
        <v>19</v>
      </c>
      <c r="D326" s="6" t="s">
        <v>29</v>
      </c>
      <c r="E326" s="5">
        <v>25</v>
      </c>
      <c r="F326" s="5" vm="477">
        <v>159.1</v>
      </c>
      <c r="G326" s="5">
        <f>StockTransactionsTable[[#This Row],[Shares No.]]*StockTransactionsTable[[#This Row],[Amount per Share]]</f>
        <v>3977.5</v>
      </c>
      <c r="H326" s="5">
        <v>1.730595878696741</v>
      </c>
      <c r="I32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3979.2305958786969</v>
      </c>
      <c r="J326" s="19">
        <f>StockTransactionsTable[[#This Row],[Fee]]/StockTransactionsTable[[#This Row],[Total Amount]]</f>
        <v>4.3509638685021771E-4</v>
      </c>
      <c r="K326" s="5">
        <f>IF(StockTransactionsTable[[#This Row],[Transaction Type]]="Buy", StockTransactionsTable[[#This Row],[Total Amount with Fee]] / StockTransactionsTable[[#This Row],[Shares No.]],0)</f>
        <v>159.16922383514787</v>
      </c>
      <c r="L32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26" s="4">
        <f>YEAR(StockTransactionsTable[[#This Row],[Date]])</f>
        <v>2020</v>
      </c>
      <c r="N326" s="4">
        <f>MONTH(StockTransactionsTable[[#This Row],[Date]])</f>
        <v>1</v>
      </c>
      <c r="R326" s="1"/>
      <c r="V326" s="33"/>
      <c r="W326" s="33"/>
    </row>
    <row r="327" spans="2:23">
      <c r="B327" s="3">
        <v>43861</v>
      </c>
      <c r="C327" s="6" t="s">
        <v>20</v>
      </c>
      <c r="D327" s="6" t="s">
        <v>30</v>
      </c>
      <c r="E327" s="5">
        <v>78</v>
      </c>
      <c r="F327" s="5">
        <v>0.9</v>
      </c>
      <c r="G327" s="5">
        <f>StockTransactionsTable[[#This Row],[Shares No.]]*StockTransactionsTable[[#This Row],[Amount per Share]]</f>
        <v>70.2</v>
      </c>
      <c r="H327" s="5">
        <v>0</v>
      </c>
      <c r="I32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70.2</v>
      </c>
      <c r="J327" s="19">
        <f>StockTransactionsTable[[#This Row],[Fee]]/StockTransactionsTable[[#This Row],[Total Amount]]</f>
        <v>0</v>
      </c>
      <c r="K327" s="5">
        <f>IF(StockTransactionsTable[[#This Row],[Transaction Type]]="Buy", StockTransactionsTable[[#This Row],[Total Amount with Fee]] / StockTransactionsTable[[#This Row],[Shares No.]],0)</f>
        <v>0</v>
      </c>
      <c r="L32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27" s="4">
        <f>YEAR(StockTransactionsTable[[#This Row],[Date]])</f>
        <v>2020</v>
      </c>
      <c r="N327" s="4">
        <f>MONTH(StockTransactionsTable[[#This Row],[Date]])</f>
        <v>1</v>
      </c>
      <c r="R327" s="1"/>
      <c r="V327" s="33"/>
      <c r="W327" s="33"/>
    </row>
    <row r="328" spans="2:23">
      <c r="B328" s="3">
        <v>43864</v>
      </c>
      <c r="C328" s="6" t="s">
        <v>15</v>
      </c>
      <c r="D328" s="6" t="s">
        <v>30</v>
      </c>
      <c r="E328" s="5">
        <v>124</v>
      </c>
      <c r="F328" s="5">
        <v>0.52</v>
      </c>
      <c r="G328" s="5">
        <f>StockTransactionsTable[[#This Row],[Shares No.]]*StockTransactionsTable[[#This Row],[Amount per Share]]</f>
        <v>64.48</v>
      </c>
      <c r="H328" s="5">
        <v>0</v>
      </c>
      <c r="I32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64.48</v>
      </c>
      <c r="J328" s="19">
        <f>StockTransactionsTable[[#This Row],[Fee]]/StockTransactionsTable[[#This Row],[Total Amount]]</f>
        <v>0</v>
      </c>
      <c r="K328" s="5">
        <f>IF(StockTransactionsTable[[#This Row],[Transaction Type]]="Buy", StockTransactionsTable[[#This Row],[Total Amount with Fee]] / StockTransactionsTable[[#This Row],[Shares No.]],0)</f>
        <v>0</v>
      </c>
      <c r="L32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28" s="4">
        <f>YEAR(StockTransactionsTable[[#This Row],[Date]])</f>
        <v>2020</v>
      </c>
      <c r="N328" s="4">
        <f>MONTH(StockTransactionsTable[[#This Row],[Date]])</f>
        <v>2</v>
      </c>
      <c r="R328" s="1"/>
      <c r="V328" s="33"/>
      <c r="W328" s="33"/>
    </row>
    <row r="329" spans="2:23">
      <c r="B329" s="3">
        <v>43875</v>
      </c>
      <c r="C329" s="6" t="s">
        <v>86</v>
      </c>
      <c r="D329" s="6" t="s">
        <v>30</v>
      </c>
      <c r="E329" s="5">
        <v>53</v>
      </c>
      <c r="F329" s="5">
        <v>1.18</v>
      </c>
      <c r="G329" s="5">
        <f>StockTransactionsTable[[#This Row],[Shares No.]]*StockTransactionsTable[[#This Row],[Amount per Share]]</f>
        <v>62.54</v>
      </c>
      <c r="H329" s="5">
        <v>0</v>
      </c>
      <c r="I32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62.54</v>
      </c>
      <c r="J329" s="19">
        <f>StockTransactionsTable[[#This Row],[Fee]]/StockTransactionsTable[[#This Row],[Total Amount]]</f>
        <v>0</v>
      </c>
      <c r="K329" s="5">
        <f>IF(StockTransactionsTable[[#This Row],[Transaction Type]]="Buy", StockTransactionsTable[[#This Row],[Total Amount with Fee]] / StockTransactionsTable[[#This Row],[Shares No.]],0)</f>
        <v>0</v>
      </c>
      <c r="L32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29" s="4">
        <f>YEAR(StockTransactionsTable[[#This Row],[Date]])</f>
        <v>2020</v>
      </c>
      <c r="N329" s="4">
        <f>MONTH(StockTransactionsTable[[#This Row],[Date]])</f>
        <v>2</v>
      </c>
      <c r="R329" s="1"/>
      <c r="V329" s="33"/>
      <c r="W329" s="33"/>
    </row>
    <row r="330" spans="2:23">
      <c r="B330" s="3">
        <v>43875</v>
      </c>
      <c r="C330" s="6" t="s">
        <v>19</v>
      </c>
      <c r="D330" s="6" t="s">
        <v>30</v>
      </c>
      <c r="E330" s="5">
        <v>57</v>
      </c>
      <c r="F330" s="5">
        <v>1.06</v>
      </c>
      <c r="G330" s="5">
        <f>StockTransactionsTable[[#This Row],[Shares No.]]*StockTransactionsTable[[#This Row],[Amount per Share]]</f>
        <v>60.42</v>
      </c>
      <c r="H330" s="5">
        <v>0</v>
      </c>
      <c r="I33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60.42</v>
      </c>
      <c r="J330" s="19">
        <f>StockTransactionsTable[[#This Row],[Fee]]/StockTransactionsTable[[#This Row],[Total Amount]]</f>
        <v>0</v>
      </c>
      <c r="K330" s="5">
        <f>IF(StockTransactionsTable[[#This Row],[Transaction Type]]="Buy", StockTransactionsTable[[#This Row],[Total Amount with Fee]] / StockTransactionsTable[[#This Row],[Shares No.]],0)</f>
        <v>0</v>
      </c>
      <c r="L33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30" s="4">
        <f>YEAR(StockTransactionsTable[[#This Row],[Date]])</f>
        <v>2020</v>
      </c>
      <c r="N330" s="4">
        <f>MONTH(StockTransactionsTable[[#This Row],[Date]])</f>
        <v>2</v>
      </c>
      <c r="R330" s="1"/>
      <c r="V330" s="33"/>
      <c r="W330" s="33"/>
    </row>
    <row r="331" spans="2:23">
      <c r="B331" s="3">
        <v>43875</v>
      </c>
      <c r="C331" s="6" t="s">
        <v>12</v>
      </c>
      <c r="D331" s="6" t="s">
        <v>30</v>
      </c>
      <c r="E331" s="5">
        <v>29</v>
      </c>
      <c r="F331" s="5">
        <v>0.23250000000000001</v>
      </c>
      <c r="G331" s="5">
        <f>StockTransactionsTable[[#This Row],[Shares No.]]*StockTransactionsTable[[#This Row],[Amount per Share]]</f>
        <v>6.7425000000000006</v>
      </c>
      <c r="H331" s="5">
        <v>0</v>
      </c>
      <c r="I33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6.7425000000000006</v>
      </c>
      <c r="J331" s="19">
        <f>StockTransactionsTable[[#This Row],[Fee]]/StockTransactionsTable[[#This Row],[Total Amount]]</f>
        <v>0</v>
      </c>
      <c r="K331" s="5">
        <f>IF(StockTransactionsTable[[#This Row],[Transaction Type]]="Buy", StockTransactionsTable[[#This Row],[Total Amount with Fee]] / StockTransactionsTable[[#This Row],[Shares No.]],0)</f>
        <v>0</v>
      </c>
      <c r="L33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31" s="4">
        <f>YEAR(StockTransactionsTable[[#This Row],[Date]])</f>
        <v>2020</v>
      </c>
      <c r="N331" s="4">
        <f>MONTH(StockTransactionsTable[[#This Row],[Date]])</f>
        <v>2</v>
      </c>
      <c r="R331" s="1"/>
      <c r="V331" s="33"/>
      <c r="W331" s="33"/>
    </row>
    <row r="332" spans="2:23">
      <c r="B332" s="3">
        <v>43879</v>
      </c>
      <c r="C332" s="6" t="s">
        <v>21</v>
      </c>
      <c r="D332" s="6" t="s">
        <v>30</v>
      </c>
      <c r="E332" s="5">
        <v>17</v>
      </c>
      <c r="F332" s="5">
        <v>0.74590000000000001</v>
      </c>
      <c r="G332" s="5">
        <f>StockTransactionsTable[[#This Row],[Shares No.]]*StockTransactionsTable[[#This Row],[Amount per Share]]</f>
        <v>12.680300000000001</v>
      </c>
      <c r="H332" s="5">
        <v>0</v>
      </c>
      <c r="I33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12.680300000000001</v>
      </c>
      <c r="J332" s="19">
        <f>StockTransactionsTable[[#This Row],[Fee]]/StockTransactionsTable[[#This Row],[Total Amount]]</f>
        <v>0</v>
      </c>
      <c r="K332" s="5">
        <f>IF(StockTransactionsTable[[#This Row],[Transaction Type]]="Buy", StockTransactionsTable[[#This Row],[Total Amount with Fee]] / StockTransactionsTable[[#This Row],[Shares No.]],0)</f>
        <v>0</v>
      </c>
      <c r="L33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32" s="4">
        <f>YEAR(StockTransactionsTable[[#This Row],[Date]])</f>
        <v>2020</v>
      </c>
      <c r="N332" s="4">
        <f>MONTH(StockTransactionsTable[[#This Row],[Date]])</f>
        <v>2</v>
      </c>
      <c r="R332" s="1"/>
      <c r="V332" s="33"/>
      <c r="W332" s="33"/>
    </row>
    <row r="333" spans="2:23">
      <c r="B333" s="3">
        <v>43881</v>
      </c>
      <c r="C333" s="6" t="s">
        <v>22</v>
      </c>
      <c r="D333" s="6" t="s">
        <v>30</v>
      </c>
      <c r="E333" s="5">
        <v>81</v>
      </c>
      <c r="F333" s="5">
        <v>1.03</v>
      </c>
      <c r="G333" s="5">
        <f>StockTransactionsTable[[#This Row],[Shares No.]]*StockTransactionsTable[[#This Row],[Amount per Share]]</f>
        <v>83.43</v>
      </c>
      <c r="H333" s="5">
        <v>0</v>
      </c>
      <c r="I33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83.43</v>
      </c>
      <c r="J333" s="19">
        <f>StockTransactionsTable[[#This Row],[Fee]]/StockTransactionsTable[[#This Row],[Total Amount]]</f>
        <v>0</v>
      </c>
      <c r="K333" s="5">
        <f>IF(StockTransactionsTable[[#This Row],[Transaction Type]]="Buy", StockTransactionsTable[[#This Row],[Total Amount with Fee]] / StockTransactionsTable[[#This Row],[Shares No.]],0)</f>
        <v>0</v>
      </c>
      <c r="L33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33" s="4">
        <f>YEAR(StockTransactionsTable[[#This Row],[Date]])</f>
        <v>2020</v>
      </c>
      <c r="N333" s="4">
        <f>MONTH(StockTransactionsTable[[#This Row],[Date]])</f>
        <v>2</v>
      </c>
      <c r="R333" s="1"/>
      <c r="V333" s="33"/>
      <c r="W333" s="33"/>
    </row>
    <row r="334" spans="2:23">
      <c r="B334" s="3">
        <v>43894</v>
      </c>
      <c r="C334" s="6" t="s">
        <v>17</v>
      </c>
      <c r="D334" s="6" t="s">
        <v>29</v>
      </c>
      <c r="E334" s="5">
        <v>16</v>
      </c>
      <c r="F334" s="5" vm="478">
        <v>134.22</v>
      </c>
      <c r="G334" s="5">
        <f>StockTransactionsTable[[#This Row],[Shares No.]]*StockTransactionsTable[[#This Row],[Amount per Share]]</f>
        <v>2147.52</v>
      </c>
      <c r="H334" s="5">
        <v>1.0633237236420969</v>
      </c>
      <c r="I33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2148.583323723642</v>
      </c>
      <c r="J334" s="19">
        <f>StockTransactionsTable[[#This Row],[Fee]]/StockTransactionsTable[[#This Row],[Total Amount]]</f>
        <v>4.9514031237990659E-4</v>
      </c>
      <c r="K334" s="5">
        <f>IF(StockTransactionsTable[[#This Row],[Transaction Type]]="Buy", StockTransactionsTable[[#This Row],[Total Amount with Fee]] / StockTransactionsTable[[#This Row],[Shares No.]],0)</f>
        <v>134.28645773272763</v>
      </c>
      <c r="L33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34" s="4">
        <f>YEAR(StockTransactionsTable[[#This Row],[Date]])</f>
        <v>2020</v>
      </c>
      <c r="N334" s="4">
        <f>MONTH(StockTransactionsTable[[#This Row],[Date]])</f>
        <v>3</v>
      </c>
      <c r="R334" s="1"/>
      <c r="V334" s="33"/>
      <c r="W334" s="33"/>
    </row>
    <row r="335" spans="2:23">
      <c r="B335" s="3">
        <v>43896</v>
      </c>
      <c r="C335" s="6" t="s">
        <v>13</v>
      </c>
      <c r="D335" s="6" t="s">
        <v>30</v>
      </c>
      <c r="E335" s="5">
        <v>55</v>
      </c>
      <c r="F335" s="5">
        <v>0.38</v>
      </c>
      <c r="G335" s="5">
        <f>StockTransactionsTable[[#This Row],[Shares No.]]*StockTransactionsTable[[#This Row],[Amount per Share]]</f>
        <v>20.9</v>
      </c>
      <c r="H335" s="5">
        <v>0</v>
      </c>
      <c r="I33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20.9</v>
      </c>
      <c r="J335" s="19">
        <f>StockTransactionsTable[[#This Row],[Fee]]/StockTransactionsTable[[#This Row],[Total Amount]]</f>
        <v>0</v>
      </c>
      <c r="K335" s="5">
        <f>IF(StockTransactionsTable[[#This Row],[Transaction Type]]="Buy", StockTransactionsTable[[#This Row],[Total Amount with Fee]] / StockTransactionsTable[[#This Row],[Shares No.]],0)</f>
        <v>0</v>
      </c>
      <c r="L33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35" s="4">
        <f>YEAR(StockTransactionsTable[[#This Row],[Date]])</f>
        <v>2020</v>
      </c>
      <c r="N335" s="4">
        <f>MONTH(StockTransactionsTable[[#This Row],[Date]])</f>
        <v>3</v>
      </c>
      <c r="R335" s="1"/>
      <c r="V335" s="33"/>
      <c r="W335" s="33"/>
    </row>
    <row r="336" spans="2:23">
      <c r="B336" s="3">
        <v>43900</v>
      </c>
      <c r="C336" s="6" t="s">
        <v>17</v>
      </c>
      <c r="D336" s="6" t="s">
        <v>30</v>
      </c>
      <c r="E336" s="5">
        <v>75</v>
      </c>
      <c r="F336" s="5">
        <v>1.62</v>
      </c>
      <c r="G336" s="5">
        <f>StockTransactionsTable[[#This Row],[Shares No.]]*StockTransactionsTable[[#This Row],[Amount per Share]]</f>
        <v>121.50000000000001</v>
      </c>
      <c r="H336" s="5">
        <v>0</v>
      </c>
      <c r="I33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121.50000000000001</v>
      </c>
      <c r="J336" s="19">
        <f>StockTransactionsTable[[#This Row],[Fee]]/StockTransactionsTable[[#This Row],[Total Amount]]</f>
        <v>0</v>
      </c>
      <c r="K336" s="5">
        <f>IF(StockTransactionsTable[[#This Row],[Transaction Type]]="Buy", StockTransactionsTable[[#This Row],[Total Amount with Fee]] / StockTransactionsTable[[#This Row],[Shares No.]],0)</f>
        <v>0</v>
      </c>
      <c r="L33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36" s="4">
        <f>YEAR(StockTransactionsTable[[#This Row],[Date]])</f>
        <v>2020</v>
      </c>
      <c r="N336" s="4">
        <f>MONTH(StockTransactionsTable[[#This Row],[Date]])</f>
        <v>3</v>
      </c>
      <c r="R336" s="1"/>
      <c r="V336" s="33"/>
      <c r="W336" s="33"/>
    </row>
    <row r="337" spans="2:23">
      <c r="B337" s="3">
        <v>43900</v>
      </c>
      <c r="C337" s="6" t="s">
        <v>84</v>
      </c>
      <c r="D337" s="6" t="s">
        <v>30</v>
      </c>
      <c r="E337" s="5">
        <v>51</v>
      </c>
      <c r="F337" s="5">
        <v>0.95</v>
      </c>
      <c r="G337" s="5">
        <f>StockTransactionsTable[[#This Row],[Shares No.]]*StockTransactionsTable[[#This Row],[Amount per Share]]</f>
        <v>48.449999999999996</v>
      </c>
      <c r="H337" s="5">
        <v>0</v>
      </c>
      <c r="I33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48.449999999999996</v>
      </c>
      <c r="J337" s="19">
        <f>StockTransactionsTable[[#This Row],[Fee]]/StockTransactionsTable[[#This Row],[Total Amount]]</f>
        <v>0</v>
      </c>
      <c r="K337" s="5">
        <f>IF(StockTransactionsTable[[#This Row],[Transaction Type]]="Buy", StockTransactionsTable[[#This Row],[Total Amount with Fee]] / StockTransactionsTable[[#This Row],[Shares No.]],0)</f>
        <v>0</v>
      </c>
      <c r="L33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37" s="4">
        <f>YEAR(StockTransactionsTable[[#This Row],[Date]])</f>
        <v>2020</v>
      </c>
      <c r="N337" s="4">
        <f>MONTH(StockTransactionsTable[[#This Row],[Date]])</f>
        <v>3</v>
      </c>
      <c r="R337" s="1"/>
      <c r="V337" s="33"/>
      <c r="W337" s="33"/>
    </row>
    <row r="338" spans="2:23">
      <c r="B338" s="3">
        <v>43900</v>
      </c>
      <c r="C338" s="6" t="s">
        <v>16</v>
      </c>
      <c r="D338" s="6" t="s">
        <v>30</v>
      </c>
      <c r="E338" s="5">
        <v>145</v>
      </c>
      <c r="F338" s="5">
        <v>0.87</v>
      </c>
      <c r="G338" s="5">
        <f>StockTransactionsTable[[#This Row],[Shares No.]]*StockTransactionsTable[[#This Row],[Amount per Share]]</f>
        <v>126.15</v>
      </c>
      <c r="H338" s="5">
        <v>0</v>
      </c>
      <c r="I33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126.15</v>
      </c>
      <c r="J338" s="19">
        <f>StockTransactionsTable[[#This Row],[Fee]]/StockTransactionsTable[[#This Row],[Total Amount]]</f>
        <v>0</v>
      </c>
      <c r="K338" s="5">
        <f>IF(StockTransactionsTable[[#This Row],[Transaction Type]]="Buy", StockTransactionsTable[[#This Row],[Total Amount with Fee]] / StockTransactionsTable[[#This Row],[Shares No.]],0)</f>
        <v>0</v>
      </c>
      <c r="L33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38" s="4">
        <f>YEAR(StockTransactionsTable[[#This Row],[Date]])</f>
        <v>2020</v>
      </c>
      <c r="N338" s="4">
        <f>MONTH(StockTransactionsTable[[#This Row],[Date]])</f>
        <v>3</v>
      </c>
      <c r="R338" s="1"/>
      <c r="V338" s="33"/>
      <c r="W338" s="33"/>
    </row>
    <row r="339" spans="2:23">
      <c r="B339" s="3">
        <v>43902</v>
      </c>
      <c r="C339" s="6" t="s">
        <v>91</v>
      </c>
      <c r="D339" s="6" t="s">
        <v>30</v>
      </c>
      <c r="E339" s="5">
        <v>113</v>
      </c>
      <c r="F339" s="5">
        <v>0.51</v>
      </c>
      <c r="G339" s="5">
        <f>StockTransactionsTable[[#This Row],[Shares No.]]*StockTransactionsTable[[#This Row],[Amount per Share]]</f>
        <v>57.63</v>
      </c>
      <c r="H339" s="5">
        <v>0</v>
      </c>
      <c r="I33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57.63</v>
      </c>
      <c r="J339" s="19">
        <f>StockTransactionsTable[[#This Row],[Fee]]/StockTransactionsTable[[#This Row],[Total Amount]]</f>
        <v>0</v>
      </c>
      <c r="K339" s="5">
        <f>IF(StockTransactionsTable[[#This Row],[Transaction Type]]="Buy", StockTransactionsTable[[#This Row],[Total Amount with Fee]] / StockTransactionsTable[[#This Row],[Shares No.]],0)</f>
        <v>0</v>
      </c>
      <c r="L33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39" s="4">
        <f>YEAR(StockTransactionsTable[[#This Row],[Date]])</f>
        <v>2020</v>
      </c>
      <c r="N339" s="4">
        <f>MONTH(StockTransactionsTable[[#This Row],[Date]])</f>
        <v>3</v>
      </c>
      <c r="R339" s="1"/>
      <c r="V339" s="33"/>
      <c r="W339" s="33"/>
    </row>
    <row r="340" spans="2:23">
      <c r="B340" s="3">
        <v>43902</v>
      </c>
      <c r="C340" s="6" t="s">
        <v>106</v>
      </c>
      <c r="D340" s="6" t="s">
        <v>30</v>
      </c>
      <c r="E340" s="5">
        <v>65</v>
      </c>
      <c r="F340" s="5">
        <v>0.51</v>
      </c>
      <c r="G340" s="5">
        <f>StockTransactionsTable[[#This Row],[Shares No.]]*StockTransactionsTable[[#This Row],[Amount per Share]]</f>
        <v>33.15</v>
      </c>
      <c r="H340" s="5">
        <v>0</v>
      </c>
      <c r="I34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33.15</v>
      </c>
      <c r="J340" s="19">
        <f>StockTransactionsTable[[#This Row],[Fee]]/StockTransactionsTable[[#This Row],[Total Amount]]</f>
        <v>0</v>
      </c>
      <c r="K340" s="5">
        <f>IF(StockTransactionsTable[[#This Row],[Transaction Type]]="Buy", StockTransactionsTable[[#This Row],[Total Amount with Fee]] / StockTransactionsTable[[#This Row],[Shares No.]],0)</f>
        <v>0</v>
      </c>
      <c r="L34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40" s="4">
        <f>YEAR(StockTransactionsTable[[#This Row],[Date]])</f>
        <v>2020</v>
      </c>
      <c r="N340" s="4">
        <f>MONTH(StockTransactionsTable[[#This Row],[Date]])</f>
        <v>3</v>
      </c>
      <c r="R340" s="1"/>
      <c r="V340" s="33"/>
      <c r="W340" s="33"/>
    </row>
    <row r="341" spans="2:23">
      <c r="B341" s="3">
        <v>43903</v>
      </c>
      <c r="C341" s="6" t="s">
        <v>12</v>
      </c>
      <c r="D341" s="6" t="s">
        <v>30</v>
      </c>
      <c r="E341" s="5">
        <v>29</v>
      </c>
      <c r="F341" s="5">
        <v>0.23250000000000001</v>
      </c>
      <c r="G341" s="5">
        <f>StockTransactionsTable[[#This Row],[Shares No.]]*StockTransactionsTable[[#This Row],[Amount per Share]]</f>
        <v>6.7425000000000006</v>
      </c>
      <c r="H341" s="5">
        <v>0</v>
      </c>
      <c r="I34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6.7425000000000006</v>
      </c>
      <c r="J341" s="19">
        <f>StockTransactionsTable[[#This Row],[Fee]]/StockTransactionsTable[[#This Row],[Total Amount]]</f>
        <v>0</v>
      </c>
      <c r="K341" s="5">
        <f>IF(StockTransactionsTable[[#This Row],[Transaction Type]]="Buy", StockTransactionsTable[[#This Row],[Total Amount with Fee]] / StockTransactionsTable[[#This Row],[Shares No.]],0)</f>
        <v>0</v>
      </c>
      <c r="L34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41" s="4">
        <f>YEAR(StockTransactionsTable[[#This Row],[Date]])</f>
        <v>2020</v>
      </c>
      <c r="N341" s="4">
        <f>MONTH(StockTransactionsTable[[#This Row],[Date]])</f>
        <v>3</v>
      </c>
      <c r="R341" s="1"/>
      <c r="V341" s="33"/>
      <c r="W341" s="33"/>
    </row>
    <row r="342" spans="2:23">
      <c r="B342" s="3">
        <v>43906</v>
      </c>
      <c r="C342" s="6" t="s">
        <v>100</v>
      </c>
      <c r="D342" s="6" t="s">
        <v>30</v>
      </c>
      <c r="E342" s="5">
        <v>74</v>
      </c>
      <c r="F342" s="5">
        <v>0.94499999999999995</v>
      </c>
      <c r="G342" s="5">
        <f>StockTransactionsTable[[#This Row],[Shares No.]]*StockTransactionsTable[[#This Row],[Amount per Share]]</f>
        <v>69.929999999999993</v>
      </c>
      <c r="H342" s="5">
        <v>0</v>
      </c>
      <c r="I34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69.929999999999993</v>
      </c>
      <c r="J342" s="19">
        <f>StockTransactionsTable[[#This Row],[Fee]]/StockTransactionsTable[[#This Row],[Total Amount]]</f>
        <v>0</v>
      </c>
      <c r="K342" s="5">
        <f>IF(StockTransactionsTable[[#This Row],[Transaction Type]]="Buy", StockTransactionsTable[[#This Row],[Total Amount with Fee]] / StockTransactionsTable[[#This Row],[Shares No.]],0)</f>
        <v>0</v>
      </c>
      <c r="L34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42" s="4">
        <f>YEAR(StockTransactionsTable[[#This Row],[Date]])</f>
        <v>2020</v>
      </c>
      <c r="N342" s="4">
        <f>MONTH(StockTransactionsTable[[#This Row],[Date]])</f>
        <v>3</v>
      </c>
      <c r="R342" s="1"/>
      <c r="V342" s="33"/>
      <c r="W342" s="33"/>
    </row>
    <row r="343" spans="2:23">
      <c r="B343" s="3">
        <v>43906</v>
      </c>
      <c r="C343" s="6" t="s">
        <v>88</v>
      </c>
      <c r="D343" s="6" t="s">
        <v>30</v>
      </c>
      <c r="E343" s="5">
        <v>20</v>
      </c>
      <c r="F343" s="5">
        <v>1.25</v>
      </c>
      <c r="G343" s="5">
        <f>StockTransactionsTable[[#This Row],[Shares No.]]*StockTransactionsTable[[#This Row],[Amount per Share]]</f>
        <v>25</v>
      </c>
      <c r="H343" s="5">
        <v>0</v>
      </c>
      <c r="I34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v>
      </c>
      <c r="J343" s="19">
        <f>StockTransactionsTable[[#This Row],[Fee]]/StockTransactionsTable[[#This Row],[Total Amount]]</f>
        <v>0</v>
      </c>
      <c r="K343" s="5">
        <f>IF(StockTransactionsTable[[#This Row],[Transaction Type]]="Buy", StockTransactionsTable[[#This Row],[Total Amount with Fee]] / StockTransactionsTable[[#This Row],[Shares No.]],0)</f>
        <v>0</v>
      </c>
      <c r="L34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43" s="4">
        <f>YEAR(StockTransactionsTable[[#This Row],[Date]])</f>
        <v>2020</v>
      </c>
      <c r="N343" s="4">
        <f>MONTH(StockTransactionsTable[[#This Row],[Date]])</f>
        <v>3</v>
      </c>
      <c r="R343" s="1"/>
      <c r="V343" s="33"/>
      <c r="W343" s="33"/>
    </row>
    <row r="344" spans="2:23">
      <c r="B344" s="3">
        <v>43906</v>
      </c>
      <c r="C344" s="6" t="s">
        <v>98</v>
      </c>
      <c r="D344" s="6" t="s">
        <v>30</v>
      </c>
      <c r="E344" s="5">
        <v>73</v>
      </c>
      <c r="F344" s="5">
        <v>1.4</v>
      </c>
      <c r="G344" s="5">
        <f>StockTransactionsTable[[#This Row],[Shares No.]]*StockTransactionsTable[[#This Row],[Amount per Share]]</f>
        <v>102.19999999999999</v>
      </c>
      <c r="H344" s="5">
        <v>0</v>
      </c>
      <c r="I34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102.19999999999999</v>
      </c>
      <c r="J344" s="19">
        <f>StockTransactionsTable[[#This Row],[Fee]]/StockTransactionsTable[[#This Row],[Total Amount]]</f>
        <v>0</v>
      </c>
      <c r="K344" s="5">
        <f>IF(StockTransactionsTable[[#This Row],[Transaction Type]]="Buy", StockTransactionsTable[[#This Row],[Total Amount with Fee]] / StockTransactionsTable[[#This Row],[Shares No.]],0)</f>
        <v>0</v>
      </c>
      <c r="L34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44" s="4">
        <f>YEAR(StockTransactionsTable[[#This Row],[Date]])</f>
        <v>2020</v>
      </c>
      <c r="N344" s="4">
        <f>MONTH(StockTransactionsTable[[#This Row],[Date]])</f>
        <v>3</v>
      </c>
      <c r="R344" s="1"/>
      <c r="V344" s="33"/>
      <c r="W344" s="33"/>
    </row>
    <row r="345" spans="2:23">
      <c r="B345" s="3">
        <v>43910</v>
      </c>
      <c r="C345" s="6" t="s">
        <v>88</v>
      </c>
      <c r="D345" s="6" t="s">
        <v>29</v>
      </c>
      <c r="E345" s="5">
        <v>5</v>
      </c>
      <c r="F345" s="5" vm="479">
        <v>148.49</v>
      </c>
      <c r="G345" s="5">
        <f>StockTransactionsTable[[#This Row],[Shares No.]]*StockTransactionsTable[[#This Row],[Amount per Share]]</f>
        <v>742.45</v>
      </c>
      <c r="H345" s="5">
        <v>0.31950804673222333</v>
      </c>
      <c r="I34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742.76950804673231</v>
      </c>
      <c r="J345" s="19">
        <f>StockTransactionsTable[[#This Row],[Fee]]/StockTransactionsTable[[#This Row],[Total Amount]]</f>
        <v>4.3034284696912023E-4</v>
      </c>
      <c r="K345" s="5">
        <f>IF(StockTransactionsTable[[#This Row],[Transaction Type]]="Buy", StockTransactionsTable[[#This Row],[Total Amount with Fee]] / StockTransactionsTable[[#This Row],[Shares No.]],0)</f>
        <v>148.55390160934647</v>
      </c>
      <c r="L34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45" s="4">
        <f>YEAR(StockTransactionsTable[[#This Row],[Date]])</f>
        <v>2020</v>
      </c>
      <c r="N345" s="4">
        <f>MONTH(StockTransactionsTable[[#This Row],[Date]])</f>
        <v>3</v>
      </c>
      <c r="R345" s="1"/>
      <c r="V345" s="33"/>
      <c r="W345" s="33"/>
    </row>
    <row r="346" spans="2:23">
      <c r="B346" s="3">
        <v>43916</v>
      </c>
      <c r="C346" s="6" t="s">
        <v>95</v>
      </c>
      <c r="D346" s="6" t="s">
        <v>30</v>
      </c>
      <c r="E346" s="5">
        <v>43</v>
      </c>
      <c r="F346" s="5">
        <v>1.5</v>
      </c>
      <c r="G346" s="5">
        <f>StockTransactionsTable[[#This Row],[Shares No.]]*StockTransactionsTable[[#This Row],[Amount per Share]]</f>
        <v>64.5</v>
      </c>
      <c r="H346" s="5">
        <v>0</v>
      </c>
      <c r="I34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64.5</v>
      </c>
      <c r="J346" s="19">
        <f>StockTransactionsTable[[#This Row],[Fee]]/StockTransactionsTable[[#This Row],[Total Amount]]</f>
        <v>0</v>
      </c>
      <c r="K346" s="5">
        <f>IF(StockTransactionsTable[[#This Row],[Transaction Type]]="Buy", StockTransactionsTable[[#This Row],[Total Amount with Fee]] / StockTransactionsTable[[#This Row],[Shares No.]],0)</f>
        <v>0</v>
      </c>
      <c r="L34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46" s="4">
        <f>YEAR(StockTransactionsTable[[#This Row],[Date]])</f>
        <v>2020</v>
      </c>
      <c r="N346" s="4">
        <f>MONTH(StockTransactionsTable[[#This Row],[Date]])</f>
        <v>3</v>
      </c>
      <c r="R346" s="1"/>
      <c r="V346" s="33"/>
      <c r="W346" s="33"/>
    </row>
    <row r="347" spans="2:23">
      <c r="B347" s="3">
        <v>43922</v>
      </c>
      <c r="C347" s="6" t="s">
        <v>23</v>
      </c>
      <c r="D347" s="6" t="s">
        <v>30</v>
      </c>
      <c r="E347" s="5">
        <v>58</v>
      </c>
      <c r="F347" s="5">
        <v>0.41</v>
      </c>
      <c r="G347" s="5">
        <f>StockTransactionsTable[[#This Row],[Shares No.]]*StockTransactionsTable[[#This Row],[Amount per Share]]</f>
        <v>23.779999999999998</v>
      </c>
      <c r="H347" s="5">
        <v>0</v>
      </c>
      <c r="I34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23.779999999999998</v>
      </c>
      <c r="J347" s="19">
        <f>StockTransactionsTable[[#This Row],[Fee]]/StockTransactionsTable[[#This Row],[Total Amount]]</f>
        <v>0</v>
      </c>
      <c r="K347" s="5">
        <f>IF(StockTransactionsTable[[#This Row],[Transaction Type]]="Buy", StockTransactionsTable[[#This Row],[Total Amount with Fee]] / StockTransactionsTable[[#This Row],[Shares No.]],0)</f>
        <v>0</v>
      </c>
      <c r="L34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47" s="4">
        <f>YEAR(StockTransactionsTable[[#This Row],[Date]])</f>
        <v>2020</v>
      </c>
      <c r="N347" s="4">
        <f>MONTH(StockTransactionsTable[[#This Row],[Date]])</f>
        <v>4</v>
      </c>
      <c r="R347" s="1"/>
      <c r="V347" s="33"/>
      <c r="W347" s="33"/>
    </row>
    <row r="348" spans="2:23">
      <c r="B348" s="3">
        <v>43936</v>
      </c>
      <c r="C348" s="6" t="s">
        <v>88</v>
      </c>
      <c r="D348" s="6" t="s">
        <v>29</v>
      </c>
      <c r="E348" s="5">
        <v>34</v>
      </c>
      <c r="F348" s="5" vm="480">
        <v>177.84</v>
      </c>
      <c r="G348" s="5">
        <f>StockTransactionsTable[[#This Row],[Shares No.]]*StockTransactionsTable[[#This Row],[Amount per Share]]</f>
        <v>6046.56</v>
      </c>
      <c r="H348" s="5">
        <v>2.9007380070071633</v>
      </c>
      <c r="I34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6049.4607380070074</v>
      </c>
      <c r="J348" s="19">
        <f>StockTransactionsTable[[#This Row],[Fee]]/StockTransactionsTable[[#This Row],[Total Amount]]</f>
        <v>4.7973360175160144E-4</v>
      </c>
      <c r="K348" s="5">
        <f>IF(StockTransactionsTable[[#This Row],[Transaction Type]]="Buy", StockTransactionsTable[[#This Row],[Total Amount with Fee]] / StockTransactionsTable[[#This Row],[Shares No.]],0)</f>
        <v>177.9253158237355</v>
      </c>
      <c r="L34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48" s="4">
        <f>YEAR(StockTransactionsTable[[#This Row],[Date]])</f>
        <v>2020</v>
      </c>
      <c r="N348" s="4">
        <f>MONTH(StockTransactionsTable[[#This Row],[Date]])</f>
        <v>4</v>
      </c>
      <c r="R348" s="1"/>
      <c r="V348" s="33"/>
      <c r="W348" s="33"/>
    </row>
    <row r="349" spans="2:23">
      <c r="B349" s="3">
        <v>43936</v>
      </c>
      <c r="C349" s="6" t="s">
        <v>12</v>
      </c>
      <c r="D349" s="6" t="s">
        <v>30</v>
      </c>
      <c r="E349" s="5">
        <v>29</v>
      </c>
      <c r="F349" s="5">
        <v>0.23300000000000001</v>
      </c>
      <c r="G349" s="5">
        <f>StockTransactionsTable[[#This Row],[Shares No.]]*StockTransactionsTable[[#This Row],[Amount per Share]]</f>
        <v>6.7570000000000006</v>
      </c>
      <c r="H349" s="5">
        <v>0</v>
      </c>
      <c r="I34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6.7570000000000006</v>
      </c>
      <c r="J349" s="19">
        <f>StockTransactionsTable[[#This Row],[Fee]]/StockTransactionsTable[[#This Row],[Total Amount]]</f>
        <v>0</v>
      </c>
      <c r="K349" s="5">
        <f>IF(StockTransactionsTable[[#This Row],[Transaction Type]]="Buy", StockTransactionsTable[[#This Row],[Total Amount with Fee]] / StockTransactionsTable[[#This Row],[Shares No.]],0)</f>
        <v>0</v>
      </c>
      <c r="L34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49" s="4">
        <f>YEAR(StockTransactionsTable[[#This Row],[Date]])</f>
        <v>2020</v>
      </c>
      <c r="N349" s="4">
        <f>MONTH(StockTransactionsTable[[#This Row],[Date]])</f>
        <v>4</v>
      </c>
      <c r="R349" s="1"/>
      <c r="V349" s="33"/>
      <c r="W349" s="33"/>
    </row>
    <row r="350" spans="2:23">
      <c r="B350" s="3">
        <v>43951</v>
      </c>
      <c r="C350" s="6" t="s">
        <v>20</v>
      </c>
      <c r="D350" s="6" t="s">
        <v>30</v>
      </c>
      <c r="E350" s="5">
        <v>78</v>
      </c>
      <c r="F350" s="5">
        <v>0.9</v>
      </c>
      <c r="G350" s="5">
        <f>StockTransactionsTable[[#This Row],[Shares No.]]*StockTransactionsTable[[#This Row],[Amount per Share]]</f>
        <v>70.2</v>
      </c>
      <c r="H350" s="5">
        <v>0</v>
      </c>
      <c r="I35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70.2</v>
      </c>
      <c r="J350" s="19">
        <f>StockTransactionsTable[[#This Row],[Fee]]/StockTransactionsTable[[#This Row],[Total Amount]]</f>
        <v>0</v>
      </c>
      <c r="K350" s="5">
        <f>IF(StockTransactionsTable[[#This Row],[Transaction Type]]="Buy", StockTransactionsTable[[#This Row],[Total Amount with Fee]] / StockTransactionsTable[[#This Row],[Shares No.]],0)</f>
        <v>0</v>
      </c>
      <c r="L35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50" s="4">
        <f>YEAR(StockTransactionsTable[[#This Row],[Date]])</f>
        <v>2020</v>
      </c>
      <c r="N350" s="4">
        <f>MONTH(StockTransactionsTable[[#This Row],[Date]])</f>
        <v>4</v>
      </c>
      <c r="R350" s="1"/>
      <c r="V350" s="33"/>
      <c r="W350" s="33"/>
    </row>
    <row r="351" spans="2:23">
      <c r="B351" s="3">
        <v>43952</v>
      </c>
      <c r="C351" s="6" t="s">
        <v>15</v>
      </c>
      <c r="D351" s="6" t="s">
        <v>30</v>
      </c>
      <c r="E351" s="5">
        <v>124</v>
      </c>
      <c r="F351" s="5">
        <v>0.52</v>
      </c>
      <c r="G351" s="5">
        <f>StockTransactionsTable[[#This Row],[Shares No.]]*StockTransactionsTable[[#This Row],[Amount per Share]]</f>
        <v>64.48</v>
      </c>
      <c r="H351" s="5">
        <v>0</v>
      </c>
      <c r="I35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64.48</v>
      </c>
      <c r="J351" s="19">
        <f>StockTransactionsTable[[#This Row],[Fee]]/StockTransactionsTable[[#This Row],[Total Amount]]</f>
        <v>0</v>
      </c>
      <c r="K351" s="5">
        <f>IF(StockTransactionsTable[[#This Row],[Transaction Type]]="Buy", StockTransactionsTable[[#This Row],[Total Amount with Fee]] / StockTransactionsTable[[#This Row],[Shares No.]],0)</f>
        <v>0</v>
      </c>
      <c r="L35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51" s="4">
        <f>YEAR(StockTransactionsTable[[#This Row],[Date]])</f>
        <v>2020</v>
      </c>
      <c r="N351" s="4">
        <f>MONTH(StockTransactionsTable[[#This Row],[Date]])</f>
        <v>5</v>
      </c>
      <c r="R351" s="1"/>
      <c r="V351" s="33"/>
      <c r="W351" s="33"/>
    </row>
    <row r="352" spans="2:23">
      <c r="B352" s="3">
        <v>43959</v>
      </c>
      <c r="C352" s="6" t="s">
        <v>100</v>
      </c>
      <c r="D352" s="6" t="s">
        <v>29</v>
      </c>
      <c r="E352" s="5">
        <v>35</v>
      </c>
      <c r="F352" s="5" vm="481">
        <v>81.78</v>
      </c>
      <c r="G352" s="5">
        <f>StockTransactionsTable[[#This Row],[Shares No.]]*StockTransactionsTable[[#This Row],[Amount per Share]]</f>
        <v>2862.3</v>
      </c>
      <c r="H352" s="5">
        <v>1.2802145512325136</v>
      </c>
      <c r="I35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2863.5802145512325</v>
      </c>
      <c r="J352" s="19">
        <f>StockTransactionsTable[[#This Row],[Fee]]/StockTransactionsTable[[#This Row],[Total Amount]]</f>
        <v>4.472677745982299E-4</v>
      </c>
      <c r="K352" s="5">
        <f>IF(StockTransactionsTable[[#This Row],[Transaction Type]]="Buy", StockTransactionsTable[[#This Row],[Total Amount with Fee]] / StockTransactionsTable[[#This Row],[Shares No.]],0)</f>
        <v>81.816577558606639</v>
      </c>
      <c r="L35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52" s="4">
        <f>YEAR(StockTransactionsTable[[#This Row],[Date]])</f>
        <v>2020</v>
      </c>
      <c r="N352" s="4">
        <f>MONTH(StockTransactionsTable[[#This Row],[Date]])</f>
        <v>5</v>
      </c>
      <c r="R352" s="1"/>
      <c r="V352" s="33"/>
      <c r="W352" s="33"/>
    </row>
    <row r="353" spans="2:23">
      <c r="B353" s="3">
        <v>43959</v>
      </c>
      <c r="C353" s="6" t="s">
        <v>19</v>
      </c>
      <c r="D353" s="6" t="s">
        <v>30</v>
      </c>
      <c r="E353" s="5">
        <v>57</v>
      </c>
      <c r="F353" s="5">
        <v>1.06</v>
      </c>
      <c r="G353" s="5">
        <f>StockTransactionsTable[[#This Row],[Shares No.]]*StockTransactionsTable[[#This Row],[Amount per Share]]</f>
        <v>60.42</v>
      </c>
      <c r="H353" s="5">
        <v>0</v>
      </c>
      <c r="I35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60.42</v>
      </c>
      <c r="J353" s="19">
        <f>StockTransactionsTable[[#This Row],[Fee]]/StockTransactionsTable[[#This Row],[Total Amount]]</f>
        <v>0</v>
      </c>
      <c r="K353" s="5">
        <f>IF(StockTransactionsTable[[#This Row],[Transaction Type]]="Buy", StockTransactionsTable[[#This Row],[Total Amount with Fee]] / StockTransactionsTable[[#This Row],[Shares No.]],0)</f>
        <v>0</v>
      </c>
      <c r="L35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53" s="4">
        <f>YEAR(StockTransactionsTable[[#This Row],[Date]])</f>
        <v>2020</v>
      </c>
      <c r="N353" s="4">
        <f>MONTH(StockTransactionsTable[[#This Row],[Date]])</f>
        <v>5</v>
      </c>
      <c r="R353" s="1"/>
      <c r="V353" s="33"/>
      <c r="W353" s="33"/>
    </row>
    <row r="354" spans="2:23">
      <c r="B354" s="3">
        <v>43966</v>
      </c>
      <c r="C354" s="6" t="s">
        <v>86</v>
      </c>
      <c r="D354" s="6" t="s">
        <v>30</v>
      </c>
      <c r="E354" s="5">
        <v>53</v>
      </c>
      <c r="F354" s="5">
        <v>1.18</v>
      </c>
      <c r="G354" s="5">
        <f>StockTransactionsTable[[#This Row],[Shares No.]]*StockTransactionsTable[[#This Row],[Amount per Share]]</f>
        <v>62.54</v>
      </c>
      <c r="H354" s="5">
        <v>0</v>
      </c>
      <c r="I35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62.54</v>
      </c>
      <c r="J354" s="19">
        <f>StockTransactionsTable[[#This Row],[Fee]]/StockTransactionsTable[[#This Row],[Total Amount]]</f>
        <v>0</v>
      </c>
      <c r="K354" s="5">
        <f>IF(StockTransactionsTable[[#This Row],[Transaction Type]]="Buy", StockTransactionsTable[[#This Row],[Total Amount with Fee]] / StockTransactionsTable[[#This Row],[Shares No.]],0)</f>
        <v>0</v>
      </c>
      <c r="L35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54" s="4">
        <f>YEAR(StockTransactionsTable[[#This Row],[Date]])</f>
        <v>2020</v>
      </c>
      <c r="N354" s="4">
        <f>MONTH(StockTransactionsTable[[#This Row],[Date]])</f>
        <v>5</v>
      </c>
      <c r="R354" s="1"/>
      <c r="V354" s="33"/>
      <c r="W354" s="33"/>
    </row>
    <row r="355" spans="2:23">
      <c r="B355" s="3">
        <v>43966</v>
      </c>
      <c r="C355" s="6" t="s">
        <v>12</v>
      </c>
      <c r="D355" s="6" t="s">
        <v>30</v>
      </c>
      <c r="E355" s="5">
        <v>29</v>
      </c>
      <c r="F355" s="5">
        <v>0.23300000000000001</v>
      </c>
      <c r="G355" s="5">
        <f>StockTransactionsTable[[#This Row],[Shares No.]]*StockTransactionsTable[[#This Row],[Amount per Share]]</f>
        <v>6.7570000000000006</v>
      </c>
      <c r="H355" s="5">
        <v>0</v>
      </c>
      <c r="I35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6.7570000000000006</v>
      </c>
      <c r="J355" s="19">
        <f>StockTransactionsTable[[#This Row],[Fee]]/StockTransactionsTable[[#This Row],[Total Amount]]</f>
        <v>0</v>
      </c>
      <c r="K355" s="5">
        <f>IF(StockTransactionsTable[[#This Row],[Transaction Type]]="Buy", StockTransactionsTable[[#This Row],[Total Amount with Fee]] / StockTransactionsTable[[#This Row],[Shares No.]],0)</f>
        <v>0</v>
      </c>
      <c r="L35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55" s="4">
        <f>YEAR(StockTransactionsTable[[#This Row],[Date]])</f>
        <v>2020</v>
      </c>
      <c r="N355" s="4">
        <f>MONTH(StockTransactionsTable[[#This Row],[Date]])</f>
        <v>5</v>
      </c>
      <c r="R355" s="1"/>
      <c r="V355" s="33"/>
      <c r="W355" s="33"/>
    </row>
    <row r="356" spans="2:23">
      <c r="B356" s="3">
        <v>43966</v>
      </c>
      <c r="C356" s="6" t="s">
        <v>21</v>
      </c>
      <c r="D356" s="6" t="s">
        <v>30</v>
      </c>
      <c r="E356" s="5">
        <v>17</v>
      </c>
      <c r="F356" s="5">
        <v>0.79069999999999996</v>
      </c>
      <c r="G356" s="5">
        <f>StockTransactionsTable[[#This Row],[Shares No.]]*StockTransactionsTable[[#This Row],[Amount per Share]]</f>
        <v>13.441899999999999</v>
      </c>
      <c r="H356" s="5">
        <v>0</v>
      </c>
      <c r="I35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13.441899999999999</v>
      </c>
      <c r="J356" s="19">
        <f>StockTransactionsTable[[#This Row],[Fee]]/StockTransactionsTable[[#This Row],[Total Amount]]</f>
        <v>0</v>
      </c>
      <c r="K356" s="5">
        <f>IF(StockTransactionsTable[[#This Row],[Transaction Type]]="Buy", StockTransactionsTable[[#This Row],[Total Amount with Fee]] / StockTransactionsTable[[#This Row],[Shares No.]],0)</f>
        <v>0</v>
      </c>
      <c r="L35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56" s="4">
        <f>YEAR(StockTransactionsTable[[#This Row],[Date]])</f>
        <v>2020</v>
      </c>
      <c r="N356" s="4">
        <f>MONTH(StockTransactionsTable[[#This Row],[Date]])</f>
        <v>5</v>
      </c>
      <c r="R356" s="1"/>
      <c r="V356" s="33"/>
      <c r="W356" s="33"/>
    </row>
    <row r="357" spans="2:23">
      <c r="B357" s="3">
        <v>43971</v>
      </c>
      <c r="C357" s="6" t="s">
        <v>22</v>
      </c>
      <c r="D357" s="6" t="s">
        <v>30</v>
      </c>
      <c r="E357" s="5">
        <v>81</v>
      </c>
      <c r="F357" s="5">
        <v>1.03</v>
      </c>
      <c r="G357" s="5">
        <f>StockTransactionsTable[[#This Row],[Shares No.]]*StockTransactionsTable[[#This Row],[Amount per Share]]</f>
        <v>83.43</v>
      </c>
      <c r="H357" s="5">
        <v>0</v>
      </c>
      <c r="I35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83.43</v>
      </c>
      <c r="J357" s="19">
        <f>StockTransactionsTable[[#This Row],[Fee]]/StockTransactionsTable[[#This Row],[Total Amount]]</f>
        <v>0</v>
      </c>
      <c r="K357" s="5">
        <f>IF(StockTransactionsTable[[#This Row],[Transaction Type]]="Buy", StockTransactionsTable[[#This Row],[Total Amount with Fee]] / StockTransactionsTable[[#This Row],[Shares No.]],0)</f>
        <v>0</v>
      </c>
      <c r="L35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57" s="4">
        <f>YEAR(StockTransactionsTable[[#This Row],[Date]])</f>
        <v>2020</v>
      </c>
      <c r="N357" s="4">
        <f>MONTH(StockTransactionsTable[[#This Row],[Date]])</f>
        <v>5</v>
      </c>
      <c r="R357" s="1"/>
      <c r="V357" s="33"/>
      <c r="W357" s="33"/>
    </row>
    <row r="358" spans="2:23">
      <c r="B358" s="3">
        <v>43986</v>
      </c>
      <c r="C358" s="6" t="s">
        <v>91</v>
      </c>
      <c r="D358" s="6" t="s">
        <v>29</v>
      </c>
      <c r="E358" s="5">
        <v>34</v>
      </c>
      <c r="F358" s="5" vm="482">
        <v>182.92</v>
      </c>
      <c r="G358" s="5">
        <f>StockTransactionsTable[[#This Row],[Shares No.]]*StockTransactionsTable[[#This Row],[Amount per Share]]</f>
        <v>6219.28</v>
      </c>
      <c r="H358" s="5">
        <v>2.5655783869110582</v>
      </c>
      <c r="I35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6221.8455783869113</v>
      </c>
      <c r="J358" s="19">
        <f>StockTransactionsTable[[#This Row],[Fee]]/StockTransactionsTable[[#This Row],[Total Amount]]</f>
        <v>4.1252016100112204E-4</v>
      </c>
      <c r="K358" s="5">
        <f>IF(StockTransactionsTable[[#This Row],[Transaction Type]]="Buy", StockTransactionsTable[[#This Row],[Total Amount with Fee]] / StockTransactionsTable[[#This Row],[Shares No.]],0)</f>
        <v>182.99545818785032</v>
      </c>
      <c r="L35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58" s="4">
        <f>YEAR(StockTransactionsTable[[#This Row],[Date]])</f>
        <v>2020</v>
      </c>
      <c r="N358" s="4">
        <f>MONTH(StockTransactionsTable[[#This Row],[Date]])</f>
        <v>6</v>
      </c>
      <c r="R358" s="1"/>
      <c r="V358" s="33"/>
      <c r="W358" s="33"/>
    </row>
    <row r="359" spans="2:23">
      <c r="B359" s="3">
        <v>43987</v>
      </c>
      <c r="C359" s="6" t="s">
        <v>13</v>
      </c>
      <c r="D359" s="6" t="s">
        <v>30</v>
      </c>
      <c r="E359" s="5">
        <v>55</v>
      </c>
      <c r="F359" s="5">
        <v>0.38</v>
      </c>
      <c r="G359" s="5">
        <f>StockTransactionsTable[[#This Row],[Shares No.]]*StockTransactionsTable[[#This Row],[Amount per Share]]</f>
        <v>20.9</v>
      </c>
      <c r="H359" s="5">
        <v>0</v>
      </c>
      <c r="I35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20.9</v>
      </c>
      <c r="J359" s="19">
        <f>StockTransactionsTable[[#This Row],[Fee]]/StockTransactionsTable[[#This Row],[Total Amount]]</f>
        <v>0</v>
      </c>
      <c r="K359" s="5">
        <f>IF(StockTransactionsTable[[#This Row],[Transaction Type]]="Buy", StockTransactionsTable[[#This Row],[Total Amount with Fee]] / StockTransactionsTable[[#This Row],[Shares No.]],0)</f>
        <v>0</v>
      </c>
      <c r="L35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59" s="4">
        <f>YEAR(StockTransactionsTable[[#This Row],[Date]])</f>
        <v>2020</v>
      </c>
      <c r="N359" s="4">
        <f>MONTH(StockTransactionsTable[[#This Row],[Date]])</f>
        <v>6</v>
      </c>
      <c r="R359" s="1"/>
      <c r="V359" s="33"/>
      <c r="W359" s="33"/>
    </row>
    <row r="360" spans="2:23">
      <c r="B360" s="3">
        <v>43991</v>
      </c>
      <c r="C360" s="6" t="s">
        <v>84</v>
      </c>
      <c r="D360" s="6" t="s">
        <v>30</v>
      </c>
      <c r="E360" s="5">
        <v>51</v>
      </c>
      <c r="F360" s="5">
        <v>1.01</v>
      </c>
      <c r="G360" s="5">
        <f>StockTransactionsTable[[#This Row],[Shares No.]]*StockTransactionsTable[[#This Row],[Amount per Share]]</f>
        <v>51.51</v>
      </c>
      <c r="H360" s="5">
        <v>0</v>
      </c>
      <c r="I36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51.51</v>
      </c>
      <c r="J360" s="19">
        <f>StockTransactionsTable[[#This Row],[Fee]]/StockTransactionsTable[[#This Row],[Total Amount]]</f>
        <v>0</v>
      </c>
      <c r="K360" s="5">
        <f>IF(StockTransactionsTable[[#This Row],[Transaction Type]]="Buy", StockTransactionsTable[[#This Row],[Total Amount with Fee]] / StockTransactionsTable[[#This Row],[Shares No.]],0)</f>
        <v>0</v>
      </c>
      <c r="L36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60" s="4">
        <f>YEAR(StockTransactionsTable[[#This Row],[Date]])</f>
        <v>2020</v>
      </c>
      <c r="N360" s="4">
        <f>MONTH(StockTransactionsTable[[#This Row],[Date]])</f>
        <v>6</v>
      </c>
      <c r="R360" s="1"/>
      <c r="V360" s="33"/>
      <c r="W360" s="33"/>
    </row>
    <row r="361" spans="2:23">
      <c r="B361" s="3">
        <v>43992</v>
      </c>
      <c r="C361" s="6" t="s">
        <v>17</v>
      </c>
      <c r="D361" s="6" t="s">
        <v>30</v>
      </c>
      <c r="E361" s="5">
        <v>91</v>
      </c>
      <c r="F361" s="5">
        <v>1.63</v>
      </c>
      <c r="G361" s="5">
        <f>StockTransactionsTable[[#This Row],[Shares No.]]*StockTransactionsTable[[#This Row],[Amount per Share]]</f>
        <v>148.32999999999998</v>
      </c>
      <c r="H361" s="5">
        <v>0</v>
      </c>
      <c r="I36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148.32999999999998</v>
      </c>
      <c r="J361" s="19">
        <f>StockTransactionsTable[[#This Row],[Fee]]/StockTransactionsTable[[#This Row],[Total Amount]]</f>
        <v>0</v>
      </c>
      <c r="K361" s="5">
        <f>IF(StockTransactionsTable[[#This Row],[Transaction Type]]="Buy", StockTransactionsTable[[#This Row],[Total Amount with Fee]] / StockTransactionsTable[[#This Row],[Shares No.]],0)</f>
        <v>0</v>
      </c>
      <c r="L36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61" s="4">
        <f>YEAR(StockTransactionsTable[[#This Row],[Date]])</f>
        <v>2020</v>
      </c>
      <c r="N361" s="4">
        <f>MONTH(StockTransactionsTable[[#This Row],[Date]])</f>
        <v>6</v>
      </c>
      <c r="R361" s="1"/>
      <c r="V361" s="33"/>
      <c r="W361" s="33"/>
    </row>
    <row r="362" spans="2:23">
      <c r="B362" s="3">
        <v>43992</v>
      </c>
      <c r="C362" s="6" t="s">
        <v>16</v>
      </c>
      <c r="D362" s="6" t="s">
        <v>30</v>
      </c>
      <c r="E362" s="5">
        <v>145</v>
      </c>
      <c r="F362" s="5">
        <v>0.87</v>
      </c>
      <c r="G362" s="5">
        <f>StockTransactionsTable[[#This Row],[Shares No.]]*StockTransactionsTable[[#This Row],[Amount per Share]]</f>
        <v>126.15</v>
      </c>
      <c r="H362" s="5">
        <v>0</v>
      </c>
      <c r="I36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126.15</v>
      </c>
      <c r="J362" s="19">
        <f>StockTransactionsTable[[#This Row],[Fee]]/StockTransactionsTable[[#This Row],[Total Amount]]</f>
        <v>0</v>
      </c>
      <c r="K362" s="5">
        <f>IF(StockTransactionsTable[[#This Row],[Transaction Type]]="Buy", StockTransactionsTable[[#This Row],[Total Amount with Fee]] / StockTransactionsTable[[#This Row],[Shares No.]],0)</f>
        <v>0</v>
      </c>
      <c r="L36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62" s="4">
        <f>YEAR(StockTransactionsTable[[#This Row],[Date]])</f>
        <v>2020</v>
      </c>
      <c r="N362" s="4">
        <f>MONTH(StockTransactionsTable[[#This Row],[Date]])</f>
        <v>6</v>
      </c>
      <c r="R362" s="1"/>
      <c r="V362" s="33"/>
      <c r="W362" s="33"/>
    </row>
    <row r="363" spans="2:23">
      <c r="B363" s="3">
        <v>43993</v>
      </c>
      <c r="C363" s="6" t="s">
        <v>91</v>
      </c>
      <c r="D363" s="6" t="s">
        <v>30</v>
      </c>
      <c r="E363" s="5">
        <v>113</v>
      </c>
      <c r="F363" s="5">
        <v>0.51</v>
      </c>
      <c r="G363" s="5">
        <f>StockTransactionsTable[[#This Row],[Shares No.]]*StockTransactionsTable[[#This Row],[Amount per Share]]</f>
        <v>57.63</v>
      </c>
      <c r="H363" s="5">
        <v>0</v>
      </c>
      <c r="I36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57.63</v>
      </c>
      <c r="J363" s="19">
        <f>StockTransactionsTable[[#This Row],[Fee]]/StockTransactionsTable[[#This Row],[Total Amount]]</f>
        <v>0</v>
      </c>
      <c r="K363" s="5">
        <f>IF(StockTransactionsTable[[#This Row],[Transaction Type]]="Buy", StockTransactionsTable[[#This Row],[Total Amount with Fee]] / StockTransactionsTable[[#This Row],[Shares No.]],0)</f>
        <v>0</v>
      </c>
      <c r="L36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63" s="4">
        <f>YEAR(StockTransactionsTable[[#This Row],[Date]])</f>
        <v>2020</v>
      </c>
      <c r="N363" s="4">
        <f>MONTH(StockTransactionsTable[[#This Row],[Date]])</f>
        <v>6</v>
      </c>
      <c r="R363" s="1"/>
      <c r="V363" s="33"/>
      <c r="W363" s="33"/>
    </row>
    <row r="364" spans="2:23">
      <c r="B364" s="3">
        <v>43994</v>
      </c>
      <c r="C364" s="6" t="s">
        <v>106</v>
      </c>
      <c r="D364" s="6" t="s">
        <v>30</v>
      </c>
      <c r="E364" s="5">
        <v>65</v>
      </c>
      <c r="F364" s="5">
        <v>0.51</v>
      </c>
      <c r="G364" s="5">
        <f>StockTransactionsTable[[#This Row],[Shares No.]]*StockTransactionsTable[[#This Row],[Amount per Share]]</f>
        <v>33.15</v>
      </c>
      <c r="H364" s="5">
        <v>0</v>
      </c>
      <c r="I36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33.15</v>
      </c>
      <c r="J364" s="19">
        <f>StockTransactionsTable[[#This Row],[Fee]]/StockTransactionsTable[[#This Row],[Total Amount]]</f>
        <v>0</v>
      </c>
      <c r="K364" s="5">
        <f>IF(StockTransactionsTable[[#This Row],[Transaction Type]]="Buy", StockTransactionsTable[[#This Row],[Total Amount with Fee]] / StockTransactionsTable[[#This Row],[Shares No.]],0)</f>
        <v>0</v>
      </c>
      <c r="L36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64" s="4">
        <f>YEAR(StockTransactionsTable[[#This Row],[Date]])</f>
        <v>2020</v>
      </c>
      <c r="N364" s="4">
        <f>MONTH(StockTransactionsTable[[#This Row],[Date]])</f>
        <v>6</v>
      </c>
      <c r="R364" s="1"/>
      <c r="V364" s="33"/>
      <c r="W364" s="33"/>
    </row>
    <row r="365" spans="2:23">
      <c r="B365" s="3">
        <v>43997</v>
      </c>
      <c r="C365" s="6" t="s">
        <v>88</v>
      </c>
      <c r="D365" s="6" t="s">
        <v>30</v>
      </c>
      <c r="E365" s="5">
        <v>59</v>
      </c>
      <c r="F365" s="5">
        <v>1.25</v>
      </c>
      <c r="G365" s="5">
        <f>StockTransactionsTable[[#This Row],[Shares No.]]*StockTransactionsTable[[#This Row],[Amount per Share]]</f>
        <v>73.75</v>
      </c>
      <c r="H365" s="5">
        <v>0</v>
      </c>
      <c r="I36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73.75</v>
      </c>
      <c r="J365" s="19">
        <f>StockTransactionsTable[[#This Row],[Fee]]/StockTransactionsTable[[#This Row],[Total Amount]]</f>
        <v>0</v>
      </c>
      <c r="K365" s="5">
        <f>IF(StockTransactionsTable[[#This Row],[Transaction Type]]="Buy", StockTransactionsTable[[#This Row],[Total Amount with Fee]] / StockTransactionsTable[[#This Row],[Shares No.]],0)</f>
        <v>0</v>
      </c>
      <c r="L36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65" s="4">
        <f>YEAR(StockTransactionsTable[[#This Row],[Date]])</f>
        <v>2020</v>
      </c>
      <c r="N365" s="4">
        <f>MONTH(StockTransactionsTable[[#This Row],[Date]])</f>
        <v>6</v>
      </c>
      <c r="R365" s="1"/>
      <c r="V365" s="33"/>
      <c r="W365" s="33"/>
    </row>
    <row r="366" spans="2:23">
      <c r="B366" s="3">
        <v>43997</v>
      </c>
      <c r="C366" s="6" t="s">
        <v>98</v>
      </c>
      <c r="D366" s="6" t="s">
        <v>30</v>
      </c>
      <c r="E366" s="5">
        <v>73</v>
      </c>
      <c r="F366" s="5">
        <v>1.4</v>
      </c>
      <c r="G366" s="5">
        <f>StockTransactionsTable[[#This Row],[Shares No.]]*StockTransactionsTable[[#This Row],[Amount per Share]]</f>
        <v>102.19999999999999</v>
      </c>
      <c r="H366" s="5">
        <v>0</v>
      </c>
      <c r="I36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102.19999999999999</v>
      </c>
      <c r="J366" s="19">
        <f>StockTransactionsTable[[#This Row],[Fee]]/StockTransactionsTable[[#This Row],[Total Amount]]</f>
        <v>0</v>
      </c>
      <c r="K366" s="5">
        <f>IF(StockTransactionsTable[[#This Row],[Transaction Type]]="Buy", StockTransactionsTable[[#This Row],[Total Amount with Fee]] / StockTransactionsTable[[#This Row],[Shares No.]],0)</f>
        <v>0</v>
      </c>
      <c r="L36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66" s="4">
        <f>YEAR(StockTransactionsTable[[#This Row],[Date]])</f>
        <v>2020</v>
      </c>
      <c r="N366" s="4">
        <f>MONTH(StockTransactionsTable[[#This Row],[Date]])</f>
        <v>6</v>
      </c>
      <c r="R366" s="1"/>
      <c r="V366" s="33"/>
      <c r="W366" s="33"/>
    </row>
    <row r="367" spans="2:23">
      <c r="B367" s="3">
        <v>43997</v>
      </c>
      <c r="C367" s="6" t="s">
        <v>12</v>
      </c>
      <c r="D367" s="6" t="s">
        <v>30</v>
      </c>
      <c r="E367" s="5">
        <v>29</v>
      </c>
      <c r="F367" s="5">
        <v>0.23300000000000001</v>
      </c>
      <c r="G367" s="5">
        <f>StockTransactionsTable[[#This Row],[Shares No.]]*StockTransactionsTable[[#This Row],[Amount per Share]]</f>
        <v>6.7570000000000006</v>
      </c>
      <c r="H367" s="5">
        <v>0</v>
      </c>
      <c r="I36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6.7570000000000006</v>
      </c>
      <c r="J367" s="19">
        <f>StockTransactionsTable[[#This Row],[Fee]]/StockTransactionsTable[[#This Row],[Total Amount]]</f>
        <v>0</v>
      </c>
      <c r="K367" s="5">
        <f>IF(StockTransactionsTable[[#This Row],[Transaction Type]]="Buy", StockTransactionsTable[[#This Row],[Total Amount with Fee]] / StockTransactionsTable[[#This Row],[Shares No.]],0)</f>
        <v>0</v>
      </c>
      <c r="L36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67" s="4">
        <f>YEAR(StockTransactionsTable[[#This Row],[Date]])</f>
        <v>2020</v>
      </c>
      <c r="N367" s="4">
        <f>MONTH(StockTransactionsTable[[#This Row],[Date]])</f>
        <v>6</v>
      </c>
      <c r="R367" s="1"/>
      <c r="V367" s="33"/>
      <c r="W367" s="33"/>
    </row>
    <row r="368" spans="2:23">
      <c r="B368" s="3">
        <v>43998</v>
      </c>
      <c r="C368" s="6" t="s">
        <v>100</v>
      </c>
      <c r="D368" s="6" t="s">
        <v>30</v>
      </c>
      <c r="E368" s="5">
        <v>109</v>
      </c>
      <c r="F368" s="5">
        <v>0.94499999999999995</v>
      </c>
      <c r="G368" s="5">
        <f>StockTransactionsTable[[#This Row],[Shares No.]]*StockTransactionsTable[[#This Row],[Amount per Share]]</f>
        <v>103.005</v>
      </c>
      <c r="H368" s="5">
        <v>0</v>
      </c>
      <c r="I36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103.005</v>
      </c>
      <c r="J368" s="19">
        <f>StockTransactionsTable[[#This Row],[Fee]]/StockTransactionsTable[[#This Row],[Total Amount]]</f>
        <v>0</v>
      </c>
      <c r="K368" s="5">
        <f>IF(StockTransactionsTable[[#This Row],[Transaction Type]]="Buy", StockTransactionsTable[[#This Row],[Total Amount with Fee]] / StockTransactionsTable[[#This Row],[Shares No.]],0)</f>
        <v>0</v>
      </c>
      <c r="L36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68" s="4">
        <f>YEAR(StockTransactionsTable[[#This Row],[Date]])</f>
        <v>2020</v>
      </c>
      <c r="N368" s="4">
        <f>MONTH(StockTransactionsTable[[#This Row],[Date]])</f>
        <v>6</v>
      </c>
      <c r="R368" s="1"/>
      <c r="V368" s="33"/>
      <c r="W368" s="33"/>
    </row>
    <row r="369" spans="2:23">
      <c r="B369" s="3">
        <v>44000</v>
      </c>
      <c r="C369" s="6" t="s">
        <v>95</v>
      </c>
      <c r="D369" s="6" t="s">
        <v>30</v>
      </c>
      <c r="E369" s="5">
        <v>43</v>
      </c>
      <c r="F369" s="5">
        <v>1.5</v>
      </c>
      <c r="G369" s="5">
        <f>StockTransactionsTable[[#This Row],[Shares No.]]*StockTransactionsTable[[#This Row],[Amount per Share]]</f>
        <v>64.5</v>
      </c>
      <c r="H369" s="5">
        <v>0</v>
      </c>
      <c r="I36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64.5</v>
      </c>
      <c r="J369" s="19">
        <f>StockTransactionsTable[[#This Row],[Fee]]/StockTransactionsTable[[#This Row],[Total Amount]]</f>
        <v>0</v>
      </c>
      <c r="K369" s="5">
        <f>IF(StockTransactionsTable[[#This Row],[Transaction Type]]="Buy", StockTransactionsTable[[#This Row],[Total Amount with Fee]] / StockTransactionsTable[[#This Row],[Shares No.]],0)</f>
        <v>0</v>
      </c>
      <c r="L36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69" s="4">
        <f>YEAR(StockTransactionsTable[[#This Row],[Date]])</f>
        <v>2020</v>
      </c>
      <c r="N369" s="4">
        <f>MONTH(StockTransactionsTable[[#This Row],[Date]])</f>
        <v>6</v>
      </c>
      <c r="R369" s="1"/>
      <c r="V369" s="33"/>
      <c r="W369" s="33"/>
    </row>
    <row r="370" spans="2:23">
      <c r="B370" s="3">
        <v>44013</v>
      </c>
      <c r="C370" s="6" t="s">
        <v>23</v>
      </c>
      <c r="D370" s="6" t="s">
        <v>30</v>
      </c>
      <c r="E370" s="5">
        <v>58</v>
      </c>
      <c r="F370" s="5">
        <v>0.41</v>
      </c>
      <c r="G370" s="5">
        <f>StockTransactionsTable[[#This Row],[Shares No.]]*StockTransactionsTable[[#This Row],[Amount per Share]]</f>
        <v>23.779999999999998</v>
      </c>
      <c r="H370" s="5">
        <v>0</v>
      </c>
      <c r="I37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23.779999999999998</v>
      </c>
      <c r="J370" s="19">
        <f>StockTransactionsTable[[#This Row],[Fee]]/StockTransactionsTable[[#This Row],[Total Amount]]</f>
        <v>0</v>
      </c>
      <c r="K370" s="5">
        <f>IF(StockTransactionsTable[[#This Row],[Transaction Type]]="Buy", StockTransactionsTable[[#This Row],[Total Amount with Fee]] / StockTransactionsTable[[#This Row],[Shares No.]],0)</f>
        <v>0</v>
      </c>
      <c r="L37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70" s="4">
        <f>YEAR(StockTransactionsTable[[#This Row],[Date]])</f>
        <v>2020</v>
      </c>
      <c r="N370" s="4">
        <f>MONTH(StockTransactionsTable[[#This Row],[Date]])</f>
        <v>7</v>
      </c>
      <c r="R370" s="1"/>
      <c r="V370" s="33"/>
      <c r="W370" s="33"/>
    </row>
    <row r="371" spans="2:23">
      <c r="B371" s="3">
        <v>44027</v>
      </c>
      <c r="C371" s="6" t="s">
        <v>12</v>
      </c>
      <c r="D371" s="6" t="s">
        <v>30</v>
      </c>
      <c r="E371" s="5">
        <v>29</v>
      </c>
      <c r="F371" s="5">
        <v>0.23350000000000001</v>
      </c>
      <c r="G371" s="5">
        <f>StockTransactionsTable[[#This Row],[Shares No.]]*StockTransactionsTable[[#This Row],[Amount per Share]]</f>
        <v>6.7715000000000005</v>
      </c>
      <c r="H371" s="5">
        <v>0</v>
      </c>
      <c r="I37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6.7715000000000005</v>
      </c>
      <c r="J371" s="19">
        <f>StockTransactionsTable[[#This Row],[Fee]]/StockTransactionsTable[[#This Row],[Total Amount]]</f>
        <v>0</v>
      </c>
      <c r="K371" s="5">
        <f>IF(StockTransactionsTable[[#This Row],[Transaction Type]]="Buy", StockTransactionsTable[[#This Row],[Total Amount with Fee]] / StockTransactionsTable[[#This Row],[Shares No.]],0)</f>
        <v>0</v>
      </c>
      <c r="L37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71" s="4">
        <f>YEAR(StockTransactionsTable[[#This Row],[Date]])</f>
        <v>2020</v>
      </c>
      <c r="N371" s="4">
        <f>MONTH(StockTransactionsTable[[#This Row],[Date]])</f>
        <v>7</v>
      </c>
      <c r="R371" s="1"/>
      <c r="V371" s="33"/>
      <c r="W371" s="33"/>
    </row>
    <row r="372" spans="2:23">
      <c r="B372" s="3">
        <v>44029</v>
      </c>
      <c r="C372" s="6" t="s">
        <v>106</v>
      </c>
      <c r="D372" s="6" t="s">
        <v>29</v>
      </c>
      <c r="E372" s="5">
        <v>23</v>
      </c>
      <c r="F372" s="5" vm="483">
        <v>111.88</v>
      </c>
      <c r="G372" s="5">
        <f>StockTransactionsTable[[#This Row],[Shares No.]]*StockTransactionsTable[[#This Row],[Amount per Share]]</f>
        <v>2573.2399999999998</v>
      </c>
      <c r="H372" s="5">
        <v>1.2130510983089959</v>
      </c>
      <c r="I37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2574.4530510983086</v>
      </c>
      <c r="J372" s="19">
        <f>StockTransactionsTable[[#This Row],[Fee]]/StockTransactionsTable[[#This Row],[Total Amount]]</f>
        <v>4.7141001162308841E-4</v>
      </c>
      <c r="K372" s="5">
        <f>IF(StockTransactionsTable[[#This Row],[Transaction Type]]="Buy", StockTransactionsTable[[#This Row],[Total Amount with Fee]] / StockTransactionsTable[[#This Row],[Shares No.]],0)</f>
        <v>111.93274135210038</v>
      </c>
      <c r="L37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72" s="4">
        <f>YEAR(StockTransactionsTable[[#This Row],[Date]])</f>
        <v>2020</v>
      </c>
      <c r="N372" s="4">
        <f>MONTH(StockTransactionsTable[[#This Row],[Date]])</f>
        <v>7</v>
      </c>
      <c r="R372" s="1"/>
      <c r="V372" s="33"/>
      <c r="W372" s="33"/>
    </row>
    <row r="373" spans="2:23">
      <c r="B373" s="3">
        <v>44043</v>
      </c>
      <c r="C373" s="6" t="s">
        <v>20</v>
      </c>
      <c r="D373" s="6" t="s">
        <v>30</v>
      </c>
      <c r="E373" s="5">
        <v>78</v>
      </c>
      <c r="F373" s="5">
        <v>0.9</v>
      </c>
      <c r="G373" s="5">
        <f>StockTransactionsTable[[#This Row],[Shares No.]]*StockTransactionsTable[[#This Row],[Amount per Share]]</f>
        <v>70.2</v>
      </c>
      <c r="H373" s="5">
        <v>0</v>
      </c>
      <c r="I37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70.2</v>
      </c>
      <c r="J373" s="19">
        <f>StockTransactionsTable[[#This Row],[Fee]]/StockTransactionsTable[[#This Row],[Total Amount]]</f>
        <v>0</v>
      </c>
      <c r="K373" s="5">
        <f>IF(StockTransactionsTable[[#This Row],[Transaction Type]]="Buy", StockTransactionsTable[[#This Row],[Total Amount with Fee]] / StockTransactionsTable[[#This Row],[Shares No.]],0)</f>
        <v>0</v>
      </c>
      <c r="L37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73" s="4">
        <f>YEAR(StockTransactionsTable[[#This Row],[Date]])</f>
        <v>2020</v>
      </c>
      <c r="N373" s="4">
        <f>MONTH(StockTransactionsTable[[#This Row],[Date]])</f>
        <v>7</v>
      </c>
      <c r="R373" s="1"/>
      <c r="V373" s="33"/>
      <c r="W373" s="33"/>
    </row>
    <row r="374" spans="2:23">
      <c r="B374" s="3">
        <v>44046</v>
      </c>
      <c r="C374" s="6" t="s">
        <v>15</v>
      </c>
      <c r="D374" s="6" t="s">
        <v>30</v>
      </c>
      <c r="E374" s="5">
        <v>124</v>
      </c>
      <c r="F374" s="5">
        <v>0.52</v>
      </c>
      <c r="G374" s="5">
        <f>StockTransactionsTable[[#This Row],[Shares No.]]*StockTransactionsTable[[#This Row],[Amount per Share]]</f>
        <v>64.48</v>
      </c>
      <c r="H374" s="5">
        <v>0</v>
      </c>
      <c r="I37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64.48</v>
      </c>
      <c r="J374" s="19">
        <f>StockTransactionsTable[[#This Row],[Fee]]/StockTransactionsTable[[#This Row],[Total Amount]]</f>
        <v>0</v>
      </c>
      <c r="K374" s="5">
        <f>IF(StockTransactionsTable[[#This Row],[Transaction Type]]="Buy", StockTransactionsTable[[#This Row],[Total Amount with Fee]] / StockTransactionsTable[[#This Row],[Shares No.]],0)</f>
        <v>0</v>
      </c>
      <c r="L37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74" s="4">
        <f>YEAR(StockTransactionsTable[[#This Row],[Date]])</f>
        <v>2020</v>
      </c>
      <c r="N374" s="4">
        <f>MONTH(StockTransactionsTable[[#This Row],[Date]])</f>
        <v>8</v>
      </c>
      <c r="R374" s="1"/>
      <c r="V374" s="33"/>
      <c r="W374" s="33"/>
    </row>
    <row r="375" spans="2:23">
      <c r="B375" s="3">
        <v>44057</v>
      </c>
      <c r="C375" s="6" t="s">
        <v>86</v>
      </c>
      <c r="D375" s="6" t="s">
        <v>30</v>
      </c>
      <c r="E375" s="5">
        <v>53</v>
      </c>
      <c r="F375" s="5">
        <v>1.18</v>
      </c>
      <c r="G375" s="5">
        <f>StockTransactionsTable[[#This Row],[Shares No.]]*StockTransactionsTable[[#This Row],[Amount per Share]]</f>
        <v>62.54</v>
      </c>
      <c r="H375" s="5">
        <v>0</v>
      </c>
      <c r="I37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62.54</v>
      </c>
      <c r="J375" s="19">
        <f>StockTransactionsTable[[#This Row],[Fee]]/StockTransactionsTable[[#This Row],[Total Amount]]</f>
        <v>0</v>
      </c>
      <c r="K375" s="5">
        <f>IF(StockTransactionsTable[[#This Row],[Transaction Type]]="Buy", StockTransactionsTable[[#This Row],[Total Amount with Fee]] / StockTransactionsTable[[#This Row],[Shares No.]],0)</f>
        <v>0</v>
      </c>
      <c r="L37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75" s="4">
        <f>YEAR(StockTransactionsTable[[#This Row],[Date]])</f>
        <v>2020</v>
      </c>
      <c r="N375" s="4">
        <f>MONTH(StockTransactionsTable[[#This Row],[Date]])</f>
        <v>8</v>
      </c>
      <c r="R375" s="1"/>
      <c r="V375" s="33"/>
      <c r="W375" s="33"/>
    </row>
    <row r="376" spans="2:23">
      <c r="B376" s="3">
        <v>44057</v>
      </c>
      <c r="C376" s="6" t="s">
        <v>19</v>
      </c>
      <c r="D376" s="6" t="s">
        <v>30</v>
      </c>
      <c r="E376" s="5">
        <v>57</v>
      </c>
      <c r="F376" s="5">
        <v>1.1100000000000001</v>
      </c>
      <c r="G376" s="5">
        <f>StockTransactionsTable[[#This Row],[Shares No.]]*StockTransactionsTable[[#This Row],[Amount per Share]]</f>
        <v>63.27</v>
      </c>
      <c r="H376" s="5">
        <v>0</v>
      </c>
      <c r="I37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63.27</v>
      </c>
      <c r="J376" s="19">
        <f>StockTransactionsTable[[#This Row],[Fee]]/StockTransactionsTable[[#This Row],[Total Amount]]</f>
        <v>0</v>
      </c>
      <c r="K376" s="5">
        <f>IF(StockTransactionsTable[[#This Row],[Transaction Type]]="Buy", StockTransactionsTable[[#This Row],[Total Amount with Fee]] / StockTransactionsTable[[#This Row],[Shares No.]],0)</f>
        <v>0</v>
      </c>
      <c r="L37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76" s="4">
        <f>YEAR(StockTransactionsTable[[#This Row],[Date]])</f>
        <v>2020</v>
      </c>
      <c r="N376" s="4">
        <f>MONTH(StockTransactionsTable[[#This Row],[Date]])</f>
        <v>8</v>
      </c>
      <c r="R376" s="1"/>
      <c r="V376" s="33"/>
      <c r="W376" s="33"/>
    </row>
    <row r="377" spans="2:23">
      <c r="B377" s="3">
        <v>44057</v>
      </c>
      <c r="C377" s="6" t="s">
        <v>12</v>
      </c>
      <c r="D377" s="6" t="s">
        <v>30</v>
      </c>
      <c r="E377" s="5">
        <v>29</v>
      </c>
      <c r="F377" s="5">
        <v>0.23350000000000001</v>
      </c>
      <c r="G377" s="5">
        <f>StockTransactionsTable[[#This Row],[Shares No.]]*StockTransactionsTable[[#This Row],[Amount per Share]]</f>
        <v>6.7715000000000005</v>
      </c>
      <c r="H377" s="5">
        <v>0</v>
      </c>
      <c r="I37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6.7715000000000005</v>
      </c>
      <c r="J377" s="19">
        <f>StockTransactionsTable[[#This Row],[Fee]]/StockTransactionsTable[[#This Row],[Total Amount]]</f>
        <v>0</v>
      </c>
      <c r="K377" s="5">
        <f>IF(StockTransactionsTable[[#This Row],[Transaction Type]]="Buy", StockTransactionsTable[[#This Row],[Total Amount with Fee]] / StockTransactionsTable[[#This Row],[Shares No.]],0)</f>
        <v>0</v>
      </c>
      <c r="L37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77" s="4">
        <f>YEAR(StockTransactionsTable[[#This Row],[Date]])</f>
        <v>2020</v>
      </c>
      <c r="N377" s="4">
        <f>MONTH(StockTransactionsTable[[#This Row],[Date]])</f>
        <v>8</v>
      </c>
      <c r="R377" s="1"/>
      <c r="V377" s="33"/>
      <c r="W377" s="33"/>
    </row>
    <row r="378" spans="2:23">
      <c r="B378" s="3">
        <v>44060</v>
      </c>
      <c r="C378" s="6" t="s">
        <v>21</v>
      </c>
      <c r="D378" s="6" t="s">
        <v>30</v>
      </c>
      <c r="E378" s="5">
        <v>17</v>
      </c>
      <c r="F378" s="5">
        <v>0.79069999999999996</v>
      </c>
      <c r="G378" s="5">
        <f>StockTransactionsTable[[#This Row],[Shares No.]]*StockTransactionsTable[[#This Row],[Amount per Share]]</f>
        <v>13.441899999999999</v>
      </c>
      <c r="H378" s="5">
        <v>0</v>
      </c>
      <c r="I37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13.441899999999999</v>
      </c>
      <c r="J378" s="19">
        <f>StockTransactionsTable[[#This Row],[Fee]]/StockTransactionsTable[[#This Row],[Total Amount]]</f>
        <v>0</v>
      </c>
      <c r="K378" s="5">
        <f>IF(StockTransactionsTable[[#This Row],[Transaction Type]]="Buy", StockTransactionsTable[[#This Row],[Total Amount with Fee]] / StockTransactionsTable[[#This Row],[Shares No.]],0)</f>
        <v>0</v>
      </c>
      <c r="L37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78" s="4">
        <f>YEAR(StockTransactionsTable[[#This Row],[Date]])</f>
        <v>2020</v>
      </c>
      <c r="N378" s="4">
        <f>MONTH(StockTransactionsTable[[#This Row],[Date]])</f>
        <v>8</v>
      </c>
      <c r="R378" s="1"/>
      <c r="V378" s="33"/>
      <c r="W378" s="33"/>
    </row>
    <row r="379" spans="2:23">
      <c r="B379" s="3">
        <v>44063</v>
      </c>
      <c r="C379" s="6" t="s">
        <v>22</v>
      </c>
      <c r="D379" s="6" t="s">
        <v>30</v>
      </c>
      <c r="E379" s="5">
        <v>81</v>
      </c>
      <c r="F379" s="5">
        <v>1.03</v>
      </c>
      <c r="G379" s="5">
        <f>StockTransactionsTable[[#This Row],[Shares No.]]*StockTransactionsTable[[#This Row],[Amount per Share]]</f>
        <v>83.43</v>
      </c>
      <c r="H379" s="5">
        <v>0</v>
      </c>
      <c r="I37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83.43</v>
      </c>
      <c r="J379" s="19">
        <f>StockTransactionsTable[[#This Row],[Fee]]/StockTransactionsTable[[#This Row],[Total Amount]]</f>
        <v>0</v>
      </c>
      <c r="K379" s="5">
        <f>IF(StockTransactionsTable[[#This Row],[Transaction Type]]="Buy", StockTransactionsTable[[#This Row],[Total Amount with Fee]] / StockTransactionsTable[[#This Row],[Shares No.]],0)</f>
        <v>0</v>
      </c>
      <c r="L37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79" s="4">
        <f>YEAR(StockTransactionsTable[[#This Row],[Date]])</f>
        <v>2020</v>
      </c>
      <c r="N379" s="4">
        <f>MONTH(StockTransactionsTable[[#This Row],[Date]])</f>
        <v>8</v>
      </c>
      <c r="R379" s="1"/>
      <c r="V379" s="33"/>
      <c r="W379" s="33"/>
    </row>
    <row r="380" spans="2:23">
      <c r="B380" s="3">
        <v>44067</v>
      </c>
      <c r="C380" s="6" t="s">
        <v>16</v>
      </c>
      <c r="D380" s="6" t="s">
        <v>29</v>
      </c>
      <c r="E380" s="5">
        <v>30</v>
      </c>
      <c r="F380" s="5" vm="484">
        <v>42.22</v>
      </c>
      <c r="G380" s="5">
        <f>StockTransactionsTable[[#This Row],[Shares No.]]*StockTransactionsTable[[#This Row],[Amount per Share]]</f>
        <v>1266.5999999999999</v>
      </c>
      <c r="H380" s="5">
        <v>0.56596100025390172</v>
      </c>
      <c r="I38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1267.1659610002539</v>
      </c>
      <c r="J380" s="19">
        <f>StockTransactionsTable[[#This Row],[Fee]]/StockTransactionsTable[[#This Row],[Total Amount]]</f>
        <v>4.4683483361274417E-4</v>
      </c>
      <c r="K380" s="5">
        <f>IF(StockTransactionsTable[[#This Row],[Transaction Type]]="Buy", StockTransactionsTable[[#This Row],[Total Amount with Fee]] / StockTransactionsTable[[#This Row],[Shares No.]],0)</f>
        <v>42.238865366675128</v>
      </c>
      <c r="L38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80" s="4">
        <f>YEAR(StockTransactionsTable[[#This Row],[Date]])</f>
        <v>2020</v>
      </c>
      <c r="N380" s="4">
        <f>MONTH(StockTransactionsTable[[#This Row],[Date]])</f>
        <v>8</v>
      </c>
      <c r="R380" s="1"/>
      <c r="V380" s="33"/>
      <c r="W380" s="33"/>
    </row>
    <row r="381" spans="2:23">
      <c r="B381" s="3">
        <v>44075</v>
      </c>
      <c r="C381" s="6" t="s">
        <v>13</v>
      </c>
      <c r="D381" s="6" t="s">
        <v>30</v>
      </c>
      <c r="E381" s="5">
        <v>55</v>
      </c>
      <c r="F381" s="5">
        <v>0.38</v>
      </c>
      <c r="G381" s="5">
        <f>StockTransactionsTable[[#This Row],[Shares No.]]*StockTransactionsTable[[#This Row],[Amount per Share]]</f>
        <v>20.9</v>
      </c>
      <c r="H381" s="5">
        <v>0</v>
      </c>
      <c r="I38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20.9</v>
      </c>
      <c r="J381" s="19">
        <f>StockTransactionsTable[[#This Row],[Fee]]/StockTransactionsTable[[#This Row],[Total Amount]]</f>
        <v>0</v>
      </c>
      <c r="K381" s="5">
        <f>IF(StockTransactionsTable[[#This Row],[Transaction Type]]="Buy", StockTransactionsTable[[#This Row],[Total Amount with Fee]] / StockTransactionsTable[[#This Row],[Shares No.]],0)</f>
        <v>0</v>
      </c>
      <c r="L38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81" s="4">
        <f>YEAR(StockTransactionsTable[[#This Row],[Date]])</f>
        <v>2020</v>
      </c>
      <c r="N381" s="4">
        <f>MONTH(StockTransactionsTable[[#This Row],[Date]])</f>
        <v>9</v>
      </c>
      <c r="R381" s="1"/>
      <c r="V381" s="33"/>
      <c r="W381" s="33"/>
    </row>
    <row r="382" spans="2:23">
      <c r="B382" s="3">
        <v>44082</v>
      </c>
      <c r="C382" s="6" t="s">
        <v>86</v>
      </c>
      <c r="D382" s="6" t="s">
        <v>29</v>
      </c>
      <c r="E382" s="5">
        <v>27</v>
      </c>
      <c r="F382" s="5" vm="485">
        <v>90.22</v>
      </c>
      <c r="G382" s="5">
        <f>StockTransactionsTable[[#This Row],[Shares No.]]*StockTransactionsTable[[#This Row],[Amount per Share]]</f>
        <v>2435.94</v>
      </c>
      <c r="H382" s="5">
        <v>1.156425224752617</v>
      </c>
      <c r="I38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2437.0964252247527</v>
      </c>
      <c r="J382" s="19">
        <f>StockTransactionsTable[[#This Row],[Fee]]/StockTransactionsTable[[#This Row],[Total Amount]]</f>
        <v>4.747346916396204E-4</v>
      </c>
      <c r="K382" s="5">
        <f>IF(StockTransactionsTable[[#This Row],[Transaction Type]]="Buy", StockTransactionsTable[[#This Row],[Total Amount with Fee]] / StockTransactionsTable[[#This Row],[Shares No.]],0)</f>
        <v>90.262830563879731</v>
      </c>
      <c r="L38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82" s="4">
        <f>YEAR(StockTransactionsTable[[#This Row],[Date]])</f>
        <v>2020</v>
      </c>
      <c r="N382" s="4">
        <f>MONTH(StockTransactionsTable[[#This Row],[Date]])</f>
        <v>9</v>
      </c>
      <c r="R382" s="1"/>
      <c r="V382" s="33"/>
      <c r="W382" s="33"/>
    </row>
    <row r="383" spans="2:23">
      <c r="B383" s="3">
        <v>44082</v>
      </c>
      <c r="C383" s="6" t="s">
        <v>84</v>
      </c>
      <c r="D383" s="6" t="s">
        <v>30</v>
      </c>
      <c r="E383" s="5">
        <v>51</v>
      </c>
      <c r="F383" s="5">
        <v>1.01</v>
      </c>
      <c r="G383" s="5">
        <f>StockTransactionsTable[[#This Row],[Shares No.]]*StockTransactionsTable[[#This Row],[Amount per Share]]</f>
        <v>51.51</v>
      </c>
      <c r="H383" s="5">
        <v>0</v>
      </c>
      <c r="I38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51.51</v>
      </c>
      <c r="J383" s="19">
        <f>StockTransactionsTable[[#This Row],[Fee]]/StockTransactionsTable[[#This Row],[Total Amount]]</f>
        <v>0</v>
      </c>
      <c r="K383" s="5">
        <f>IF(StockTransactionsTable[[#This Row],[Transaction Type]]="Buy", StockTransactionsTable[[#This Row],[Total Amount with Fee]] / StockTransactionsTable[[#This Row],[Shares No.]],0)</f>
        <v>0</v>
      </c>
      <c r="L38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83" s="4">
        <f>YEAR(StockTransactionsTable[[#This Row],[Date]])</f>
        <v>2020</v>
      </c>
      <c r="N383" s="4">
        <f>MONTH(StockTransactionsTable[[#This Row],[Date]])</f>
        <v>9</v>
      </c>
      <c r="R383" s="1"/>
      <c r="V383" s="33"/>
      <c r="W383" s="33"/>
    </row>
    <row r="384" spans="2:23">
      <c r="B384" s="3">
        <v>44084</v>
      </c>
      <c r="C384" s="6" t="s">
        <v>17</v>
      </c>
      <c r="D384" s="6" t="s">
        <v>30</v>
      </c>
      <c r="E384" s="5">
        <v>91</v>
      </c>
      <c r="F384" s="5">
        <v>1.63</v>
      </c>
      <c r="G384" s="5">
        <f>StockTransactionsTable[[#This Row],[Shares No.]]*StockTransactionsTable[[#This Row],[Amount per Share]]</f>
        <v>148.32999999999998</v>
      </c>
      <c r="H384" s="5">
        <v>0</v>
      </c>
      <c r="I38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148.32999999999998</v>
      </c>
      <c r="J384" s="19">
        <f>StockTransactionsTable[[#This Row],[Fee]]/StockTransactionsTable[[#This Row],[Total Amount]]</f>
        <v>0</v>
      </c>
      <c r="K384" s="5">
        <f>IF(StockTransactionsTable[[#This Row],[Transaction Type]]="Buy", StockTransactionsTable[[#This Row],[Total Amount with Fee]] / StockTransactionsTable[[#This Row],[Shares No.]],0)</f>
        <v>0</v>
      </c>
      <c r="L38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84" s="4">
        <f>YEAR(StockTransactionsTable[[#This Row],[Date]])</f>
        <v>2020</v>
      </c>
      <c r="N384" s="4">
        <f>MONTH(StockTransactionsTable[[#This Row],[Date]])</f>
        <v>9</v>
      </c>
      <c r="R384" s="1"/>
      <c r="V384" s="33"/>
      <c r="W384" s="33"/>
    </row>
    <row r="385" spans="2:23">
      <c r="B385" s="3">
        <v>44084</v>
      </c>
      <c r="C385" s="6" t="s">
        <v>91</v>
      </c>
      <c r="D385" s="6" t="s">
        <v>30</v>
      </c>
      <c r="E385" s="5">
        <v>147</v>
      </c>
      <c r="F385" s="5">
        <v>0.51</v>
      </c>
      <c r="G385" s="5">
        <f>StockTransactionsTable[[#This Row],[Shares No.]]*StockTransactionsTable[[#This Row],[Amount per Share]]</f>
        <v>74.97</v>
      </c>
      <c r="H385" s="5">
        <v>0</v>
      </c>
      <c r="I38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74.97</v>
      </c>
      <c r="J385" s="19">
        <f>StockTransactionsTable[[#This Row],[Fee]]/StockTransactionsTable[[#This Row],[Total Amount]]</f>
        <v>0</v>
      </c>
      <c r="K385" s="5">
        <f>IF(StockTransactionsTable[[#This Row],[Transaction Type]]="Buy", StockTransactionsTable[[#This Row],[Total Amount with Fee]] / StockTransactionsTable[[#This Row],[Shares No.]],0)</f>
        <v>0</v>
      </c>
      <c r="L38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85" s="4">
        <f>YEAR(StockTransactionsTable[[#This Row],[Date]])</f>
        <v>2020</v>
      </c>
      <c r="N385" s="4">
        <f>MONTH(StockTransactionsTable[[#This Row],[Date]])</f>
        <v>9</v>
      </c>
      <c r="R385" s="1"/>
      <c r="V385" s="33"/>
      <c r="W385" s="33"/>
    </row>
    <row r="386" spans="2:23">
      <c r="B386" s="3">
        <v>44084</v>
      </c>
      <c r="C386" s="6" t="s">
        <v>16</v>
      </c>
      <c r="D386" s="6" t="s">
        <v>30</v>
      </c>
      <c r="E386" s="5">
        <v>145</v>
      </c>
      <c r="F386" s="5">
        <v>0.87</v>
      </c>
      <c r="G386" s="5">
        <f>StockTransactionsTable[[#This Row],[Shares No.]]*StockTransactionsTable[[#This Row],[Amount per Share]]</f>
        <v>126.15</v>
      </c>
      <c r="H386" s="5">
        <v>0</v>
      </c>
      <c r="I38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126.15</v>
      </c>
      <c r="J386" s="19">
        <f>StockTransactionsTable[[#This Row],[Fee]]/StockTransactionsTable[[#This Row],[Total Amount]]</f>
        <v>0</v>
      </c>
      <c r="K386" s="5">
        <f>IF(StockTransactionsTable[[#This Row],[Transaction Type]]="Buy", StockTransactionsTable[[#This Row],[Total Amount with Fee]] / StockTransactionsTable[[#This Row],[Shares No.]],0)</f>
        <v>0</v>
      </c>
      <c r="L38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86" s="4">
        <f>YEAR(StockTransactionsTable[[#This Row],[Date]])</f>
        <v>2020</v>
      </c>
      <c r="N386" s="4">
        <f>MONTH(StockTransactionsTable[[#This Row],[Date]])</f>
        <v>9</v>
      </c>
      <c r="R386" s="1"/>
      <c r="V386" s="33"/>
      <c r="W386" s="33"/>
    </row>
    <row r="387" spans="2:23">
      <c r="B387" s="3">
        <v>44085</v>
      </c>
      <c r="C387" s="6" t="s">
        <v>106</v>
      </c>
      <c r="D387" s="6" t="s">
        <v>30</v>
      </c>
      <c r="E387" s="5">
        <v>88</v>
      </c>
      <c r="F387" s="5">
        <v>0.54</v>
      </c>
      <c r="G387" s="5">
        <f>StockTransactionsTable[[#This Row],[Shares No.]]*StockTransactionsTable[[#This Row],[Amount per Share]]</f>
        <v>47.52</v>
      </c>
      <c r="H387" s="5">
        <v>0</v>
      </c>
      <c r="I38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47.52</v>
      </c>
      <c r="J387" s="19">
        <f>StockTransactionsTable[[#This Row],[Fee]]/StockTransactionsTable[[#This Row],[Total Amount]]</f>
        <v>0</v>
      </c>
      <c r="K387" s="5">
        <f>IF(StockTransactionsTable[[#This Row],[Transaction Type]]="Buy", StockTransactionsTable[[#This Row],[Total Amount with Fee]] / StockTransactionsTable[[#This Row],[Shares No.]],0)</f>
        <v>0</v>
      </c>
      <c r="L38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87" s="4">
        <f>YEAR(StockTransactionsTable[[#This Row],[Date]])</f>
        <v>2020</v>
      </c>
      <c r="N387" s="4">
        <f>MONTH(StockTransactionsTable[[#This Row],[Date]])</f>
        <v>9</v>
      </c>
      <c r="R387" s="1"/>
      <c r="V387" s="33"/>
      <c r="W387" s="33"/>
    </row>
    <row r="388" spans="2:23">
      <c r="B388" s="3">
        <v>44089</v>
      </c>
      <c r="C388" s="6" t="s">
        <v>88</v>
      </c>
      <c r="D388" s="6" t="s">
        <v>30</v>
      </c>
      <c r="E388" s="5">
        <v>59</v>
      </c>
      <c r="F388" s="5">
        <v>1.25</v>
      </c>
      <c r="G388" s="5">
        <f>StockTransactionsTable[[#This Row],[Shares No.]]*StockTransactionsTable[[#This Row],[Amount per Share]]</f>
        <v>73.75</v>
      </c>
      <c r="H388" s="5">
        <v>0</v>
      </c>
      <c r="I38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73.75</v>
      </c>
      <c r="J388" s="19">
        <f>StockTransactionsTable[[#This Row],[Fee]]/StockTransactionsTable[[#This Row],[Total Amount]]</f>
        <v>0</v>
      </c>
      <c r="K388" s="5">
        <f>IF(StockTransactionsTable[[#This Row],[Transaction Type]]="Buy", StockTransactionsTable[[#This Row],[Total Amount with Fee]] / StockTransactionsTable[[#This Row],[Shares No.]],0)</f>
        <v>0</v>
      </c>
      <c r="L38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88" s="4">
        <f>YEAR(StockTransactionsTable[[#This Row],[Date]])</f>
        <v>2020</v>
      </c>
      <c r="N388" s="4">
        <f>MONTH(StockTransactionsTable[[#This Row],[Date]])</f>
        <v>9</v>
      </c>
      <c r="R388" s="1"/>
      <c r="V388" s="33"/>
      <c r="W388" s="33"/>
    </row>
    <row r="389" spans="2:23">
      <c r="B389" s="3">
        <v>44089</v>
      </c>
      <c r="C389" s="6" t="s">
        <v>98</v>
      </c>
      <c r="D389" s="6" t="s">
        <v>30</v>
      </c>
      <c r="E389" s="5">
        <v>73</v>
      </c>
      <c r="F389" s="5">
        <v>1.4</v>
      </c>
      <c r="G389" s="5">
        <f>StockTransactionsTable[[#This Row],[Shares No.]]*StockTransactionsTable[[#This Row],[Amount per Share]]</f>
        <v>102.19999999999999</v>
      </c>
      <c r="H389" s="5">
        <v>0</v>
      </c>
      <c r="I38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102.19999999999999</v>
      </c>
      <c r="J389" s="19">
        <f>StockTransactionsTable[[#This Row],[Fee]]/StockTransactionsTable[[#This Row],[Total Amount]]</f>
        <v>0</v>
      </c>
      <c r="K389" s="5">
        <f>IF(StockTransactionsTable[[#This Row],[Transaction Type]]="Buy", StockTransactionsTable[[#This Row],[Total Amount with Fee]] / StockTransactionsTable[[#This Row],[Shares No.]],0)</f>
        <v>0</v>
      </c>
      <c r="L38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89" s="4">
        <f>YEAR(StockTransactionsTable[[#This Row],[Date]])</f>
        <v>2020</v>
      </c>
      <c r="N389" s="4">
        <f>MONTH(StockTransactionsTable[[#This Row],[Date]])</f>
        <v>9</v>
      </c>
      <c r="R389" s="1"/>
      <c r="V389" s="33"/>
      <c r="W389" s="33"/>
    </row>
    <row r="390" spans="2:23">
      <c r="B390" s="3">
        <v>44089</v>
      </c>
      <c r="C390" s="6" t="s">
        <v>12</v>
      </c>
      <c r="D390" s="6" t="s">
        <v>30</v>
      </c>
      <c r="E390" s="5">
        <v>29</v>
      </c>
      <c r="F390" s="5">
        <v>0.23350000000000001</v>
      </c>
      <c r="G390" s="5">
        <f>StockTransactionsTable[[#This Row],[Shares No.]]*StockTransactionsTable[[#This Row],[Amount per Share]]</f>
        <v>6.7715000000000005</v>
      </c>
      <c r="H390" s="5">
        <v>0</v>
      </c>
      <c r="I39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6.7715000000000005</v>
      </c>
      <c r="J390" s="19">
        <f>StockTransactionsTable[[#This Row],[Fee]]/StockTransactionsTable[[#This Row],[Total Amount]]</f>
        <v>0</v>
      </c>
      <c r="K390" s="5">
        <f>IF(StockTransactionsTable[[#This Row],[Transaction Type]]="Buy", StockTransactionsTable[[#This Row],[Total Amount with Fee]] / StockTransactionsTable[[#This Row],[Shares No.]],0)</f>
        <v>0</v>
      </c>
      <c r="L39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90" s="4">
        <f>YEAR(StockTransactionsTable[[#This Row],[Date]])</f>
        <v>2020</v>
      </c>
      <c r="N390" s="4">
        <f>MONTH(StockTransactionsTable[[#This Row],[Date]])</f>
        <v>9</v>
      </c>
      <c r="R390" s="1"/>
      <c r="V390" s="33"/>
      <c r="W390" s="33"/>
    </row>
    <row r="391" spans="2:23">
      <c r="B391" s="3">
        <v>44090</v>
      </c>
      <c r="C391" s="6" t="s">
        <v>100</v>
      </c>
      <c r="D391" s="6" t="s">
        <v>30</v>
      </c>
      <c r="E391" s="5">
        <v>109</v>
      </c>
      <c r="F391" s="5">
        <v>0.96499999999999997</v>
      </c>
      <c r="G391" s="5">
        <f>StockTransactionsTable[[#This Row],[Shares No.]]*StockTransactionsTable[[#This Row],[Amount per Share]]</f>
        <v>105.185</v>
      </c>
      <c r="H391" s="5">
        <v>0</v>
      </c>
      <c r="I39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105.185</v>
      </c>
      <c r="J391" s="19">
        <f>StockTransactionsTable[[#This Row],[Fee]]/StockTransactionsTable[[#This Row],[Total Amount]]</f>
        <v>0</v>
      </c>
      <c r="K391" s="5">
        <f>IF(StockTransactionsTable[[#This Row],[Transaction Type]]="Buy", StockTransactionsTable[[#This Row],[Total Amount with Fee]] / StockTransactionsTable[[#This Row],[Shares No.]],0)</f>
        <v>0</v>
      </c>
      <c r="L39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91" s="4">
        <f>YEAR(StockTransactionsTable[[#This Row],[Date]])</f>
        <v>2020</v>
      </c>
      <c r="N391" s="4">
        <f>MONTH(StockTransactionsTable[[#This Row],[Date]])</f>
        <v>9</v>
      </c>
      <c r="R391" s="1"/>
      <c r="V391" s="33"/>
      <c r="W391" s="33"/>
    </row>
    <row r="392" spans="2:23">
      <c r="B392" s="3">
        <v>44091</v>
      </c>
      <c r="C392" s="6" t="s">
        <v>95</v>
      </c>
      <c r="D392" s="6" t="s">
        <v>30</v>
      </c>
      <c r="E392" s="5">
        <v>43</v>
      </c>
      <c r="F392" s="5">
        <v>1.5</v>
      </c>
      <c r="G392" s="5">
        <f>StockTransactionsTable[[#This Row],[Shares No.]]*StockTransactionsTable[[#This Row],[Amount per Share]]</f>
        <v>64.5</v>
      </c>
      <c r="H392" s="5">
        <v>0</v>
      </c>
      <c r="I39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64.5</v>
      </c>
      <c r="J392" s="19">
        <f>StockTransactionsTable[[#This Row],[Fee]]/StockTransactionsTable[[#This Row],[Total Amount]]</f>
        <v>0</v>
      </c>
      <c r="K392" s="5">
        <f>IF(StockTransactionsTable[[#This Row],[Transaction Type]]="Buy", StockTransactionsTable[[#This Row],[Total Amount with Fee]] / StockTransactionsTable[[#This Row],[Shares No.]],0)</f>
        <v>0</v>
      </c>
      <c r="L39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92" s="4">
        <f>YEAR(StockTransactionsTable[[#This Row],[Date]])</f>
        <v>2020</v>
      </c>
      <c r="N392" s="4">
        <f>MONTH(StockTransactionsTable[[#This Row],[Date]])</f>
        <v>9</v>
      </c>
      <c r="R392" s="1"/>
      <c r="V392" s="33"/>
      <c r="W392" s="33"/>
    </row>
    <row r="393" spans="2:23">
      <c r="B393" s="3">
        <v>44096</v>
      </c>
      <c r="C393" s="6" t="s">
        <v>18</v>
      </c>
      <c r="D393" s="6" t="s">
        <v>29</v>
      </c>
      <c r="E393" s="5">
        <v>10</v>
      </c>
      <c r="F393" s="5" vm="486">
        <v>132.15</v>
      </c>
      <c r="G393" s="5">
        <f>StockTransactionsTable[[#This Row],[Shares No.]]*StockTransactionsTable[[#This Row],[Amount per Share]]</f>
        <v>1321.5</v>
      </c>
      <c r="H393" s="5">
        <v>0.55954922445904431</v>
      </c>
      <c r="I39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1322.059549224459</v>
      </c>
      <c r="J393" s="19">
        <f>StockTransactionsTable[[#This Row],[Fee]]/StockTransactionsTable[[#This Row],[Total Amount]]</f>
        <v>4.2341976879231504E-4</v>
      </c>
      <c r="K393" s="5">
        <f>IF(StockTransactionsTable[[#This Row],[Transaction Type]]="Buy", StockTransactionsTable[[#This Row],[Total Amount with Fee]] / StockTransactionsTable[[#This Row],[Shares No.]],0)</f>
        <v>132.2059549224459</v>
      </c>
      <c r="L39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93" s="4">
        <f>YEAR(StockTransactionsTable[[#This Row],[Date]])</f>
        <v>2020</v>
      </c>
      <c r="N393" s="4">
        <f>MONTH(StockTransactionsTable[[#This Row],[Date]])</f>
        <v>9</v>
      </c>
      <c r="R393" s="1"/>
      <c r="V393" s="33"/>
      <c r="W393" s="33"/>
    </row>
    <row r="394" spans="2:23">
      <c r="B394" s="3">
        <v>44105</v>
      </c>
      <c r="C394" s="6" t="s">
        <v>23</v>
      </c>
      <c r="D394" s="6" t="s">
        <v>30</v>
      </c>
      <c r="E394" s="5">
        <v>58</v>
      </c>
      <c r="F394" s="5">
        <v>0.41</v>
      </c>
      <c r="G394" s="5">
        <f>StockTransactionsTable[[#This Row],[Shares No.]]*StockTransactionsTable[[#This Row],[Amount per Share]]</f>
        <v>23.779999999999998</v>
      </c>
      <c r="H394" s="5">
        <v>0</v>
      </c>
      <c r="I39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23.779999999999998</v>
      </c>
      <c r="J394" s="19">
        <f>StockTransactionsTable[[#This Row],[Fee]]/StockTransactionsTable[[#This Row],[Total Amount]]</f>
        <v>0</v>
      </c>
      <c r="K394" s="5">
        <f>IF(StockTransactionsTable[[#This Row],[Transaction Type]]="Buy", StockTransactionsTable[[#This Row],[Total Amount with Fee]] / StockTransactionsTable[[#This Row],[Shares No.]],0)</f>
        <v>0</v>
      </c>
      <c r="L39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94" s="4">
        <f>YEAR(StockTransactionsTable[[#This Row],[Date]])</f>
        <v>2020</v>
      </c>
      <c r="N394" s="4">
        <f>MONTH(StockTransactionsTable[[#This Row],[Date]])</f>
        <v>10</v>
      </c>
      <c r="R394" s="1"/>
      <c r="V394" s="33"/>
      <c r="W394" s="33"/>
    </row>
    <row r="395" spans="2:23">
      <c r="B395" s="3">
        <v>44119</v>
      </c>
      <c r="C395" s="6" t="s">
        <v>12</v>
      </c>
      <c r="D395" s="6" t="s">
        <v>30</v>
      </c>
      <c r="E395" s="5">
        <v>29</v>
      </c>
      <c r="F395" s="5">
        <v>0.23400000000000001</v>
      </c>
      <c r="G395" s="5">
        <f>StockTransactionsTable[[#This Row],[Shares No.]]*StockTransactionsTable[[#This Row],[Amount per Share]]</f>
        <v>6.7860000000000005</v>
      </c>
      <c r="H395" s="5">
        <v>0</v>
      </c>
      <c r="I39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6.7860000000000005</v>
      </c>
      <c r="J395" s="19">
        <f>StockTransactionsTable[[#This Row],[Fee]]/StockTransactionsTable[[#This Row],[Total Amount]]</f>
        <v>0</v>
      </c>
      <c r="K395" s="5">
        <f>IF(StockTransactionsTable[[#This Row],[Transaction Type]]="Buy", StockTransactionsTable[[#This Row],[Total Amount with Fee]] / StockTransactionsTable[[#This Row],[Shares No.]],0)</f>
        <v>0</v>
      </c>
      <c r="L39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95" s="4">
        <f>YEAR(StockTransactionsTable[[#This Row],[Date]])</f>
        <v>2020</v>
      </c>
      <c r="N395" s="4">
        <f>MONTH(StockTransactionsTable[[#This Row],[Date]])</f>
        <v>10</v>
      </c>
      <c r="R395" s="1"/>
      <c r="V395" s="33"/>
      <c r="W395" s="33"/>
    </row>
    <row r="396" spans="2:23">
      <c r="B396" s="3">
        <v>44135</v>
      </c>
      <c r="C396" s="6" t="s">
        <v>20</v>
      </c>
      <c r="D396" s="6" t="s">
        <v>30</v>
      </c>
      <c r="E396" s="5">
        <v>78</v>
      </c>
      <c r="F396" s="5">
        <v>0.9</v>
      </c>
      <c r="G396" s="5">
        <f>StockTransactionsTable[[#This Row],[Shares No.]]*StockTransactionsTable[[#This Row],[Amount per Share]]</f>
        <v>70.2</v>
      </c>
      <c r="H396" s="5">
        <v>0</v>
      </c>
      <c r="I39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70.2</v>
      </c>
      <c r="J396" s="19">
        <f>StockTransactionsTable[[#This Row],[Fee]]/StockTransactionsTable[[#This Row],[Total Amount]]</f>
        <v>0</v>
      </c>
      <c r="K396" s="5">
        <f>IF(StockTransactionsTable[[#This Row],[Transaction Type]]="Buy", StockTransactionsTable[[#This Row],[Total Amount with Fee]] / StockTransactionsTable[[#This Row],[Shares No.]],0)</f>
        <v>0</v>
      </c>
      <c r="L39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96" s="4">
        <f>YEAR(StockTransactionsTable[[#This Row],[Date]])</f>
        <v>2020</v>
      </c>
      <c r="N396" s="4">
        <f>MONTH(StockTransactionsTable[[#This Row],[Date]])</f>
        <v>10</v>
      </c>
      <c r="R396" s="1"/>
      <c r="V396" s="33"/>
      <c r="W396" s="33"/>
    </row>
    <row r="397" spans="2:23">
      <c r="B397" s="3">
        <v>44137</v>
      </c>
      <c r="C397" s="6" t="s">
        <v>15</v>
      </c>
      <c r="D397" s="6" t="s">
        <v>30</v>
      </c>
      <c r="E397" s="5">
        <v>124</v>
      </c>
      <c r="F397" s="5">
        <v>0.52</v>
      </c>
      <c r="G397" s="5">
        <f>StockTransactionsTable[[#This Row],[Shares No.]]*StockTransactionsTable[[#This Row],[Amount per Share]]</f>
        <v>64.48</v>
      </c>
      <c r="H397" s="5">
        <v>0</v>
      </c>
      <c r="I39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64.48</v>
      </c>
      <c r="J397" s="19">
        <f>StockTransactionsTable[[#This Row],[Fee]]/StockTransactionsTable[[#This Row],[Total Amount]]</f>
        <v>0</v>
      </c>
      <c r="K397" s="5">
        <f>IF(StockTransactionsTable[[#This Row],[Transaction Type]]="Buy", StockTransactionsTable[[#This Row],[Total Amount with Fee]] / StockTransactionsTable[[#This Row],[Shares No.]],0)</f>
        <v>0</v>
      </c>
      <c r="L39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97" s="4">
        <f>YEAR(StockTransactionsTable[[#This Row],[Date]])</f>
        <v>2020</v>
      </c>
      <c r="N397" s="4">
        <f>MONTH(StockTransactionsTable[[#This Row],[Date]])</f>
        <v>11</v>
      </c>
      <c r="R397" s="1"/>
      <c r="V397" s="33"/>
      <c r="W397" s="33"/>
    </row>
    <row r="398" spans="2:23">
      <c r="B398" s="3">
        <v>44140</v>
      </c>
      <c r="C398" s="6" t="s">
        <v>21</v>
      </c>
      <c r="D398" s="6" t="s">
        <v>29</v>
      </c>
      <c r="E398" s="5">
        <v>11</v>
      </c>
      <c r="F398" s="5" vm="487">
        <v>142.38</v>
      </c>
      <c r="G398" s="5">
        <f>StockTransactionsTable[[#This Row],[Shares No.]]*StockTransactionsTable[[#This Row],[Amount per Share]]</f>
        <v>1566.1799999999998</v>
      </c>
      <c r="H398" s="5">
        <v>0.74905996017481002</v>
      </c>
      <c r="I39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1566.9290599601748</v>
      </c>
      <c r="J398" s="19">
        <f>StockTransactionsTable[[#This Row],[Fee]]/StockTransactionsTable[[#This Row],[Total Amount]]</f>
        <v>4.7827194841896213E-4</v>
      </c>
      <c r="K398" s="5">
        <f>IF(StockTransactionsTable[[#This Row],[Transaction Type]]="Buy", StockTransactionsTable[[#This Row],[Total Amount with Fee]] / StockTransactionsTable[[#This Row],[Shares No.]],0)</f>
        <v>142.44809636001588</v>
      </c>
      <c r="L39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98" s="4">
        <f>YEAR(StockTransactionsTable[[#This Row],[Date]])</f>
        <v>2020</v>
      </c>
      <c r="N398" s="4">
        <f>MONTH(StockTransactionsTable[[#This Row],[Date]])</f>
        <v>11</v>
      </c>
      <c r="R398" s="1"/>
      <c r="V398" s="33"/>
      <c r="W398" s="33"/>
    </row>
    <row r="399" spans="2:23">
      <c r="B399" s="3">
        <v>44148</v>
      </c>
      <c r="C399" s="6" t="s">
        <v>12</v>
      </c>
      <c r="D399" s="6" t="s">
        <v>30</v>
      </c>
      <c r="E399" s="5">
        <v>29</v>
      </c>
      <c r="F399" s="5">
        <v>0.23400000000000001</v>
      </c>
      <c r="G399" s="5">
        <f>StockTransactionsTable[[#This Row],[Shares No.]]*StockTransactionsTable[[#This Row],[Amount per Share]]</f>
        <v>6.7860000000000005</v>
      </c>
      <c r="H399" s="5">
        <v>0</v>
      </c>
      <c r="I39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6.7860000000000005</v>
      </c>
      <c r="J399" s="19">
        <f>StockTransactionsTable[[#This Row],[Fee]]/StockTransactionsTable[[#This Row],[Total Amount]]</f>
        <v>0</v>
      </c>
      <c r="K399" s="5">
        <f>IF(StockTransactionsTable[[#This Row],[Transaction Type]]="Buy", StockTransactionsTable[[#This Row],[Total Amount with Fee]] / StockTransactionsTable[[#This Row],[Shares No.]],0)</f>
        <v>0</v>
      </c>
      <c r="L39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399" s="4">
        <f>YEAR(StockTransactionsTable[[#This Row],[Date]])</f>
        <v>2020</v>
      </c>
      <c r="N399" s="4">
        <f>MONTH(StockTransactionsTable[[#This Row],[Date]])</f>
        <v>11</v>
      </c>
      <c r="R399" s="1"/>
      <c r="V399" s="33"/>
      <c r="W399" s="33"/>
    </row>
    <row r="400" spans="2:23">
      <c r="B400" s="3">
        <v>44151</v>
      </c>
      <c r="C400" s="6" t="s">
        <v>86</v>
      </c>
      <c r="D400" s="6" t="s">
        <v>30</v>
      </c>
      <c r="E400" s="5">
        <v>80</v>
      </c>
      <c r="F400" s="5">
        <v>1.18</v>
      </c>
      <c r="G400" s="5">
        <f>StockTransactionsTable[[#This Row],[Shares No.]]*StockTransactionsTable[[#This Row],[Amount per Share]]</f>
        <v>94.399999999999991</v>
      </c>
      <c r="H400" s="5">
        <v>0</v>
      </c>
      <c r="I40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94.399999999999991</v>
      </c>
      <c r="J400" s="19">
        <f>StockTransactionsTable[[#This Row],[Fee]]/StockTransactionsTable[[#This Row],[Total Amount]]</f>
        <v>0</v>
      </c>
      <c r="K400" s="5">
        <f>IF(StockTransactionsTable[[#This Row],[Transaction Type]]="Buy", StockTransactionsTable[[#This Row],[Total Amount with Fee]] / StockTransactionsTable[[#This Row],[Shares No.]],0)</f>
        <v>0</v>
      </c>
      <c r="L40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00" s="4">
        <f>YEAR(StockTransactionsTable[[#This Row],[Date]])</f>
        <v>2020</v>
      </c>
      <c r="N400" s="4">
        <f>MONTH(StockTransactionsTable[[#This Row],[Date]])</f>
        <v>11</v>
      </c>
      <c r="R400" s="1"/>
      <c r="V400" s="33"/>
      <c r="W400" s="33"/>
    </row>
    <row r="401" spans="2:23">
      <c r="B401" s="3">
        <v>44151</v>
      </c>
      <c r="C401" s="6" t="s">
        <v>21</v>
      </c>
      <c r="D401" s="6" t="s">
        <v>30</v>
      </c>
      <c r="E401" s="5">
        <v>17</v>
      </c>
      <c r="F401" s="5">
        <v>0.79069999999999996</v>
      </c>
      <c r="G401" s="5">
        <f>StockTransactionsTable[[#This Row],[Shares No.]]*StockTransactionsTable[[#This Row],[Amount per Share]]</f>
        <v>13.441899999999999</v>
      </c>
      <c r="H401" s="5">
        <v>0</v>
      </c>
      <c r="I40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13.441899999999999</v>
      </c>
      <c r="J401" s="19">
        <f>StockTransactionsTable[[#This Row],[Fee]]/StockTransactionsTable[[#This Row],[Total Amount]]</f>
        <v>0</v>
      </c>
      <c r="K401" s="5">
        <f>IF(StockTransactionsTable[[#This Row],[Transaction Type]]="Buy", StockTransactionsTable[[#This Row],[Total Amount with Fee]] / StockTransactionsTable[[#This Row],[Shares No.]],0)</f>
        <v>0</v>
      </c>
      <c r="L40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01" s="4">
        <f>YEAR(StockTransactionsTable[[#This Row],[Date]])</f>
        <v>2020</v>
      </c>
      <c r="N401" s="4">
        <f>MONTH(StockTransactionsTable[[#This Row],[Date]])</f>
        <v>11</v>
      </c>
      <c r="R401" s="1"/>
      <c r="V401" s="33"/>
      <c r="W401" s="33"/>
    </row>
    <row r="402" spans="2:23">
      <c r="B402" s="3">
        <v>44155</v>
      </c>
      <c r="C402" s="6" t="s">
        <v>22</v>
      </c>
      <c r="D402" s="6" t="s">
        <v>30</v>
      </c>
      <c r="E402" s="5">
        <v>81</v>
      </c>
      <c r="F402" s="5">
        <v>1.03</v>
      </c>
      <c r="G402" s="5">
        <f>StockTransactionsTable[[#This Row],[Shares No.]]*StockTransactionsTable[[#This Row],[Amount per Share]]</f>
        <v>83.43</v>
      </c>
      <c r="H402" s="5">
        <v>0</v>
      </c>
      <c r="I40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83.43</v>
      </c>
      <c r="J402" s="19">
        <f>StockTransactionsTable[[#This Row],[Fee]]/StockTransactionsTable[[#This Row],[Total Amount]]</f>
        <v>0</v>
      </c>
      <c r="K402" s="5">
        <f>IF(StockTransactionsTable[[#This Row],[Transaction Type]]="Buy", StockTransactionsTable[[#This Row],[Total Amount with Fee]] / StockTransactionsTable[[#This Row],[Shares No.]],0)</f>
        <v>0</v>
      </c>
      <c r="L40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02" s="4">
        <f>YEAR(StockTransactionsTable[[#This Row],[Date]])</f>
        <v>2020</v>
      </c>
      <c r="N402" s="4">
        <f>MONTH(StockTransactionsTable[[#This Row],[Date]])</f>
        <v>11</v>
      </c>
      <c r="R402" s="1"/>
      <c r="V402" s="33"/>
      <c r="W402" s="33"/>
    </row>
    <row r="403" spans="2:23">
      <c r="B403" s="3">
        <v>44155</v>
      </c>
      <c r="C403" s="6" t="s">
        <v>19</v>
      </c>
      <c r="D403" s="6" t="s">
        <v>30</v>
      </c>
      <c r="E403" s="5">
        <v>57</v>
      </c>
      <c r="F403" s="5">
        <v>1.1100000000000001</v>
      </c>
      <c r="G403" s="5">
        <f>StockTransactionsTable[[#This Row],[Shares No.]]*StockTransactionsTable[[#This Row],[Amount per Share]]</f>
        <v>63.27</v>
      </c>
      <c r="H403" s="5">
        <v>0</v>
      </c>
      <c r="I40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63.27</v>
      </c>
      <c r="J403" s="19">
        <f>StockTransactionsTable[[#This Row],[Fee]]/StockTransactionsTable[[#This Row],[Total Amount]]</f>
        <v>0</v>
      </c>
      <c r="K403" s="5">
        <f>IF(StockTransactionsTable[[#This Row],[Transaction Type]]="Buy", StockTransactionsTable[[#This Row],[Total Amount with Fee]] / StockTransactionsTable[[#This Row],[Shares No.]],0)</f>
        <v>0</v>
      </c>
      <c r="L40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03" s="4">
        <f>YEAR(StockTransactionsTable[[#This Row],[Date]])</f>
        <v>2020</v>
      </c>
      <c r="N403" s="4">
        <f>MONTH(StockTransactionsTable[[#This Row],[Date]])</f>
        <v>11</v>
      </c>
      <c r="R403" s="1"/>
      <c r="V403" s="33"/>
      <c r="W403" s="33"/>
    </row>
    <row r="404" spans="2:23">
      <c r="B404" s="3">
        <v>44158</v>
      </c>
      <c r="C404" s="6" t="s">
        <v>12</v>
      </c>
      <c r="D404" s="6" t="s">
        <v>29</v>
      </c>
      <c r="E404" s="5">
        <v>35</v>
      </c>
      <c r="F404" s="5" vm="488">
        <v>60.89</v>
      </c>
      <c r="G404" s="5">
        <f>StockTransactionsTable[[#This Row],[Shares No.]]*StockTransactionsTable[[#This Row],[Amount per Share]]</f>
        <v>2131.15</v>
      </c>
      <c r="H404" s="5">
        <v>1.0617802072891078</v>
      </c>
      <c r="I40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2132.2117802072894</v>
      </c>
      <c r="J404" s="19">
        <f>StockTransactionsTable[[#This Row],[Fee]]/StockTransactionsTable[[#This Row],[Total Amount]]</f>
        <v>4.9821936855177151E-4</v>
      </c>
      <c r="K404" s="5">
        <f>IF(StockTransactionsTable[[#This Row],[Transaction Type]]="Buy", StockTransactionsTable[[#This Row],[Total Amount with Fee]] / StockTransactionsTable[[#This Row],[Shares No.]],0)</f>
        <v>60.920336577351122</v>
      </c>
      <c r="L40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04" s="4">
        <f>YEAR(StockTransactionsTable[[#This Row],[Date]])</f>
        <v>2020</v>
      </c>
      <c r="N404" s="4">
        <f>MONTH(StockTransactionsTable[[#This Row],[Date]])</f>
        <v>11</v>
      </c>
      <c r="R404" s="1"/>
      <c r="V404" s="33"/>
      <c r="W404" s="33"/>
    </row>
    <row r="405" spans="2:23">
      <c r="B405" s="3">
        <v>44166</v>
      </c>
      <c r="C405" s="6" t="s">
        <v>13</v>
      </c>
      <c r="D405" s="6" t="s">
        <v>30</v>
      </c>
      <c r="E405" s="5">
        <v>55</v>
      </c>
      <c r="F405" s="5">
        <v>0.38</v>
      </c>
      <c r="G405" s="5">
        <f>StockTransactionsTable[[#This Row],[Shares No.]]*StockTransactionsTable[[#This Row],[Amount per Share]]</f>
        <v>20.9</v>
      </c>
      <c r="H405" s="5">
        <v>0</v>
      </c>
      <c r="I40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20.9</v>
      </c>
      <c r="J405" s="19">
        <f>StockTransactionsTable[[#This Row],[Fee]]/StockTransactionsTable[[#This Row],[Total Amount]]</f>
        <v>0</v>
      </c>
      <c r="K405" s="5">
        <f>IF(StockTransactionsTable[[#This Row],[Transaction Type]]="Buy", StockTransactionsTable[[#This Row],[Total Amount with Fee]] / StockTransactionsTable[[#This Row],[Shares No.]],0)</f>
        <v>0</v>
      </c>
      <c r="L40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05" s="4">
        <f>YEAR(StockTransactionsTable[[#This Row],[Date]])</f>
        <v>2020</v>
      </c>
      <c r="N405" s="4">
        <f>MONTH(StockTransactionsTable[[#This Row],[Date]])</f>
        <v>12</v>
      </c>
      <c r="R405" s="1"/>
      <c r="V405" s="33"/>
      <c r="W405" s="33"/>
    </row>
    <row r="406" spans="2:23">
      <c r="B406" s="3">
        <v>44173</v>
      </c>
      <c r="C406" s="6" t="s">
        <v>84</v>
      </c>
      <c r="D406" s="6" t="s">
        <v>30</v>
      </c>
      <c r="E406" s="5">
        <v>51</v>
      </c>
      <c r="F406" s="5">
        <v>1.01</v>
      </c>
      <c r="G406" s="5">
        <f>StockTransactionsTable[[#This Row],[Shares No.]]*StockTransactionsTable[[#This Row],[Amount per Share]]</f>
        <v>51.51</v>
      </c>
      <c r="H406" s="5">
        <v>0</v>
      </c>
      <c r="I40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51.51</v>
      </c>
      <c r="J406" s="19">
        <f>StockTransactionsTable[[#This Row],[Fee]]/StockTransactionsTable[[#This Row],[Total Amount]]</f>
        <v>0</v>
      </c>
      <c r="K406" s="5">
        <f>IF(StockTransactionsTable[[#This Row],[Transaction Type]]="Buy", StockTransactionsTable[[#This Row],[Total Amount with Fee]] / StockTransactionsTable[[#This Row],[Shares No.]],0)</f>
        <v>0</v>
      </c>
      <c r="L40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06" s="4">
        <f>YEAR(StockTransactionsTable[[#This Row],[Date]])</f>
        <v>2020</v>
      </c>
      <c r="N406" s="4">
        <f>MONTH(StockTransactionsTable[[#This Row],[Date]])</f>
        <v>12</v>
      </c>
      <c r="R406" s="1"/>
      <c r="V406" s="33"/>
      <c r="W406" s="33"/>
    </row>
    <row r="407" spans="2:23">
      <c r="B407" s="3">
        <v>44175</v>
      </c>
      <c r="C407" s="6" t="s">
        <v>17</v>
      </c>
      <c r="D407" s="6" t="s">
        <v>30</v>
      </c>
      <c r="E407" s="5">
        <v>91</v>
      </c>
      <c r="F407" s="5">
        <v>1.63</v>
      </c>
      <c r="G407" s="5">
        <f>StockTransactionsTable[[#This Row],[Shares No.]]*StockTransactionsTable[[#This Row],[Amount per Share]]</f>
        <v>148.32999999999998</v>
      </c>
      <c r="H407" s="5">
        <v>0</v>
      </c>
      <c r="I40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148.32999999999998</v>
      </c>
      <c r="J407" s="19">
        <f>StockTransactionsTable[[#This Row],[Fee]]/StockTransactionsTable[[#This Row],[Total Amount]]</f>
        <v>0</v>
      </c>
      <c r="K407" s="5">
        <f>IF(StockTransactionsTable[[#This Row],[Transaction Type]]="Buy", StockTransactionsTable[[#This Row],[Total Amount with Fee]] / StockTransactionsTable[[#This Row],[Shares No.]],0)</f>
        <v>0</v>
      </c>
      <c r="L40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07" s="4">
        <f>YEAR(StockTransactionsTable[[#This Row],[Date]])</f>
        <v>2020</v>
      </c>
      <c r="N407" s="4">
        <f>MONTH(StockTransactionsTable[[#This Row],[Date]])</f>
        <v>12</v>
      </c>
      <c r="R407" s="1"/>
      <c r="V407" s="33"/>
      <c r="W407" s="33"/>
    </row>
    <row r="408" spans="2:23">
      <c r="B408" s="3">
        <v>44175</v>
      </c>
      <c r="C408" s="6" t="s">
        <v>91</v>
      </c>
      <c r="D408" s="6" t="s">
        <v>30</v>
      </c>
      <c r="E408" s="5">
        <v>147</v>
      </c>
      <c r="F408" s="5">
        <v>0.56000000000000005</v>
      </c>
      <c r="G408" s="5">
        <f>StockTransactionsTable[[#This Row],[Shares No.]]*StockTransactionsTable[[#This Row],[Amount per Share]]</f>
        <v>82.320000000000007</v>
      </c>
      <c r="H408" s="5">
        <v>0</v>
      </c>
      <c r="I40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82.320000000000007</v>
      </c>
      <c r="J408" s="19">
        <f>StockTransactionsTable[[#This Row],[Fee]]/StockTransactionsTable[[#This Row],[Total Amount]]</f>
        <v>0</v>
      </c>
      <c r="K408" s="5">
        <f>IF(StockTransactionsTable[[#This Row],[Transaction Type]]="Buy", StockTransactionsTable[[#This Row],[Total Amount with Fee]] / StockTransactionsTable[[#This Row],[Shares No.]],0)</f>
        <v>0</v>
      </c>
      <c r="L40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08" s="4">
        <f>YEAR(StockTransactionsTable[[#This Row],[Date]])</f>
        <v>2020</v>
      </c>
      <c r="N408" s="4">
        <f>MONTH(StockTransactionsTable[[#This Row],[Date]])</f>
        <v>12</v>
      </c>
      <c r="R408" s="1"/>
      <c r="V408" s="33"/>
      <c r="W408" s="33"/>
    </row>
    <row r="409" spans="2:23">
      <c r="B409" s="3">
        <v>44175</v>
      </c>
      <c r="C409" s="6" t="s">
        <v>16</v>
      </c>
      <c r="D409" s="6" t="s">
        <v>30</v>
      </c>
      <c r="E409" s="5">
        <v>175</v>
      </c>
      <c r="F409" s="5">
        <v>0.87</v>
      </c>
      <c r="G409" s="5">
        <f>StockTransactionsTable[[#This Row],[Shares No.]]*StockTransactionsTable[[#This Row],[Amount per Share]]</f>
        <v>152.25</v>
      </c>
      <c r="H409" s="5">
        <v>0</v>
      </c>
      <c r="I40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152.25</v>
      </c>
      <c r="J409" s="19">
        <f>StockTransactionsTable[[#This Row],[Fee]]/StockTransactionsTable[[#This Row],[Total Amount]]</f>
        <v>0</v>
      </c>
      <c r="K409" s="5">
        <f>IF(StockTransactionsTable[[#This Row],[Transaction Type]]="Buy", StockTransactionsTable[[#This Row],[Total Amount with Fee]] / StockTransactionsTable[[#This Row],[Shares No.]],0)</f>
        <v>0</v>
      </c>
      <c r="L40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09" s="4">
        <f>YEAR(StockTransactionsTable[[#This Row],[Date]])</f>
        <v>2020</v>
      </c>
      <c r="N409" s="4">
        <f>MONTH(StockTransactionsTable[[#This Row],[Date]])</f>
        <v>12</v>
      </c>
      <c r="R409" s="1"/>
      <c r="V409" s="33"/>
      <c r="W409" s="33"/>
    </row>
    <row r="410" spans="2:23">
      <c r="B410" s="3">
        <v>44176</v>
      </c>
      <c r="C410" s="6" t="s">
        <v>106</v>
      </c>
      <c r="D410" s="6" t="s">
        <v>30</v>
      </c>
      <c r="E410" s="5">
        <v>88</v>
      </c>
      <c r="F410" s="5">
        <v>0.54</v>
      </c>
      <c r="G410" s="5">
        <f>StockTransactionsTable[[#This Row],[Shares No.]]*StockTransactionsTable[[#This Row],[Amount per Share]]</f>
        <v>47.52</v>
      </c>
      <c r="H410" s="5">
        <v>0</v>
      </c>
      <c r="I41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47.52</v>
      </c>
      <c r="J410" s="19">
        <f>StockTransactionsTable[[#This Row],[Fee]]/StockTransactionsTable[[#This Row],[Total Amount]]</f>
        <v>0</v>
      </c>
      <c r="K410" s="5">
        <f>IF(StockTransactionsTable[[#This Row],[Transaction Type]]="Buy", StockTransactionsTable[[#This Row],[Total Amount with Fee]] / StockTransactionsTable[[#This Row],[Shares No.]],0)</f>
        <v>0</v>
      </c>
      <c r="L41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10" s="4">
        <f>YEAR(StockTransactionsTable[[#This Row],[Date]])</f>
        <v>2020</v>
      </c>
      <c r="N410" s="4">
        <f>MONTH(StockTransactionsTable[[#This Row],[Date]])</f>
        <v>12</v>
      </c>
      <c r="R410" s="1"/>
      <c r="V410" s="33"/>
      <c r="W410" s="33"/>
    </row>
    <row r="411" spans="2:23">
      <c r="B411" s="3">
        <v>44180</v>
      </c>
      <c r="C411" s="6" t="s">
        <v>23</v>
      </c>
      <c r="D411" s="6" t="s">
        <v>30</v>
      </c>
      <c r="E411" s="5">
        <v>58</v>
      </c>
      <c r="F411" s="5">
        <v>0.41</v>
      </c>
      <c r="G411" s="5">
        <f>StockTransactionsTable[[#This Row],[Shares No.]]*StockTransactionsTable[[#This Row],[Amount per Share]]</f>
        <v>23.779999999999998</v>
      </c>
      <c r="H411" s="5">
        <v>0</v>
      </c>
      <c r="I41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23.779999999999998</v>
      </c>
      <c r="J411" s="19">
        <f>StockTransactionsTable[[#This Row],[Fee]]/StockTransactionsTable[[#This Row],[Total Amount]]</f>
        <v>0</v>
      </c>
      <c r="K411" s="5">
        <f>IF(StockTransactionsTable[[#This Row],[Transaction Type]]="Buy", StockTransactionsTable[[#This Row],[Total Amount with Fee]] / StockTransactionsTable[[#This Row],[Shares No.]],0)</f>
        <v>0</v>
      </c>
      <c r="L41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11" s="4">
        <f>YEAR(StockTransactionsTable[[#This Row],[Date]])</f>
        <v>2020</v>
      </c>
      <c r="N411" s="4">
        <f>MONTH(StockTransactionsTable[[#This Row],[Date]])</f>
        <v>12</v>
      </c>
      <c r="R411" s="1"/>
      <c r="V411" s="33"/>
      <c r="W411" s="33"/>
    </row>
    <row r="412" spans="2:23">
      <c r="B412" s="3">
        <v>44180</v>
      </c>
      <c r="C412" s="6" t="s">
        <v>88</v>
      </c>
      <c r="D412" s="6" t="s">
        <v>30</v>
      </c>
      <c r="E412" s="5">
        <v>59</v>
      </c>
      <c r="F412" s="5">
        <v>1.29</v>
      </c>
      <c r="G412" s="5">
        <f>StockTransactionsTable[[#This Row],[Shares No.]]*StockTransactionsTable[[#This Row],[Amount per Share]]</f>
        <v>76.11</v>
      </c>
      <c r="H412" s="5">
        <v>0</v>
      </c>
      <c r="I41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76.11</v>
      </c>
      <c r="J412" s="19">
        <f>StockTransactionsTable[[#This Row],[Fee]]/StockTransactionsTable[[#This Row],[Total Amount]]</f>
        <v>0</v>
      </c>
      <c r="K412" s="5">
        <f>IF(StockTransactionsTable[[#This Row],[Transaction Type]]="Buy", StockTransactionsTable[[#This Row],[Total Amount with Fee]] / StockTransactionsTable[[#This Row],[Shares No.]],0)</f>
        <v>0</v>
      </c>
      <c r="L41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12" s="4">
        <f>YEAR(StockTransactionsTable[[#This Row],[Date]])</f>
        <v>2020</v>
      </c>
      <c r="N412" s="4">
        <f>MONTH(StockTransactionsTable[[#This Row],[Date]])</f>
        <v>12</v>
      </c>
      <c r="R412" s="1"/>
      <c r="V412" s="33"/>
      <c r="W412" s="33"/>
    </row>
    <row r="413" spans="2:23">
      <c r="B413" s="3">
        <v>44180</v>
      </c>
      <c r="C413" s="6" t="s">
        <v>98</v>
      </c>
      <c r="D413" s="6" t="s">
        <v>30</v>
      </c>
      <c r="E413" s="5">
        <v>292</v>
      </c>
      <c r="F413" s="5">
        <v>0.35</v>
      </c>
      <c r="G413" s="5">
        <f>StockTransactionsTable[[#This Row],[Shares No.]]*StockTransactionsTable[[#This Row],[Amount per Share]]</f>
        <v>102.19999999999999</v>
      </c>
      <c r="H413" s="5">
        <v>0</v>
      </c>
      <c r="I41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102.19999999999999</v>
      </c>
      <c r="J413" s="19">
        <f>StockTransactionsTable[[#This Row],[Fee]]/StockTransactionsTable[[#This Row],[Total Amount]]</f>
        <v>0</v>
      </c>
      <c r="K413" s="5">
        <f>IF(StockTransactionsTable[[#This Row],[Transaction Type]]="Buy", StockTransactionsTable[[#This Row],[Total Amount with Fee]] / StockTransactionsTable[[#This Row],[Shares No.]],0)</f>
        <v>0</v>
      </c>
      <c r="L41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13" s="4">
        <f>YEAR(StockTransactionsTable[[#This Row],[Date]])</f>
        <v>2020</v>
      </c>
      <c r="N413" s="4">
        <f>MONTH(StockTransactionsTable[[#This Row],[Date]])</f>
        <v>12</v>
      </c>
      <c r="R413" s="1"/>
      <c r="V413" s="33"/>
      <c r="W413" s="33"/>
    </row>
    <row r="414" spans="2:23">
      <c r="B414" s="3">
        <v>44180</v>
      </c>
      <c r="C414" s="6" t="s">
        <v>12</v>
      </c>
      <c r="D414" s="6" t="s">
        <v>30</v>
      </c>
      <c r="E414" s="5">
        <v>64</v>
      </c>
      <c r="F414" s="5">
        <v>0.23400000000000001</v>
      </c>
      <c r="G414" s="5">
        <f>StockTransactionsTable[[#This Row],[Shares No.]]*StockTransactionsTable[[#This Row],[Amount per Share]]</f>
        <v>14.976000000000001</v>
      </c>
      <c r="H414" s="5">
        <v>0</v>
      </c>
      <c r="I41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14.976000000000001</v>
      </c>
      <c r="J414" s="19">
        <f>StockTransactionsTable[[#This Row],[Fee]]/StockTransactionsTable[[#This Row],[Total Amount]]</f>
        <v>0</v>
      </c>
      <c r="K414" s="5">
        <f>IF(StockTransactionsTable[[#This Row],[Transaction Type]]="Buy", StockTransactionsTable[[#This Row],[Total Amount with Fee]] / StockTransactionsTable[[#This Row],[Shares No.]],0)</f>
        <v>0</v>
      </c>
      <c r="L41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14" s="4">
        <f>YEAR(StockTransactionsTable[[#This Row],[Date]])</f>
        <v>2020</v>
      </c>
      <c r="N414" s="4">
        <f>MONTH(StockTransactionsTable[[#This Row],[Date]])</f>
        <v>12</v>
      </c>
      <c r="R414" s="1"/>
      <c r="V414" s="33"/>
      <c r="W414" s="33"/>
    </row>
    <row r="415" spans="2:23">
      <c r="B415" s="3">
        <v>44181</v>
      </c>
      <c r="C415" s="6" t="s">
        <v>14</v>
      </c>
      <c r="D415" s="6" t="s">
        <v>29</v>
      </c>
      <c r="E415" s="5">
        <v>12</v>
      </c>
      <c r="F415" s="5" vm="489">
        <v>31.16</v>
      </c>
      <c r="G415" s="5">
        <f>StockTransactionsTable[[#This Row],[Shares No.]]*StockTransactionsTable[[#This Row],[Amount per Share]]</f>
        <v>373.92</v>
      </c>
      <c r="H415" s="5">
        <v>0.1670439411030335</v>
      </c>
      <c r="I41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374.08704394110305</v>
      </c>
      <c r="J415" s="19">
        <f>StockTransactionsTable[[#This Row],[Fee]]/StockTransactionsTable[[#This Row],[Total Amount]]</f>
        <v>4.4673711249206645E-4</v>
      </c>
      <c r="K415" s="5">
        <f>IF(StockTransactionsTable[[#This Row],[Transaction Type]]="Buy", StockTransactionsTable[[#This Row],[Total Amount with Fee]] / StockTransactionsTable[[#This Row],[Shares No.]],0)</f>
        <v>31.173920328425254</v>
      </c>
      <c r="L41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15" s="4">
        <f>YEAR(StockTransactionsTable[[#This Row],[Date]])</f>
        <v>2020</v>
      </c>
      <c r="N415" s="4">
        <f>MONTH(StockTransactionsTable[[#This Row],[Date]])</f>
        <v>12</v>
      </c>
      <c r="R415" s="1"/>
      <c r="V415" s="33"/>
      <c r="W415" s="33"/>
    </row>
    <row r="416" spans="2:23">
      <c r="B416" s="3">
        <v>44181</v>
      </c>
      <c r="C416" s="6" t="s">
        <v>100</v>
      </c>
      <c r="D416" s="6" t="s">
        <v>30</v>
      </c>
      <c r="E416" s="5">
        <v>109</v>
      </c>
      <c r="F416" s="5">
        <v>0.96499999999999997</v>
      </c>
      <c r="G416" s="5">
        <f>StockTransactionsTable[[#This Row],[Shares No.]]*StockTransactionsTable[[#This Row],[Amount per Share]]</f>
        <v>105.185</v>
      </c>
      <c r="H416" s="5">
        <v>0</v>
      </c>
      <c r="I41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105.185</v>
      </c>
      <c r="J416" s="19">
        <f>StockTransactionsTable[[#This Row],[Fee]]/StockTransactionsTable[[#This Row],[Total Amount]]</f>
        <v>0</v>
      </c>
      <c r="K416" s="5">
        <f>IF(StockTransactionsTable[[#This Row],[Transaction Type]]="Buy", StockTransactionsTable[[#This Row],[Total Amount with Fee]] / StockTransactionsTable[[#This Row],[Shares No.]],0)</f>
        <v>0</v>
      </c>
      <c r="L41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16" s="4">
        <f>YEAR(StockTransactionsTable[[#This Row],[Date]])</f>
        <v>2020</v>
      </c>
      <c r="N416" s="4">
        <f>MONTH(StockTransactionsTable[[#This Row],[Date]])</f>
        <v>12</v>
      </c>
      <c r="R416" s="1"/>
      <c r="V416" s="33"/>
      <c r="W416" s="33"/>
    </row>
    <row r="417" spans="2:23">
      <c r="B417" s="3">
        <v>44182</v>
      </c>
      <c r="C417" s="6" t="s">
        <v>95</v>
      </c>
      <c r="D417" s="6" t="s">
        <v>30</v>
      </c>
      <c r="E417" s="5">
        <v>43</v>
      </c>
      <c r="F417" s="5">
        <v>1.5</v>
      </c>
      <c r="G417" s="5">
        <f>StockTransactionsTable[[#This Row],[Shares No.]]*StockTransactionsTable[[#This Row],[Amount per Share]]</f>
        <v>64.5</v>
      </c>
      <c r="H417" s="5">
        <v>0</v>
      </c>
      <c r="I41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64.5</v>
      </c>
      <c r="J417" s="19">
        <f>StockTransactionsTable[[#This Row],[Fee]]/StockTransactionsTable[[#This Row],[Total Amount]]</f>
        <v>0</v>
      </c>
      <c r="K417" s="5">
        <f>IF(StockTransactionsTable[[#This Row],[Transaction Type]]="Buy", StockTransactionsTable[[#This Row],[Total Amount with Fee]] / StockTransactionsTable[[#This Row],[Shares No.]],0)</f>
        <v>0</v>
      </c>
      <c r="L41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17" s="4">
        <f>YEAR(StockTransactionsTable[[#This Row],[Date]])</f>
        <v>2020</v>
      </c>
      <c r="N417" s="4">
        <f>MONTH(StockTransactionsTable[[#This Row],[Date]])</f>
        <v>12</v>
      </c>
      <c r="R417" s="1"/>
      <c r="V417" s="33"/>
      <c r="W417" s="33"/>
    </row>
    <row r="418" spans="2:23">
      <c r="B418" s="3">
        <v>44203</v>
      </c>
      <c r="C418" s="6" t="s">
        <v>18</v>
      </c>
      <c r="D418" s="6" t="s">
        <v>30</v>
      </c>
      <c r="E418" s="5">
        <v>10</v>
      </c>
      <c r="F418" s="5">
        <v>1.0225</v>
      </c>
      <c r="G418" s="5">
        <f>StockTransactionsTable[[#This Row],[Shares No.]]*StockTransactionsTable[[#This Row],[Amount per Share]]</f>
        <v>10.225</v>
      </c>
      <c r="H418" s="5">
        <v>0</v>
      </c>
      <c r="I41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10.225</v>
      </c>
      <c r="J418" s="19">
        <f>StockTransactionsTable[[#This Row],[Fee]]/StockTransactionsTable[[#This Row],[Total Amount]]</f>
        <v>0</v>
      </c>
      <c r="K418" s="5">
        <f>IF(StockTransactionsTable[[#This Row],[Transaction Type]]="Buy", StockTransactionsTable[[#This Row],[Total Amount with Fee]] / StockTransactionsTable[[#This Row],[Shares No.]],0)</f>
        <v>0</v>
      </c>
      <c r="L41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18" s="4">
        <f>YEAR(StockTransactionsTable[[#This Row],[Date]])</f>
        <v>2021</v>
      </c>
      <c r="N418" s="4">
        <f>MONTH(StockTransactionsTable[[#This Row],[Date]])</f>
        <v>1</v>
      </c>
      <c r="R418" s="1"/>
      <c r="V418" s="33"/>
      <c r="W418" s="33"/>
    </row>
    <row r="419" spans="2:23">
      <c r="B419" s="3">
        <v>44211</v>
      </c>
      <c r="C419" s="6" t="s">
        <v>12</v>
      </c>
      <c r="D419" s="6" t="s">
        <v>30</v>
      </c>
      <c r="E419" s="5">
        <v>64</v>
      </c>
      <c r="F419" s="5">
        <v>0.23450000000000001</v>
      </c>
      <c r="G419" s="5">
        <f>StockTransactionsTable[[#This Row],[Shares No.]]*StockTransactionsTable[[#This Row],[Amount per Share]]</f>
        <v>15.008000000000001</v>
      </c>
      <c r="H419" s="5">
        <v>0</v>
      </c>
      <c r="I41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15.008000000000001</v>
      </c>
      <c r="J419" s="19">
        <f>StockTransactionsTable[[#This Row],[Fee]]/StockTransactionsTable[[#This Row],[Total Amount]]</f>
        <v>0</v>
      </c>
      <c r="K419" s="5">
        <f>IF(StockTransactionsTable[[#This Row],[Transaction Type]]="Buy", StockTransactionsTable[[#This Row],[Total Amount with Fee]] / StockTransactionsTable[[#This Row],[Shares No.]],0)</f>
        <v>0</v>
      </c>
      <c r="L41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19" s="4">
        <f>YEAR(StockTransactionsTable[[#This Row],[Date]])</f>
        <v>2021</v>
      </c>
      <c r="N419" s="4">
        <f>MONTH(StockTransactionsTable[[#This Row],[Date]])</f>
        <v>1</v>
      </c>
      <c r="R419" s="1"/>
      <c r="V419" s="33"/>
      <c r="W419" s="33"/>
    </row>
    <row r="420" spans="2:23">
      <c r="B420" s="3">
        <v>44222</v>
      </c>
      <c r="C420" s="6" t="s">
        <v>17</v>
      </c>
      <c r="D420" s="6" t="s">
        <v>29</v>
      </c>
      <c r="E420" s="5">
        <v>13</v>
      </c>
      <c r="F420" s="5" vm="490">
        <v>122.49</v>
      </c>
      <c r="G420" s="5">
        <f>StockTransactionsTable[[#This Row],[Shares No.]]*StockTransactionsTable[[#This Row],[Amount per Share]]</f>
        <v>1592.37</v>
      </c>
      <c r="H420" s="5">
        <v>0.7148498681174742</v>
      </c>
      <c r="I42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1593.0848498681173</v>
      </c>
      <c r="J420" s="19">
        <f>StockTransactionsTable[[#This Row],[Fee]]/StockTransactionsTable[[#This Row],[Total Amount]]</f>
        <v>4.489219641901532E-4</v>
      </c>
      <c r="K420" s="5">
        <f>IF(StockTransactionsTable[[#This Row],[Transaction Type]]="Buy", StockTransactionsTable[[#This Row],[Total Amount with Fee]] / StockTransactionsTable[[#This Row],[Shares No.]],0)</f>
        <v>122.54498845139364</v>
      </c>
      <c r="L42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20" s="4">
        <f>YEAR(StockTransactionsTable[[#This Row],[Date]])</f>
        <v>2021</v>
      </c>
      <c r="N420" s="4">
        <f>MONTH(StockTransactionsTable[[#This Row],[Date]])</f>
        <v>1</v>
      </c>
      <c r="R420" s="1"/>
      <c r="V420" s="33"/>
      <c r="W420" s="33"/>
    </row>
    <row r="421" spans="2:23">
      <c r="B421" s="3">
        <v>44227</v>
      </c>
      <c r="C421" s="6" t="s">
        <v>20</v>
      </c>
      <c r="D421" s="6" t="s">
        <v>30</v>
      </c>
      <c r="E421" s="5">
        <v>78</v>
      </c>
      <c r="F421" s="5">
        <v>0.9</v>
      </c>
      <c r="G421" s="5">
        <f>StockTransactionsTable[[#This Row],[Shares No.]]*StockTransactionsTable[[#This Row],[Amount per Share]]</f>
        <v>70.2</v>
      </c>
      <c r="H421" s="5">
        <v>0</v>
      </c>
      <c r="I42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70.2</v>
      </c>
      <c r="J421" s="19">
        <f>StockTransactionsTable[[#This Row],[Fee]]/StockTransactionsTable[[#This Row],[Total Amount]]</f>
        <v>0</v>
      </c>
      <c r="K421" s="5">
        <f>IF(StockTransactionsTable[[#This Row],[Transaction Type]]="Buy", StockTransactionsTable[[#This Row],[Total Amount with Fee]] / StockTransactionsTable[[#This Row],[Shares No.]],0)</f>
        <v>0</v>
      </c>
      <c r="L42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21" s="4">
        <f>YEAR(StockTransactionsTable[[#This Row],[Date]])</f>
        <v>2021</v>
      </c>
      <c r="N421" s="4">
        <f>MONTH(StockTransactionsTable[[#This Row],[Date]])</f>
        <v>1</v>
      </c>
      <c r="R421" s="1"/>
      <c r="V421" s="33"/>
      <c r="W421" s="33"/>
    </row>
    <row r="422" spans="2:23">
      <c r="B422" s="3">
        <v>44228</v>
      </c>
      <c r="C422" s="6" t="s">
        <v>15</v>
      </c>
      <c r="D422" s="6" t="s">
        <v>30</v>
      </c>
      <c r="E422" s="5">
        <v>124</v>
      </c>
      <c r="F422" s="5">
        <v>0.52</v>
      </c>
      <c r="G422" s="5">
        <f>StockTransactionsTable[[#This Row],[Shares No.]]*StockTransactionsTable[[#This Row],[Amount per Share]]</f>
        <v>64.48</v>
      </c>
      <c r="H422" s="5">
        <v>0</v>
      </c>
      <c r="I42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64.48</v>
      </c>
      <c r="J422" s="19">
        <f>StockTransactionsTable[[#This Row],[Fee]]/StockTransactionsTable[[#This Row],[Total Amount]]</f>
        <v>0</v>
      </c>
      <c r="K422" s="5">
        <f>IF(StockTransactionsTable[[#This Row],[Transaction Type]]="Buy", StockTransactionsTable[[#This Row],[Total Amount with Fee]] / StockTransactionsTable[[#This Row],[Shares No.]],0)</f>
        <v>0</v>
      </c>
      <c r="L42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22" s="4">
        <f>YEAR(StockTransactionsTable[[#This Row],[Date]])</f>
        <v>2021</v>
      </c>
      <c r="N422" s="4">
        <f>MONTH(StockTransactionsTable[[#This Row],[Date]])</f>
        <v>2</v>
      </c>
      <c r="R422" s="1"/>
      <c r="V422" s="33"/>
      <c r="W422" s="33"/>
    </row>
    <row r="423" spans="2:23">
      <c r="B423" s="3">
        <v>44239</v>
      </c>
      <c r="C423" s="6" t="s">
        <v>19</v>
      </c>
      <c r="D423" s="6" t="s">
        <v>30</v>
      </c>
      <c r="E423" s="5">
        <v>57</v>
      </c>
      <c r="F423" s="5">
        <v>1.1100000000000001</v>
      </c>
      <c r="G423" s="5">
        <f>StockTransactionsTable[[#This Row],[Shares No.]]*StockTransactionsTable[[#This Row],[Amount per Share]]</f>
        <v>63.27</v>
      </c>
      <c r="H423" s="5">
        <v>0</v>
      </c>
      <c r="I42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63.27</v>
      </c>
      <c r="J423" s="19">
        <f>StockTransactionsTable[[#This Row],[Fee]]/StockTransactionsTable[[#This Row],[Total Amount]]</f>
        <v>0</v>
      </c>
      <c r="K423" s="5">
        <f>IF(StockTransactionsTable[[#This Row],[Transaction Type]]="Buy", StockTransactionsTable[[#This Row],[Total Amount with Fee]] / StockTransactionsTable[[#This Row],[Shares No.]],0)</f>
        <v>0</v>
      </c>
      <c r="L42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23" s="4">
        <f>YEAR(StockTransactionsTable[[#This Row],[Date]])</f>
        <v>2021</v>
      </c>
      <c r="N423" s="4">
        <f>MONTH(StockTransactionsTable[[#This Row],[Date]])</f>
        <v>2</v>
      </c>
      <c r="R423" s="1"/>
      <c r="V423" s="33"/>
      <c r="W423" s="33"/>
    </row>
    <row r="424" spans="2:23">
      <c r="B424" s="3">
        <v>44243</v>
      </c>
      <c r="C424" s="6" t="s">
        <v>86</v>
      </c>
      <c r="D424" s="6" t="s">
        <v>30</v>
      </c>
      <c r="E424" s="5">
        <v>80</v>
      </c>
      <c r="F424" s="5">
        <v>1.3</v>
      </c>
      <c r="G424" s="5">
        <f>StockTransactionsTable[[#This Row],[Shares No.]]*StockTransactionsTable[[#This Row],[Amount per Share]]</f>
        <v>104</v>
      </c>
      <c r="H424" s="5">
        <v>0</v>
      </c>
      <c r="I42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104</v>
      </c>
      <c r="J424" s="19">
        <f>StockTransactionsTable[[#This Row],[Fee]]/StockTransactionsTable[[#This Row],[Total Amount]]</f>
        <v>0</v>
      </c>
      <c r="K424" s="5">
        <f>IF(StockTransactionsTable[[#This Row],[Transaction Type]]="Buy", StockTransactionsTable[[#This Row],[Total Amount with Fee]] / StockTransactionsTable[[#This Row],[Shares No.]],0)</f>
        <v>0</v>
      </c>
      <c r="L42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24" s="4">
        <f>YEAR(StockTransactionsTable[[#This Row],[Date]])</f>
        <v>2021</v>
      </c>
      <c r="N424" s="4">
        <f>MONTH(StockTransactionsTable[[#This Row],[Date]])</f>
        <v>2</v>
      </c>
      <c r="R424" s="1"/>
      <c r="V424" s="33"/>
      <c r="W424" s="33"/>
    </row>
    <row r="425" spans="2:23">
      <c r="B425" s="3">
        <v>44243</v>
      </c>
      <c r="C425" s="6" t="s">
        <v>12</v>
      </c>
      <c r="D425" s="6" t="s">
        <v>30</v>
      </c>
      <c r="E425" s="5">
        <v>64</v>
      </c>
      <c r="F425" s="5">
        <v>0.23450000000000001</v>
      </c>
      <c r="G425" s="5">
        <f>StockTransactionsTable[[#This Row],[Shares No.]]*StockTransactionsTable[[#This Row],[Amount per Share]]</f>
        <v>15.008000000000001</v>
      </c>
      <c r="H425" s="5">
        <v>0</v>
      </c>
      <c r="I42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15.008000000000001</v>
      </c>
      <c r="J425" s="19">
        <f>StockTransactionsTable[[#This Row],[Fee]]/StockTransactionsTable[[#This Row],[Total Amount]]</f>
        <v>0</v>
      </c>
      <c r="K425" s="5">
        <f>IF(StockTransactionsTable[[#This Row],[Transaction Type]]="Buy", StockTransactionsTable[[#This Row],[Total Amount with Fee]] / StockTransactionsTable[[#This Row],[Shares No.]],0)</f>
        <v>0</v>
      </c>
      <c r="L42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25" s="4">
        <f>YEAR(StockTransactionsTable[[#This Row],[Date]])</f>
        <v>2021</v>
      </c>
      <c r="N425" s="4">
        <f>MONTH(StockTransactionsTable[[#This Row],[Date]])</f>
        <v>2</v>
      </c>
      <c r="R425" s="1"/>
      <c r="V425" s="33"/>
      <c r="W425" s="33"/>
    </row>
    <row r="426" spans="2:23">
      <c r="B426" s="3">
        <v>44243</v>
      </c>
      <c r="C426" s="6" t="s">
        <v>21</v>
      </c>
      <c r="D426" s="6" t="s">
        <v>30</v>
      </c>
      <c r="E426" s="5">
        <v>28</v>
      </c>
      <c r="F426" s="5">
        <v>0.79069999999999996</v>
      </c>
      <c r="G426" s="5">
        <f>StockTransactionsTable[[#This Row],[Shares No.]]*StockTransactionsTable[[#This Row],[Amount per Share]]</f>
        <v>22.139599999999998</v>
      </c>
      <c r="H426" s="5">
        <v>0</v>
      </c>
      <c r="I42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22.139599999999998</v>
      </c>
      <c r="J426" s="19">
        <f>StockTransactionsTable[[#This Row],[Fee]]/StockTransactionsTable[[#This Row],[Total Amount]]</f>
        <v>0</v>
      </c>
      <c r="K426" s="5">
        <f>IF(StockTransactionsTable[[#This Row],[Transaction Type]]="Buy", StockTransactionsTable[[#This Row],[Total Amount with Fee]] / StockTransactionsTable[[#This Row],[Shares No.]],0)</f>
        <v>0</v>
      </c>
      <c r="L42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26" s="4">
        <f>YEAR(StockTransactionsTable[[#This Row],[Date]])</f>
        <v>2021</v>
      </c>
      <c r="N426" s="4">
        <f>MONTH(StockTransactionsTable[[#This Row],[Date]])</f>
        <v>2</v>
      </c>
      <c r="R426" s="1"/>
      <c r="V426" s="33"/>
      <c r="W426" s="33"/>
    </row>
    <row r="427" spans="2:23">
      <c r="B427" s="3">
        <v>44246</v>
      </c>
      <c r="C427" s="6" t="s">
        <v>86</v>
      </c>
      <c r="D427" s="6" t="s">
        <v>29</v>
      </c>
      <c r="E427" s="5">
        <v>34</v>
      </c>
      <c r="F427" s="5" vm="491">
        <v>105.01</v>
      </c>
      <c r="G427" s="5">
        <f>StockTransactionsTable[[#This Row],[Shares No.]]*StockTransactionsTable[[#This Row],[Amount per Share]]</f>
        <v>3570.34</v>
      </c>
      <c r="H427" s="5">
        <v>1.6562599032211522</v>
      </c>
      <c r="I42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3571.9962599032215</v>
      </c>
      <c r="J427" s="19">
        <f>StockTransactionsTable[[#This Row],[Fee]]/StockTransactionsTable[[#This Row],[Total Amount]]</f>
        <v>4.6389416784428156E-4</v>
      </c>
      <c r="K427" s="5">
        <f>IF(StockTransactionsTable[[#This Row],[Transaction Type]]="Buy", StockTransactionsTable[[#This Row],[Total Amount with Fee]] / StockTransactionsTable[[#This Row],[Shares No.]],0)</f>
        <v>105.05871352656534</v>
      </c>
      <c r="L42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27" s="4">
        <f>YEAR(StockTransactionsTable[[#This Row],[Date]])</f>
        <v>2021</v>
      </c>
      <c r="N427" s="4">
        <f>MONTH(StockTransactionsTable[[#This Row],[Date]])</f>
        <v>2</v>
      </c>
      <c r="R427" s="1"/>
      <c r="V427" s="33"/>
      <c r="W427" s="33"/>
    </row>
    <row r="428" spans="2:23">
      <c r="B428" s="3">
        <v>44246</v>
      </c>
      <c r="C428" s="6" t="s">
        <v>22</v>
      </c>
      <c r="D428" s="6" t="s">
        <v>30</v>
      </c>
      <c r="E428" s="5">
        <v>81</v>
      </c>
      <c r="F428" s="5">
        <v>1.03</v>
      </c>
      <c r="G428" s="5">
        <f>StockTransactionsTable[[#This Row],[Shares No.]]*StockTransactionsTable[[#This Row],[Amount per Share]]</f>
        <v>83.43</v>
      </c>
      <c r="H428" s="5">
        <v>0</v>
      </c>
      <c r="I42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83.43</v>
      </c>
      <c r="J428" s="19">
        <f>StockTransactionsTable[[#This Row],[Fee]]/StockTransactionsTable[[#This Row],[Total Amount]]</f>
        <v>0</v>
      </c>
      <c r="K428" s="5">
        <f>IF(StockTransactionsTable[[#This Row],[Transaction Type]]="Buy", StockTransactionsTable[[#This Row],[Total Amount with Fee]] / StockTransactionsTable[[#This Row],[Shares No.]],0)</f>
        <v>0</v>
      </c>
      <c r="L42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28" s="4">
        <f>YEAR(StockTransactionsTable[[#This Row],[Date]])</f>
        <v>2021</v>
      </c>
      <c r="N428" s="4">
        <f>MONTH(StockTransactionsTable[[#This Row],[Date]])</f>
        <v>2</v>
      </c>
      <c r="R428" s="1"/>
      <c r="V428" s="33"/>
      <c r="W428" s="33"/>
    </row>
    <row r="429" spans="2:23">
      <c r="B429" s="3">
        <v>44260</v>
      </c>
      <c r="C429" s="6" t="s">
        <v>13</v>
      </c>
      <c r="D429" s="6" t="s">
        <v>30</v>
      </c>
      <c r="E429" s="5">
        <v>55</v>
      </c>
      <c r="F429" s="5">
        <v>0.39</v>
      </c>
      <c r="G429" s="5">
        <f>StockTransactionsTable[[#This Row],[Shares No.]]*StockTransactionsTable[[#This Row],[Amount per Share]]</f>
        <v>21.45</v>
      </c>
      <c r="H429" s="5">
        <v>0</v>
      </c>
      <c r="I42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21.45</v>
      </c>
      <c r="J429" s="19">
        <f>StockTransactionsTable[[#This Row],[Fee]]/StockTransactionsTable[[#This Row],[Total Amount]]</f>
        <v>0</v>
      </c>
      <c r="K429" s="5">
        <f>IF(StockTransactionsTable[[#This Row],[Transaction Type]]="Buy", StockTransactionsTable[[#This Row],[Total Amount with Fee]] / StockTransactionsTable[[#This Row],[Shares No.]],0)</f>
        <v>0</v>
      </c>
      <c r="L42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29" s="4">
        <f>YEAR(StockTransactionsTable[[#This Row],[Date]])</f>
        <v>2021</v>
      </c>
      <c r="N429" s="4">
        <f>MONTH(StockTransactionsTable[[#This Row],[Date]])</f>
        <v>3</v>
      </c>
      <c r="R429" s="1"/>
      <c r="V429" s="33"/>
      <c r="W429" s="33"/>
    </row>
    <row r="430" spans="2:23">
      <c r="B430" s="3">
        <v>44263</v>
      </c>
      <c r="C430" s="6" t="s">
        <v>16</v>
      </c>
      <c r="D430" s="6" t="s">
        <v>29</v>
      </c>
      <c r="E430" s="5">
        <v>10</v>
      </c>
      <c r="F430" s="5" vm="492">
        <v>60.87</v>
      </c>
      <c r="G430" s="5">
        <f>StockTransactionsTable[[#This Row],[Shares No.]]*StockTransactionsTable[[#This Row],[Amount per Share]]</f>
        <v>608.69999999999993</v>
      </c>
      <c r="H430" s="5">
        <v>0.28717244603928799</v>
      </c>
      <c r="I43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608.98717244603927</v>
      </c>
      <c r="J430" s="19">
        <f>StockTransactionsTable[[#This Row],[Fee]]/StockTransactionsTable[[#This Row],[Total Amount]]</f>
        <v>4.7177993435072783E-4</v>
      </c>
      <c r="K430" s="5">
        <f>IF(StockTransactionsTable[[#This Row],[Transaction Type]]="Buy", StockTransactionsTable[[#This Row],[Total Amount with Fee]] / StockTransactionsTable[[#This Row],[Shares No.]],0)</f>
        <v>60.89871724460393</v>
      </c>
      <c r="L43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30" s="4">
        <f>YEAR(StockTransactionsTable[[#This Row],[Date]])</f>
        <v>2021</v>
      </c>
      <c r="N430" s="4">
        <f>MONTH(StockTransactionsTable[[#This Row],[Date]])</f>
        <v>3</v>
      </c>
      <c r="R430" s="1"/>
      <c r="V430" s="33"/>
      <c r="W430" s="33"/>
    </row>
    <row r="431" spans="2:23">
      <c r="B431" s="3">
        <v>44264</v>
      </c>
      <c r="C431" s="6" t="s">
        <v>84</v>
      </c>
      <c r="D431" s="6" t="s">
        <v>30</v>
      </c>
      <c r="E431" s="5">
        <v>51</v>
      </c>
      <c r="F431" s="5">
        <v>1.01</v>
      </c>
      <c r="G431" s="5">
        <f>StockTransactionsTable[[#This Row],[Shares No.]]*StockTransactionsTable[[#This Row],[Amount per Share]]</f>
        <v>51.51</v>
      </c>
      <c r="H431" s="5">
        <v>0</v>
      </c>
      <c r="I43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51.51</v>
      </c>
      <c r="J431" s="19">
        <f>StockTransactionsTable[[#This Row],[Fee]]/StockTransactionsTable[[#This Row],[Total Amount]]</f>
        <v>0</v>
      </c>
      <c r="K431" s="5">
        <f>IF(StockTransactionsTable[[#This Row],[Transaction Type]]="Buy", StockTransactionsTable[[#This Row],[Total Amount with Fee]] / StockTransactionsTable[[#This Row],[Shares No.]],0)</f>
        <v>0</v>
      </c>
      <c r="L43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31" s="4">
        <f>YEAR(StockTransactionsTable[[#This Row],[Date]])</f>
        <v>2021</v>
      </c>
      <c r="N431" s="4">
        <f>MONTH(StockTransactionsTable[[#This Row],[Date]])</f>
        <v>3</v>
      </c>
      <c r="R431" s="1"/>
      <c r="V431" s="33"/>
      <c r="W431" s="33"/>
    </row>
    <row r="432" spans="2:23">
      <c r="B432" s="3">
        <v>44265</v>
      </c>
      <c r="C432" s="6" t="s">
        <v>17</v>
      </c>
      <c r="D432" s="6" t="s">
        <v>30</v>
      </c>
      <c r="E432" s="5">
        <v>104</v>
      </c>
      <c r="F432" s="5">
        <v>1.63</v>
      </c>
      <c r="G432" s="5">
        <f>StockTransactionsTable[[#This Row],[Shares No.]]*StockTransactionsTable[[#This Row],[Amount per Share]]</f>
        <v>169.51999999999998</v>
      </c>
      <c r="H432" s="5">
        <v>0</v>
      </c>
      <c r="I43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169.51999999999998</v>
      </c>
      <c r="J432" s="19">
        <f>StockTransactionsTable[[#This Row],[Fee]]/StockTransactionsTable[[#This Row],[Total Amount]]</f>
        <v>0</v>
      </c>
      <c r="K432" s="5">
        <f>IF(StockTransactionsTable[[#This Row],[Transaction Type]]="Buy", StockTransactionsTable[[#This Row],[Total Amount with Fee]] / StockTransactionsTable[[#This Row],[Shares No.]],0)</f>
        <v>0</v>
      </c>
      <c r="L43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32" s="4">
        <f>YEAR(StockTransactionsTable[[#This Row],[Date]])</f>
        <v>2021</v>
      </c>
      <c r="N432" s="4">
        <f>MONTH(StockTransactionsTable[[#This Row],[Date]])</f>
        <v>3</v>
      </c>
      <c r="R432" s="1"/>
      <c r="V432" s="33"/>
      <c r="W432" s="33"/>
    </row>
    <row r="433" spans="2:23">
      <c r="B433" s="3">
        <v>44265</v>
      </c>
      <c r="C433" s="6" t="s">
        <v>16</v>
      </c>
      <c r="D433" s="6" t="s">
        <v>30</v>
      </c>
      <c r="E433" s="5">
        <v>175</v>
      </c>
      <c r="F433" s="5">
        <v>0.87</v>
      </c>
      <c r="G433" s="5">
        <f>StockTransactionsTable[[#This Row],[Shares No.]]*StockTransactionsTable[[#This Row],[Amount per Share]]</f>
        <v>152.25</v>
      </c>
      <c r="H433" s="5">
        <v>0</v>
      </c>
      <c r="I43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152.25</v>
      </c>
      <c r="J433" s="19">
        <f>StockTransactionsTable[[#This Row],[Fee]]/StockTransactionsTable[[#This Row],[Total Amount]]</f>
        <v>0</v>
      </c>
      <c r="K433" s="5">
        <f>IF(StockTransactionsTable[[#This Row],[Transaction Type]]="Buy", StockTransactionsTable[[#This Row],[Total Amount with Fee]] / StockTransactionsTable[[#This Row],[Shares No.]],0)</f>
        <v>0</v>
      </c>
      <c r="L43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33" s="4">
        <f>YEAR(StockTransactionsTable[[#This Row],[Date]])</f>
        <v>2021</v>
      </c>
      <c r="N433" s="4">
        <f>MONTH(StockTransactionsTable[[#This Row],[Date]])</f>
        <v>3</v>
      </c>
      <c r="R433" s="1"/>
      <c r="V433" s="33"/>
      <c r="W433" s="33"/>
    </row>
    <row r="434" spans="2:23">
      <c r="B434" s="3">
        <v>44266</v>
      </c>
      <c r="C434" s="6" t="s">
        <v>91</v>
      </c>
      <c r="D434" s="6" t="s">
        <v>30</v>
      </c>
      <c r="E434" s="5">
        <v>147</v>
      </c>
      <c r="F434" s="5">
        <v>0.56000000000000005</v>
      </c>
      <c r="G434" s="5">
        <f>StockTransactionsTable[[#This Row],[Shares No.]]*StockTransactionsTable[[#This Row],[Amount per Share]]</f>
        <v>82.320000000000007</v>
      </c>
      <c r="H434" s="5">
        <v>0</v>
      </c>
      <c r="I43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82.320000000000007</v>
      </c>
      <c r="J434" s="19">
        <f>StockTransactionsTable[[#This Row],[Fee]]/StockTransactionsTable[[#This Row],[Total Amount]]</f>
        <v>0</v>
      </c>
      <c r="K434" s="5">
        <f>IF(StockTransactionsTable[[#This Row],[Transaction Type]]="Buy", StockTransactionsTable[[#This Row],[Total Amount with Fee]] / StockTransactionsTable[[#This Row],[Shares No.]],0)</f>
        <v>0</v>
      </c>
      <c r="L43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34" s="4">
        <f>YEAR(StockTransactionsTable[[#This Row],[Date]])</f>
        <v>2021</v>
      </c>
      <c r="N434" s="4">
        <f>MONTH(StockTransactionsTable[[#This Row],[Date]])</f>
        <v>3</v>
      </c>
      <c r="R434" s="1"/>
      <c r="V434" s="33"/>
      <c r="W434" s="33"/>
    </row>
    <row r="435" spans="2:23">
      <c r="B435" s="3">
        <v>44267</v>
      </c>
      <c r="C435" s="6" t="s">
        <v>106</v>
      </c>
      <c r="D435" s="6" t="s">
        <v>30</v>
      </c>
      <c r="E435" s="5">
        <v>88</v>
      </c>
      <c r="F435" s="5">
        <v>0.54</v>
      </c>
      <c r="G435" s="5">
        <f>StockTransactionsTable[[#This Row],[Shares No.]]*StockTransactionsTable[[#This Row],[Amount per Share]]</f>
        <v>47.52</v>
      </c>
      <c r="H435" s="5">
        <v>0</v>
      </c>
      <c r="I43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47.52</v>
      </c>
      <c r="J435" s="19">
        <f>StockTransactionsTable[[#This Row],[Fee]]/StockTransactionsTable[[#This Row],[Total Amount]]</f>
        <v>0</v>
      </c>
      <c r="K435" s="5">
        <f>IF(StockTransactionsTable[[#This Row],[Transaction Type]]="Buy", StockTransactionsTable[[#This Row],[Total Amount with Fee]] / StockTransactionsTable[[#This Row],[Shares No.]],0)</f>
        <v>0</v>
      </c>
      <c r="L43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35" s="4">
        <f>YEAR(StockTransactionsTable[[#This Row],[Date]])</f>
        <v>2021</v>
      </c>
      <c r="N435" s="4">
        <f>MONTH(StockTransactionsTable[[#This Row],[Date]])</f>
        <v>3</v>
      </c>
      <c r="R435" s="1"/>
      <c r="V435" s="33"/>
      <c r="W435" s="33"/>
    </row>
    <row r="436" spans="2:23">
      <c r="B436" s="3">
        <v>44270</v>
      </c>
      <c r="C436" s="6" t="s">
        <v>14</v>
      </c>
      <c r="D436" s="6" t="s">
        <v>30</v>
      </c>
      <c r="E436" s="5">
        <v>12</v>
      </c>
      <c r="F436" s="5">
        <v>0.32400000000000001</v>
      </c>
      <c r="G436" s="5">
        <f>StockTransactionsTable[[#This Row],[Shares No.]]*StockTransactionsTable[[#This Row],[Amount per Share]]</f>
        <v>3.8879999999999999</v>
      </c>
      <c r="H436" s="5">
        <v>0</v>
      </c>
      <c r="I43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3.8879999999999999</v>
      </c>
      <c r="J436" s="19">
        <f>StockTransactionsTable[[#This Row],[Fee]]/StockTransactionsTable[[#This Row],[Total Amount]]</f>
        <v>0</v>
      </c>
      <c r="K436" s="5">
        <f>IF(StockTransactionsTable[[#This Row],[Transaction Type]]="Buy", StockTransactionsTable[[#This Row],[Total Amount with Fee]] / StockTransactionsTable[[#This Row],[Shares No.]],0)</f>
        <v>0</v>
      </c>
      <c r="L43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36" s="4">
        <f>YEAR(StockTransactionsTable[[#This Row],[Date]])</f>
        <v>2021</v>
      </c>
      <c r="N436" s="4">
        <f>MONTH(StockTransactionsTable[[#This Row],[Date]])</f>
        <v>3</v>
      </c>
      <c r="R436" s="1"/>
      <c r="V436" s="33"/>
      <c r="W436" s="33"/>
    </row>
    <row r="437" spans="2:23">
      <c r="B437" s="3">
        <v>44270</v>
      </c>
      <c r="C437" s="6" t="s">
        <v>88</v>
      </c>
      <c r="D437" s="6" t="s">
        <v>30</v>
      </c>
      <c r="E437" s="5">
        <v>59</v>
      </c>
      <c r="F437" s="5">
        <v>1.29</v>
      </c>
      <c r="G437" s="5">
        <f>StockTransactionsTable[[#This Row],[Shares No.]]*StockTransactionsTable[[#This Row],[Amount per Share]]</f>
        <v>76.11</v>
      </c>
      <c r="H437" s="5">
        <v>0</v>
      </c>
      <c r="I43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76.11</v>
      </c>
      <c r="J437" s="19">
        <f>StockTransactionsTable[[#This Row],[Fee]]/StockTransactionsTable[[#This Row],[Total Amount]]</f>
        <v>0</v>
      </c>
      <c r="K437" s="5">
        <f>IF(StockTransactionsTable[[#This Row],[Transaction Type]]="Buy", StockTransactionsTable[[#This Row],[Total Amount with Fee]] / StockTransactionsTable[[#This Row],[Shares No.]],0)</f>
        <v>0</v>
      </c>
      <c r="L43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37" s="4">
        <f>YEAR(StockTransactionsTable[[#This Row],[Date]])</f>
        <v>2021</v>
      </c>
      <c r="N437" s="4">
        <f>MONTH(StockTransactionsTable[[#This Row],[Date]])</f>
        <v>3</v>
      </c>
      <c r="R437" s="1"/>
      <c r="V437" s="33"/>
      <c r="W437" s="33"/>
    </row>
    <row r="438" spans="2:23">
      <c r="B438" s="3">
        <v>44270</v>
      </c>
      <c r="C438" s="6" t="s">
        <v>98</v>
      </c>
      <c r="D438" s="6" t="s">
        <v>30</v>
      </c>
      <c r="E438" s="5">
        <v>292</v>
      </c>
      <c r="F438" s="5">
        <v>0.38500000000000001</v>
      </c>
      <c r="G438" s="5">
        <f>StockTransactionsTable[[#This Row],[Shares No.]]*StockTransactionsTable[[#This Row],[Amount per Share]]</f>
        <v>112.42</v>
      </c>
      <c r="H438" s="5">
        <v>0</v>
      </c>
      <c r="I43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112.42</v>
      </c>
      <c r="J438" s="19">
        <f>StockTransactionsTable[[#This Row],[Fee]]/StockTransactionsTable[[#This Row],[Total Amount]]</f>
        <v>0</v>
      </c>
      <c r="K438" s="5">
        <f>IF(StockTransactionsTable[[#This Row],[Transaction Type]]="Buy", StockTransactionsTable[[#This Row],[Total Amount with Fee]] / StockTransactionsTable[[#This Row],[Shares No.]],0)</f>
        <v>0</v>
      </c>
      <c r="L43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38" s="4">
        <f>YEAR(StockTransactionsTable[[#This Row],[Date]])</f>
        <v>2021</v>
      </c>
      <c r="N438" s="4">
        <f>MONTH(StockTransactionsTable[[#This Row],[Date]])</f>
        <v>3</v>
      </c>
      <c r="R438" s="1"/>
      <c r="V438" s="33"/>
      <c r="W438" s="33"/>
    </row>
    <row r="439" spans="2:23">
      <c r="B439" s="3">
        <v>44270</v>
      </c>
      <c r="C439" s="6" t="s">
        <v>12</v>
      </c>
      <c r="D439" s="6" t="s">
        <v>30</v>
      </c>
      <c r="E439" s="5">
        <v>64</v>
      </c>
      <c r="F439" s="5">
        <v>0.23450000000000001</v>
      </c>
      <c r="G439" s="5">
        <f>StockTransactionsTable[[#This Row],[Shares No.]]*StockTransactionsTable[[#This Row],[Amount per Share]]</f>
        <v>15.008000000000001</v>
      </c>
      <c r="H439" s="5">
        <v>0</v>
      </c>
      <c r="I43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15.008000000000001</v>
      </c>
      <c r="J439" s="19">
        <f>StockTransactionsTable[[#This Row],[Fee]]/StockTransactionsTable[[#This Row],[Total Amount]]</f>
        <v>0</v>
      </c>
      <c r="K439" s="5">
        <f>IF(StockTransactionsTable[[#This Row],[Transaction Type]]="Buy", StockTransactionsTable[[#This Row],[Total Amount with Fee]] / StockTransactionsTable[[#This Row],[Shares No.]],0)</f>
        <v>0</v>
      </c>
      <c r="L43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39" s="4">
        <f>YEAR(StockTransactionsTable[[#This Row],[Date]])</f>
        <v>2021</v>
      </c>
      <c r="N439" s="4">
        <f>MONTH(StockTransactionsTable[[#This Row],[Date]])</f>
        <v>3</v>
      </c>
      <c r="R439" s="1"/>
      <c r="V439" s="33"/>
      <c r="W439" s="33"/>
    </row>
    <row r="440" spans="2:23">
      <c r="B440" s="3">
        <v>44271</v>
      </c>
      <c r="C440" s="6" t="s">
        <v>100</v>
      </c>
      <c r="D440" s="6" t="s">
        <v>30</v>
      </c>
      <c r="E440" s="5">
        <v>109</v>
      </c>
      <c r="F440" s="5">
        <v>0.96499999999999997</v>
      </c>
      <c r="G440" s="5">
        <f>StockTransactionsTable[[#This Row],[Shares No.]]*StockTransactionsTable[[#This Row],[Amount per Share]]</f>
        <v>105.185</v>
      </c>
      <c r="H440" s="5">
        <v>0</v>
      </c>
      <c r="I44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105.185</v>
      </c>
      <c r="J440" s="19">
        <f>StockTransactionsTable[[#This Row],[Fee]]/StockTransactionsTable[[#This Row],[Total Amount]]</f>
        <v>0</v>
      </c>
      <c r="K440" s="5">
        <f>IF(StockTransactionsTable[[#This Row],[Transaction Type]]="Buy", StockTransactionsTable[[#This Row],[Total Amount with Fee]] / StockTransactionsTable[[#This Row],[Shares No.]],0)</f>
        <v>0</v>
      </c>
      <c r="L44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40" s="4">
        <f>YEAR(StockTransactionsTable[[#This Row],[Date]])</f>
        <v>2021</v>
      </c>
      <c r="N440" s="4">
        <f>MONTH(StockTransactionsTable[[#This Row],[Date]])</f>
        <v>3</v>
      </c>
      <c r="R440" s="1"/>
      <c r="V440" s="33"/>
      <c r="W440" s="33"/>
    </row>
    <row r="441" spans="2:23">
      <c r="B441" s="3">
        <v>44280</v>
      </c>
      <c r="C441" s="6" t="s">
        <v>95</v>
      </c>
      <c r="D441" s="6" t="s">
        <v>30</v>
      </c>
      <c r="E441" s="5">
        <v>43</v>
      </c>
      <c r="F441" s="5">
        <v>1.65</v>
      </c>
      <c r="G441" s="5">
        <f>StockTransactionsTable[[#This Row],[Shares No.]]*StockTransactionsTable[[#This Row],[Amount per Share]]</f>
        <v>70.95</v>
      </c>
      <c r="H441" s="5">
        <v>0</v>
      </c>
      <c r="I44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70.95</v>
      </c>
      <c r="J441" s="19">
        <f>StockTransactionsTable[[#This Row],[Fee]]/StockTransactionsTable[[#This Row],[Total Amount]]</f>
        <v>0</v>
      </c>
      <c r="K441" s="5">
        <f>IF(StockTransactionsTable[[#This Row],[Transaction Type]]="Buy", StockTransactionsTable[[#This Row],[Total Amount with Fee]] / StockTransactionsTable[[#This Row],[Shares No.]],0)</f>
        <v>0</v>
      </c>
      <c r="L44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41" s="4">
        <f>YEAR(StockTransactionsTable[[#This Row],[Date]])</f>
        <v>2021</v>
      </c>
      <c r="N441" s="4">
        <f>MONTH(StockTransactionsTable[[#This Row],[Date]])</f>
        <v>3</v>
      </c>
      <c r="R441" s="1"/>
      <c r="V441" s="33"/>
      <c r="W441" s="33"/>
    </row>
    <row r="442" spans="2:23">
      <c r="B442" s="3">
        <v>44286</v>
      </c>
      <c r="C442" s="6" t="s">
        <v>100</v>
      </c>
      <c r="D442" s="6" t="s">
        <v>29</v>
      </c>
      <c r="E442" s="5">
        <v>31</v>
      </c>
      <c r="F442" s="5" vm="493">
        <v>96.53</v>
      </c>
      <c r="G442" s="5">
        <f>StockTransactionsTable[[#This Row],[Shares No.]]*StockTransactionsTable[[#This Row],[Amount per Share]]</f>
        <v>2992.43</v>
      </c>
      <c r="H442" s="5">
        <v>1.4285774265140394</v>
      </c>
      <c r="I44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2993.8585774265139</v>
      </c>
      <c r="J442" s="19">
        <f>StockTransactionsTable[[#This Row],[Fee]]/StockTransactionsTable[[#This Row],[Total Amount]]</f>
        <v>4.7739710753937086E-4</v>
      </c>
      <c r="K442" s="5">
        <f>IF(StockTransactionsTable[[#This Row],[Transaction Type]]="Buy", StockTransactionsTable[[#This Row],[Total Amount with Fee]] / StockTransactionsTable[[#This Row],[Shares No.]],0)</f>
        <v>96.576083142790765</v>
      </c>
      <c r="L44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42" s="4">
        <f>YEAR(StockTransactionsTable[[#This Row],[Date]])</f>
        <v>2021</v>
      </c>
      <c r="N442" s="4">
        <f>MONTH(StockTransactionsTable[[#This Row],[Date]])</f>
        <v>3</v>
      </c>
      <c r="R442" s="1"/>
      <c r="V442" s="33"/>
      <c r="W442" s="33"/>
    </row>
    <row r="443" spans="2:23">
      <c r="B443" s="3">
        <v>44286</v>
      </c>
      <c r="C443" s="6" t="s">
        <v>18</v>
      </c>
      <c r="D443" s="6" t="s">
        <v>30</v>
      </c>
      <c r="E443" s="5">
        <v>10</v>
      </c>
      <c r="F443" s="5">
        <v>1.0225</v>
      </c>
      <c r="G443" s="5">
        <f>StockTransactionsTable[[#This Row],[Shares No.]]*StockTransactionsTable[[#This Row],[Amount per Share]]</f>
        <v>10.225</v>
      </c>
      <c r="H443" s="5">
        <v>0</v>
      </c>
      <c r="I44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10.225</v>
      </c>
      <c r="J443" s="19">
        <f>StockTransactionsTable[[#This Row],[Fee]]/StockTransactionsTable[[#This Row],[Total Amount]]</f>
        <v>0</v>
      </c>
      <c r="K443" s="5">
        <f>IF(StockTransactionsTable[[#This Row],[Transaction Type]]="Buy", StockTransactionsTable[[#This Row],[Total Amount with Fee]] / StockTransactionsTable[[#This Row],[Shares No.]],0)</f>
        <v>0</v>
      </c>
      <c r="L44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43" s="4">
        <f>YEAR(StockTransactionsTable[[#This Row],[Date]])</f>
        <v>2021</v>
      </c>
      <c r="N443" s="4">
        <f>MONTH(StockTransactionsTable[[#This Row],[Date]])</f>
        <v>3</v>
      </c>
      <c r="R443" s="1"/>
      <c r="V443" s="33"/>
      <c r="W443" s="33"/>
    </row>
    <row r="444" spans="2:23">
      <c r="B444" s="3">
        <v>44287</v>
      </c>
      <c r="C444" s="6" t="s">
        <v>23</v>
      </c>
      <c r="D444" s="6" t="s">
        <v>30</v>
      </c>
      <c r="E444" s="5">
        <v>58</v>
      </c>
      <c r="F444" s="5">
        <v>0.42</v>
      </c>
      <c r="G444" s="5">
        <f>StockTransactionsTable[[#This Row],[Shares No.]]*StockTransactionsTable[[#This Row],[Amount per Share]]</f>
        <v>24.36</v>
      </c>
      <c r="H444" s="5">
        <v>0</v>
      </c>
      <c r="I44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24.36</v>
      </c>
      <c r="J444" s="19">
        <f>StockTransactionsTable[[#This Row],[Fee]]/StockTransactionsTable[[#This Row],[Total Amount]]</f>
        <v>0</v>
      </c>
      <c r="K444" s="5">
        <f>IF(StockTransactionsTable[[#This Row],[Transaction Type]]="Buy", StockTransactionsTable[[#This Row],[Total Amount with Fee]] / StockTransactionsTable[[#This Row],[Shares No.]],0)</f>
        <v>0</v>
      </c>
      <c r="L44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44" s="4">
        <f>YEAR(StockTransactionsTable[[#This Row],[Date]])</f>
        <v>2021</v>
      </c>
      <c r="N444" s="4">
        <f>MONTH(StockTransactionsTable[[#This Row],[Date]])</f>
        <v>4</v>
      </c>
      <c r="R444" s="1"/>
      <c r="V444" s="33"/>
      <c r="W444" s="33"/>
    </row>
    <row r="445" spans="2:23">
      <c r="B445" s="3">
        <v>44300</v>
      </c>
      <c r="C445" s="6" t="s">
        <v>95</v>
      </c>
      <c r="D445" s="6" t="s">
        <v>29</v>
      </c>
      <c r="E445" s="5">
        <v>13</v>
      </c>
      <c r="F445" s="5" vm="494">
        <v>320.02</v>
      </c>
      <c r="G445" s="5">
        <f>StockTransactionsTable[[#This Row],[Shares No.]]*StockTransactionsTable[[#This Row],[Amount per Share]]</f>
        <v>4160.26</v>
      </c>
      <c r="H445" s="5">
        <v>1.9996768522785375</v>
      </c>
      <c r="I44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4162.259676852279</v>
      </c>
      <c r="J445" s="19">
        <f>StockTransactionsTable[[#This Row],[Fee]]/StockTransactionsTable[[#This Row],[Total Amount]]</f>
        <v>4.8066150968413931E-4</v>
      </c>
      <c r="K445" s="5">
        <f>IF(StockTransactionsTable[[#This Row],[Transaction Type]]="Buy", StockTransactionsTable[[#This Row],[Total Amount with Fee]] / StockTransactionsTable[[#This Row],[Shares No.]],0)</f>
        <v>320.17382129632915</v>
      </c>
      <c r="L44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45" s="4">
        <f>YEAR(StockTransactionsTable[[#This Row],[Date]])</f>
        <v>2021</v>
      </c>
      <c r="N445" s="4">
        <f>MONTH(StockTransactionsTable[[#This Row],[Date]])</f>
        <v>4</v>
      </c>
      <c r="R445" s="1"/>
      <c r="V445" s="33"/>
      <c r="W445" s="33"/>
    </row>
    <row r="446" spans="2:23">
      <c r="B446" s="3">
        <v>44301</v>
      </c>
      <c r="C446" s="6" t="s">
        <v>12</v>
      </c>
      <c r="D446" s="6" t="s">
        <v>30</v>
      </c>
      <c r="E446" s="5">
        <v>64</v>
      </c>
      <c r="F446" s="5">
        <v>0.23500000000000001</v>
      </c>
      <c r="G446" s="5">
        <f>StockTransactionsTable[[#This Row],[Shares No.]]*StockTransactionsTable[[#This Row],[Amount per Share]]</f>
        <v>15.040000000000001</v>
      </c>
      <c r="H446" s="5">
        <v>0</v>
      </c>
      <c r="I44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15.040000000000001</v>
      </c>
      <c r="J446" s="19">
        <f>StockTransactionsTable[[#This Row],[Fee]]/StockTransactionsTable[[#This Row],[Total Amount]]</f>
        <v>0</v>
      </c>
      <c r="K446" s="5">
        <f>IF(StockTransactionsTable[[#This Row],[Transaction Type]]="Buy", StockTransactionsTable[[#This Row],[Total Amount with Fee]] / StockTransactionsTable[[#This Row],[Shares No.]],0)</f>
        <v>0</v>
      </c>
      <c r="L44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46" s="4">
        <f>YEAR(StockTransactionsTable[[#This Row],[Date]])</f>
        <v>2021</v>
      </c>
      <c r="N446" s="4">
        <f>MONTH(StockTransactionsTable[[#This Row],[Date]])</f>
        <v>4</v>
      </c>
      <c r="R446" s="1"/>
      <c r="V446" s="33"/>
      <c r="W446" s="33"/>
    </row>
    <row r="447" spans="2:23">
      <c r="B447" s="3">
        <v>44316</v>
      </c>
      <c r="C447" s="6" t="s">
        <v>20</v>
      </c>
      <c r="D447" s="6" t="s">
        <v>30</v>
      </c>
      <c r="E447" s="5">
        <v>78</v>
      </c>
      <c r="F447" s="5">
        <v>0.9</v>
      </c>
      <c r="G447" s="5">
        <f>StockTransactionsTable[[#This Row],[Shares No.]]*StockTransactionsTable[[#This Row],[Amount per Share]]</f>
        <v>70.2</v>
      </c>
      <c r="H447" s="5">
        <v>0</v>
      </c>
      <c r="I44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70.2</v>
      </c>
      <c r="J447" s="19">
        <f>StockTransactionsTable[[#This Row],[Fee]]/StockTransactionsTable[[#This Row],[Total Amount]]</f>
        <v>0</v>
      </c>
      <c r="K447" s="5">
        <f>IF(StockTransactionsTable[[#This Row],[Transaction Type]]="Buy", StockTransactionsTable[[#This Row],[Total Amount with Fee]] / StockTransactionsTable[[#This Row],[Shares No.]],0)</f>
        <v>0</v>
      </c>
      <c r="L44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47" s="4">
        <f>YEAR(StockTransactionsTable[[#This Row],[Date]])</f>
        <v>2021</v>
      </c>
      <c r="N447" s="4">
        <f>MONTH(StockTransactionsTable[[#This Row],[Date]])</f>
        <v>4</v>
      </c>
      <c r="R447" s="1"/>
      <c r="V447" s="33"/>
      <c r="W447" s="33"/>
    </row>
    <row r="448" spans="2:23">
      <c r="B448" s="3">
        <v>44319</v>
      </c>
      <c r="C448" s="6" t="s">
        <v>15</v>
      </c>
      <c r="D448" s="6" t="s">
        <v>30</v>
      </c>
      <c r="E448" s="5">
        <v>124</v>
      </c>
      <c r="F448" s="5">
        <v>0.52</v>
      </c>
      <c r="G448" s="5">
        <f>StockTransactionsTable[[#This Row],[Shares No.]]*StockTransactionsTable[[#This Row],[Amount per Share]]</f>
        <v>64.48</v>
      </c>
      <c r="H448" s="5">
        <v>0</v>
      </c>
      <c r="I44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64.48</v>
      </c>
      <c r="J448" s="19">
        <f>StockTransactionsTable[[#This Row],[Fee]]/StockTransactionsTable[[#This Row],[Total Amount]]</f>
        <v>0</v>
      </c>
      <c r="K448" s="5">
        <f>IF(StockTransactionsTable[[#This Row],[Transaction Type]]="Buy", StockTransactionsTable[[#This Row],[Total Amount with Fee]] / StockTransactionsTable[[#This Row],[Shares No.]],0)</f>
        <v>0</v>
      </c>
      <c r="L44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48" s="4">
        <f>YEAR(StockTransactionsTable[[#This Row],[Date]])</f>
        <v>2021</v>
      </c>
      <c r="N448" s="4">
        <f>MONTH(StockTransactionsTable[[#This Row],[Date]])</f>
        <v>5</v>
      </c>
      <c r="R448" s="1"/>
      <c r="V448" s="33"/>
      <c r="W448" s="33"/>
    </row>
    <row r="449" spans="2:23">
      <c r="B449" s="3">
        <v>44323</v>
      </c>
      <c r="C449" s="6" t="s">
        <v>19</v>
      </c>
      <c r="D449" s="6" t="s">
        <v>30</v>
      </c>
      <c r="E449" s="5">
        <v>57</v>
      </c>
      <c r="F449" s="5">
        <v>1.1100000000000001</v>
      </c>
      <c r="G449" s="5">
        <f>StockTransactionsTable[[#This Row],[Shares No.]]*StockTransactionsTable[[#This Row],[Amount per Share]]</f>
        <v>63.27</v>
      </c>
      <c r="H449" s="5">
        <v>0</v>
      </c>
      <c r="I44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63.27</v>
      </c>
      <c r="J449" s="19">
        <f>StockTransactionsTable[[#This Row],[Fee]]/StockTransactionsTable[[#This Row],[Total Amount]]</f>
        <v>0</v>
      </c>
      <c r="K449" s="5">
        <f>IF(StockTransactionsTable[[#This Row],[Transaction Type]]="Buy", StockTransactionsTable[[#This Row],[Total Amount with Fee]] / StockTransactionsTable[[#This Row],[Shares No.]],0)</f>
        <v>0</v>
      </c>
      <c r="L44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49" s="4">
        <f>YEAR(StockTransactionsTable[[#This Row],[Date]])</f>
        <v>2021</v>
      </c>
      <c r="N449" s="4">
        <f>MONTH(StockTransactionsTable[[#This Row],[Date]])</f>
        <v>5</v>
      </c>
      <c r="R449" s="1"/>
      <c r="V449" s="33"/>
      <c r="W449" s="33"/>
    </row>
    <row r="450" spans="2:23">
      <c r="B450" s="3">
        <v>44327</v>
      </c>
      <c r="C450" s="6" t="s">
        <v>98</v>
      </c>
      <c r="D450" s="6" t="s">
        <v>29</v>
      </c>
      <c r="E450" s="5">
        <v>35</v>
      </c>
      <c r="F450" s="5" vm="495">
        <v>74.069999999999993</v>
      </c>
      <c r="G450" s="5">
        <f>StockTransactionsTable[[#This Row],[Shares No.]]*StockTransactionsTable[[#This Row],[Amount per Share]]</f>
        <v>2592.4499999999998</v>
      </c>
      <c r="H450" s="5">
        <v>1.0572510901473344</v>
      </c>
      <c r="I45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2593.5072510901473</v>
      </c>
      <c r="J450" s="19">
        <f>StockTransactionsTable[[#This Row],[Fee]]/StockTransactionsTable[[#This Row],[Total Amount]]</f>
        <v>4.0781927911718045E-4</v>
      </c>
      <c r="K450" s="5">
        <f>IF(StockTransactionsTable[[#This Row],[Transaction Type]]="Buy", StockTransactionsTable[[#This Row],[Total Amount with Fee]] / StockTransactionsTable[[#This Row],[Shares No.]],0)</f>
        <v>74.100207174004211</v>
      </c>
      <c r="L45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50" s="4">
        <f>YEAR(StockTransactionsTable[[#This Row],[Date]])</f>
        <v>2021</v>
      </c>
      <c r="N450" s="4">
        <f>MONTH(StockTransactionsTable[[#This Row],[Date]])</f>
        <v>5</v>
      </c>
      <c r="R450" s="1"/>
      <c r="V450" s="33"/>
      <c r="W450" s="33"/>
    </row>
    <row r="451" spans="2:23">
      <c r="B451" s="3">
        <v>44330</v>
      </c>
      <c r="C451" s="6" t="s">
        <v>86</v>
      </c>
      <c r="D451" s="6" t="s">
        <v>30</v>
      </c>
      <c r="E451" s="5">
        <v>114</v>
      </c>
      <c r="F451" s="5">
        <v>1.3</v>
      </c>
      <c r="G451" s="5">
        <f>StockTransactionsTable[[#This Row],[Shares No.]]*StockTransactionsTable[[#This Row],[Amount per Share]]</f>
        <v>148.20000000000002</v>
      </c>
      <c r="H451" s="5">
        <v>0</v>
      </c>
      <c r="I45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148.20000000000002</v>
      </c>
      <c r="J451" s="19">
        <f>StockTransactionsTable[[#This Row],[Fee]]/StockTransactionsTable[[#This Row],[Total Amount]]</f>
        <v>0</v>
      </c>
      <c r="K451" s="5">
        <f>IF(StockTransactionsTable[[#This Row],[Transaction Type]]="Buy", StockTransactionsTable[[#This Row],[Total Amount with Fee]] / StockTransactionsTable[[#This Row],[Shares No.]],0)</f>
        <v>0</v>
      </c>
      <c r="L45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51" s="4">
        <f>YEAR(StockTransactionsTable[[#This Row],[Date]])</f>
        <v>2021</v>
      </c>
      <c r="N451" s="4">
        <f>MONTH(StockTransactionsTable[[#This Row],[Date]])</f>
        <v>5</v>
      </c>
      <c r="R451" s="1"/>
      <c r="V451" s="33"/>
      <c r="W451" s="33"/>
    </row>
    <row r="452" spans="2:23">
      <c r="B452" s="3">
        <v>44330</v>
      </c>
      <c r="C452" s="6" t="s">
        <v>12</v>
      </c>
      <c r="D452" s="6" t="s">
        <v>30</v>
      </c>
      <c r="E452" s="5">
        <v>64</v>
      </c>
      <c r="F452" s="5">
        <v>0.23500000000000001</v>
      </c>
      <c r="G452" s="5">
        <f>StockTransactionsTable[[#This Row],[Shares No.]]*StockTransactionsTable[[#This Row],[Amount per Share]]</f>
        <v>15.040000000000001</v>
      </c>
      <c r="H452" s="5">
        <v>0</v>
      </c>
      <c r="I45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15.040000000000001</v>
      </c>
      <c r="J452" s="19">
        <f>StockTransactionsTable[[#This Row],[Fee]]/StockTransactionsTable[[#This Row],[Total Amount]]</f>
        <v>0</v>
      </c>
      <c r="K452" s="5">
        <f>IF(StockTransactionsTable[[#This Row],[Transaction Type]]="Buy", StockTransactionsTable[[#This Row],[Total Amount with Fee]] / StockTransactionsTable[[#This Row],[Shares No.]],0)</f>
        <v>0</v>
      </c>
      <c r="L45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52" s="4">
        <f>YEAR(StockTransactionsTable[[#This Row],[Date]])</f>
        <v>2021</v>
      </c>
      <c r="N452" s="4">
        <f>MONTH(StockTransactionsTable[[#This Row],[Date]])</f>
        <v>5</v>
      </c>
      <c r="R452" s="1"/>
      <c r="V452" s="33"/>
      <c r="W452" s="33"/>
    </row>
    <row r="453" spans="2:23">
      <c r="B453" s="3">
        <v>44333</v>
      </c>
      <c r="C453" s="6" t="s">
        <v>21</v>
      </c>
      <c r="D453" s="6" t="s">
        <v>30</v>
      </c>
      <c r="E453" s="5">
        <v>28</v>
      </c>
      <c r="F453" s="5">
        <v>0.86980000000000002</v>
      </c>
      <c r="G453" s="5">
        <f>StockTransactionsTable[[#This Row],[Shares No.]]*StockTransactionsTable[[#This Row],[Amount per Share]]</f>
        <v>24.354400000000002</v>
      </c>
      <c r="H453" s="5">
        <v>0</v>
      </c>
      <c r="I45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24.354400000000002</v>
      </c>
      <c r="J453" s="19">
        <f>StockTransactionsTable[[#This Row],[Fee]]/StockTransactionsTable[[#This Row],[Total Amount]]</f>
        <v>0</v>
      </c>
      <c r="K453" s="5">
        <f>IF(StockTransactionsTable[[#This Row],[Transaction Type]]="Buy", StockTransactionsTable[[#This Row],[Total Amount with Fee]] / StockTransactionsTable[[#This Row],[Shares No.]],0)</f>
        <v>0</v>
      </c>
      <c r="L45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53" s="4">
        <f>YEAR(StockTransactionsTable[[#This Row],[Date]])</f>
        <v>2021</v>
      </c>
      <c r="N453" s="4">
        <f>MONTH(StockTransactionsTable[[#This Row],[Date]])</f>
        <v>5</v>
      </c>
      <c r="R453" s="1"/>
      <c r="V453" s="33"/>
      <c r="W453" s="33"/>
    </row>
    <row r="454" spans="2:23">
      <c r="B454" s="3">
        <v>44336</v>
      </c>
      <c r="C454" s="6" t="s">
        <v>22</v>
      </c>
      <c r="D454" s="6" t="s">
        <v>30</v>
      </c>
      <c r="E454" s="5">
        <v>81</v>
      </c>
      <c r="F454" s="5">
        <v>1.03</v>
      </c>
      <c r="G454" s="5">
        <f>StockTransactionsTable[[#This Row],[Shares No.]]*StockTransactionsTable[[#This Row],[Amount per Share]]</f>
        <v>83.43</v>
      </c>
      <c r="H454" s="5">
        <v>0</v>
      </c>
      <c r="I45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83.43</v>
      </c>
      <c r="J454" s="19">
        <f>StockTransactionsTable[[#This Row],[Fee]]/StockTransactionsTable[[#This Row],[Total Amount]]</f>
        <v>0</v>
      </c>
      <c r="K454" s="5">
        <f>IF(StockTransactionsTable[[#This Row],[Transaction Type]]="Buy", StockTransactionsTable[[#This Row],[Total Amount with Fee]] / StockTransactionsTable[[#This Row],[Shares No.]],0)</f>
        <v>0</v>
      </c>
      <c r="L45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54" s="4">
        <f>YEAR(StockTransactionsTable[[#This Row],[Date]])</f>
        <v>2021</v>
      </c>
      <c r="N454" s="4">
        <f>MONTH(StockTransactionsTable[[#This Row],[Date]])</f>
        <v>5</v>
      </c>
      <c r="R454" s="1"/>
      <c r="V454" s="33"/>
      <c r="W454" s="33"/>
    </row>
    <row r="455" spans="2:23">
      <c r="B455" s="3">
        <v>44351</v>
      </c>
      <c r="C455" s="6" t="s">
        <v>13</v>
      </c>
      <c r="D455" s="6" t="s">
        <v>30</v>
      </c>
      <c r="E455" s="5">
        <v>55</v>
      </c>
      <c r="F455" s="5">
        <v>0.39</v>
      </c>
      <c r="G455" s="5">
        <f>StockTransactionsTable[[#This Row],[Shares No.]]*StockTransactionsTable[[#This Row],[Amount per Share]]</f>
        <v>21.45</v>
      </c>
      <c r="H455" s="5">
        <v>0</v>
      </c>
      <c r="I45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21.45</v>
      </c>
      <c r="J455" s="19">
        <f>StockTransactionsTable[[#This Row],[Fee]]/StockTransactionsTable[[#This Row],[Total Amount]]</f>
        <v>0</v>
      </c>
      <c r="K455" s="5">
        <f>IF(StockTransactionsTable[[#This Row],[Transaction Type]]="Buy", StockTransactionsTable[[#This Row],[Total Amount with Fee]] / StockTransactionsTable[[#This Row],[Shares No.]],0)</f>
        <v>0</v>
      </c>
      <c r="L45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55" s="4">
        <f>YEAR(StockTransactionsTable[[#This Row],[Date]])</f>
        <v>2021</v>
      </c>
      <c r="N455" s="4">
        <f>MONTH(StockTransactionsTable[[#This Row],[Date]])</f>
        <v>6</v>
      </c>
      <c r="R455" s="1"/>
      <c r="V455" s="33"/>
      <c r="W455" s="33"/>
    </row>
    <row r="456" spans="2:23">
      <c r="B456" s="3">
        <v>44355</v>
      </c>
      <c r="C456" s="6" t="s">
        <v>84</v>
      </c>
      <c r="D456" s="6" t="s">
        <v>30</v>
      </c>
      <c r="E456" s="5">
        <v>51</v>
      </c>
      <c r="F456" s="5">
        <v>1.06</v>
      </c>
      <c r="G456" s="5">
        <f>StockTransactionsTable[[#This Row],[Shares No.]]*StockTransactionsTable[[#This Row],[Amount per Share]]</f>
        <v>54.06</v>
      </c>
      <c r="H456" s="5">
        <v>0</v>
      </c>
      <c r="I45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54.06</v>
      </c>
      <c r="J456" s="19">
        <f>StockTransactionsTable[[#This Row],[Fee]]/StockTransactionsTable[[#This Row],[Total Amount]]</f>
        <v>0</v>
      </c>
      <c r="K456" s="5">
        <f>IF(StockTransactionsTable[[#This Row],[Transaction Type]]="Buy", StockTransactionsTable[[#This Row],[Total Amount with Fee]] / StockTransactionsTable[[#This Row],[Shares No.]],0)</f>
        <v>0</v>
      </c>
      <c r="L45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56" s="4">
        <f>YEAR(StockTransactionsTable[[#This Row],[Date]])</f>
        <v>2021</v>
      </c>
      <c r="N456" s="4">
        <f>MONTH(StockTransactionsTable[[#This Row],[Date]])</f>
        <v>6</v>
      </c>
      <c r="R456" s="1"/>
      <c r="V456" s="33"/>
      <c r="W456" s="33"/>
    </row>
    <row r="457" spans="2:23">
      <c r="B457" s="3">
        <v>44357</v>
      </c>
      <c r="C457" s="6" t="s">
        <v>17</v>
      </c>
      <c r="D457" s="6" t="s">
        <v>30</v>
      </c>
      <c r="E457" s="5">
        <v>104</v>
      </c>
      <c r="F457" s="5">
        <v>1.64</v>
      </c>
      <c r="G457" s="5">
        <f>StockTransactionsTable[[#This Row],[Shares No.]]*StockTransactionsTable[[#This Row],[Amount per Share]]</f>
        <v>170.56</v>
      </c>
      <c r="H457" s="5">
        <v>0</v>
      </c>
      <c r="I45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170.56</v>
      </c>
      <c r="J457" s="19">
        <f>StockTransactionsTable[[#This Row],[Fee]]/StockTransactionsTable[[#This Row],[Total Amount]]</f>
        <v>0</v>
      </c>
      <c r="K457" s="5">
        <f>IF(StockTransactionsTable[[#This Row],[Transaction Type]]="Buy", StockTransactionsTable[[#This Row],[Total Amount with Fee]] / StockTransactionsTable[[#This Row],[Shares No.]],0)</f>
        <v>0</v>
      </c>
      <c r="L45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57" s="4">
        <f>YEAR(StockTransactionsTable[[#This Row],[Date]])</f>
        <v>2021</v>
      </c>
      <c r="N457" s="4">
        <f>MONTH(StockTransactionsTable[[#This Row],[Date]])</f>
        <v>6</v>
      </c>
      <c r="R457" s="1"/>
      <c r="V457" s="33"/>
      <c r="W457" s="33"/>
    </row>
    <row r="458" spans="2:23">
      <c r="B458" s="3">
        <v>44357</v>
      </c>
      <c r="C458" s="6" t="s">
        <v>91</v>
      </c>
      <c r="D458" s="6" t="s">
        <v>30</v>
      </c>
      <c r="E458" s="5">
        <v>147</v>
      </c>
      <c r="F458" s="5">
        <v>0.56000000000000005</v>
      </c>
      <c r="G458" s="5">
        <f>StockTransactionsTable[[#This Row],[Shares No.]]*StockTransactionsTable[[#This Row],[Amount per Share]]</f>
        <v>82.320000000000007</v>
      </c>
      <c r="H458" s="5">
        <v>0</v>
      </c>
      <c r="I45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82.320000000000007</v>
      </c>
      <c r="J458" s="19">
        <f>StockTransactionsTable[[#This Row],[Fee]]/StockTransactionsTable[[#This Row],[Total Amount]]</f>
        <v>0</v>
      </c>
      <c r="K458" s="5">
        <f>IF(StockTransactionsTable[[#This Row],[Transaction Type]]="Buy", StockTransactionsTable[[#This Row],[Total Amount with Fee]] / StockTransactionsTable[[#This Row],[Shares No.]],0)</f>
        <v>0</v>
      </c>
      <c r="L45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58" s="4">
        <f>YEAR(StockTransactionsTable[[#This Row],[Date]])</f>
        <v>2021</v>
      </c>
      <c r="N458" s="4">
        <f>MONTH(StockTransactionsTable[[#This Row],[Date]])</f>
        <v>6</v>
      </c>
      <c r="R458" s="1"/>
      <c r="V458" s="33"/>
      <c r="W458" s="33"/>
    </row>
    <row r="459" spans="2:23">
      <c r="B459" s="3">
        <v>44357</v>
      </c>
      <c r="C459" s="6" t="s">
        <v>16</v>
      </c>
      <c r="D459" s="6" t="s">
        <v>30</v>
      </c>
      <c r="E459" s="5">
        <v>185</v>
      </c>
      <c r="F459" s="5">
        <v>0.87</v>
      </c>
      <c r="G459" s="5">
        <f>StockTransactionsTable[[#This Row],[Shares No.]]*StockTransactionsTable[[#This Row],[Amount per Share]]</f>
        <v>160.94999999999999</v>
      </c>
      <c r="H459" s="5">
        <v>0</v>
      </c>
      <c r="I45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160.94999999999999</v>
      </c>
      <c r="J459" s="19">
        <f>StockTransactionsTable[[#This Row],[Fee]]/StockTransactionsTable[[#This Row],[Total Amount]]</f>
        <v>0</v>
      </c>
      <c r="K459" s="5">
        <f>IF(StockTransactionsTable[[#This Row],[Transaction Type]]="Buy", StockTransactionsTable[[#This Row],[Total Amount with Fee]] / StockTransactionsTable[[#This Row],[Shares No.]],0)</f>
        <v>0</v>
      </c>
      <c r="L45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59" s="4">
        <f>YEAR(StockTransactionsTable[[#This Row],[Date]])</f>
        <v>2021</v>
      </c>
      <c r="N459" s="4">
        <f>MONTH(StockTransactionsTable[[#This Row],[Date]])</f>
        <v>6</v>
      </c>
      <c r="R459" s="1"/>
      <c r="V459" s="33"/>
      <c r="W459" s="33"/>
    </row>
    <row r="460" spans="2:23">
      <c r="B460" s="3">
        <v>44358</v>
      </c>
      <c r="C460" s="6" t="s">
        <v>106</v>
      </c>
      <c r="D460" s="6" t="s">
        <v>30</v>
      </c>
      <c r="E460" s="5">
        <v>88</v>
      </c>
      <c r="F460" s="5">
        <v>0.54</v>
      </c>
      <c r="G460" s="5">
        <f>StockTransactionsTable[[#This Row],[Shares No.]]*StockTransactionsTable[[#This Row],[Amount per Share]]</f>
        <v>47.52</v>
      </c>
      <c r="H460" s="5">
        <v>0</v>
      </c>
      <c r="I46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47.52</v>
      </c>
      <c r="J460" s="19">
        <f>StockTransactionsTable[[#This Row],[Fee]]/StockTransactionsTable[[#This Row],[Total Amount]]</f>
        <v>0</v>
      </c>
      <c r="K460" s="5">
        <f>IF(StockTransactionsTable[[#This Row],[Transaction Type]]="Buy", StockTransactionsTable[[#This Row],[Total Amount with Fee]] / StockTransactionsTable[[#This Row],[Shares No.]],0)</f>
        <v>0</v>
      </c>
      <c r="L46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60" s="4">
        <f>YEAR(StockTransactionsTable[[#This Row],[Date]])</f>
        <v>2021</v>
      </c>
      <c r="N460" s="4">
        <f>MONTH(StockTransactionsTable[[#This Row],[Date]])</f>
        <v>6</v>
      </c>
      <c r="R460" s="1"/>
      <c r="V460" s="33"/>
      <c r="W460" s="33"/>
    </row>
    <row r="461" spans="2:23">
      <c r="B461" s="3">
        <v>44362</v>
      </c>
      <c r="C461" s="6" t="s">
        <v>17</v>
      </c>
      <c r="D461" s="6" t="s">
        <v>29</v>
      </c>
      <c r="E461" s="5">
        <v>9</v>
      </c>
      <c r="F461" s="5" vm="496">
        <v>149.36000000000001</v>
      </c>
      <c r="G461" s="5">
        <f>StockTransactionsTable[[#This Row],[Shares No.]]*StockTransactionsTable[[#This Row],[Amount per Share]]</f>
        <v>1344.2400000000002</v>
      </c>
      <c r="H461" s="5">
        <v>0.66874846249014708</v>
      </c>
      <c r="I46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1344.9087484624904</v>
      </c>
      <c r="J461" s="19">
        <f>StockTransactionsTable[[#This Row],[Fee]]/StockTransactionsTable[[#This Row],[Total Amount]]</f>
        <v>4.9749186342479539E-4</v>
      </c>
      <c r="K461" s="5">
        <f>IF(StockTransactionsTable[[#This Row],[Transaction Type]]="Buy", StockTransactionsTable[[#This Row],[Total Amount with Fee]] / StockTransactionsTable[[#This Row],[Shares No.]],0)</f>
        <v>149.43430538472114</v>
      </c>
      <c r="L46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61" s="4">
        <f>YEAR(StockTransactionsTable[[#This Row],[Date]])</f>
        <v>2021</v>
      </c>
      <c r="N461" s="4">
        <f>MONTH(StockTransactionsTable[[#This Row],[Date]])</f>
        <v>6</v>
      </c>
      <c r="R461" s="1"/>
      <c r="V461" s="33"/>
      <c r="W461" s="33"/>
    </row>
    <row r="462" spans="2:23">
      <c r="B462" s="3">
        <v>44362</v>
      </c>
      <c r="C462" s="6" t="s">
        <v>14</v>
      </c>
      <c r="D462" s="6" t="s">
        <v>30</v>
      </c>
      <c r="E462" s="5">
        <v>12</v>
      </c>
      <c r="F462" s="5">
        <v>0.32900000000000001</v>
      </c>
      <c r="G462" s="5">
        <f>StockTransactionsTable[[#This Row],[Shares No.]]*StockTransactionsTable[[#This Row],[Amount per Share]]</f>
        <v>3.9480000000000004</v>
      </c>
      <c r="H462" s="5">
        <v>0</v>
      </c>
      <c r="I46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3.9480000000000004</v>
      </c>
      <c r="J462" s="19">
        <f>StockTransactionsTable[[#This Row],[Fee]]/StockTransactionsTable[[#This Row],[Total Amount]]</f>
        <v>0</v>
      </c>
      <c r="K462" s="5">
        <f>IF(StockTransactionsTable[[#This Row],[Transaction Type]]="Buy", StockTransactionsTable[[#This Row],[Total Amount with Fee]] / StockTransactionsTable[[#This Row],[Shares No.]],0)</f>
        <v>0</v>
      </c>
      <c r="L46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62" s="4">
        <f>YEAR(StockTransactionsTable[[#This Row],[Date]])</f>
        <v>2021</v>
      </c>
      <c r="N462" s="4">
        <f>MONTH(StockTransactionsTable[[#This Row],[Date]])</f>
        <v>6</v>
      </c>
      <c r="R462" s="1"/>
      <c r="V462" s="33"/>
      <c r="W462" s="33"/>
    </row>
    <row r="463" spans="2:23">
      <c r="B463" s="3">
        <v>44362</v>
      </c>
      <c r="C463" s="6" t="s">
        <v>88</v>
      </c>
      <c r="D463" s="6" t="s">
        <v>30</v>
      </c>
      <c r="E463" s="5">
        <v>59</v>
      </c>
      <c r="F463" s="5">
        <v>1.29</v>
      </c>
      <c r="G463" s="5">
        <f>StockTransactionsTable[[#This Row],[Shares No.]]*StockTransactionsTable[[#This Row],[Amount per Share]]</f>
        <v>76.11</v>
      </c>
      <c r="H463" s="5">
        <v>0</v>
      </c>
      <c r="I46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76.11</v>
      </c>
      <c r="J463" s="19">
        <f>StockTransactionsTable[[#This Row],[Fee]]/StockTransactionsTable[[#This Row],[Total Amount]]</f>
        <v>0</v>
      </c>
      <c r="K463" s="5">
        <f>IF(StockTransactionsTable[[#This Row],[Transaction Type]]="Buy", StockTransactionsTable[[#This Row],[Total Amount with Fee]] / StockTransactionsTable[[#This Row],[Shares No.]],0)</f>
        <v>0</v>
      </c>
      <c r="L46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63" s="4">
        <f>YEAR(StockTransactionsTable[[#This Row],[Date]])</f>
        <v>2021</v>
      </c>
      <c r="N463" s="4">
        <f>MONTH(StockTransactionsTable[[#This Row],[Date]])</f>
        <v>6</v>
      </c>
      <c r="R463" s="1"/>
      <c r="V463" s="33"/>
      <c r="W463" s="33"/>
    </row>
    <row r="464" spans="2:23">
      <c r="B464" s="3">
        <v>44362</v>
      </c>
      <c r="C464" s="6" t="s">
        <v>98</v>
      </c>
      <c r="D464" s="6" t="s">
        <v>30</v>
      </c>
      <c r="E464" s="5">
        <v>327</v>
      </c>
      <c r="F464" s="5">
        <v>0.38500000000000001</v>
      </c>
      <c r="G464" s="5">
        <f>StockTransactionsTable[[#This Row],[Shares No.]]*StockTransactionsTable[[#This Row],[Amount per Share]]</f>
        <v>125.895</v>
      </c>
      <c r="H464" s="5">
        <v>0</v>
      </c>
      <c r="I46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125.895</v>
      </c>
      <c r="J464" s="19">
        <f>StockTransactionsTable[[#This Row],[Fee]]/StockTransactionsTable[[#This Row],[Total Amount]]</f>
        <v>0</v>
      </c>
      <c r="K464" s="5">
        <f>IF(StockTransactionsTable[[#This Row],[Transaction Type]]="Buy", StockTransactionsTable[[#This Row],[Total Amount with Fee]] / StockTransactionsTable[[#This Row],[Shares No.]],0)</f>
        <v>0</v>
      </c>
      <c r="L46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64" s="4">
        <f>YEAR(StockTransactionsTable[[#This Row],[Date]])</f>
        <v>2021</v>
      </c>
      <c r="N464" s="4">
        <f>MONTH(StockTransactionsTable[[#This Row],[Date]])</f>
        <v>6</v>
      </c>
      <c r="R464" s="1"/>
      <c r="V464" s="33"/>
      <c r="W464" s="33"/>
    </row>
    <row r="465" spans="2:23">
      <c r="B465" s="3">
        <v>44362</v>
      </c>
      <c r="C465" s="6" t="s">
        <v>12</v>
      </c>
      <c r="D465" s="6" t="s">
        <v>30</v>
      </c>
      <c r="E465" s="5">
        <v>64</v>
      </c>
      <c r="F465" s="5">
        <v>0.23500000000000001</v>
      </c>
      <c r="G465" s="5">
        <f>StockTransactionsTable[[#This Row],[Shares No.]]*StockTransactionsTable[[#This Row],[Amount per Share]]</f>
        <v>15.040000000000001</v>
      </c>
      <c r="H465" s="5">
        <v>0</v>
      </c>
      <c r="I46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15.040000000000001</v>
      </c>
      <c r="J465" s="19">
        <f>StockTransactionsTable[[#This Row],[Fee]]/StockTransactionsTable[[#This Row],[Total Amount]]</f>
        <v>0</v>
      </c>
      <c r="K465" s="5">
        <f>IF(StockTransactionsTable[[#This Row],[Transaction Type]]="Buy", StockTransactionsTable[[#This Row],[Total Amount with Fee]] / StockTransactionsTable[[#This Row],[Shares No.]],0)</f>
        <v>0</v>
      </c>
      <c r="L46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65" s="4">
        <f>YEAR(StockTransactionsTable[[#This Row],[Date]])</f>
        <v>2021</v>
      </c>
      <c r="N465" s="4">
        <f>MONTH(StockTransactionsTable[[#This Row],[Date]])</f>
        <v>6</v>
      </c>
      <c r="R465" s="1"/>
      <c r="V465" s="33"/>
      <c r="W465" s="33"/>
    </row>
    <row r="466" spans="2:23">
      <c r="B466" s="3">
        <v>44363</v>
      </c>
      <c r="C466" s="6" t="s">
        <v>100</v>
      </c>
      <c r="D466" s="6" t="s">
        <v>30</v>
      </c>
      <c r="E466" s="5">
        <v>140</v>
      </c>
      <c r="F466" s="5">
        <v>0.96499999999999997</v>
      </c>
      <c r="G466" s="5">
        <f>StockTransactionsTable[[#This Row],[Shares No.]]*StockTransactionsTable[[#This Row],[Amount per Share]]</f>
        <v>135.1</v>
      </c>
      <c r="H466" s="5">
        <v>0</v>
      </c>
      <c r="I46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135.1</v>
      </c>
      <c r="J466" s="19">
        <f>StockTransactionsTable[[#This Row],[Fee]]/StockTransactionsTable[[#This Row],[Total Amount]]</f>
        <v>0</v>
      </c>
      <c r="K466" s="5">
        <f>IF(StockTransactionsTable[[#This Row],[Transaction Type]]="Buy", StockTransactionsTable[[#This Row],[Total Amount with Fee]] / StockTransactionsTable[[#This Row],[Shares No.]],0)</f>
        <v>0</v>
      </c>
      <c r="L46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66" s="4">
        <f>YEAR(StockTransactionsTable[[#This Row],[Date]])</f>
        <v>2021</v>
      </c>
      <c r="N466" s="4">
        <f>MONTH(StockTransactionsTable[[#This Row],[Date]])</f>
        <v>6</v>
      </c>
      <c r="R466" s="1"/>
      <c r="V466" s="33"/>
      <c r="W466" s="33"/>
    </row>
    <row r="467" spans="2:23">
      <c r="B467" s="3">
        <v>44364</v>
      </c>
      <c r="C467" s="6" t="s">
        <v>95</v>
      </c>
      <c r="D467" s="6" t="s">
        <v>30</v>
      </c>
      <c r="E467" s="5">
        <v>56</v>
      </c>
      <c r="F467" s="5">
        <v>1.65</v>
      </c>
      <c r="G467" s="5">
        <f>StockTransactionsTable[[#This Row],[Shares No.]]*StockTransactionsTable[[#This Row],[Amount per Share]]</f>
        <v>92.399999999999991</v>
      </c>
      <c r="H467" s="5">
        <v>0</v>
      </c>
      <c r="I46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92.399999999999991</v>
      </c>
      <c r="J467" s="19">
        <f>StockTransactionsTable[[#This Row],[Fee]]/StockTransactionsTable[[#This Row],[Total Amount]]</f>
        <v>0</v>
      </c>
      <c r="K467" s="5">
        <f>IF(StockTransactionsTable[[#This Row],[Transaction Type]]="Buy", StockTransactionsTable[[#This Row],[Total Amount with Fee]] / StockTransactionsTable[[#This Row],[Shares No.]],0)</f>
        <v>0</v>
      </c>
      <c r="L46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67" s="4">
        <f>YEAR(StockTransactionsTable[[#This Row],[Date]])</f>
        <v>2021</v>
      </c>
      <c r="N467" s="4">
        <f>MONTH(StockTransactionsTable[[#This Row],[Date]])</f>
        <v>6</v>
      </c>
      <c r="R467" s="1"/>
      <c r="V467" s="33"/>
      <c r="W467" s="33"/>
    </row>
    <row r="468" spans="2:23">
      <c r="B468" s="3">
        <v>44377</v>
      </c>
      <c r="C468" s="6" t="s">
        <v>18</v>
      </c>
      <c r="D468" s="6" t="s">
        <v>30</v>
      </c>
      <c r="E468" s="5">
        <v>10</v>
      </c>
      <c r="F468" s="5">
        <v>1.075</v>
      </c>
      <c r="G468" s="5">
        <f>StockTransactionsTable[[#This Row],[Shares No.]]*StockTransactionsTable[[#This Row],[Amount per Share]]</f>
        <v>10.75</v>
      </c>
      <c r="H468" s="5">
        <v>0</v>
      </c>
      <c r="I46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10.75</v>
      </c>
      <c r="J468" s="19">
        <f>StockTransactionsTable[[#This Row],[Fee]]/StockTransactionsTable[[#This Row],[Total Amount]]</f>
        <v>0</v>
      </c>
      <c r="K468" s="5">
        <f>IF(StockTransactionsTable[[#This Row],[Transaction Type]]="Buy", StockTransactionsTable[[#This Row],[Total Amount with Fee]] / StockTransactionsTable[[#This Row],[Shares No.]],0)</f>
        <v>0</v>
      </c>
      <c r="L46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68" s="4">
        <f>YEAR(StockTransactionsTable[[#This Row],[Date]])</f>
        <v>2021</v>
      </c>
      <c r="N468" s="4">
        <f>MONTH(StockTransactionsTable[[#This Row],[Date]])</f>
        <v>6</v>
      </c>
      <c r="R468" s="1"/>
      <c r="V468" s="33"/>
      <c r="W468" s="33"/>
    </row>
    <row r="469" spans="2:23">
      <c r="B469" s="3">
        <v>44378</v>
      </c>
      <c r="C469" s="6" t="s">
        <v>23</v>
      </c>
      <c r="D469" s="6" t="s">
        <v>30</v>
      </c>
      <c r="E469" s="5">
        <v>58</v>
      </c>
      <c r="F469" s="5">
        <v>0.42</v>
      </c>
      <c r="G469" s="5">
        <f>StockTransactionsTable[[#This Row],[Shares No.]]*StockTransactionsTable[[#This Row],[Amount per Share]]</f>
        <v>24.36</v>
      </c>
      <c r="H469" s="5">
        <v>0</v>
      </c>
      <c r="I46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24.36</v>
      </c>
      <c r="J469" s="19">
        <f>StockTransactionsTable[[#This Row],[Fee]]/StockTransactionsTable[[#This Row],[Total Amount]]</f>
        <v>0</v>
      </c>
      <c r="K469" s="5">
        <f>IF(StockTransactionsTable[[#This Row],[Transaction Type]]="Buy", StockTransactionsTable[[#This Row],[Total Amount with Fee]] / StockTransactionsTable[[#This Row],[Shares No.]],0)</f>
        <v>0</v>
      </c>
      <c r="L46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69" s="4">
        <f>YEAR(StockTransactionsTable[[#This Row],[Date]])</f>
        <v>2021</v>
      </c>
      <c r="N469" s="4">
        <f>MONTH(StockTransactionsTable[[#This Row],[Date]])</f>
        <v>7</v>
      </c>
      <c r="R469" s="1"/>
      <c r="V469" s="33"/>
      <c r="W469" s="33"/>
    </row>
    <row r="470" spans="2:23">
      <c r="B470" s="3">
        <v>44392</v>
      </c>
      <c r="C470" s="6" t="s">
        <v>12</v>
      </c>
      <c r="D470" s="6" t="s">
        <v>30</v>
      </c>
      <c r="E470" s="5">
        <v>64</v>
      </c>
      <c r="F470" s="5">
        <v>0.23550000000000001</v>
      </c>
      <c r="G470" s="5">
        <f>StockTransactionsTable[[#This Row],[Shares No.]]*StockTransactionsTable[[#This Row],[Amount per Share]]</f>
        <v>15.072000000000001</v>
      </c>
      <c r="H470" s="5">
        <v>0</v>
      </c>
      <c r="I47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15.072000000000001</v>
      </c>
      <c r="J470" s="19">
        <f>StockTransactionsTable[[#This Row],[Fee]]/StockTransactionsTable[[#This Row],[Total Amount]]</f>
        <v>0</v>
      </c>
      <c r="K470" s="5">
        <f>IF(StockTransactionsTable[[#This Row],[Transaction Type]]="Buy", StockTransactionsTable[[#This Row],[Total Amount with Fee]] / StockTransactionsTable[[#This Row],[Shares No.]],0)</f>
        <v>0</v>
      </c>
      <c r="L47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70" s="4">
        <f>YEAR(StockTransactionsTable[[#This Row],[Date]])</f>
        <v>2021</v>
      </c>
      <c r="N470" s="4">
        <f>MONTH(StockTransactionsTable[[#This Row],[Date]])</f>
        <v>7</v>
      </c>
      <c r="R470" s="1"/>
      <c r="V470" s="33"/>
      <c r="W470" s="33"/>
    </row>
    <row r="471" spans="2:23">
      <c r="B471" s="3">
        <v>44400</v>
      </c>
      <c r="C471" s="6" t="s">
        <v>20</v>
      </c>
      <c r="D471" s="6" t="s">
        <v>29</v>
      </c>
      <c r="E471" s="5">
        <v>15</v>
      </c>
      <c r="F471" s="5" vm="497">
        <v>150.63999999999999</v>
      </c>
      <c r="G471" s="5">
        <f>StockTransactionsTable[[#This Row],[Shares No.]]*StockTransactionsTable[[#This Row],[Amount per Share]]</f>
        <v>2259.6</v>
      </c>
      <c r="H471" s="5">
        <v>0.97254479092994428</v>
      </c>
      <c r="I47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2260.5725447909299</v>
      </c>
      <c r="J471" s="19">
        <f>StockTransactionsTable[[#This Row],[Fee]]/StockTransactionsTable[[#This Row],[Total Amount]]</f>
        <v>4.3040573151440268E-4</v>
      </c>
      <c r="K471" s="5">
        <f>IF(StockTransactionsTable[[#This Row],[Transaction Type]]="Buy", StockTransactionsTable[[#This Row],[Total Amount with Fee]] / StockTransactionsTable[[#This Row],[Shares No.]],0)</f>
        <v>150.70483631939533</v>
      </c>
      <c r="L47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71" s="4">
        <f>YEAR(StockTransactionsTable[[#This Row],[Date]])</f>
        <v>2021</v>
      </c>
      <c r="N471" s="4">
        <f>MONTH(StockTransactionsTable[[#This Row],[Date]])</f>
        <v>7</v>
      </c>
      <c r="R471" s="1"/>
      <c r="V471" s="33"/>
      <c r="W471" s="33"/>
    </row>
    <row r="472" spans="2:23">
      <c r="B472" s="3">
        <v>44408</v>
      </c>
      <c r="C472" s="6" t="s">
        <v>20</v>
      </c>
      <c r="D472" s="6" t="s">
        <v>30</v>
      </c>
      <c r="E472" s="5">
        <v>78</v>
      </c>
      <c r="F472" s="5">
        <v>0.9</v>
      </c>
      <c r="G472" s="5">
        <f>StockTransactionsTable[[#This Row],[Shares No.]]*StockTransactionsTable[[#This Row],[Amount per Share]]</f>
        <v>70.2</v>
      </c>
      <c r="H472" s="5">
        <v>0</v>
      </c>
      <c r="I47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70.2</v>
      </c>
      <c r="J472" s="19">
        <f>StockTransactionsTable[[#This Row],[Fee]]/StockTransactionsTable[[#This Row],[Total Amount]]</f>
        <v>0</v>
      </c>
      <c r="K472" s="5">
        <f>IF(StockTransactionsTable[[#This Row],[Transaction Type]]="Buy", StockTransactionsTable[[#This Row],[Total Amount with Fee]] / StockTransactionsTable[[#This Row],[Shares No.]],0)</f>
        <v>0</v>
      </c>
      <c r="L47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72" s="4">
        <f>YEAR(StockTransactionsTable[[#This Row],[Date]])</f>
        <v>2021</v>
      </c>
      <c r="N472" s="4">
        <f>MONTH(StockTransactionsTable[[#This Row],[Date]])</f>
        <v>7</v>
      </c>
      <c r="R472" s="1"/>
      <c r="V472" s="33"/>
      <c r="W472" s="33"/>
    </row>
    <row r="473" spans="2:23">
      <c r="B473" s="3">
        <v>44410</v>
      </c>
      <c r="C473" s="6" t="s">
        <v>15</v>
      </c>
      <c r="D473" s="6" t="s">
        <v>30</v>
      </c>
      <c r="E473" s="5">
        <v>124</v>
      </c>
      <c r="F473" s="5">
        <v>0.52</v>
      </c>
      <c r="G473" s="5">
        <f>StockTransactionsTable[[#This Row],[Shares No.]]*StockTransactionsTable[[#This Row],[Amount per Share]]</f>
        <v>64.48</v>
      </c>
      <c r="H473" s="5">
        <v>0</v>
      </c>
      <c r="I47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64.48</v>
      </c>
      <c r="J473" s="19">
        <f>StockTransactionsTable[[#This Row],[Fee]]/StockTransactionsTable[[#This Row],[Total Amount]]</f>
        <v>0</v>
      </c>
      <c r="K473" s="5">
        <f>IF(StockTransactionsTable[[#This Row],[Transaction Type]]="Buy", StockTransactionsTable[[#This Row],[Total Amount with Fee]] / StockTransactionsTable[[#This Row],[Shares No.]],0)</f>
        <v>0</v>
      </c>
      <c r="L47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73" s="4">
        <f>YEAR(StockTransactionsTable[[#This Row],[Date]])</f>
        <v>2021</v>
      </c>
      <c r="N473" s="4">
        <f>MONTH(StockTransactionsTable[[#This Row],[Date]])</f>
        <v>8</v>
      </c>
      <c r="R473" s="1"/>
      <c r="V473" s="33"/>
      <c r="W473" s="33"/>
    </row>
    <row r="474" spans="2:23">
      <c r="B474" s="3">
        <v>44421</v>
      </c>
      <c r="C474" s="6" t="s">
        <v>19</v>
      </c>
      <c r="D474" s="6" t="s">
        <v>30</v>
      </c>
      <c r="E474" s="5">
        <v>57</v>
      </c>
      <c r="F474" s="5">
        <v>1.1599999999999999</v>
      </c>
      <c r="G474" s="5">
        <f>StockTransactionsTable[[#This Row],[Shares No.]]*StockTransactionsTable[[#This Row],[Amount per Share]]</f>
        <v>66.11999999999999</v>
      </c>
      <c r="H474" s="5">
        <v>0</v>
      </c>
      <c r="I47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66.11999999999999</v>
      </c>
      <c r="J474" s="19">
        <f>StockTransactionsTable[[#This Row],[Fee]]/StockTransactionsTable[[#This Row],[Total Amount]]</f>
        <v>0</v>
      </c>
      <c r="K474" s="5">
        <f>IF(StockTransactionsTable[[#This Row],[Transaction Type]]="Buy", StockTransactionsTable[[#This Row],[Total Amount with Fee]] / StockTransactionsTable[[#This Row],[Shares No.]],0)</f>
        <v>0</v>
      </c>
      <c r="L47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74" s="4">
        <f>YEAR(StockTransactionsTable[[#This Row],[Date]])</f>
        <v>2021</v>
      </c>
      <c r="N474" s="4">
        <f>MONTH(StockTransactionsTable[[#This Row],[Date]])</f>
        <v>8</v>
      </c>
      <c r="R474" s="1"/>
      <c r="V474" s="33"/>
      <c r="W474" s="33"/>
    </row>
    <row r="475" spans="2:23">
      <c r="B475" s="3">
        <v>44421</v>
      </c>
      <c r="C475" s="6" t="s">
        <v>12</v>
      </c>
      <c r="D475" s="6" t="s">
        <v>30</v>
      </c>
      <c r="E475" s="5">
        <v>64</v>
      </c>
      <c r="F475" s="5">
        <v>0.23550000000000001</v>
      </c>
      <c r="G475" s="5">
        <f>StockTransactionsTable[[#This Row],[Shares No.]]*StockTransactionsTable[[#This Row],[Amount per Share]]</f>
        <v>15.072000000000001</v>
      </c>
      <c r="H475" s="5">
        <v>0</v>
      </c>
      <c r="I47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15.072000000000001</v>
      </c>
      <c r="J475" s="19">
        <f>StockTransactionsTable[[#This Row],[Fee]]/StockTransactionsTable[[#This Row],[Total Amount]]</f>
        <v>0</v>
      </c>
      <c r="K475" s="5">
        <f>IF(StockTransactionsTable[[#This Row],[Transaction Type]]="Buy", StockTransactionsTable[[#This Row],[Total Amount with Fee]] / StockTransactionsTable[[#This Row],[Shares No.]],0)</f>
        <v>0</v>
      </c>
      <c r="L47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75" s="4">
        <f>YEAR(StockTransactionsTable[[#This Row],[Date]])</f>
        <v>2021</v>
      </c>
      <c r="N475" s="4">
        <f>MONTH(StockTransactionsTable[[#This Row],[Date]])</f>
        <v>8</v>
      </c>
      <c r="R475" s="1"/>
      <c r="V475" s="33"/>
      <c r="W475" s="33"/>
    </row>
    <row r="476" spans="2:23">
      <c r="B476" s="3">
        <v>44424</v>
      </c>
      <c r="C476" s="6" t="s">
        <v>86</v>
      </c>
      <c r="D476" s="6" t="s">
        <v>30</v>
      </c>
      <c r="E476" s="5">
        <v>114</v>
      </c>
      <c r="F476" s="5">
        <v>1.3</v>
      </c>
      <c r="G476" s="5">
        <f>StockTransactionsTable[[#This Row],[Shares No.]]*StockTransactionsTable[[#This Row],[Amount per Share]]</f>
        <v>148.20000000000002</v>
      </c>
      <c r="H476" s="5">
        <v>0</v>
      </c>
      <c r="I47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148.20000000000002</v>
      </c>
      <c r="J476" s="19">
        <f>StockTransactionsTable[[#This Row],[Fee]]/StockTransactionsTable[[#This Row],[Total Amount]]</f>
        <v>0</v>
      </c>
      <c r="K476" s="5">
        <f>IF(StockTransactionsTable[[#This Row],[Transaction Type]]="Buy", StockTransactionsTable[[#This Row],[Total Amount with Fee]] / StockTransactionsTable[[#This Row],[Shares No.]],0)</f>
        <v>0</v>
      </c>
      <c r="L47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76" s="4">
        <f>YEAR(StockTransactionsTable[[#This Row],[Date]])</f>
        <v>2021</v>
      </c>
      <c r="N476" s="4">
        <f>MONTH(StockTransactionsTable[[#This Row],[Date]])</f>
        <v>8</v>
      </c>
      <c r="R476" s="1"/>
      <c r="V476" s="33"/>
      <c r="W476" s="33"/>
    </row>
    <row r="477" spans="2:23">
      <c r="B477" s="3">
        <v>44424</v>
      </c>
      <c r="C477" s="6" t="s">
        <v>21</v>
      </c>
      <c r="D477" s="6" t="s">
        <v>30</v>
      </c>
      <c r="E477" s="5">
        <v>28</v>
      </c>
      <c r="F477" s="5">
        <v>0.86980000000000002</v>
      </c>
      <c r="G477" s="5">
        <f>StockTransactionsTable[[#This Row],[Shares No.]]*StockTransactionsTable[[#This Row],[Amount per Share]]</f>
        <v>24.354400000000002</v>
      </c>
      <c r="H477" s="5">
        <v>0</v>
      </c>
      <c r="I47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24.354400000000002</v>
      </c>
      <c r="J477" s="19">
        <f>StockTransactionsTable[[#This Row],[Fee]]/StockTransactionsTable[[#This Row],[Total Amount]]</f>
        <v>0</v>
      </c>
      <c r="K477" s="5">
        <f>IF(StockTransactionsTable[[#This Row],[Transaction Type]]="Buy", StockTransactionsTable[[#This Row],[Total Amount with Fee]] / StockTransactionsTable[[#This Row],[Shares No.]],0)</f>
        <v>0</v>
      </c>
      <c r="L47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77" s="4">
        <f>YEAR(StockTransactionsTable[[#This Row],[Date]])</f>
        <v>2021</v>
      </c>
      <c r="N477" s="4">
        <f>MONTH(StockTransactionsTable[[#This Row],[Date]])</f>
        <v>8</v>
      </c>
      <c r="R477" s="1"/>
      <c r="V477" s="33"/>
      <c r="W477" s="33"/>
    </row>
    <row r="478" spans="2:23">
      <c r="B478" s="3">
        <v>44428</v>
      </c>
      <c r="C478" s="6" t="s">
        <v>22</v>
      </c>
      <c r="D478" s="6" t="s">
        <v>30</v>
      </c>
      <c r="E478" s="5">
        <v>81</v>
      </c>
      <c r="F478" s="5">
        <v>1.1100000000000001</v>
      </c>
      <c r="G478" s="5">
        <f>StockTransactionsTable[[#This Row],[Shares No.]]*StockTransactionsTable[[#This Row],[Amount per Share]]</f>
        <v>89.910000000000011</v>
      </c>
      <c r="H478" s="5">
        <v>0</v>
      </c>
      <c r="I47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89.910000000000011</v>
      </c>
      <c r="J478" s="19">
        <f>StockTransactionsTable[[#This Row],[Fee]]/StockTransactionsTable[[#This Row],[Total Amount]]</f>
        <v>0</v>
      </c>
      <c r="K478" s="5">
        <f>IF(StockTransactionsTable[[#This Row],[Transaction Type]]="Buy", StockTransactionsTable[[#This Row],[Total Amount with Fee]] / StockTransactionsTable[[#This Row],[Shares No.]],0)</f>
        <v>0</v>
      </c>
      <c r="L47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78" s="4">
        <f>YEAR(StockTransactionsTable[[#This Row],[Date]])</f>
        <v>2021</v>
      </c>
      <c r="N478" s="4">
        <f>MONTH(StockTransactionsTable[[#This Row],[Date]])</f>
        <v>8</v>
      </c>
      <c r="R478" s="1"/>
      <c r="V478" s="33"/>
      <c r="W478" s="33"/>
    </row>
    <row r="479" spans="2:23">
      <c r="B479" s="3">
        <v>44433</v>
      </c>
      <c r="C479" s="6" t="s">
        <v>22</v>
      </c>
      <c r="D479" s="6" t="s">
        <v>29</v>
      </c>
      <c r="E479" s="5">
        <v>25</v>
      </c>
      <c r="F479" s="5" vm="498">
        <v>214.76</v>
      </c>
      <c r="G479" s="5">
        <f>StockTransactionsTable[[#This Row],[Shares No.]]*StockTransactionsTable[[#This Row],[Amount per Share]]</f>
        <v>5369</v>
      </c>
      <c r="H479" s="5">
        <v>2.4863565505449285</v>
      </c>
      <c r="I47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5371.4863565505448</v>
      </c>
      <c r="J479" s="19">
        <f>StockTransactionsTable[[#This Row],[Fee]]/StockTransactionsTable[[#This Row],[Total Amount]]</f>
        <v>4.6309490604301145E-4</v>
      </c>
      <c r="K479" s="5">
        <f>IF(StockTransactionsTable[[#This Row],[Transaction Type]]="Buy", StockTransactionsTable[[#This Row],[Total Amount with Fee]] / StockTransactionsTable[[#This Row],[Shares No.]],0)</f>
        <v>214.85945426202179</v>
      </c>
      <c r="L47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79" s="4">
        <f>YEAR(StockTransactionsTable[[#This Row],[Date]])</f>
        <v>2021</v>
      </c>
      <c r="N479" s="4">
        <f>MONTH(StockTransactionsTable[[#This Row],[Date]])</f>
        <v>8</v>
      </c>
      <c r="R479" s="1"/>
      <c r="V479" s="33"/>
      <c r="W479" s="33"/>
    </row>
    <row r="480" spans="2:23">
      <c r="B480" s="3">
        <v>44446</v>
      </c>
      <c r="C480" s="6" t="s">
        <v>84</v>
      </c>
      <c r="D480" s="6" t="s">
        <v>30</v>
      </c>
      <c r="E480" s="5">
        <v>51</v>
      </c>
      <c r="F480" s="5">
        <v>1.06</v>
      </c>
      <c r="G480" s="5">
        <f>StockTransactionsTable[[#This Row],[Shares No.]]*StockTransactionsTable[[#This Row],[Amount per Share]]</f>
        <v>54.06</v>
      </c>
      <c r="H480" s="5">
        <v>0</v>
      </c>
      <c r="I48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54.06</v>
      </c>
      <c r="J480" s="19">
        <f>StockTransactionsTable[[#This Row],[Fee]]/StockTransactionsTable[[#This Row],[Total Amount]]</f>
        <v>0</v>
      </c>
      <c r="K480" s="5">
        <f>IF(StockTransactionsTable[[#This Row],[Transaction Type]]="Buy", StockTransactionsTable[[#This Row],[Total Amount with Fee]] / StockTransactionsTable[[#This Row],[Shares No.]],0)</f>
        <v>0</v>
      </c>
      <c r="L48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80" s="4">
        <f>YEAR(StockTransactionsTable[[#This Row],[Date]])</f>
        <v>2021</v>
      </c>
      <c r="N480" s="4">
        <f>MONTH(StockTransactionsTable[[#This Row],[Date]])</f>
        <v>9</v>
      </c>
      <c r="R480" s="1"/>
      <c r="V480" s="33"/>
      <c r="W480" s="33"/>
    </row>
    <row r="481" spans="2:23">
      <c r="B481" s="3">
        <v>44446</v>
      </c>
      <c r="C481" s="6" t="s">
        <v>13</v>
      </c>
      <c r="D481" s="6" t="s">
        <v>30</v>
      </c>
      <c r="E481" s="5">
        <v>55</v>
      </c>
      <c r="F481" s="5">
        <v>0.39</v>
      </c>
      <c r="G481" s="5">
        <f>StockTransactionsTable[[#This Row],[Shares No.]]*StockTransactionsTable[[#This Row],[Amount per Share]]</f>
        <v>21.45</v>
      </c>
      <c r="H481" s="5">
        <v>0</v>
      </c>
      <c r="I48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21.45</v>
      </c>
      <c r="J481" s="19">
        <f>StockTransactionsTable[[#This Row],[Fee]]/StockTransactionsTable[[#This Row],[Total Amount]]</f>
        <v>0</v>
      </c>
      <c r="K481" s="5">
        <f>IF(StockTransactionsTable[[#This Row],[Transaction Type]]="Buy", StockTransactionsTable[[#This Row],[Total Amount with Fee]] / StockTransactionsTable[[#This Row],[Shares No.]],0)</f>
        <v>0</v>
      </c>
      <c r="L48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81" s="4">
        <f>YEAR(StockTransactionsTable[[#This Row],[Date]])</f>
        <v>2021</v>
      </c>
      <c r="N481" s="4">
        <f>MONTH(StockTransactionsTable[[#This Row],[Date]])</f>
        <v>9</v>
      </c>
      <c r="R481" s="1"/>
      <c r="V481" s="33"/>
      <c r="W481" s="33"/>
    </row>
    <row r="482" spans="2:23">
      <c r="B482" s="3">
        <v>44448</v>
      </c>
      <c r="C482" s="6" t="s">
        <v>91</v>
      </c>
      <c r="D482" s="6" t="s">
        <v>30</v>
      </c>
      <c r="E482" s="5">
        <v>147</v>
      </c>
      <c r="F482" s="5">
        <v>0.56000000000000005</v>
      </c>
      <c r="G482" s="5">
        <f>StockTransactionsTable[[#This Row],[Shares No.]]*StockTransactionsTable[[#This Row],[Amount per Share]]</f>
        <v>82.320000000000007</v>
      </c>
      <c r="H482" s="5">
        <v>0</v>
      </c>
      <c r="I48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82.320000000000007</v>
      </c>
      <c r="J482" s="19">
        <f>StockTransactionsTable[[#This Row],[Fee]]/StockTransactionsTable[[#This Row],[Total Amount]]</f>
        <v>0</v>
      </c>
      <c r="K482" s="5">
        <f>IF(StockTransactionsTable[[#This Row],[Transaction Type]]="Buy", StockTransactionsTable[[#This Row],[Total Amount with Fee]] / StockTransactionsTable[[#This Row],[Shares No.]],0)</f>
        <v>0</v>
      </c>
      <c r="L48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82" s="4">
        <f>YEAR(StockTransactionsTable[[#This Row],[Date]])</f>
        <v>2021</v>
      </c>
      <c r="N482" s="4">
        <f>MONTH(StockTransactionsTable[[#This Row],[Date]])</f>
        <v>9</v>
      </c>
      <c r="R482" s="1"/>
      <c r="V482" s="33"/>
      <c r="W482" s="33"/>
    </row>
    <row r="483" spans="2:23">
      <c r="B483" s="3">
        <v>44449</v>
      </c>
      <c r="C483" s="6" t="s">
        <v>17</v>
      </c>
      <c r="D483" s="6" t="s">
        <v>30</v>
      </c>
      <c r="E483" s="5">
        <v>113</v>
      </c>
      <c r="F483" s="5">
        <v>1.64</v>
      </c>
      <c r="G483" s="5">
        <f>StockTransactionsTable[[#This Row],[Shares No.]]*StockTransactionsTable[[#This Row],[Amount per Share]]</f>
        <v>185.32</v>
      </c>
      <c r="H483" s="5">
        <v>0</v>
      </c>
      <c r="I48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185.32</v>
      </c>
      <c r="J483" s="19">
        <f>StockTransactionsTable[[#This Row],[Fee]]/StockTransactionsTable[[#This Row],[Total Amount]]</f>
        <v>0</v>
      </c>
      <c r="K483" s="5">
        <f>IF(StockTransactionsTable[[#This Row],[Transaction Type]]="Buy", StockTransactionsTable[[#This Row],[Total Amount with Fee]] / StockTransactionsTable[[#This Row],[Shares No.]],0)</f>
        <v>0</v>
      </c>
      <c r="L48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83" s="4">
        <f>YEAR(StockTransactionsTable[[#This Row],[Date]])</f>
        <v>2021</v>
      </c>
      <c r="N483" s="4">
        <f>MONTH(StockTransactionsTable[[#This Row],[Date]])</f>
        <v>9</v>
      </c>
      <c r="R483" s="1"/>
      <c r="V483" s="33"/>
      <c r="W483" s="33"/>
    </row>
    <row r="484" spans="2:23">
      <c r="B484" s="3">
        <v>44449</v>
      </c>
      <c r="C484" s="6" t="s">
        <v>106</v>
      </c>
      <c r="D484" s="6" t="s">
        <v>30</v>
      </c>
      <c r="E484" s="5">
        <v>88</v>
      </c>
      <c r="F484" s="5">
        <v>0.59</v>
      </c>
      <c r="G484" s="5">
        <f>StockTransactionsTable[[#This Row],[Shares No.]]*StockTransactionsTable[[#This Row],[Amount per Share]]</f>
        <v>51.919999999999995</v>
      </c>
      <c r="H484" s="5">
        <v>0</v>
      </c>
      <c r="I48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51.919999999999995</v>
      </c>
      <c r="J484" s="19">
        <f>StockTransactionsTable[[#This Row],[Fee]]/StockTransactionsTable[[#This Row],[Total Amount]]</f>
        <v>0</v>
      </c>
      <c r="K484" s="5">
        <f>IF(StockTransactionsTable[[#This Row],[Transaction Type]]="Buy", StockTransactionsTable[[#This Row],[Total Amount with Fee]] / StockTransactionsTable[[#This Row],[Shares No.]],0)</f>
        <v>0</v>
      </c>
      <c r="L48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84" s="4">
        <f>YEAR(StockTransactionsTable[[#This Row],[Date]])</f>
        <v>2021</v>
      </c>
      <c r="N484" s="4">
        <f>MONTH(StockTransactionsTable[[#This Row],[Date]])</f>
        <v>9</v>
      </c>
      <c r="R484" s="1"/>
      <c r="V484" s="33"/>
      <c r="W484" s="33"/>
    </row>
    <row r="485" spans="2:23">
      <c r="B485" s="3">
        <v>44449</v>
      </c>
      <c r="C485" s="6" t="s">
        <v>16</v>
      </c>
      <c r="D485" s="6" t="s">
        <v>30</v>
      </c>
      <c r="E485" s="5">
        <v>185</v>
      </c>
      <c r="F485" s="5">
        <v>0.87</v>
      </c>
      <c r="G485" s="5">
        <f>StockTransactionsTable[[#This Row],[Shares No.]]*StockTransactionsTable[[#This Row],[Amount per Share]]</f>
        <v>160.94999999999999</v>
      </c>
      <c r="H485" s="5">
        <v>0</v>
      </c>
      <c r="I48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160.94999999999999</v>
      </c>
      <c r="J485" s="19">
        <f>StockTransactionsTable[[#This Row],[Fee]]/StockTransactionsTable[[#This Row],[Total Amount]]</f>
        <v>0</v>
      </c>
      <c r="K485" s="5">
        <f>IF(StockTransactionsTable[[#This Row],[Transaction Type]]="Buy", StockTransactionsTable[[#This Row],[Total Amount with Fee]] / StockTransactionsTable[[#This Row],[Shares No.]],0)</f>
        <v>0</v>
      </c>
      <c r="L48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85" s="4">
        <f>YEAR(StockTransactionsTable[[#This Row],[Date]])</f>
        <v>2021</v>
      </c>
      <c r="N485" s="4">
        <f>MONTH(StockTransactionsTable[[#This Row],[Date]])</f>
        <v>9</v>
      </c>
      <c r="R485" s="1"/>
      <c r="V485" s="33"/>
      <c r="W485" s="33"/>
    </row>
    <row r="486" spans="2:23">
      <c r="B486" s="3">
        <v>44454</v>
      </c>
      <c r="C486" s="6" t="s">
        <v>14</v>
      </c>
      <c r="D486" s="6" t="s">
        <v>30</v>
      </c>
      <c r="E486" s="5">
        <v>12</v>
      </c>
      <c r="F486" s="5">
        <v>0.33450000000000002</v>
      </c>
      <c r="G486" s="5">
        <f>StockTransactionsTable[[#This Row],[Shares No.]]*StockTransactionsTable[[#This Row],[Amount per Share]]</f>
        <v>4.0140000000000002</v>
      </c>
      <c r="H486" s="5">
        <v>0</v>
      </c>
      <c r="I48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4.0140000000000002</v>
      </c>
      <c r="J486" s="19">
        <f>StockTransactionsTable[[#This Row],[Fee]]/StockTransactionsTable[[#This Row],[Total Amount]]</f>
        <v>0</v>
      </c>
      <c r="K486" s="5">
        <f>IF(StockTransactionsTable[[#This Row],[Transaction Type]]="Buy", StockTransactionsTable[[#This Row],[Total Amount with Fee]] / StockTransactionsTable[[#This Row],[Shares No.]],0)</f>
        <v>0</v>
      </c>
      <c r="L48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86" s="4">
        <f>YEAR(StockTransactionsTable[[#This Row],[Date]])</f>
        <v>2021</v>
      </c>
      <c r="N486" s="4">
        <f>MONTH(StockTransactionsTable[[#This Row],[Date]])</f>
        <v>9</v>
      </c>
      <c r="R486" s="1"/>
      <c r="V486" s="33"/>
      <c r="W486" s="33"/>
    </row>
    <row r="487" spans="2:23">
      <c r="B487" s="3">
        <v>44454</v>
      </c>
      <c r="C487" s="6" t="s">
        <v>88</v>
      </c>
      <c r="D487" s="6" t="s">
        <v>30</v>
      </c>
      <c r="E487" s="5">
        <v>59</v>
      </c>
      <c r="F487" s="5">
        <v>1.29</v>
      </c>
      <c r="G487" s="5">
        <f>StockTransactionsTable[[#This Row],[Shares No.]]*StockTransactionsTable[[#This Row],[Amount per Share]]</f>
        <v>76.11</v>
      </c>
      <c r="H487" s="5">
        <v>0</v>
      </c>
      <c r="I48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76.11</v>
      </c>
      <c r="J487" s="19">
        <f>StockTransactionsTable[[#This Row],[Fee]]/StockTransactionsTable[[#This Row],[Total Amount]]</f>
        <v>0</v>
      </c>
      <c r="K487" s="5">
        <f>IF(StockTransactionsTable[[#This Row],[Transaction Type]]="Buy", StockTransactionsTable[[#This Row],[Total Amount with Fee]] / StockTransactionsTable[[#This Row],[Shares No.]],0)</f>
        <v>0</v>
      </c>
      <c r="L48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87" s="4">
        <f>YEAR(StockTransactionsTable[[#This Row],[Date]])</f>
        <v>2021</v>
      </c>
      <c r="N487" s="4">
        <f>MONTH(StockTransactionsTable[[#This Row],[Date]])</f>
        <v>9</v>
      </c>
      <c r="R487" s="1"/>
      <c r="V487" s="33"/>
      <c r="W487" s="33"/>
    </row>
    <row r="488" spans="2:23">
      <c r="B488" s="3">
        <v>44454</v>
      </c>
      <c r="C488" s="6" t="s">
        <v>98</v>
      </c>
      <c r="D488" s="6" t="s">
        <v>30</v>
      </c>
      <c r="E488" s="5">
        <v>327</v>
      </c>
      <c r="F488" s="5">
        <v>0.38500000000000001</v>
      </c>
      <c r="G488" s="5">
        <f>StockTransactionsTable[[#This Row],[Shares No.]]*StockTransactionsTable[[#This Row],[Amount per Share]]</f>
        <v>125.895</v>
      </c>
      <c r="H488" s="5">
        <v>0</v>
      </c>
      <c r="I48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125.895</v>
      </c>
      <c r="J488" s="19">
        <f>StockTransactionsTable[[#This Row],[Fee]]/StockTransactionsTable[[#This Row],[Total Amount]]</f>
        <v>0</v>
      </c>
      <c r="K488" s="5">
        <f>IF(StockTransactionsTable[[#This Row],[Transaction Type]]="Buy", StockTransactionsTable[[#This Row],[Total Amount with Fee]] / StockTransactionsTable[[#This Row],[Shares No.]],0)</f>
        <v>0</v>
      </c>
      <c r="L48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88" s="4">
        <f>YEAR(StockTransactionsTable[[#This Row],[Date]])</f>
        <v>2021</v>
      </c>
      <c r="N488" s="4">
        <f>MONTH(StockTransactionsTable[[#This Row],[Date]])</f>
        <v>9</v>
      </c>
      <c r="R488" s="1"/>
      <c r="V488" s="33"/>
      <c r="W488" s="33"/>
    </row>
    <row r="489" spans="2:23">
      <c r="B489" s="3">
        <v>44454</v>
      </c>
      <c r="C489" s="6" t="s">
        <v>12</v>
      </c>
      <c r="D489" s="6" t="s">
        <v>30</v>
      </c>
      <c r="E489" s="5">
        <v>64</v>
      </c>
      <c r="F489" s="5">
        <v>0.23550000000000001</v>
      </c>
      <c r="G489" s="5">
        <f>StockTransactionsTable[[#This Row],[Shares No.]]*StockTransactionsTable[[#This Row],[Amount per Share]]</f>
        <v>15.072000000000001</v>
      </c>
      <c r="H489" s="5">
        <v>0</v>
      </c>
      <c r="I48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15.072000000000001</v>
      </c>
      <c r="J489" s="19">
        <f>StockTransactionsTable[[#This Row],[Fee]]/StockTransactionsTable[[#This Row],[Total Amount]]</f>
        <v>0</v>
      </c>
      <c r="K489" s="5">
        <f>IF(StockTransactionsTable[[#This Row],[Transaction Type]]="Buy", StockTransactionsTable[[#This Row],[Total Amount with Fee]] / StockTransactionsTable[[#This Row],[Shares No.]],0)</f>
        <v>0</v>
      </c>
      <c r="L48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89" s="4">
        <f>YEAR(StockTransactionsTable[[#This Row],[Date]])</f>
        <v>2021</v>
      </c>
      <c r="N489" s="4">
        <f>MONTH(StockTransactionsTable[[#This Row],[Date]])</f>
        <v>9</v>
      </c>
      <c r="R489" s="1"/>
      <c r="V489" s="33"/>
      <c r="W489" s="33"/>
    </row>
    <row r="490" spans="2:23">
      <c r="B490" s="3">
        <v>44455</v>
      </c>
      <c r="C490" s="6" t="s">
        <v>100</v>
      </c>
      <c r="D490" s="6" t="s">
        <v>30</v>
      </c>
      <c r="E490" s="5">
        <v>140</v>
      </c>
      <c r="F490" s="5">
        <v>0.98499999999999999</v>
      </c>
      <c r="G490" s="5">
        <f>StockTransactionsTable[[#This Row],[Shares No.]]*StockTransactionsTable[[#This Row],[Amount per Share]]</f>
        <v>137.9</v>
      </c>
      <c r="H490" s="5">
        <v>0</v>
      </c>
      <c r="I49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137.9</v>
      </c>
      <c r="J490" s="19">
        <f>StockTransactionsTable[[#This Row],[Fee]]/StockTransactionsTable[[#This Row],[Total Amount]]</f>
        <v>0</v>
      </c>
      <c r="K490" s="5">
        <f>IF(StockTransactionsTable[[#This Row],[Transaction Type]]="Buy", StockTransactionsTable[[#This Row],[Total Amount with Fee]] / StockTransactionsTable[[#This Row],[Shares No.]],0)</f>
        <v>0</v>
      </c>
      <c r="L49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90" s="4">
        <f>YEAR(StockTransactionsTable[[#This Row],[Date]])</f>
        <v>2021</v>
      </c>
      <c r="N490" s="4">
        <f>MONTH(StockTransactionsTable[[#This Row],[Date]])</f>
        <v>9</v>
      </c>
      <c r="R490" s="1"/>
      <c r="V490" s="33"/>
      <c r="W490" s="33"/>
    </row>
    <row r="491" spans="2:23">
      <c r="B491" s="3">
        <v>44455</v>
      </c>
      <c r="C491" s="6" t="s">
        <v>95</v>
      </c>
      <c r="D491" s="6" t="s">
        <v>30</v>
      </c>
      <c r="E491" s="5">
        <v>56</v>
      </c>
      <c r="F491" s="5">
        <v>1.65</v>
      </c>
      <c r="G491" s="5">
        <f>StockTransactionsTable[[#This Row],[Shares No.]]*StockTransactionsTable[[#This Row],[Amount per Share]]</f>
        <v>92.399999999999991</v>
      </c>
      <c r="H491" s="5">
        <v>0</v>
      </c>
      <c r="I49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92.399999999999991</v>
      </c>
      <c r="J491" s="19">
        <f>StockTransactionsTable[[#This Row],[Fee]]/StockTransactionsTable[[#This Row],[Total Amount]]</f>
        <v>0</v>
      </c>
      <c r="K491" s="5">
        <f>IF(StockTransactionsTable[[#This Row],[Transaction Type]]="Buy", StockTransactionsTable[[#This Row],[Total Amount with Fee]] / StockTransactionsTable[[#This Row],[Shares No.]],0)</f>
        <v>0</v>
      </c>
      <c r="L49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91" s="4">
        <f>YEAR(StockTransactionsTable[[#This Row],[Date]])</f>
        <v>2021</v>
      </c>
      <c r="N491" s="4">
        <f>MONTH(StockTransactionsTable[[#This Row],[Date]])</f>
        <v>9</v>
      </c>
      <c r="R491" s="1"/>
      <c r="V491" s="33"/>
      <c r="W491" s="33"/>
    </row>
    <row r="492" spans="2:23">
      <c r="B492" s="3">
        <v>44461</v>
      </c>
      <c r="C492" s="6" t="s">
        <v>14</v>
      </c>
      <c r="D492" s="6" t="s">
        <v>29</v>
      </c>
      <c r="E492" s="5">
        <v>16</v>
      </c>
      <c r="F492" s="5" vm="499">
        <v>31.87</v>
      </c>
      <c r="G492" s="5">
        <f>StockTransactionsTable[[#This Row],[Shares No.]]*StockTransactionsTable[[#This Row],[Amount per Share]]</f>
        <v>509.92</v>
      </c>
      <c r="H492" s="5">
        <v>0.23610638426132488</v>
      </c>
      <c r="I49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510.15610638426136</v>
      </c>
      <c r="J492" s="19">
        <f>StockTransactionsTable[[#This Row],[Fee]]/StockTransactionsTable[[#This Row],[Total Amount]]</f>
        <v>4.6302632621063084E-4</v>
      </c>
      <c r="K492" s="5">
        <f>IF(StockTransactionsTable[[#This Row],[Transaction Type]]="Buy", StockTransactionsTable[[#This Row],[Total Amount with Fee]] / StockTransactionsTable[[#This Row],[Shares No.]],0)</f>
        <v>31.884756649016335</v>
      </c>
      <c r="L49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92" s="4">
        <f>YEAR(StockTransactionsTable[[#This Row],[Date]])</f>
        <v>2021</v>
      </c>
      <c r="N492" s="4">
        <f>MONTH(StockTransactionsTable[[#This Row],[Date]])</f>
        <v>9</v>
      </c>
      <c r="R492" s="1"/>
      <c r="V492" s="33"/>
      <c r="W492" s="33"/>
    </row>
    <row r="493" spans="2:23">
      <c r="B493" s="3">
        <v>44469</v>
      </c>
      <c r="C493" s="6" t="s">
        <v>18</v>
      </c>
      <c r="D493" s="6" t="s">
        <v>30</v>
      </c>
      <c r="E493" s="5">
        <v>10</v>
      </c>
      <c r="F493" s="5">
        <v>1.075</v>
      </c>
      <c r="G493" s="5">
        <f>StockTransactionsTable[[#This Row],[Shares No.]]*StockTransactionsTable[[#This Row],[Amount per Share]]</f>
        <v>10.75</v>
      </c>
      <c r="H493" s="5">
        <v>0</v>
      </c>
      <c r="I49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10.75</v>
      </c>
      <c r="J493" s="19">
        <f>StockTransactionsTable[[#This Row],[Fee]]/StockTransactionsTable[[#This Row],[Total Amount]]</f>
        <v>0</v>
      </c>
      <c r="K493" s="5">
        <f>IF(StockTransactionsTable[[#This Row],[Transaction Type]]="Buy", StockTransactionsTable[[#This Row],[Total Amount with Fee]] / StockTransactionsTable[[#This Row],[Shares No.]],0)</f>
        <v>0</v>
      </c>
      <c r="L49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93" s="4">
        <f>YEAR(StockTransactionsTable[[#This Row],[Date]])</f>
        <v>2021</v>
      </c>
      <c r="N493" s="4">
        <f>MONTH(StockTransactionsTable[[#This Row],[Date]])</f>
        <v>9</v>
      </c>
      <c r="R493" s="1"/>
      <c r="V493" s="33"/>
      <c r="W493" s="33"/>
    </row>
    <row r="494" spans="2:23">
      <c r="B494" s="3">
        <v>44470</v>
      </c>
      <c r="C494" s="6" t="s">
        <v>23</v>
      </c>
      <c r="D494" s="6" t="s">
        <v>30</v>
      </c>
      <c r="E494" s="5">
        <v>58</v>
      </c>
      <c r="F494" s="5">
        <v>0.42</v>
      </c>
      <c r="G494" s="5">
        <f>StockTransactionsTable[[#This Row],[Shares No.]]*StockTransactionsTable[[#This Row],[Amount per Share]]</f>
        <v>24.36</v>
      </c>
      <c r="H494" s="5">
        <v>0</v>
      </c>
      <c r="I49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24.36</v>
      </c>
      <c r="J494" s="19">
        <f>StockTransactionsTable[[#This Row],[Fee]]/StockTransactionsTable[[#This Row],[Total Amount]]</f>
        <v>0</v>
      </c>
      <c r="K494" s="5">
        <f>IF(StockTransactionsTable[[#This Row],[Transaction Type]]="Buy", StockTransactionsTable[[#This Row],[Total Amount with Fee]] / StockTransactionsTable[[#This Row],[Shares No.]],0)</f>
        <v>0</v>
      </c>
      <c r="L49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94" s="4">
        <f>YEAR(StockTransactionsTable[[#This Row],[Date]])</f>
        <v>2021</v>
      </c>
      <c r="N494" s="4">
        <f>MONTH(StockTransactionsTable[[#This Row],[Date]])</f>
        <v>10</v>
      </c>
      <c r="R494" s="1"/>
      <c r="V494" s="33"/>
      <c r="W494" s="33"/>
    </row>
    <row r="495" spans="2:23">
      <c r="B495" s="3">
        <v>44484</v>
      </c>
      <c r="C495" s="6" t="s">
        <v>12</v>
      </c>
      <c r="D495" s="6" t="s">
        <v>30</v>
      </c>
      <c r="E495" s="5">
        <v>64</v>
      </c>
      <c r="F495" s="5">
        <v>0.23600000000000002</v>
      </c>
      <c r="G495" s="5">
        <f>StockTransactionsTable[[#This Row],[Shares No.]]*StockTransactionsTable[[#This Row],[Amount per Share]]</f>
        <v>15.104000000000001</v>
      </c>
      <c r="H495" s="5">
        <v>0</v>
      </c>
      <c r="I49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15.104000000000001</v>
      </c>
      <c r="J495" s="19">
        <f>StockTransactionsTable[[#This Row],[Fee]]/StockTransactionsTable[[#This Row],[Total Amount]]</f>
        <v>0</v>
      </c>
      <c r="K495" s="5">
        <f>IF(StockTransactionsTable[[#This Row],[Transaction Type]]="Buy", StockTransactionsTable[[#This Row],[Total Amount with Fee]] / StockTransactionsTable[[#This Row],[Shares No.]],0)</f>
        <v>0</v>
      </c>
      <c r="L49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95" s="4">
        <f>YEAR(StockTransactionsTable[[#This Row],[Date]])</f>
        <v>2021</v>
      </c>
      <c r="N495" s="4">
        <f>MONTH(StockTransactionsTable[[#This Row],[Date]])</f>
        <v>10</v>
      </c>
      <c r="R495" s="1"/>
      <c r="V495" s="33"/>
      <c r="W495" s="33"/>
    </row>
    <row r="496" spans="2:23">
      <c r="B496" s="3">
        <v>44497</v>
      </c>
      <c r="C496" s="6" t="s">
        <v>23</v>
      </c>
      <c r="D496" s="6" t="s">
        <v>29</v>
      </c>
      <c r="E496" s="5">
        <v>22</v>
      </c>
      <c r="F496" s="5" vm="500">
        <v>56.04</v>
      </c>
      <c r="G496" s="5">
        <f>StockTransactionsTable[[#This Row],[Shares No.]]*StockTransactionsTable[[#This Row],[Amount per Share]]</f>
        <v>1232.8799999999999</v>
      </c>
      <c r="H496" s="5">
        <v>0.60297408026810206</v>
      </c>
      <c r="I49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1233.4829740802679</v>
      </c>
      <c r="J496" s="19">
        <f>StockTransactionsTable[[#This Row],[Fee]]/StockTransactionsTable[[#This Row],[Total Amount]]</f>
        <v>4.8907767201033527E-4</v>
      </c>
      <c r="K496" s="5">
        <f>IF(StockTransactionsTable[[#This Row],[Transaction Type]]="Buy", StockTransactionsTable[[#This Row],[Total Amount with Fee]] / StockTransactionsTable[[#This Row],[Shares No.]],0)</f>
        <v>56.067407912739448</v>
      </c>
      <c r="L49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96" s="4">
        <f>YEAR(StockTransactionsTable[[#This Row],[Date]])</f>
        <v>2021</v>
      </c>
      <c r="N496" s="4">
        <f>MONTH(StockTransactionsTable[[#This Row],[Date]])</f>
        <v>10</v>
      </c>
      <c r="R496" s="1"/>
      <c r="V496" s="33"/>
      <c r="W496" s="33"/>
    </row>
    <row r="497" spans="2:23">
      <c r="B497" s="3">
        <v>44500</v>
      </c>
      <c r="C497" s="6" t="s">
        <v>20</v>
      </c>
      <c r="D497" s="6" t="s">
        <v>30</v>
      </c>
      <c r="E497" s="5">
        <v>93</v>
      </c>
      <c r="F497" s="5">
        <v>1</v>
      </c>
      <c r="G497" s="5">
        <f>StockTransactionsTable[[#This Row],[Shares No.]]*StockTransactionsTable[[#This Row],[Amount per Share]]</f>
        <v>93</v>
      </c>
      <c r="H497" s="5">
        <v>0</v>
      </c>
      <c r="I49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93</v>
      </c>
      <c r="J497" s="19">
        <f>StockTransactionsTable[[#This Row],[Fee]]/StockTransactionsTable[[#This Row],[Total Amount]]</f>
        <v>0</v>
      </c>
      <c r="K497" s="5">
        <f>IF(StockTransactionsTable[[#This Row],[Transaction Type]]="Buy", StockTransactionsTable[[#This Row],[Total Amount with Fee]] / StockTransactionsTable[[#This Row],[Shares No.]],0)</f>
        <v>0</v>
      </c>
      <c r="L49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97" s="4">
        <f>YEAR(StockTransactionsTable[[#This Row],[Date]])</f>
        <v>2021</v>
      </c>
      <c r="N497" s="4">
        <f>MONTH(StockTransactionsTable[[#This Row],[Date]])</f>
        <v>10</v>
      </c>
      <c r="R497" s="1"/>
      <c r="V497" s="33"/>
      <c r="W497" s="33"/>
    </row>
    <row r="498" spans="2:23">
      <c r="B498" s="3">
        <v>44501</v>
      </c>
      <c r="C498" s="6" t="s">
        <v>15</v>
      </c>
      <c r="D498" s="6" t="s">
        <v>30</v>
      </c>
      <c r="E498" s="5">
        <v>124</v>
      </c>
      <c r="F498" s="5">
        <v>0.52</v>
      </c>
      <c r="G498" s="5">
        <f>StockTransactionsTable[[#This Row],[Shares No.]]*StockTransactionsTable[[#This Row],[Amount per Share]]</f>
        <v>64.48</v>
      </c>
      <c r="H498" s="5">
        <v>0</v>
      </c>
      <c r="I49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64.48</v>
      </c>
      <c r="J498" s="19">
        <f>StockTransactionsTable[[#This Row],[Fee]]/StockTransactionsTable[[#This Row],[Total Amount]]</f>
        <v>0</v>
      </c>
      <c r="K498" s="5">
        <f>IF(StockTransactionsTable[[#This Row],[Transaction Type]]="Buy", StockTransactionsTable[[#This Row],[Total Amount with Fee]] / StockTransactionsTable[[#This Row],[Shares No.]],0)</f>
        <v>0</v>
      </c>
      <c r="L49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98" s="4">
        <f>YEAR(StockTransactionsTable[[#This Row],[Date]])</f>
        <v>2021</v>
      </c>
      <c r="N498" s="4">
        <f>MONTH(StockTransactionsTable[[#This Row],[Date]])</f>
        <v>11</v>
      </c>
      <c r="R498" s="1"/>
      <c r="V498" s="33"/>
      <c r="W498" s="33"/>
    </row>
    <row r="499" spans="2:23">
      <c r="B499" s="3">
        <v>44510</v>
      </c>
      <c r="C499" s="6" t="s">
        <v>19</v>
      </c>
      <c r="D499" s="6" t="s">
        <v>30</v>
      </c>
      <c r="E499" s="5">
        <v>57</v>
      </c>
      <c r="F499" s="5">
        <v>1.1599999999999999</v>
      </c>
      <c r="G499" s="5">
        <f>StockTransactionsTable[[#This Row],[Shares No.]]*StockTransactionsTable[[#This Row],[Amount per Share]]</f>
        <v>66.11999999999999</v>
      </c>
      <c r="H499" s="5">
        <v>0</v>
      </c>
      <c r="I49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66.11999999999999</v>
      </c>
      <c r="J499" s="19">
        <f>StockTransactionsTable[[#This Row],[Fee]]/StockTransactionsTable[[#This Row],[Total Amount]]</f>
        <v>0</v>
      </c>
      <c r="K499" s="5">
        <f>IF(StockTransactionsTable[[#This Row],[Transaction Type]]="Buy", StockTransactionsTable[[#This Row],[Total Amount with Fee]] / StockTransactionsTable[[#This Row],[Shares No.]],0)</f>
        <v>0</v>
      </c>
      <c r="L49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499" s="4">
        <f>YEAR(StockTransactionsTable[[#This Row],[Date]])</f>
        <v>2021</v>
      </c>
      <c r="N499" s="4">
        <f>MONTH(StockTransactionsTable[[#This Row],[Date]])</f>
        <v>11</v>
      </c>
      <c r="R499" s="1"/>
      <c r="V499" s="33"/>
      <c r="W499" s="33"/>
    </row>
    <row r="500" spans="2:23">
      <c r="B500" s="3">
        <v>44511</v>
      </c>
      <c r="C500" s="6" t="s">
        <v>17</v>
      </c>
      <c r="D500" s="6" t="s">
        <v>29</v>
      </c>
      <c r="E500" s="5">
        <v>31</v>
      </c>
      <c r="F500" s="5" vm="501">
        <v>120.27</v>
      </c>
      <c r="G500" s="5">
        <f>StockTransactionsTable[[#This Row],[Shares No.]]*StockTransactionsTable[[#This Row],[Amount per Share]]</f>
        <v>3728.37</v>
      </c>
      <c r="H500" s="5">
        <v>1.5025104223909267</v>
      </c>
      <c r="I50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3729.8725104223909</v>
      </c>
      <c r="J500" s="19">
        <f>StockTransactionsTable[[#This Row],[Fee]]/StockTransactionsTable[[#This Row],[Total Amount]]</f>
        <v>4.0299391487189491E-4</v>
      </c>
      <c r="K500" s="5">
        <f>IF(StockTransactionsTable[[#This Row],[Transaction Type]]="Buy", StockTransactionsTable[[#This Row],[Total Amount with Fee]] / StockTransactionsTable[[#This Row],[Shares No.]],0)</f>
        <v>120.31846807814163</v>
      </c>
      <c r="L50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00" s="4">
        <f>YEAR(StockTransactionsTable[[#This Row],[Date]])</f>
        <v>2021</v>
      </c>
      <c r="N500" s="4">
        <f>MONTH(StockTransactionsTable[[#This Row],[Date]])</f>
        <v>11</v>
      </c>
      <c r="R500" s="1"/>
      <c r="V500" s="33"/>
      <c r="W500" s="33"/>
    </row>
    <row r="501" spans="2:23">
      <c r="B501" s="3">
        <v>44515</v>
      </c>
      <c r="C501" s="6" t="s">
        <v>86</v>
      </c>
      <c r="D501" s="6" t="s">
        <v>30</v>
      </c>
      <c r="E501" s="5">
        <v>114</v>
      </c>
      <c r="F501" s="5">
        <v>1.3</v>
      </c>
      <c r="G501" s="5">
        <f>StockTransactionsTable[[#This Row],[Shares No.]]*StockTransactionsTable[[#This Row],[Amount per Share]]</f>
        <v>148.20000000000002</v>
      </c>
      <c r="H501" s="5">
        <v>0</v>
      </c>
      <c r="I50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148.20000000000002</v>
      </c>
      <c r="J501" s="19">
        <f>StockTransactionsTable[[#This Row],[Fee]]/StockTransactionsTable[[#This Row],[Total Amount]]</f>
        <v>0</v>
      </c>
      <c r="K501" s="5">
        <f>IF(StockTransactionsTable[[#This Row],[Transaction Type]]="Buy", StockTransactionsTable[[#This Row],[Total Amount with Fee]] / StockTransactionsTable[[#This Row],[Shares No.]],0)</f>
        <v>0</v>
      </c>
      <c r="L50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01" s="4">
        <f>YEAR(StockTransactionsTable[[#This Row],[Date]])</f>
        <v>2021</v>
      </c>
      <c r="N501" s="4">
        <f>MONTH(StockTransactionsTable[[#This Row],[Date]])</f>
        <v>11</v>
      </c>
      <c r="R501" s="1"/>
      <c r="V501" s="33"/>
      <c r="W501" s="33"/>
    </row>
    <row r="502" spans="2:23">
      <c r="B502" s="3">
        <v>44515</v>
      </c>
      <c r="C502" s="6" t="s">
        <v>12</v>
      </c>
      <c r="D502" s="6" t="s">
        <v>30</v>
      </c>
      <c r="E502" s="5">
        <v>64</v>
      </c>
      <c r="F502" s="5">
        <v>0.23600000000000002</v>
      </c>
      <c r="G502" s="5">
        <f>StockTransactionsTable[[#This Row],[Shares No.]]*StockTransactionsTable[[#This Row],[Amount per Share]]</f>
        <v>15.104000000000001</v>
      </c>
      <c r="H502" s="5">
        <v>0</v>
      </c>
      <c r="I50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15.104000000000001</v>
      </c>
      <c r="J502" s="19">
        <f>StockTransactionsTable[[#This Row],[Fee]]/StockTransactionsTable[[#This Row],[Total Amount]]</f>
        <v>0</v>
      </c>
      <c r="K502" s="5">
        <f>IF(StockTransactionsTable[[#This Row],[Transaction Type]]="Buy", StockTransactionsTable[[#This Row],[Total Amount with Fee]] / StockTransactionsTable[[#This Row],[Shares No.]],0)</f>
        <v>0</v>
      </c>
      <c r="L50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02" s="4">
        <f>YEAR(StockTransactionsTable[[#This Row],[Date]])</f>
        <v>2021</v>
      </c>
      <c r="N502" s="4">
        <f>MONTH(StockTransactionsTable[[#This Row],[Date]])</f>
        <v>11</v>
      </c>
      <c r="R502" s="1"/>
      <c r="V502" s="33"/>
      <c r="W502" s="33"/>
    </row>
    <row r="503" spans="2:23">
      <c r="B503" s="3">
        <v>44515</v>
      </c>
      <c r="C503" s="6" t="s">
        <v>21</v>
      </c>
      <c r="D503" s="6" t="s">
        <v>30</v>
      </c>
      <c r="E503" s="5">
        <v>28</v>
      </c>
      <c r="F503" s="5">
        <v>0.86980000000000002</v>
      </c>
      <c r="G503" s="5">
        <f>StockTransactionsTable[[#This Row],[Shares No.]]*StockTransactionsTable[[#This Row],[Amount per Share]]</f>
        <v>24.354400000000002</v>
      </c>
      <c r="H503" s="5">
        <v>0</v>
      </c>
      <c r="I50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24.354400000000002</v>
      </c>
      <c r="J503" s="19">
        <f>StockTransactionsTable[[#This Row],[Fee]]/StockTransactionsTable[[#This Row],[Total Amount]]</f>
        <v>0</v>
      </c>
      <c r="K503" s="5">
        <f>IF(StockTransactionsTable[[#This Row],[Transaction Type]]="Buy", StockTransactionsTable[[#This Row],[Total Amount with Fee]] / StockTransactionsTable[[#This Row],[Shares No.]],0)</f>
        <v>0</v>
      </c>
      <c r="L50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03" s="4">
        <f>YEAR(StockTransactionsTable[[#This Row],[Date]])</f>
        <v>2021</v>
      </c>
      <c r="N503" s="4">
        <f>MONTH(StockTransactionsTable[[#This Row],[Date]])</f>
        <v>11</v>
      </c>
      <c r="R503" s="1"/>
      <c r="V503" s="33"/>
      <c r="W503" s="33"/>
    </row>
    <row r="504" spans="2:23">
      <c r="B504" s="3">
        <v>44519</v>
      </c>
      <c r="C504" s="6" t="s">
        <v>22</v>
      </c>
      <c r="D504" s="6" t="s">
        <v>30</v>
      </c>
      <c r="E504" s="5">
        <v>106</v>
      </c>
      <c r="F504" s="5">
        <v>1.1100000000000001</v>
      </c>
      <c r="G504" s="5">
        <f>StockTransactionsTable[[#This Row],[Shares No.]]*StockTransactionsTable[[#This Row],[Amount per Share]]</f>
        <v>117.66000000000001</v>
      </c>
      <c r="H504" s="5">
        <v>0</v>
      </c>
      <c r="I50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117.66000000000001</v>
      </c>
      <c r="J504" s="19">
        <f>StockTransactionsTable[[#This Row],[Fee]]/StockTransactionsTable[[#This Row],[Total Amount]]</f>
        <v>0</v>
      </c>
      <c r="K504" s="5">
        <f>IF(StockTransactionsTable[[#This Row],[Transaction Type]]="Buy", StockTransactionsTable[[#This Row],[Total Amount with Fee]] / StockTransactionsTable[[#This Row],[Shares No.]],0)</f>
        <v>0</v>
      </c>
      <c r="L50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04" s="4">
        <f>YEAR(StockTransactionsTable[[#This Row],[Date]])</f>
        <v>2021</v>
      </c>
      <c r="N504" s="4">
        <f>MONTH(StockTransactionsTable[[#This Row],[Date]])</f>
        <v>11</v>
      </c>
      <c r="R504" s="1"/>
      <c r="V504" s="33"/>
      <c r="W504" s="33"/>
    </row>
    <row r="505" spans="2:23">
      <c r="B505" s="3">
        <v>44536</v>
      </c>
      <c r="C505" s="6" t="s">
        <v>13</v>
      </c>
      <c r="D505" s="6" t="s">
        <v>30</v>
      </c>
      <c r="E505" s="5">
        <v>55</v>
      </c>
      <c r="F505" s="5">
        <v>0.39</v>
      </c>
      <c r="G505" s="5">
        <f>StockTransactionsTable[[#This Row],[Shares No.]]*StockTransactionsTable[[#This Row],[Amount per Share]]</f>
        <v>21.45</v>
      </c>
      <c r="H505" s="5">
        <v>0</v>
      </c>
      <c r="I50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21.45</v>
      </c>
      <c r="J505" s="19">
        <f>StockTransactionsTable[[#This Row],[Fee]]/StockTransactionsTable[[#This Row],[Total Amount]]</f>
        <v>0</v>
      </c>
      <c r="K505" s="5">
        <f>IF(StockTransactionsTable[[#This Row],[Transaction Type]]="Buy", StockTransactionsTable[[#This Row],[Total Amount with Fee]] / StockTransactionsTable[[#This Row],[Shares No.]],0)</f>
        <v>0</v>
      </c>
      <c r="L50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05" s="4">
        <f>YEAR(StockTransactionsTable[[#This Row],[Date]])</f>
        <v>2021</v>
      </c>
      <c r="N505" s="4">
        <f>MONTH(StockTransactionsTable[[#This Row],[Date]])</f>
        <v>12</v>
      </c>
      <c r="R505" s="1"/>
      <c r="V505" s="33"/>
      <c r="W505" s="33"/>
    </row>
    <row r="506" spans="2:23">
      <c r="B506" s="3">
        <v>44537</v>
      </c>
      <c r="C506" s="6" t="s">
        <v>84</v>
      </c>
      <c r="D506" s="6" t="s">
        <v>30</v>
      </c>
      <c r="E506" s="5">
        <v>51</v>
      </c>
      <c r="F506" s="5">
        <v>1.06</v>
      </c>
      <c r="G506" s="5">
        <f>StockTransactionsTable[[#This Row],[Shares No.]]*StockTransactionsTable[[#This Row],[Amount per Share]]</f>
        <v>54.06</v>
      </c>
      <c r="H506" s="5">
        <v>0</v>
      </c>
      <c r="I50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54.06</v>
      </c>
      <c r="J506" s="19">
        <f>StockTransactionsTable[[#This Row],[Fee]]/StockTransactionsTable[[#This Row],[Total Amount]]</f>
        <v>0</v>
      </c>
      <c r="K506" s="5">
        <f>IF(StockTransactionsTable[[#This Row],[Transaction Type]]="Buy", StockTransactionsTable[[#This Row],[Total Amount with Fee]] / StockTransactionsTable[[#This Row],[Shares No.]],0)</f>
        <v>0</v>
      </c>
      <c r="L50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06" s="4">
        <f>YEAR(StockTransactionsTable[[#This Row],[Date]])</f>
        <v>2021</v>
      </c>
      <c r="N506" s="4">
        <f>MONTH(StockTransactionsTable[[#This Row],[Date]])</f>
        <v>12</v>
      </c>
      <c r="R506" s="1"/>
      <c r="V506" s="33"/>
      <c r="W506" s="33"/>
    </row>
    <row r="507" spans="2:23">
      <c r="B507" s="3">
        <v>44539</v>
      </c>
      <c r="C507" s="6" t="s">
        <v>91</v>
      </c>
      <c r="D507" s="6" t="s">
        <v>30</v>
      </c>
      <c r="E507" s="5">
        <v>147</v>
      </c>
      <c r="F507" s="5">
        <v>0.62</v>
      </c>
      <c r="G507" s="5">
        <f>StockTransactionsTable[[#This Row],[Shares No.]]*StockTransactionsTable[[#This Row],[Amount per Share]]</f>
        <v>91.14</v>
      </c>
      <c r="H507" s="5">
        <v>0</v>
      </c>
      <c r="I50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91.14</v>
      </c>
      <c r="J507" s="19">
        <f>StockTransactionsTable[[#This Row],[Fee]]/StockTransactionsTable[[#This Row],[Total Amount]]</f>
        <v>0</v>
      </c>
      <c r="K507" s="5">
        <f>IF(StockTransactionsTable[[#This Row],[Transaction Type]]="Buy", StockTransactionsTable[[#This Row],[Total Amount with Fee]] / StockTransactionsTable[[#This Row],[Shares No.]],0)</f>
        <v>0</v>
      </c>
      <c r="L50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07" s="4">
        <f>YEAR(StockTransactionsTable[[#This Row],[Date]])</f>
        <v>2021</v>
      </c>
      <c r="N507" s="4">
        <f>MONTH(StockTransactionsTable[[#This Row],[Date]])</f>
        <v>12</v>
      </c>
      <c r="R507" s="1"/>
      <c r="V507" s="33"/>
      <c r="W507" s="33"/>
    </row>
    <row r="508" spans="2:23">
      <c r="B508" s="3">
        <v>44540</v>
      </c>
      <c r="C508" s="6" t="s">
        <v>17</v>
      </c>
      <c r="D508" s="6" t="s">
        <v>30</v>
      </c>
      <c r="E508" s="5">
        <v>113</v>
      </c>
      <c r="F508" s="5">
        <v>1.64</v>
      </c>
      <c r="G508" s="5">
        <f>StockTransactionsTable[[#This Row],[Shares No.]]*StockTransactionsTable[[#This Row],[Amount per Share]]</f>
        <v>185.32</v>
      </c>
      <c r="H508" s="5">
        <v>0</v>
      </c>
      <c r="I50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185.32</v>
      </c>
      <c r="J508" s="19">
        <f>StockTransactionsTable[[#This Row],[Fee]]/StockTransactionsTable[[#This Row],[Total Amount]]</f>
        <v>0</v>
      </c>
      <c r="K508" s="5">
        <f>IF(StockTransactionsTable[[#This Row],[Transaction Type]]="Buy", StockTransactionsTable[[#This Row],[Total Amount with Fee]] / StockTransactionsTable[[#This Row],[Shares No.]],0)</f>
        <v>0</v>
      </c>
      <c r="L50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08" s="4">
        <f>YEAR(StockTransactionsTable[[#This Row],[Date]])</f>
        <v>2021</v>
      </c>
      <c r="N508" s="4">
        <f>MONTH(StockTransactionsTable[[#This Row],[Date]])</f>
        <v>12</v>
      </c>
      <c r="R508" s="1"/>
      <c r="V508" s="33"/>
      <c r="W508" s="33"/>
    </row>
    <row r="509" spans="2:23">
      <c r="B509" s="3">
        <v>44540</v>
      </c>
      <c r="C509" s="6" t="s">
        <v>106</v>
      </c>
      <c r="D509" s="6" t="s">
        <v>30</v>
      </c>
      <c r="E509" s="5">
        <v>88</v>
      </c>
      <c r="F509" s="5">
        <v>0.59</v>
      </c>
      <c r="G509" s="5">
        <f>StockTransactionsTable[[#This Row],[Shares No.]]*StockTransactionsTable[[#This Row],[Amount per Share]]</f>
        <v>51.919999999999995</v>
      </c>
      <c r="H509" s="5">
        <v>0</v>
      </c>
      <c r="I50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51.919999999999995</v>
      </c>
      <c r="J509" s="19">
        <f>StockTransactionsTable[[#This Row],[Fee]]/StockTransactionsTable[[#This Row],[Total Amount]]</f>
        <v>0</v>
      </c>
      <c r="K509" s="5">
        <f>IF(StockTransactionsTable[[#This Row],[Transaction Type]]="Buy", StockTransactionsTable[[#This Row],[Total Amount with Fee]] / StockTransactionsTable[[#This Row],[Shares No.]],0)</f>
        <v>0</v>
      </c>
      <c r="L50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09" s="4">
        <f>YEAR(StockTransactionsTable[[#This Row],[Date]])</f>
        <v>2021</v>
      </c>
      <c r="N509" s="4">
        <f>MONTH(StockTransactionsTable[[#This Row],[Date]])</f>
        <v>12</v>
      </c>
      <c r="R509" s="1"/>
      <c r="V509" s="33"/>
      <c r="W509" s="33"/>
    </row>
    <row r="510" spans="2:23">
      <c r="B510" s="3">
        <v>44540</v>
      </c>
      <c r="C510" s="6" t="s">
        <v>16</v>
      </c>
      <c r="D510" s="6" t="s">
        <v>30</v>
      </c>
      <c r="E510" s="5">
        <v>185</v>
      </c>
      <c r="F510" s="5">
        <v>0.88</v>
      </c>
      <c r="G510" s="5">
        <f>StockTransactionsTable[[#This Row],[Shares No.]]*StockTransactionsTable[[#This Row],[Amount per Share]]</f>
        <v>162.80000000000001</v>
      </c>
      <c r="H510" s="5">
        <v>0</v>
      </c>
      <c r="I51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162.80000000000001</v>
      </c>
      <c r="J510" s="19">
        <f>StockTransactionsTable[[#This Row],[Fee]]/StockTransactionsTable[[#This Row],[Total Amount]]</f>
        <v>0</v>
      </c>
      <c r="K510" s="5">
        <f>IF(StockTransactionsTable[[#This Row],[Transaction Type]]="Buy", StockTransactionsTable[[#This Row],[Total Amount with Fee]] / StockTransactionsTable[[#This Row],[Shares No.]],0)</f>
        <v>0</v>
      </c>
      <c r="L51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10" s="4">
        <f>YEAR(StockTransactionsTable[[#This Row],[Date]])</f>
        <v>2021</v>
      </c>
      <c r="N510" s="4">
        <f>MONTH(StockTransactionsTable[[#This Row],[Date]])</f>
        <v>12</v>
      </c>
      <c r="R510" s="1"/>
      <c r="V510" s="33"/>
      <c r="W510" s="33"/>
    </row>
    <row r="511" spans="2:23">
      <c r="B511" s="3">
        <v>44545</v>
      </c>
      <c r="C511" s="6" t="s">
        <v>14</v>
      </c>
      <c r="D511" s="6" t="s">
        <v>30</v>
      </c>
      <c r="E511" s="5">
        <v>28</v>
      </c>
      <c r="F511" s="5">
        <v>0.34</v>
      </c>
      <c r="G511" s="5">
        <f>StockTransactionsTable[[#This Row],[Shares No.]]*StockTransactionsTable[[#This Row],[Amount per Share]]</f>
        <v>9.5200000000000014</v>
      </c>
      <c r="H511" s="5">
        <v>0</v>
      </c>
      <c r="I51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9.5200000000000014</v>
      </c>
      <c r="J511" s="19">
        <f>StockTransactionsTable[[#This Row],[Fee]]/StockTransactionsTable[[#This Row],[Total Amount]]</f>
        <v>0</v>
      </c>
      <c r="K511" s="5">
        <f>IF(StockTransactionsTable[[#This Row],[Transaction Type]]="Buy", StockTransactionsTable[[#This Row],[Total Amount with Fee]] / StockTransactionsTable[[#This Row],[Shares No.]],0)</f>
        <v>0</v>
      </c>
      <c r="L51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11" s="4">
        <f>YEAR(StockTransactionsTable[[#This Row],[Date]])</f>
        <v>2021</v>
      </c>
      <c r="N511" s="4">
        <f>MONTH(StockTransactionsTable[[#This Row],[Date]])</f>
        <v>12</v>
      </c>
      <c r="R511" s="1"/>
      <c r="V511" s="33"/>
      <c r="W511" s="33"/>
    </row>
    <row r="512" spans="2:23">
      <c r="B512" s="3">
        <v>44545</v>
      </c>
      <c r="C512" s="6" t="s">
        <v>23</v>
      </c>
      <c r="D512" s="6" t="s">
        <v>30</v>
      </c>
      <c r="E512" s="5">
        <v>80</v>
      </c>
      <c r="F512" s="5">
        <v>0.42</v>
      </c>
      <c r="G512" s="5">
        <f>StockTransactionsTable[[#This Row],[Shares No.]]*StockTransactionsTable[[#This Row],[Amount per Share]]</f>
        <v>33.6</v>
      </c>
      <c r="H512" s="5">
        <v>0</v>
      </c>
      <c r="I51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33.6</v>
      </c>
      <c r="J512" s="19">
        <f>StockTransactionsTable[[#This Row],[Fee]]/StockTransactionsTable[[#This Row],[Total Amount]]</f>
        <v>0</v>
      </c>
      <c r="K512" s="5">
        <f>IF(StockTransactionsTable[[#This Row],[Transaction Type]]="Buy", StockTransactionsTable[[#This Row],[Total Amount with Fee]] / StockTransactionsTable[[#This Row],[Shares No.]],0)</f>
        <v>0</v>
      </c>
      <c r="L51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12" s="4">
        <f>YEAR(StockTransactionsTable[[#This Row],[Date]])</f>
        <v>2021</v>
      </c>
      <c r="N512" s="4">
        <f>MONTH(StockTransactionsTable[[#This Row],[Date]])</f>
        <v>12</v>
      </c>
      <c r="R512" s="1"/>
      <c r="V512" s="33"/>
      <c r="W512" s="33"/>
    </row>
    <row r="513" spans="2:23">
      <c r="B513" s="3">
        <v>44545</v>
      </c>
      <c r="C513" s="6" t="s">
        <v>88</v>
      </c>
      <c r="D513" s="6" t="s">
        <v>30</v>
      </c>
      <c r="E513" s="5">
        <v>59</v>
      </c>
      <c r="F513" s="5">
        <v>1.38</v>
      </c>
      <c r="G513" s="5">
        <f>StockTransactionsTable[[#This Row],[Shares No.]]*StockTransactionsTable[[#This Row],[Amount per Share]]</f>
        <v>81.419999999999987</v>
      </c>
      <c r="H513" s="5">
        <v>0</v>
      </c>
      <c r="I51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81.419999999999987</v>
      </c>
      <c r="J513" s="19">
        <f>StockTransactionsTable[[#This Row],[Fee]]/StockTransactionsTable[[#This Row],[Total Amount]]</f>
        <v>0</v>
      </c>
      <c r="K513" s="5">
        <f>IF(StockTransactionsTable[[#This Row],[Transaction Type]]="Buy", StockTransactionsTable[[#This Row],[Total Amount with Fee]] / StockTransactionsTable[[#This Row],[Shares No.]],0)</f>
        <v>0</v>
      </c>
      <c r="L51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13" s="4">
        <f>YEAR(StockTransactionsTable[[#This Row],[Date]])</f>
        <v>2021</v>
      </c>
      <c r="N513" s="4">
        <f>MONTH(StockTransactionsTable[[#This Row],[Date]])</f>
        <v>12</v>
      </c>
      <c r="R513" s="1"/>
      <c r="V513" s="33"/>
      <c r="W513" s="33"/>
    </row>
    <row r="514" spans="2:23">
      <c r="B514" s="3">
        <v>44545</v>
      </c>
      <c r="C514" s="6" t="s">
        <v>98</v>
      </c>
      <c r="D514" s="6" t="s">
        <v>30</v>
      </c>
      <c r="E514" s="5">
        <v>327</v>
      </c>
      <c r="F514" s="5">
        <v>0.38500000000000001</v>
      </c>
      <c r="G514" s="5">
        <f>StockTransactionsTable[[#This Row],[Shares No.]]*StockTransactionsTable[[#This Row],[Amount per Share]]</f>
        <v>125.895</v>
      </c>
      <c r="H514" s="5">
        <v>0</v>
      </c>
      <c r="I51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125.895</v>
      </c>
      <c r="J514" s="19">
        <f>StockTransactionsTable[[#This Row],[Fee]]/StockTransactionsTable[[#This Row],[Total Amount]]</f>
        <v>0</v>
      </c>
      <c r="K514" s="5">
        <f>IF(StockTransactionsTable[[#This Row],[Transaction Type]]="Buy", StockTransactionsTable[[#This Row],[Total Amount with Fee]] / StockTransactionsTable[[#This Row],[Shares No.]],0)</f>
        <v>0</v>
      </c>
      <c r="L51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14" s="4">
        <f>YEAR(StockTransactionsTable[[#This Row],[Date]])</f>
        <v>2021</v>
      </c>
      <c r="N514" s="4">
        <f>MONTH(StockTransactionsTable[[#This Row],[Date]])</f>
        <v>12</v>
      </c>
      <c r="R514" s="1"/>
      <c r="V514" s="33"/>
      <c r="W514" s="33"/>
    </row>
    <row r="515" spans="2:23">
      <c r="B515" s="3">
        <v>44545</v>
      </c>
      <c r="C515" s="6" t="s">
        <v>12</v>
      </c>
      <c r="D515" s="6" t="s">
        <v>30</v>
      </c>
      <c r="E515" s="5">
        <v>64</v>
      </c>
      <c r="F515" s="5">
        <v>0.246</v>
      </c>
      <c r="G515" s="5">
        <f>StockTransactionsTable[[#This Row],[Shares No.]]*StockTransactionsTable[[#This Row],[Amount per Share]]</f>
        <v>15.744</v>
      </c>
      <c r="H515" s="5">
        <v>0</v>
      </c>
      <c r="I51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15.744</v>
      </c>
      <c r="J515" s="19">
        <f>StockTransactionsTable[[#This Row],[Fee]]/StockTransactionsTable[[#This Row],[Total Amount]]</f>
        <v>0</v>
      </c>
      <c r="K515" s="5">
        <f>IF(StockTransactionsTable[[#This Row],[Transaction Type]]="Buy", StockTransactionsTable[[#This Row],[Total Amount with Fee]] / StockTransactionsTable[[#This Row],[Shares No.]],0)</f>
        <v>0</v>
      </c>
      <c r="L51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15" s="4">
        <f>YEAR(StockTransactionsTable[[#This Row],[Date]])</f>
        <v>2021</v>
      </c>
      <c r="N515" s="4">
        <f>MONTH(StockTransactionsTable[[#This Row],[Date]])</f>
        <v>12</v>
      </c>
      <c r="R515" s="1"/>
      <c r="V515" s="33"/>
      <c r="W515" s="33"/>
    </row>
    <row r="516" spans="2:23">
      <c r="B516" s="3">
        <v>44546</v>
      </c>
      <c r="C516" s="6" t="s">
        <v>100</v>
      </c>
      <c r="D516" s="6" t="s">
        <v>30</v>
      </c>
      <c r="E516" s="5">
        <v>140</v>
      </c>
      <c r="F516" s="5">
        <v>0.98499999999999999</v>
      </c>
      <c r="G516" s="5">
        <f>StockTransactionsTable[[#This Row],[Shares No.]]*StockTransactionsTable[[#This Row],[Amount per Share]]</f>
        <v>137.9</v>
      </c>
      <c r="H516" s="5">
        <v>0</v>
      </c>
      <c r="I51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137.9</v>
      </c>
      <c r="J516" s="19">
        <f>StockTransactionsTable[[#This Row],[Fee]]/StockTransactionsTable[[#This Row],[Total Amount]]</f>
        <v>0</v>
      </c>
      <c r="K516" s="5">
        <f>IF(StockTransactionsTable[[#This Row],[Transaction Type]]="Buy", StockTransactionsTable[[#This Row],[Total Amount with Fee]] / StockTransactionsTable[[#This Row],[Shares No.]],0)</f>
        <v>0</v>
      </c>
      <c r="L51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16" s="4">
        <f>YEAR(StockTransactionsTable[[#This Row],[Date]])</f>
        <v>2021</v>
      </c>
      <c r="N516" s="4">
        <f>MONTH(StockTransactionsTable[[#This Row],[Date]])</f>
        <v>12</v>
      </c>
      <c r="R516" s="1"/>
      <c r="V516" s="33"/>
      <c r="W516" s="33"/>
    </row>
    <row r="517" spans="2:23">
      <c r="B517" s="3">
        <v>44546</v>
      </c>
      <c r="C517" s="6" t="s">
        <v>95</v>
      </c>
      <c r="D517" s="6" t="s">
        <v>30</v>
      </c>
      <c r="E517" s="5">
        <v>56</v>
      </c>
      <c r="F517" s="5">
        <v>1.65</v>
      </c>
      <c r="G517" s="5">
        <f>StockTransactionsTable[[#This Row],[Shares No.]]*StockTransactionsTable[[#This Row],[Amount per Share]]</f>
        <v>92.399999999999991</v>
      </c>
      <c r="H517" s="5">
        <v>0</v>
      </c>
      <c r="I51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92.399999999999991</v>
      </c>
      <c r="J517" s="19">
        <f>StockTransactionsTable[[#This Row],[Fee]]/StockTransactionsTable[[#This Row],[Total Amount]]</f>
        <v>0</v>
      </c>
      <c r="K517" s="5">
        <f>IF(StockTransactionsTable[[#This Row],[Transaction Type]]="Buy", StockTransactionsTable[[#This Row],[Total Amount with Fee]] / StockTransactionsTable[[#This Row],[Shares No.]],0)</f>
        <v>0</v>
      </c>
      <c r="L51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17" s="4">
        <f>YEAR(StockTransactionsTable[[#This Row],[Date]])</f>
        <v>2021</v>
      </c>
      <c r="N517" s="4">
        <f>MONTH(StockTransactionsTable[[#This Row],[Date]])</f>
        <v>12</v>
      </c>
      <c r="R517" s="1"/>
      <c r="V517" s="33"/>
      <c r="W517" s="33"/>
    </row>
    <row r="518" spans="2:23">
      <c r="B518" s="3">
        <v>44552</v>
      </c>
      <c r="C518" s="6" t="s">
        <v>18</v>
      </c>
      <c r="D518" s="6" t="s">
        <v>29</v>
      </c>
      <c r="E518" s="5">
        <v>27</v>
      </c>
      <c r="F518" s="5" vm="502">
        <v>169.97</v>
      </c>
      <c r="G518" s="5">
        <f>StockTransactionsTable[[#This Row],[Shares No.]]*StockTransactionsTable[[#This Row],[Amount per Share]]</f>
        <v>4589.1899999999996</v>
      </c>
      <c r="H518" s="5">
        <v>2.0787591618683572</v>
      </c>
      <c r="I51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4591.2687591618678</v>
      </c>
      <c r="J518" s="19">
        <f>StockTransactionsTable[[#This Row],[Fee]]/StockTransactionsTable[[#This Row],[Total Amount]]</f>
        <v>4.5296864193209639E-4</v>
      </c>
      <c r="K518" s="5">
        <f>IF(StockTransactionsTable[[#This Row],[Transaction Type]]="Buy", StockTransactionsTable[[#This Row],[Total Amount with Fee]] / StockTransactionsTable[[#This Row],[Shares No.]],0)</f>
        <v>170.04699108006918</v>
      </c>
      <c r="L51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18" s="4">
        <f>YEAR(StockTransactionsTable[[#This Row],[Date]])</f>
        <v>2021</v>
      </c>
      <c r="N518" s="4">
        <f>MONTH(StockTransactionsTable[[#This Row],[Date]])</f>
        <v>12</v>
      </c>
      <c r="R518" s="1"/>
      <c r="V518" s="33"/>
      <c r="W518" s="33"/>
    </row>
    <row r="519" spans="2:23">
      <c r="B519" s="3">
        <v>44568</v>
      </c>
      <c r="C519" s="6" t="s">
        <v>18</v>
      </c>
      <c r="D519" s="6" t="s">
        <v>30</v>
      </c>
      <c r="E519" s="5">
        <v>10</v>
      </c>
      <c r="F519" s="5">
        <v>1.075</v>
      </c>
      <c r="G519" s="5">
        <f>StockTransactionsTable[[#This Row],[Shares No.]]*StockTransactionsTable[[#This Row],[Amount per Share]]</f>
        <v>10.75</v>
      </c>
      <c r="H519" s="5">
        <v>0</v>
      </c>
      <c r="I51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10.75</v>
      </c>
      <c r="J519" s="19">
        <f>StockTransactionsTable[[#This Row],[Fee]]/StockTransactionsTable[[#This Row],[Total Amount]]</f>
        <v>0</v>
      </c>
      <c r="K519" s="5">
        <f>IF(StockTransactionsTable[[#This Row],[Transaction Type]]="Buy", StockTransactionsTable[[#This Row],[Total Amount with Fee]] / StockTransactionsTable[[#This Row],[Shares No.]],0)</f>
        <v>0</v>
      </c>
      <c r="L51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19" s="4">
        <f>YEAR(StockTransactionsTable[[#This Row],[Date]])</f>
        <v>2022</v>
      </c>
      <c r="N519" s="4">
        <f>MONTH(StockTransactionsTable[[#This Row],[Date]])</f>
        <v>1</v>
      </c>
      <c r="R519" s="1"/>
      <c r="V519" s="33"/>
      <c r="W519" s="33"/>
    </row>
    <row r="520" spans="2:23">
      <c r="B520" s="3">
        <v>44575</v>
      </c>
      <c r="C520" s="6" t="s">
        <v>12</v>
      </c>
      <c r="D520" s="6" t="s">
        <v>30</v>
      </c>
      <c r="E520" s="5">
        <v>64</v>
      </c>
      <c r="F520" s="5">
        <v>0.2465</v>
      </c>
      <c r="G520" s="5">
        <f>StockTransactionsTable[[#This Row],[Shares No.]]*StockTransactionsTable[[#This Row],[Amount per Share]]</f>
        <v>15.776</v>
      </c>
      <c r="H520" s="5">
        <v>0</v>
      </c>
      <c r="I52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15.776</v>
      </c>
      <c r="J520" s="19">
        <f>StockTransactionsTable[[#This Row],[Fee]]/StockTransactionsTable[[#This Row],[Total Amount]]</f>
        <v>0</v>
      </c>
      <c r="K520" s="5">
        <f>IF(StockTransactionsTable[[#This Row],[Transaction Type]]="Buy", StockTransactionsTable[[#This Row],[Total Amount with Fee]] / StockTransactionsTable[[#This Row],[Shares No.]],0)</f>
        <v>0</v>
      </c>
      <c r="L52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20" s="4">
        <f>YEAR(StockTransactionsTable[[#This Row],[Date]])</f>
        <v>2022</v>
      </c>
      <c r="N520" s="4">
        <f>MONTH(StockTransactionsTable[[#This Row],[Date]])</f>
        <v>1</v>
      </c>
      <c r="R520" s="1"/>
      <c r="V520" s="33"/>
      <c r="W520" s="33"/>
    </row>
    <row r="521" spans="2:23">
      <c r="B521" s="3">
        <v>44582</v>
      </c>
      <c r="C521" s="6" t="s">
        <v>17</v>
      </c>
      <c r="D521" s="6" t="s">
        <v>29</v>
      </c>
      <c r="E521" s="5">
        <v>29</v>
      </c>
      <c r="F521" s="5" vm="503">
        <v>129.35</v>
      </c>
      <c r="G521" s="5">
        <f>StockTransactionsTable[[#This Row],[Shares No.]]*StockTransactionsTable[[#This Row],[Amount per Share]]</f>
        <v>3751.1499999999996</v>
      </c>
      <c r="H521" s="5">
        <v>1.5040958010173031</v>
      </c>
      <c r="I52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3752.6540958010169</v>
      </c>
      <c r="J521" s="19">
        <f>StockTransactionsTable[[#This Row],[Fee]]/StockTransactionsTable[[#This Row],[Total Amount]]</f>
        <v>4.0096924970137247E-4</v>
      </c>
      <c r="K521" s="5">
        <f>IF(StockTransactionsTable[[#This Row],[Transaction Type]]="Buy", StockTransactionsTable[[#This Row],[Total Amount with Fee]] / StockTransactionsTable[[#This Row],[Shares No.]],0)</f>
        <v>129.40186537244887</v>
      </c>
      <c r="L52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21" s="4">
        <f>YEAR(StockTransactionsTable[[#This Row],[Date]])</f>
        <v>2022</v>
      </c>
      <c r="N521" s="4">
        <f>MONTH(StockTransactionsTable[[#This Row],[Date]])</f>
        <v>1</v>
      </c>
      <c r="R521" s="1"/>
      <c r="V521" s="33"/>
      <c r="W521" s="33"/>
    </row>
    <row r="522" spans="2:23">
      <c r="B522" s="3">
        <v>44592</v>
      </c>
      <c r="C522" s="6" t="s">
        <v>20</v>
      </c>
      <c r="D522" s="6" t="s">
        <v>30</v>
      </c>
      <c r="E522" s="5">
        <v>93</v>
      </c>
      <c r="F522" s="5">
        <v>1</v>
      </c>
      <c r="G522" s="5">
        <f>StockTransactionsTable[[#This Row],[Shares No.]]*StockTransactionsTable[[#This Row],[Amount per Share]]</f>
        <v>93</v>
      </c>
      <c r="H522" s="5">
        <v>0</v>
      </c>
      <c r="I52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93</v>
      </c>
      <c r="J522" s="19">
        <f>StockTransactionsTable[[#This Row],[Fee]]/StockTransactionsTable[[#This Row],[Total Amount]]</f>
        <v>0</v>
      </c>
      <c r="K522" s="5">
        <f>IF(StockTransactionsTable[[#This Row],[Transaction Type]]="Buy", StockTransactionsTable[[#This Row],[Total Amount with Fee]] / StockTransactionsTable[[#This Row],[Shares No.]],0)</f>
        <v>0</v>
      </c>
      <c r="L52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22" s="4">
        <f>YEAR(StockTransactionsTable[[#This Row],[Date]])</f>
        <v>2022</v>
      </c>
      <c r="N522" s="4">
        <f>MONTH(StockTransactionsTable[[#This Row],[Date]])</f>
        <v>1</v>
      </c>
      <c r="R522" s="1"/>
      <c r="V522" s="33"/>
      <c r="W522" s="33"/>
    </row>
    <row r="523" spans="2:23">
      <c r="B523" s="3">
        <v>44593</v>
      </c>
      <c r="C523" s="6" t="s">
        <v>15</v>
      </c>
      <c r="D523" s="6" t="s">
        <v>30</v>
      </c>
      <c r="E523" s="5">
        <v>124</v>
      </c>
      <c r="F523" s="5">
        <v>0.52</v>
      </c>
      <c r="G523" s="5">
        <f>StockTransactionsTable[[#This Row],[Shares No.]]*StockTransactionsTable[[#This Row],[Amount per Share]]</f>
        <v>64.48</v>
      </c>
      <c r="H523" s="5">
        <v>0</v>
      </c>
      <c r="I52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64.48</v>
      </c>
      <c r="J523" s="19">
        <f>StockTransactionsTable[[#This Row],[Fee]]/StockTransactionsTable[[#This Row],[Total Amount]]</f>
        <v>0</v>
      </c>
      <c r="K523" s="5">
        <f>IF(StockTransactionsTable[[#This Row],[Transaction Type]]="Buy", StockTransactionsTable[[#This Row],[Total Amount with Fee]] / StockTransactionsTable[[#This Row],[Shares No.]],0)</f>
        <v>0</v>
      </c>
      <c r="L52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23" s="4">
        <f>YEAR(StockTransactionsTable[[#This Row],[Date]])</f>
        <v>2022</v>
      </c>
      <c r="N523" s="4">
        <f>MONTH(StockTransactionsTable[[#This Row],[Date]])</f>
        <v>2</v>
      </c>
      <c r="R523" s="1"/>
      <c r="V523" s="33"/>
      <c r="W523" s="33"/>
    </row>
    <row r="524" spans="2:23">
      <c r="B524" s="3">
        <v>44603</v>
      </c>
      <c r="C524" s="6" t="s">
        <v>19</v>
      </c>
      <c r="D524" s="6" t="s">
        <v>30</v>
      </c>
      <c r="E524" s="5">
        <v>57</v>
      </c>
      <c r="F524" s="5">
        <v>1.1599999999999999</v>
      </c>
      <c r="G524" s="5">
        <f>StockTransactionsTable[[#This Row],[Shares No.]]*StockTransactionsTable[[#This Row],[Amount per Share]]</f>
        <v>66.11999999999999</v>
      </c>
      <c r="H524" s="5">
        <v>0</v>
      </c>
      <c r="I52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66.11999999999999</v>
      </c>
      <c r="J524" s="19">
        <f>StockTransactionsTable[[#This Row],[Fee]]/StockTransactionsTable[[#This Row],[Total Amount]]</f>
        <v>0</v>
      </c>
      <c r="K524" s="5">
        <f>IF(StockTransactionsTable[[#This Row],[Transaction Type]]="Buy", StockTransactionsTable[[#This Row],[Total Amount with Fee]] / StockTransactionsTable[[#This Row],[Shares No.]],0)</f>
        <v>0</v>
      </c>
      <c r="L52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24" s="4">
        <f>YEAR(StockTransactionsTable[[#This Row],[Date]])</f>
        <v>2022</v>
      </c>
      <c r="N524" s="4">
        <f>MONTH(StockTransactionsTable[[#This Row],[Date]])</f>
        <v>2</v>
      </c>
      <c r="R524" s="1"/>
      <c r="V524" s="33"/>
      <c r="W524" s="33"/>
    </row>
    <row r="525" spans="2:23">
      <c r="B525" s="3">
        <v>44607</v>
      </c>
      <c r="C525" s="6" t="s">
        <v>86</v>
      </c>
      <c r="D525" s="6" t="s">
        <v>30</v>
      </c>
      <c r="E525" s="5">
        <v>114</v>
      </c>
      <c r="F525" s="5">
        <v>1.41</v>
      </c>
      <c r="G525" s="5">
        <f>StockTransactionsTable[[#This Row],[Shares No.]]*StockTransactionsTable[[#This Row],[Amount per Share]]</f>
        <v>160.73999999999998</v>
      </c>
      <c r="H525" s="5">
        <v>0</v>
      </c>
      <c r="I52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160.73999999999998</v>
      </c>
      <c r="J525" s="19">
        <f>StockTransactionsTable[[#This Row],[Fee]]/StockTransactionsTable[[#This Row],[Total Amount]]</f>
        <v>0</v>
      </c>
      <c r="K525" s="5">
        <f>IF(StockTransactionsTable[[#This Row],[Transaction Type]]="Buy", StockTransactionsTable[[#This Row],[Total Amount with Fee]] / StockTransactionsTable[[#This Row],[Shares No.]],0)</f>
        <v>0</v>
      </c>
      <c r="L52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25" s="4">
        <f>YEAR(StockTransactionsTable[[#This Row],[Date]])</f>
        <v>2022</v>
      </c>
      <c r="N525" s="4">
        <f>MONTH(StockTransactionsTable[[#This Row],[Date]])</f>
        <v>2</v>
      </c>
      <c r="R525" s="1"/>
      <c r="V525" s="33"/>
      <c r="W525" s="33"/>
    </row>
    <row r="526" spans="2:23">
      <c r="B526" s="3">
        <v>44607</v>
      </c>
      <c r="C526" s="6" t="s">
        <v>12</v>
      </c>
      <c r="D526" s="6" t="s">
        <v>30</v>
      </c>
      <c r="E526" s="5">
        <v>64</v>
      </c>
      <c r="F526" s="5">
        <v>0.2465</v>
      </c>
      <c r="G526" s="5">
        <f>StockTransactionsTable[[#This Row],[Shares No.]]*StockTransactionsTable[[#This Row],[Amount per Share]]</f>
        <v>15.776</v>
      </c>
      <c r="H526" s="5">
        <v>0</v>
      </c>
      <c r="I52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15.776</v>
      </c>
      <c r="J526" s="19">
        <f>StockTransactionsTable[[#This Row],[Fee]]/StockTransactionsTable[[#This Row],[Total Amount]]</f>
        <v>0</v>
      </c>
      <c r="K526" s="5">
        <f>IF(StockTransactionsTable[[#This Row],[Transaction Type]]="Buy", StockTransactionsTable[[#This Row],[Total Amount with Fee]] / StockTransactionsTable[[#This Row],[Shares No.]],0)</f>
        <v>0</v>
      </c>
      <c r="L52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26" s="4">
        <f>YEAR(StockTransactionsTable[[#This Row],[Date]])</f>
        <v>2022</v>
      </c>
      <c r="N526" s="4">
        <f>MONTH(StockTransactionsTable[[#This Row],[Date]])</f>
        <v>2</v>
      </c>
      <c r="R526" s="1"/>
      <c r="V526" s="33"/>
      <c r="W526" s="33"/>
    </row>
    <row r="527" spans="2:23">
      <c r="B527" s="3">
        <v>44607</v>
      </c>
      <c r="C527" s="6" t="s">
        <v>21</v>
      </c>
      <c r="D527" s="6" t="s">
        <v>30</v>
      </c>
      <c r="E527" s="5">
        <v>28</v>
      </c>
      <c r="F527" s="5">
        <v>0.86980000000000002</v>
      </c>
      <c r="G527" s="5">
        <f>StockTransactionsTable[[#This Row],[Shares No.]]*StockTransactionsTable[[#This Row],[Amount per Share]]</f>
        <v>24.354400000000002</v>
      </c>
      <c r="H527" s="5">
        <v>0</v>
      </c>
      <c r="I52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24.354400000000002</v>
      </c>
      <c r="J527" s="19">
        <f>StockTransactionsTable[[#This Row],[Fee]]/StockTransactionsTable[[#This Row],[Total Amount]]</f>
        <v>0</v>
      </c>
      <c r="K527" s="5">
        <f>IF(StockTransactionsTable[[#This Row],[Transaction Type]]="Buy", StockTransactionsTable[[#This Row],[Total Amount with Fee]] / StockTransactionsTable[[#This Row],[Shares No.]],0)</f>
        <v>0</v>
      </c>
      <c r="L52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27" s="4">
        <f>YEAR(StockTransactionsTable[[#This Row],[Date]])</f>
        <v>2022</v>
      </c>
      <c r="N527" s="4">
        <f>MONTH(StockTransactionsTable[[#This Row],[Date]])</f>
        <v>2</v>
      </c>
      <c r="R527" s="1"/>
      <c r="V527" s="33"/>
      <c r="W527" s="33"/>
    </row>
    <row r="528" spans="2:23">
      <c r="B528" s="3">
        <v>44610</v>
      </c>
      <c r="C528" s="6" t="s">
        <v>22</v>
      </c>
      <c r="D528" s="6" t="s">
        <v>30</v>
      </c>
      <c r="E528" s="5">
        <v>106</v>
      </c>
      <c r="F528" s="5">
        <v>1.1100000000000001</v>
      </c>
      <c r="G528" s="5">
        <f>StockTransactionsTable[[#This Row],[Shares No.]]*StockTransactionsTable[[#This Row],[Amount per Share]]</f>
        <v>117.66000000000001</v>
      </c>
      <c r="H528" s="5">
        <v>0</v>
      </c>
      <c r="I52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117.66000000000001</v>
      </c>
      <c r="J528" s="19">
        <f>StockTransactionsTable[[#This Row],[Fee]]/StockTransactionsTable[[#This Row],[Total Amount]]</f>
        <v>0</v>
      </c>
      <c r="K528" s="5">
        <f>IF(StockTransactionsTable[[#This Row],[Transaction Type]]="Buy", StockTransactionsTable[[#This Row],[Total Amount with Fee]] / StockTransactionsTable[[#This Row],[Shares No.]],0)</f>
        <v>0</v>
      </c>
      <c r="L52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28" s="4">
        <f>YEAR(StockTransactionsTable[[#This Row],[Date]])</f>
        <v>2022</v>
      </c>
      <c r="N528" s="4">
        <f>MONTH(StockTransactionsTable[[#This Row],[Date]])</f>
        <v>2</v>
      </c>
      <c r="R528" s="1"/>
      <c r="V528" s="33"/>
      <c r="W528" s="33"/>
    </row>
    <row r="529" spans="2:23">
      <c r="B529" s="3">
        <v>44614</v>
      </c>
      <c r="C529" s="6" t="s">
        <v>21</v>
      </c>
      <c r="D529" s="6" t="s">
        <v>29</v>
      </c>
      <c r="E529" s="5">
        <v>14</v>
      </c>
      <c r="F529" s="5" vm="504">
        <v>157.93</v>
      </c>
      <c r="G529" s="5">
        <f>StockTransactionsTable[[#This Row],[Shares No.]]*StockTransactionsTable[[#This Row],[Amount per Share]]</f>
        <v>2211.02</v>
      </c>
      <c r="H529" s="5">
        <v>0.94258380330857816</v>
      </c>
      <c r="I52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2211.9625838033085</v>
      </c>
      <c r="J529" s="19">
        <f>StockTransactionsTable[[#This Row],[Fee]]/StockTransactionsTable[[#This Row],[Total Amount]]</f>
        <v>4.2631174901564808E-4</v>
      </c>
      <c r="K529" s="5">
        <f>IF(StockTransactionsTable[[#This Row],[Transaction Type]]="Buy", StockTransactionsTable[[#This Row],[Total Amount with Fee]] / StockTransactionsTable[[#This Row],[Shares No.]],0)</f>
        <v>157.99732741452203</v>
      </c>
      <c r="L52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29" s="4">
        <f>YEAR(StockTransactionsTable[[#This Row],[Date]])</f>
        <v>2022</v>
      </c>
      <c r="N529" s="4">
        <f>MONTH(StockTransactionsTable[[#This Row],[Date]])</f>
        <v>2</v>
      </c>
      <c r="R529" s="1"/>
      <c r="V529" s="33"/>
      <c r="W529" s="33"/>
    </row>
    <row r="530" spans="2:23">
      <c r="B530" s="3">
        <v>44624</v>
      </c>
      <c r="C530" s="6" t="s">
        <v>13</v>
      </c>
      <c r="D530" s="6" t="s">
        <v>30</v>
      </c>
      <c r="E530" s="5">
        <v>55</v>
      </c>
      <c r="F530" s="5">
        <v>0.4</v>
      </c>
      <c r="G530" s="5">
        <f>StockTransactionsTable[[#This Row],[Shares No.]]*StockTransactionsTable[[#This Row],[Amount per Share]]</f>
        <v>22</v>
      </c>
      <c r="H530" s="5">
        <v>0</v>
      </c>
      <c r="I53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22</v>
      </c>
      <c r="J530" s="19">
        <f>StockTransactionsTable[[#This Row],[Fee]]/StockTransactionsTable[[#This Row],[Total Amount]]</f>
        <v>0</v>
      </c>
      <c r="K530" s="5">
        <f>IF(StockTransactionsTable[[#This Row],[Transaction Type]]="Buy", StockTransactionsTable[[#This Row],[Total Amount with Fee]] / StockTransactionsTable[[#This Row],[Shares No.]],0)</f>
        <v>0</v>
      </c>
      <c r="L53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30" s="4">
        <f>YEAR(StockTransactionsTable[[#This Row],[Date]])</f>
        <v>2022</v>
      </c>
      <c r="N530" s="4">
        <f>MONTH(StockTransactionsTable[[#This Row],[Date]])</f>
        <v>3</v>
      </c>
      <c r="R530" s="1"/>
      <c r="V530" s="33"/>
      <c r="W530" s="33"/>
    </row>
    <row r="531" spans="2:23">
      <c r="B531" s="3">
        <v>44628</v>
      </c>
      <c r="C531" s="6" t="s">
        <v>84</v>
      </c>
      <c r="D531" s="6" t="s">
        <v>30</v>
      </c>
      <c r="E531" s="5">
        <v>51</v>
      </c>
      <c r="F531" s="5">
        <v>1.06</v>
      </c>
      <c r="G531" s="5">
        <f>StockTransactionsTable[[#This Row],[Shares No.]]*StockTransactionsTable[[#This Row],[Amount per Share]]</f>
        <v>54.06</v>
      </c>
      <c r="H531" s="5">
        <v>0</v>
      </c>
      <c r="I53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54.06</v>
      </c>
      <c r="J531" s="19">
        <f>StockTransactionsTable[[#This Row],[Fee]]/StockTransactionsTable[[#This Row],[Total Amount]]</f>
        <v>0</v>
      </c>
      <c r="K531" s="5">
        <f>IF(StockTransactionsTable[[#This Row],[Transaction Type]]="Buy", StockTransactionsTable[[#This Row],[Total Amount with Fee]] / StockTransactionsTable[[#This Row],[Shares No.]],0)</f>
        <v>0</v>
      </c>
      <c r="L53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31" s="4">
        <f>YEAR(StockTransactionsTable[[#This Row],[Date]])</f>
        <v>2022</v>
      </c>
      <c r="N531" s="4">
        <f>MONTH(StockTransactionsTable[[#This Row],[Date]])</f>
        <v>3</v>
      </c>
      <c r="R531" s="1"/>
      <c r="V531" s="33"/>
      <c r="W531" s="33"/>
    </row>
    <row r="532" spans="2:23">
      <c r="B532" s="3">
        <v>44630</v>
      </c>
      <c r="C532" s="6" t="s">
        <v>17</v>
      </c>
      <c r="D532" s="6" t="s">
        <v>30</v>
      </c>
      <c r="E532" s="5">
        <v>173</v>
      </c>
      <c r="F532" s="5">
        <v>1.64</v>
      </c>
      <c r="G532" s="5">
        <f>StockTransactionsTable[[#This Row],[Shares No.]]*StockTransactionsTable[[#This Row],[Amount per Share]]</f>
        <v>283.71999999999997</v>
      </c>
      <c r="H532" s="5">
        <v>0</v>
      </c>
      <c r="I53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283.71999999999997</v>
      </c>
      <c r="J532" s="19">
        <f>StockTransactionsTable[[#This Row],[Fee]]/StockTransactionsTable[[#This Row],[Total Amount]]</f>
        <v>0</v>
      </c>
      <c r="K532" s="5">
        <f>IF(StockTransactionsTable[[#This Row],[Transaction Type]]="Buy", StockTransactionsTable[[#This Row],[Total Amount with Fee]] / StockTransactionsTable[[#This Row],[Shares No.]],0)</f>
        <v>0</v>
      </c>
      <c r="L53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32" s="4">
        <f>YEAR(StockTransactionsTable[[#This Row],[Date]])</f>
        <v>2022</v>
      </c>
      <c r="N532" s="4">
        <f>MONTH(StockTransactionsTable[[#This Row],[Date]])</f>
        <v>3</v>
      </c>
      <c r="R532" s="1"/>
      <c r="V532" s="33"/>
      <c r="W532" s="33"/>
    </row>
    <row r="533" spans="2:23">
      <c r="B533" s="3">
        <v>44630</v>
      </c>
      <c r="C533" s="6" t="s">
        <v>91</v>
      </c>
      <c r="D533" s="6" t="s">
        <v>30</v>
      </c>
      <c r="E533" s="5">
        <v>147</v>
      </c>
      <c r="F533" s="5">
        <v>0.62</v>
      </c>
      <c r="G533" s="5">
        <f>StockTransactionsTable[[#This Row],[Shares No.]]*StockTransactionsTable[[#This Row],[Amount per Share]]</f>
        <v>91.14</v>
      </c>
      <c r="H533" s="5">
        <v>0</v>
      </c>
      <c r="I53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91.14</v>
      </c>
      <c r="J533" s="19">
        <f>StockTransactionsTable[[#This Row],[Fee]]/StockTransactionsTable[[#This Row],[Total Amount]]</f>
        <v>0</v>
      </c>
      <c r="K533" s="5">
        <f>IF(StockTransactionsTable[[#This Row],[Transaction Type]]="Buy", StockTransactionsTable[[#This Row],[Total Amount with Fee]] / StockTransactionsTable[[#This Row],[Shares No.]],0)</f>
        <v>0</v>
      </c>
      <c r="L53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33" s="4">
        <f>YEAR(StockTransactionsTable[[#This Row],[Date]])</f>
        <v>2022</v>
      </c>
      <c r="N533" s="4">
        <f>MONTH(StockTransactionsTable[[#This Row],[Date]])</f>
        <v>3</v>
      </c>
      <c r="R533" s="1"/>
      <c r="V533" s="33"/>
      <c r="W533" s="33"/>
    </row>
    <row r="534" spans="2:23">
      <c r="B534" s="3">
        <v>44630</v>
      </c>
      <c r="C534" s="6" t="s">
        <v>16</v>
      </c>
      <c r="D534" s="6" t="s">
        <v>30</v>
      </c>
      <c r="E534" s="5">
        <v>185</v>
      </c>
      <c r="F534" s="5">
        <v>0.88</v>
      </c>
      <c r="G534" s="5">
        <f>StockTransactionsTable[[#This Row],[Shares No.]]*StockTransactionsTable[[#This Row],[Amount per Share]]</f>
        <v>162.80000000000001</v>
      </c>
      <c r="H534" s="5">
        <v>0</v>
      </c>
      <c r="I53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162.80000000000001</v>
      </c>
      <c r="J534" s="19">
        <f>StockTransactionsTable[[#This Row],[Fee]]/StockTransactionsTable[[#This Row],[Total Amount]]</f>
        <v>0</v>
      </c>
      <c r="K534" s="5">
        <f>IF(StockTransactionsTable[[#This Row],[Transaction Type]]="Buy", StockTransactionsTable[[#This Row],[Total Amount with Fee]] / StockTransactionsTable[[#This Row],[Shares No.]],0)</f>
        <v>0</v>
      </c>
      <c r="L53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34" s="4">
        <f>YEAR(StockTransactionsTable[[#This Row],[Date]])</f>
        <v>2022</v>
      </c>
      <c r="N534" s="4">
        <f>MONTH(StockTransactionsTable[[#This Row],[Date]])</f>
        <v>3</v>
      </c>
      <c r="R534" s="1"/>
      <c r="V534" s="33"/>
      <c r="W534" s="33"/>
    </row>
    <row r="535" spans="2:23">
      <c r="B535" s="3">
        <v>44631</v>
      </c>
      <c r="C535" s="6" t="s">
        <v>106</v>
      </c>
      <c r="D535" s="6" t="s">
        <v>30</v>
      </c>
      <c r="E535" s="5">
        <v>88</v>
      </c>
      <c r="F535" s="5">
        <v>0.59</v>
      </c>
      <c r="G535" s="5">
        <f>StockTransactionsTable[[#This Row],[Shares No.]]*StockTransactionsTable[[#This Row],[Amount per Share]]</f>
        <v>51.919999999999995</v>
      </c>
      <c r="H535" s="5">
        <v>0</v>
      </c>
      <c r="I53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51.919999999999995</v>
      </c>
      <c r="J535" s="19">
        <f>StockTransactionsTable[[#This Row],[Fee]]/StockTransactionsTable[[#This Row],[Total Amount]]</f>
        <v>0</v>
      </c>
      <c r="K535" s="5">
        <f>IF(StockTransactionsTable[[#This Row],[Transaction Type]]="Buy", StockTransactionsTable[[#This Row],[Total Amount with Fee]] / StockTransactionsTable[[#This Row],[Shares No.]],0)</f>
        <v>0</v>
      </c>
      <c r="L53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35" s="4">
        <f>YEAR(StockTransactionsTable[[#This Row],[Date]])</f>
        <v>2022</v>
      </c>
      <c r="N535" s="4">
        <f>MONTH(StockTransactionsTable[[#This Row],[Date]])</f>
        <v>3</v>
      </c>
      <c r="R535" s="1"/>
      <c r="V535" s="33"/>
      <c r="W535" s="33"/>
    </row>
    <row r="536" spans="2:23">
      <c r="B536" s="3">
        <v>44635</v>
      </c>
      <c r="C536" s="6" t="s">
        <v>14</v>
      </c>
      <c r="D536" s="6" t="s">
        <v>30</v>
      </c>
      <c r="E536" s="5">
        <v>28</v>
      </c>
      <c r="F536" s="5">
        <v>0.3468</v>
      </c>
      <c r="G536" s="5">
        <f>StockTransactionsTable[[#This Row],[Shares No.]]*StockTransactionsTable[[#This Row],[Amount per Share]]</f>
        <v>9.7103999999999999</v>
      </c>
      <c r="H536" s="5">
        <v>0</v>
      </c>
      <c r="I53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9.7103999999999999</v>
      </c>
      <c r="J536" s="19">
        <f>StockTransactionsTable[[#This Row],[Fee]]/StockTransactionsTable[[#This Row],[Total Amount]]</f>
        <v>0</v>
      </c>
      <c r="K536" s="5">
        <f>IF(StockTransactionsTable[[#This Row],[Transaction Type]]="Buy", StockTransactionsTable[[#This Row],[Total Amount with Fee]] / StockTransactionsTable[[#This Row],[Shares No.]],0)</f>
        <v>0</v>
      </c>
      <c r="L53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36" s="4">
        <f>YEAR(StockTransactionsTable[[#This Row],[Date]])</f>
        <v>2022</v>
      </c>
      <c r="N536" s="4">
        <f>MONTH(StockTransactionsTable[[#This Row],[Date]])</f>
        <v>3</v>
      </c>
      <c r="R536" s="1"/>
      <c r="V536" s="33"/>
      <c r="W536" s="33"/>
    </row>
    <row r="537" spans="2:23">
      <c r="B537" s="3">
        <v>44635</v>
      </c>
      <c r="C537" s="6" t="s">
        <v>88</v>
      </c>
      <c r="D537" s="6" t="s">
        <v>30</v>
      </c>
      <c r="E537" s="5">
        <v>59</v>
      </c>
      <c r="F537" s="5">
        <v>1.38</v>
      </c>
      <c r="G537" s="5">
        <f>StockTransactionsTable[[#This Row],[Shares No.]]*StockTransactionsTable[[#This Row],[Amount per Share]]</f>
        <v>81.419999999999987</v>
      </c>
      <c r="H537" s="5">
        <v>0</v>
      </c>
      <c r="I53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81.419999999999987</v>
      </c>
      <c r="J537" s="19">
        <f>StockTransactionsTable[[#This Row],[Fee]]/StockTransactionsTable[[#This Row],[Total Amount]]</f>
        <v>0</v>
      </c>
      <c r="K537" s="5">
        <f>IF(StockTransactionsTable[[#This Row],[Transaction Type]]="Buy", StockTransactionsTable[[#This Row],[Total Amount with Fee]] / StockTransactionsTable[[#This Row],[Shares No.]],0)</f>
        <v>0</v>
      </c>
      <c r="L53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37" s="4">
        <f>YEAR(StockTransactionsTable[[#This Row],[Date]])</f>
        <v>2022</v>
      </c>
      <c r="N537" s="4">
        <f>MONTH(StockTransactionsTable[[#This Row],[Date]])</f>
        <v>3</v>
      </c>
      <c r="R537" s="1"/>
      <c r="V537" s="33"/>
      <c r="W537" s="33"/>
    </row>
    <row r="538" spans="2:23">
      <c r="B538" s="3">
        <v>44635</v>
      </c>
      <c r="C538" s="6" t="s">
        <v>98</v>
      </c>
      <c r="D538" s="6" t="s">
        <v>30</v>
      </c>
      <c r="E538" s="5">
        <v>327</v>
      </c>
      <c r="F538" s="5">
        <v>0.42499999999999999</v>
      </c>
      <c r="G538" s="5">
        <f>StockTransactionsTable[[#This Row],[Shares No.]]*StockTransactionsTable[[#This Row],[Amount per Share]]</f>
        <v>138.97499999999999</v>
      </c>
      <c r="H538" s="5">
        <v>0</v>
      </c>
      <c r="I53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138.97499999999999</v>
      </c>
      <c r="J538" s="19">
        <f>StockTransactionsTable[[#This Row],[Fee]]/StockTransactionsTable[[#This Row],[Total Amount]]</f>
        <v>0</v>
      </c>
      <c r="K538" s="5">
        <f>IF(StockTransactionsTable[[#This Row],[Transaction Type]]="Buy", StockTransactionsTable[[#This Row],[Total Amount with Fee]] / StockTransactionsTable[[#This Row],[Shares No.]],0)</f>
        <v>0</v>
      </c>
      <c r="L53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38" s="4">
        <f>YEAR(StockTransactionsTable[[#This Row],[Date]])</f>
        <v>2022</v>
      </c>
      <c r="N538" s="4">
        <f>MONTH(StockTransactionsTable[[#This Row],[Date]])</f>
        <v>3</v>
      </c>
      <c r="R538" s="1"/>
      <c r="V538" s="33"/>
      <c r="W538" s="33"/>
    </row>
    <row r="539" spans="2:23">
      <c r="B539" s="3">
        <v>44635</v>
      </c>
      <c r="C539" s="6" t="s">
        <v>12</v>
      </c>
      <c r="D539" s="6" t="s">
        <v>30</v>
      </c>
      <c r="E539" s="5">
        <v>64</v>
      </c>
      <c r="F539" s="5">
        <v>0.2465</v>
      </c>
      <c r="G539" s="5">
        <f>StockTransactionsTable[[#This Row],[Shares No.]]*StockTransactionsTable[[#This Row],[Amount per Share]]</f>
        <v>15.776</v>
      </c>
      <c r="H539" s="5">
        <v>0</v>
      </c>
      <c r="I53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15.776</v>
      </c>
      <c r="J539" s="19">
        <f>StockTransactionsTable[[#This Row],[Fee]]/StockTransactionsTable[[#This Row],[Total Amount]]</f>
        <v>0</v>
      </c>
      <c r="K539" s="5">
        <f>IF(StockTransactionsTable[[#This Row],[Transaction Type]]="Buy", StockTransactionsTable[[#This Row],[Total Amount with Fee]] / StockTransactionsTable[[#This Row],[Shares No.]],0)</f>
        <v>0</v>
      </c>
      <c r="L53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39" s="4">
        <f>YEAR(StockTransactionsTable[[#This Row],[Date]])</f>
        <v>2022</v>
      </c>
      <c r="N539" s="4">
        <f>MONTH(StockTransactionsTable[[#This Row],[Date]])</f>
        <v>3</v>
      </c>
      <c r="R539" s="1"/>
      <c r="V539" s="33"/>
      <c r="W539" s="33"/>
    </row>
    <row r="540" spans="2:23">
      <c r="B540" s="3">
        <v>44636</v>
      </c>
      <c r="C540" s="6" t="s">
        <v>100</v>
      </c>
      <c r="D540" s="6" t="s">
        <v>30</v>
      </c>
      <c r="E540" s="5">
        <v>140</v>
      </c>
      <c r="F540" s="5">
        <v>0.98499999999999999</v>
      </c>
      <c r="G540" s="5">
        <f>StockTransactionsTable[[#This Row],[Shares No.]]*StockTransactionsTable[[#This Row],[Amount per Share]]</f>
        <v>137.9</v>
      </c>
      <c r="H540" s="5">
        <v>0</v>
      </c>
      <c r="I54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137.9</v>
      </c>
      <c r="J540" s="19">
        <f>StockTransactionsTable[[#This Row],[Fee]]/StockTransactionsTable[[#This Row],[Total Amount]]</f>
        <v>0</v>
      </c>
      <c r="K540" s="5">
        <f>IF(StockTransactionsTable[[#This Row],[Transaction Type]]="Buy", StockTransactionsTable[[#This Row],[Total Amount with Fee]] / StockTransactionsTable[[#This Row],[Shares No.]],0)</f>
        <v>0</v>
      </c>
      <c r="L54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40" s="4">
        <f>YEAR(StockTransactionsTable[[#This Row],[Date]])</f>
        <v>2022</v>
      </c>
      <c r="N540" s="4">
        <f>MONTH(StockTransactionsTable[[#This Row],[Date]])</f>
        <v>3</v>
      </c>
      <c r="R540" s="1"/>
      <c r="V540" s="33"/>
      <c r="W540" s="33"/>
    </row>
    <row r="541" spans="2:23">
      <c r="B541" s="3">
        <v>44644</v>
      </c>
      <c r="C541" s="6" t="s">
        <v>95</v>
      </c>
      <c r="D541" s="6" t="s">
        <v>30</v>
      </c>
      <c r="E541" s="5">
        <v>56</v>
      </c>
      <c r="F541" s="5">
        <v>1.9</v>
      </c>
      <c r="G541" s="5">
        <f>StockTransactionsTable[[#This Row],[Shares No.]]*StockTransactionsTable[[#This Row],[Amount per Share]]</f>
        <v>106.39999999999999</v>
      </c>
      <c r="H541" s="5">
        <v>0</v>
      </c>
      <c r="I54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106.39999999999999</v>
      </c>
      <c r="J541" s="19">
        <f>StockTransactionsTable[[#This Row],[Fee]]/StockTransactionsTable[[#This Row],[Total Amount]]</f>
        <v>0</v>
      </c>
      <c r="K541" s="5">
        <f>IF(StockTransactionsTable[[#This Row],[Transaction Type]]="Buy", StockTransactionsTable[[#This Row],[Total Amount with Fee]] / StockTransactionsTable[[#This Row],[Shares No.]],0)</f>
        <v>0</v>
      </c>
      <c r="L54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41" s="4">
        <f>YEAR(StockTransactionsTable[[#This Row],[Date]])</f>
        <v>2022</v>
      </c>
      <c r="N541" s="4">
        <f>MONTH(StockTransactionsTable[[#This Row],[Date]])</f>
        <v>3</v>
      </c>
      <c r="R541" s="1"/>
      <c r="V541" s="33"/>
      <c r="W541" s="33"/>
    </row>
    <row r="542" spans="2:23">
      <c r="B542" s="3">
        <v>44651</v>
      </c>
      <c r="C542" s="6" t="s">
        <v>18</v>
      </c>
      <c r="D542" s="6" t="s">
        <v>29</v>
      </c>
      <c r="E542" s="5">
        <v>6</v>
      </c>
      <c r="F542" s="5" vm="505">
        <v>167.38</v>
      </c>
      <c r="G542" s="5">
        <f>StockTransactionsTable[[#This Row],[Shares No.]]*StockTransactionsTable[[#This Row],[Amount per Share]]</f>
        <v>1004.28</v>
      </c>
      <c r="H542" s="5">
        <v>0.48800406247939754</v>
      </c>
      <c r="I54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1004.7680040624793</v>
      </c>
      <c r="J542" s="19">
        <f>StockTransactionsTable[[#This Row],[Fee]]/StockTransactionsTable[[#This Row],[Total Amount]]</f>
        <v>4.8592430644780094E-4</v>
      </c>
      <c r="K542" s="5">
        <f>IF(StockTransactionsTable[[#This Row],[Transaction Type]]="Buy", StockTransactionsTable[[#This Row],[Total Amount with Fee]] / StockTransactionsTable[[#This Row],[Shares No.]],0)</f>
        <v>167.46133401041322</v>
      </c>
      <c r="L54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42" s="4">
        <f>YEAR(StockTransactionsTable[[#This Row],[Date]])</f>
        <v>2022</v>
      </c>
      <c r="N542" s="4">
        <f>MONTH(StockTransactionsTable[[#This Row],[Date]])</f>
        <v>3</v>
      </c>
      <c r="R542" s="1"/>
      <c r="V542" s="33"/>
      <c r="W542" s="33"/>
    </row>
    <row r="543" spans="2:23">
      <c r="B543" s="3">
        <v>44651</v>
      </c>
      <c r="C543" s="6" t="s">
        <v>18</v>
      </c>
      <c r="D543" s="6" t="s">
        <v>30</v>
      </c>
      <c r="E543" s="5">
        <v>37</v>
      </c>
      <c r="F543" s="5">
        <v>1.075</v>
      </c>
      <c r="G543" s="5">
        <f>StockTransactionsTable[[#This Row],[Shares No.]]*StockTransactionsTable[[#This Row],[Amount per Share]]</f>
        <v>39.774999999999999</v>
      </c>
      <c r="H543" s="5">
        <v>0</v>
      </c>
      <c r="I54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39.774999999999999</v>
      </c>
      <c r="J543" s="19">
        <f>StockTransactionsTable[[#This Row],[Fee]]/StockTransactionsTable[[#This Row],[Total Amount]]</f>
        <v>0</v>
      </c>
      <c r="K543" s="5">
        <f>IF(StockTransactionsTable[[#This Row],[Transaction Type]]="Buy", StockTransactionsTable[[#This Row],[Total Amount with Fee]] / StockTransactionsTable[[#This Row],[Shares No.]],0)</f>
        <v>0</v>
      </c>
      <c r="L54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43" s="4">
        <f>YEAR(StockTransactionsTable[[#This Row],[Date]])</f>
        <v>2022</v>
      </c>
      <c r="N543" s="4">
        <f>MONTH(StockTransactionsTable[[#This Row],[Date]])</f>
        <v>3</v>
      </c>
      <c r="R543" s="1"/>
      <c r="V543" s="33"/>
      <c r="W543" s="33"/>
    </row>
    <row r="544" spans="2:23">
      <c r="B544" s="3">
        <v>44652</v>
      </c>
      <c r="C544" s="6" t="s">
        <v>23</v>
      </c>
      <c r="D544" s="6" t="s">
        <v>30</v>
      </c>
      <c r="E544" s="5">
        <v>80</v>
      </c>
      <c r="F544" s="5">
        <v>0.44</v>
      </c>
      <c r="G544" s="5">
        <f>StockTransactionsTable[[#This Row],[Shares No.]]*StockTransactionsTable[[#This Row],[Amount per Share]]</f>
        <v>35.200000000000003</v>
      </c>
      <c r="H544" s="5">
        <v>0</v>
      </c>
      <c r="I54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35.200000000000003</v>
      </c>
      <c r="J544" s="19">
        <f>StockTransactionsTable[[#This Row],[Fee]]/StockTransactionsTable[[#This Row],[Total Amount]]</f>
        <v>0</v>
      </c>
      <c r="K544" s="5">
        <f>IF(StockTransactionsTable[[#This Row],[Transaction Type]]="Buy", StockTransactionsTable[[#This Row],[Total Amount with Fee]] / StockTransactionsTable[[#This Row],[Shares No.]],0)</f>
        <v>0</v>
      </c>
      <c r="L54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44" s="4">
        <f>YEAR(StockTransactionsTable[[#This Row],[Date]])</f>
        <v>2022</v>
      </c>
      <c r="N544" s="4">
        <f>MONTH(StockTransactionsTable[[#This Row],[Date]])</f>
        <v>4</v>
      </c>
      <c r="R544" s="1"/>
      <c r="V544" s="33"/>
      <c r="W544" s="33"/>
    </row>
    <row r="545" spans="2:23">
      <c r="B545" s="3">
        <v>44666</v>
      </c>
      <c r="C545" s="6" t="s">
        <v>12</v>
      </c>
      <c r="D545" s="6" t="s">
        <v>30</v>
      </c>
      <c r="E545" s="5">
        <v>64</v>
      </c>
      <c r="F545" s="5">
        <v>0.247</v>
      </c>
      <c r="G545" s="5">
        <f>StockTransactionsTable[[#This Row],[Shares No.]]*StockTransactionsTable[[#This Row],[Amount per Share]]</f>
        <v>15.808</v>
      </c>
      <c r="H545" s="5">
        <v>0</v>
      </c>
      <c r="I54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15.808</v>
      </c>
      <c r="J545" s="19">
        <f>StockTransactionsTable[[#This Row],[Fee]]/StockTransactionsTable[[#This Row],[Total Amount]]</f>
        <v>0</v>
      </c>
      <c r="K545" s="5">
        <f>IF(StockTransactionsTable[[#This Row],[Transaction Type]]="Buy", StockTransactionsTable[[#This Row],[Total Amount with Fee]] / StockTransactionsTable[[#This Row],[Shares No.]],0)</f>
        <v>0</v>
      </c>
      <c r="L54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45" s="4">
        <f>YEAR(StockTransactionsTable[[#This Row],[Date]])</f>
        <v>2022</v>
      </c>
      <c r="N545" s="4">
        <f>MONTH(StockTransactionsTable[[#This Row],[Date]])</f>
        <v>4</v>
      </c>
      <c r="R545" s="1"/>
      <c r="V545" s="33"/>
      <c r="W545" s="33"/>
    </row>
    <row r="546" spans="2:23">
      <c r="B546" s="3">
        <v>44669</v>
      </c>
      <c r="C546" s="6" t="s">
        <v>23</v>
      </c>
      <c r="D546" s="6" t="s">
        <v>29</v>
      </c>
      <c r="E546" s="5">
        <v>5</v>
      </c>
      <c r="F546" s="5" vm="506">
        <v>64.44</v>
      </c>
      <c r="G546" s="5">
        <f>StockTransactionsTable[[#This Row],[Shares No.]]*StockTransactionsTable[[#This Row],[Amount per Share]]</f>
        <v>322.2</v>
      </c>
      <c r="H546" s="5">
        <v>0.15496924156971403</v>
      </c>
      <c r="I54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322.35496924156968</v>
      </c>
      <c r="J546" s="19">
        <f>StockTransactionsTable[[#This Row],[Fee]]/StockTransactionsTable[[#This Row],[Total Amount]]</f>
        <v>4.8097219605746131E-4</v>
      </c>
      <c r="K546" s="5">
        <f>IF(StockTransactionsTable[[#This Row],[Transaction Type]]="Buy", StockTransactionsTable[[#This Row],[Total Amount with Fee]] / StockTransactionsTable[[#This Row],[Shares No.]],0)</f>
        <v>64.470993848313938</v>
      </c>
      <c r="L54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46" s="4">
        <f>YEAR(StockTransactionsTable[[#This Row],[Date]])</f>
        <v>2022</v>
      </c>
      <c r="N546" s="4">
        <f>MONTH(StockTransactionsTable[[#This Row],[Date]])</f>
        <v>4</v>
      </c>
      <c r="R546" s="1"/>
      <c r="V546" s="33"/>
      <c r="W546" s="33"/>
    </row>
    <row r="547" spans="2:23">
      <c r="B547" s="3">
        <v>44681</v>
      </c>
      <c r="C547" s="6" t="s">
        <v>20</v>
      </c>
      <c r="D547" s="6" t="s">
        <v>30</v>
      </c>
      <c r="E547" s="5">
        <v>93</v>
      </c>
      <c r="F547" s="5">
        <v>1</v>
      </c>
      <c r="G547" s="5">
        <f>StockTransactionsTable[[#This Row],[Shares No.]]*StockTransactionsTable[[#This Row],[Amount per Share]]</f>
        <v>93</v>
      </c>
      <c r="H547" s="5">
        <v>0</v>
      </c>
      <c r="I54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93</v>
      </c>
      <c r="J547" s="19">
        <f>StockTransactionsTable[[#This Row],[Fee]]/StockTransactionsTable[[#This Row],[Total Amount]]</f>
        <v>0</v>
      </c>
      <c r="K547" s="5">
        <f>IF(StockTransactionsTable[[#This Row],[Transaction Type]]="Buy", StockTransactionsTable[[#This Row],[Total Amount with Fee]] / StockTransactionsTable[[#This Row],[Shares No.]],0)</f>
        <v>0</v>
      </c>
      <c r="L54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47" s="4">
        <f>YEAR(StockTransactionsTable[[#This Row],[Date]])</f>
        <v>2022</v>
      </c>
      <c r="N547" s="4">
        <f>MONTH(StockTransactionsTable[[#This Row],[Date]])</f>
        <v>4</v>
      </c>
      <c r="R547" s="1"/>
      <c r="V547" s="33"/>
      <c r="W547" s="33"/>
    </row>
    <row r="548" spans="2:23">
      <c r="B548" s="3">
        <v>44683</v>
      </c>
      <c r="C548" s="6" t="s">
        <v>15</v>
      </c>
      <c r="D548" s="6" t="s">
        <v>30</v>
      </c>
      <c r="E548" s="5">
        <v>124</v>
      </c>
      <c r="F548" s="5">
        <v>0.27750000000000002</v>
      </c>
      <c r="G548" s="5">
        <f>StockTransactionsTable[[#This Row],[Shares No.]]*StockTransactionsTable[[#This Row],[Amount per Share]]</f>
        <v>34.410000000000004</v>
      </c>
      <c r="H548" s="5">
        <v>0</v>
      </c>
      <c r="I54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34.410000000000004</v>
      </c>
      <c r="J548" s="19">
        <f>StockTransactionsTable[[#This Row],[Fee]]/StockTransactionsTable[[#This Row],[Total Amount]]</f>
        <v>0</v>
      </c>
      <c r="K548" s="5">
        <f>IF(StockTransactionsTable[[#This Row],[Transaction Type]]="Buy", StockTransactionsTable[[#This Row],[Total Amount with Fee]] / StockTransactionsTable[[#This Row],[Shares No.]],0)</f>
        <v>0</v>
      </c>
      <c r="L54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48" s="4">
        <f>YEAR(StockTransactionsTable[[#This Row],[Date]])</f>
        <v>2022</v>
      </c>
      <c r="N548" s="4">
        <f>MONTH(StockTransactionsTable[[#This Row],[Date]])</f>
        <v>5</v>
      </c>
      <c r="R548" s="1"/>
      <c r="V548" s="33"/>
      <c r="W548" s="33"/>
    </row>
    <row r="549" spans="2:23">
      <c r="B549" s="3">
        <v>44687</v>
      </c>
      <c r="C549" s="6" t="s">
        <v>95</v>
      </c>
      <c r="D549" s="6" t="s">
        <v>29</v>
      </c>
      <c r="E549" s="5">
        <v>22</v>
      </c>
      <c r="F549" s="5" vm="507">
        <v>294.31</v>
      </c>
      <c r="G549" s="5">
        <f>StockTransactionsTable[[#This Row],[Shares No.]]*StockTransactionsTable[[#This Row],[Amount per Share]]</f>
        <v>6474.82</v>
      </c>
      <c r="H549" s="5">
        <v>3.2226080696202661</v>
      </c>
      <c r="I54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6478.0426080696197</v>
      </c>
      <c r="J549" s="19">
        <f>StockTransactionsTable[[#This Row],[Fee]]/StockTransactionsTable[[#This Row],[Total Amount]]</f>
        <v>4.97713924034995E-4</v>
      </c>
      <c r="K549" s="5">
        <f>IF(StockTransactionsTable[[#This Row],[Transaction Type]]="Buy", StockTransactionsTable[[#This Row],[Total Amount with Fee]] / StockTransactionsTable[[#This Row],[Shares No.]],0)</f>
        <v>294.45648218498269</v>
      </c>
      <c r="L54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49" s="4">
        <f>YEAR(StockTransactionsTable[[#This Row],[Date]])</f>
        <v>2022</v>
      </c>
      <c r="N549" s="4">
        <f>MONTH(StockTransactionsTable[[#This Row],[Date]])</f>
        <v>5</v>
      </c>
      <c r="R549" s="1"/>
      <c r="V549" s="33"/>
      <c r="W549" s="33"/>
    </row>
    <row r="550" spans="2:23">
      <c r="B550" s="3">
        <v>44694</v>
      </c>
      <c r="C550" s="6" t="s">
        <v>19</v>
      </c>
      <c r="D550" s="6" t="s">
        <v>30</v>
      </c>
      <c r="E550" s="5">
        <v>57</v>
      </c>
      <c r="F550" s="5">
        <v>1.1599999999999999</v>
      </c>
      <c r="G550" s="5">
        <f>StockTransactionsTable[[#This Row],[Shares No.]]*StockTransactionsTable[[#This Row],[Amount per Share]]</f>
        <v>66.11999999999999</v>
      </c>
      <c r="H550" s="5">
        <v>0</v>
      </c>
      <c r="I55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66.11999999999999</v>
      </c>
      <c r="J550" s="19">
        <f>StockTransactionsTable[[#This Row],[Fee]]/StockTransactionsTable[[#This Row],[Total Amount]]</f>
        <v>0</v>
      </c>
      <c r="K550" s="5">
        <f>IF(StockTransactionsTable[[#This Row],[Transaction Type]]="Buy", StockTransactionsTable[[#This Row],[Total Amount with Fee]] / StockTransactionsTable[[#This Row],[Shares No.]],0)</f>
        <v>0</v>
      </c>
      <c r="L55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50" s="4">
        <f>YEAR(StockTransactionsTable[[#This Row],[Date]])</f>
        <v>2022</v>
      </c>
      <c r="N550" s="4">
        <f>MONTH(StockTransactionsTable[[#This Row],[Date]])</f>
        <v>5</v>
      </c>
      <c r="R550" s="1"/>
      <c r="V550" s="33"/>
      <c r="W550" s="33"/>
    </row>
    <row r="551" spans="2:23">
      <c r="B551" s="3">
        <v>44694</v>
      </c>
      <c r="C551" s="6" t="s">
        <v>12</v>
      </c>
      <c r="D551" s="6" t="s">
        <v>30</v>
      </c>
      <c r="E551" s="5">
        <v>64</v>
      </c>
      <c r="F551" s="5">
        <v>0.247</v>
      </c>
      <c r="G551" s="5">
        <f>StockTransactionsTable[[#This Row],[Shares No.]]*StockTransactionsTable[[#This Row],[Amount per Share]]</f>
        <v>15.808</v>
      </c>
      <c r="H551" s="5">
        <v>0</v>
      </c>
      <c r="I55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15.808</v>
      </c>
      <c r="J551" s="19">
        <f>StockTransactionsTable[[#This Row],[Fee]]/StockTransactionsTable[[#This Row],[Total Amount]]</f>
        <v>0</v>
      </c>
      <c r="K551" s="5">
        <f>IF(StockTransactionsTable[[#This Row],[Transaction Type]]="Buy", StockTransactionsTable[[#This Row],[Total Amount with Fee]] / StockTransactionsTable[[#This Row],[Shares No.]],0)</f>
        <v>0</v>
      </c>
      <c r="L55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51" s="4">
        <f>YEAR(StockTransactionsTable[[#This Row],[Date]])</f>
        <v>2022</v>
      </c>
      <c r="N551" s="4">
        <f>MONTH(StockTransactionsTable[[#This Row],[Date]])</f>
        <v>5</v>
      </c>
      <c r="R551" s="1"/>
      <c r="V551" s="33"/>
      <c r="W551" s="33"/>
    </row>
    <row r="552" spans="2:23">
      <c r="B552" s="3">
        <v>44697</v>
      </c>
      <c r="C552" s="6" t="s">
        <v>86</v>
      </c>
      <c r="D552" s="6" t="s">
        <v>30</v>
      </c>
      <c r="E552" s="5">
        <v>114</v>
      </c>
      <c r="F552" s="5">
        <v>1.41</v>
      </c>
      <c r="G552" s="5">
        <f>StockTransactionsTable[[#This Row],[Shares No.]]*StockTransactionsTable[[#This Row],[Amount per Share]]</f>
        <v>160.73999999999998</v>
      </c>
      <c r="H552" s="5">
        <v>0</v>
      </c>
      <c r="I55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160.73999999999998</v>
      </c>
      <c r="J552" s="19">
        <f>StockTransactionsTable[[#This Row],[Fee]]/StockTransactionsTable[[#This Row],[Total Amount]]</f>
        <v>0</v>
      </c>
      <c r="K552" s="5">
        <f>IF(StockTransactionsTable[[#This Row],[Transaction Type]]="Buy", StockTransactionsTable[[#This Row],[Total Amount with Fee]] / StockTransactionsTable[[#This Row],[Shares No.]],0)</f>
        <v>0</v>
      </c>
      <c r="L55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52" s="4">
        <f>YEAR(StockTransactionsTable[[#This Row],[Date]])</f>
        <v>2022</v>
      </c>
      <c r="N552" s="4">
        <f>MONTH(StockTransactionsTable[[#This Row],[Date]])</f>
        <v>5</v>
      </c>
      <c r="R552" s="1"/>
      <c r="V552" s="33"/>
      <c r="W552" s="33"/>
    </row>
    <row r="553" spans="2:23">
      <c r="B553" s="3">
        <v>44697</v>
      </c>
      <c r="C553" s="6" t="s">
        <v>21</v>
      </c>
      <c r="D553" s="6" t="s">
        <v>30</v>
      </c>
      <c r="E553" s="5">
        <v>42</v>
      </c>
      <c r="F553" s="5">
        <v>0.9133</v>
      </c>
      <c r="G553" s="5">
        <f>StockTransactionsTable[[#This Row],[Shares No.]]*StockTransactionsTable[[#This Row],[Amount per Share]]</f>
        <v>38.358600000000003</v>
      </c>
      <c r="H553" s="5">
        <v>0</v>
      </c>
      <c r="I55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38.358600000000003</v>
      </c>
      <c r="J553" s="19">
        <f>StockTransactionsTable[[#This Row],[Fee]]/StockTransactionsTable[[#This Row],[Total Amount]]</f>
        <v>0</v>
      </c>
      <c r="K553" s="5">
        <f>IF(StockTransactionsTable[[#This Row],[Transaction Type]]="Buy", StockTransactionsTable[[#This Row],[Total Amount with Fee]] / StockTransactionsTable[[#This Row],[Shares No.]],0)</f>
        <v>0</v>
      </c>
      <c r="L55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53" s="4">
        <f>YEAR(StockTransactionsTable[[#This Row],[Date]])</f>
        <v>2022</v>
      </c>
      <c r="N553" s="4">
        <f>MONTH(StockTransactionsTable[[#This Row],[Date]])</f>
        <v>5</v>
      </c>
      <c r="R553" s="1"/>
      <c r="V553" s="33"/>
      <c r="W553" s="33"/>
    </row>
    <row r="554" spans="2:23">
      <c r="B554" s="3">
        <v>44701</v>
      </c>
      <c r="C554" s="6" t="s">
        <v>22</v>
      </c>
      <c r="D554" s="6" t="s">
        <v>30</v>
      </c>
      <c r="E554" s="5">
        <v>106</v>
      </c>
      <c r="F554" s="5">
        <v>1.1100000000000001</v>
      </c>
      <c r="G554" s="5">
        <f>StockTransactionsTable[[#This Row],[Shares No.]]*StockTransactionsTable[[#This Row],[Amount per Share]]</f>
        <v>117.66000000000001</v>
      </c>
      <c r="H554" s="5">
        <v>0</v>
      </c>
      <c r="I55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117.66000000000001</v>
      </c>
      <c r="J554" s="19">
        <f>StockTransactionsTable[[#This Row],[Fee]]/StockTransactionsTable[[#This Row],[Total Amount]]</f>
        <v>0</v>
      </c>
      <c r="K554" s="5">
        <f>IF(StockTransactionsTable[[#This Row],[Transaction Type]]="Buy", StockTransactionsTable[[#This Row],[Total Amount with Fee]] / StockTransactionsTable[[#This Row],[Shares No.]],0)</f>
        <v>0</v>
      </c>
      <c r="L55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54" s="4">
        <f>YEAR(StockTransactionsTable[[#This Row],[Date]])</f>
        <v>2022</v>
      </c>
      <c r="N554" s="4">
        <f>MONTH(StockTransactionsTable[[#This Row],[Date]])</f>
        <v>5</v>
      </c>
      <c r="R554" s="1"/>
      <c r="V554" s="33"/>
      <c r="W554" s="33"/>
    </row>
    <row r="555" spans="2:23">
      <c r="B555" s="3">
        <v>44719</v>
      </c>
      <c r="C555" s="6" t="s">
        <v>84</v>
      </c>
      <c r="D555" s="6" t="s">
        <v>30</v>
      </c>
      <c r="E555" s="5">
        <v>51</v>
      </c>
      <c r="F555" s="5">
        <v>1.1299999999999999</v>
      </c>
      <c r="G555" s="5">
        <f>StockTransactionsTable[[#This Row],[Shares No.]]*StockTransactionsTable[[#This Row],[Amount per Share]]</f>
        <v>57.629999999999995</v>
      </c>
      <c r="H555" s="5">
        <v>0</v>
      </c>
      <c r="I55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57.629999999999995</v>
      </c>
      <c r="J555" s="19">
        <f>StockTransactionsTable[[#This Row],[Fee]]/StockTransactionsTable[[#This Row],[Total Amount]]</f>
        <v>0</v>
      </c>
      <c r="K555" s="5">
        <f>IF(StockTransactionsTable[[#This Row],[Transaction Type]]="Buy", StockTransactionsTable[[#This Row],[Total Amount with Fee]] / StockTransactionsTable[[#This Row],[Shares No.]],0)</f>
        <v>0</v>
      </c>
      <c r="L55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55" s="4">
        <f>YEAR(StockTransactionsTable[[#This Row],[Date]])</f>
        <v>2022</v>
      </c>
      <c r="N555" s="4">
        <f>MONTH(StockTransactionsTable[[#This Row],[Date]])</f>
        <v>6</v>
      </c>
      <c r="R555" s="1"/>
      <c r="V555" s="33"/>
      <c r="W555" s="33"/>
    </row>
    <row r="556" spans="2:23">
      <c r="B556" s="3">
        <v>44721</v>
      </c>
      <c r="C556" s="6" t="s">
        <v>91</v>
      </c>
      <c r="D556" s="6" t="s">
        <v>30</v>
      </c>
      <c r="E556" s="5">
        <v>147</v>
      </c>
      <c r="F556" s="5">
        <v>0.62</v>
      </c>
      <c r="G556" s="5">
        <f>StockTransactionsTable[[#This Row],[Shares No.]]*StockTransactionsTable[[#This Row],[Amount per Share]]</f>
        <v>91.14</v>
      </c>
      <c r="H556" s="5">
        <v>0</v>
      </c>
      <c r="I55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91.14</v>
      </c>
      <c r="J556" s="19">
        <f>StockTransactionsTable[[#This Row],[Fee]]/StockTransactionsTable[[#This Row],[Total Amount]]</f>
        <v>0</v>
      </c>
      <c r="K556" s="5">
        <f>IF(StockTransactionsTable[[#This Row],[Transaction Type]]="Buy", StockTransactionsTable[[#This Row],[Total Amount with Fee]] / StockTransactionsTable[[#This Row],[Shares No.]],0)</f>
        <v>0</v>
      </c>
      <c r="L55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56" s="4">
        <f>YEAR(StockTransactionsTable[[#This Row],[Date]])</f>
        <v>2022</v>
      </c>
      <c r="N556" s="4">
        <f>MONTH(StockTransactionsTable[[#This Row],[Date]])</f>
        <v>6</v>
      </c>
      <c r="R556" s="1"/>
      <c r="V556" s="33"/>
      <c r="W556" s="33"/>
    </row>
    <row r="557" spans="2:23">
      <c r="B557" s="3">
        <v>44722</v>
      </c>
      <c r="C557" s="6" t="s">
        <v>17</v>
      </c>
      <c r="D557" s="6" t="s">
        <v>30</v>
      </c>
      <c r="E557" s="5">
        <v>173</v>
      </c>
      <c r="F557" s="5">
        <v>1.65</v>
      </c>
      <c r="G557" s="5">
        <f>StockTransactionsTable[[#This Row],[Shares No.]]*StockTransactionsTable[[#This Row],[Amount per Share]]</f>
        <v>285.45</v>
      </c>
      <c r="H557" s="5">
        <v>0</v>
      </c>
      <c r="I55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285.45</v>
      </c>
      <c r="J557" s="19">
        <f>StockTransactionsTable[[#This Row],[Fee]]/StockTransactionsTable[[#This Row],[Total Amount]]</f>
        <v>0</v>
      </c>
      <c r="K557" s="5">
        <f>IF(StockTransactionsTable[[#This Row],[Transaction Type]]="Buy", StockTransactionsTable[[#This Row],[Total Amount with Fee]] / StockTransactionsTable[[#This Row],[Shares No.]],0)</f>
        <v>0</v>
      </c>
      <c r="L55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57" s="4">
        <f>YEAR(StockTransactionsTable[[#This Row],[Date]])</f>
        <v>2022</v>
      </c>
      <c r="N557" s="4">
        <f>MONTH(StockTransactionsTable[[#This Row],[Date]])</f>
        <v>6</v>
      </c>
      <c r="R557" s="1"/>
      <c r="V557" s="33"/>
      <c r="W557" s="33"/>
    </row>
    <row r="558" spans="2:23">
      <c r="B558" s="3">
        <v>44722</v>
      </c>
      <c r="C558" s="6" t="s">
        <v>13</v>
      </c>
      <c r="D558" s="6" t="s">
        <v>30</v>
      </c>
      <c r="E558" s="5">
        <v>55</v>
      </c>
      <c r="F558" s="5">
        <v>0.4</v>
      </c>
      <c r="G558" s="5">
        <f>StockTransactionsTable[[#This Row],[Shares No.]]*StockTransactionsTable[[#This Row],[Amount per Share]]</f>
        <v>22</v>
      </c>
      <c r="H558" s="5">
        <v>0</v>
      </c>
      <c r="I55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22</v>
      </c>
      <c r="J558" s="19">
        <f>StockTransactionsTable[[#This Row],[Fee]]/StockTransactionsTable[[#This Row],[Total Amount]]</f>
        <v>0</v>
      </c>
      <c r="K558" s="5">
        <f>IF(StockTransactionsTable[[#This Row],[Transaction Type]]="Buy", StockTransactionsTable[[#This Row],[Total Amount with Fee]] / StockTransactionsTable[[#This Row],[Shares No.]],0)</f>
        <v>0</v>
      </c>
      <c r="L55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58" s="4">
        <f>YEAR(StockTransactionsTable[[#This Row],[Date]])</f>
        <v>2022</v>
      </c>
      <c r="N558" s="4">
        <f>MONTH(StockTransactionsTable[[#This Row],[Date]])</f>
        <v>6</v>
      </c>
      <c r="R558" s="1"/>
      <c r="V558" s="33"/>
      <c r="W558" s="33"/>
    </row>
    <row r="559" spans="2:23">
      <c r="B559" s="3">
        <v>44722</v>
      </c>
      <c r="C559" s="6" t="s">
        <v>106</v>
      </c>
      <c r="D559" s="6" t="s">
        <v>30</v>
      </c>
      <c r="E559" s="5">
        <v>88</v>
      </c>
      <c r="F559" s="5">
        <v>0.59</v>
      </c>
      <c r="G559" s="5">
        <f>StockTransactionsTable[[#This Row],[Shares No.]]*StockTransactionsTable[[#This Row],[Amount per Share]]</f>
        <v>51.919999999999995</v>
      </c>
      <c r="H559" s="5">
        <v>0</v>
      </c>
      <c r="I55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51.919999999999995</v>
      </c>
      <c r="J559" s="19">
        <f>StockTransactionsTable[[#This Row],[Fee]]/StockTransactionsTable[[#This Row],[Total Amount]]</f>
        <v>0</v>
      </c>
      <c r="K559" s="5">
        <f>IF(StockTransactionsTable[[#This Row],[Transaction Type]]="Buy", StockTransactionsTable[[#This Row],[Total Amount with Fee]] / StockTransactionsTable[[#This Row],[Shares No.]],0)</f>
        <v>0</v>
      </c>
      <c r="L55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59" s="4">
        <f>YEAR(StockTransactionsTable[[#This Row],[Date]])</f>
        <v>2022</v>
      </c>
      <c r="N559" s="4">
        <f>MONTH(StockTransactionsTable[[#This Row],[Date]])</f>
        <v>6</v>
      </c>
      <c r="R559" s="1"/>
      <c r="V559" s="33"/>
      <c r="W559" s="33"/>
    </row>
    <row r="560" spans="2:23">
      <c r="B560" s="3">
        <v>44722</v>
      </c>
      <c r="C560" s="6" t="s">
        <v>16</v>
      </c>
      <c r="D560" s="6" t="s">
        <v>30</v>
      </c>
      <c r="E560" s="5">
        <v>185</v>
      </c>
      <c r="F560" s="5">
        <v>0.88</v>
      </c>
      <c r="G560" s="5">
        <f>StockTransactionsTable[[#This Row],[Shares No.]]*StockTransactionsTable[[#This Row],[Amount per Share]]</f>
        <v>162.80000000000001</v>
      </c>
      <c r="H560" s="5">
        <v>0</v>
      </c>
      <c r="I56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162.80000000000001</v>
      </c>
      <c r="J560" s="19">
        <f>StockTransactionsTable[[#This Row],[Fee]]/StockTransactionsTable[[#This Row],[Total Amount]]</f>
        <v>0</v>
      </c>
      <c r="K560" s="5">
        <f>IF(StockTransactionsTable[[#This Row],[Transaction Type]]="Buy", StockTransactionsTable[[#This Row],[Total Amount with Fee]] / StockTransactionsTable[[#This Row],[Shares No.]],0)</f>
        <v>0</v>
      </c>
      <c r="L56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60" s="4">
        <f>YEAR(StockTransactionsTable[[#This Row],[Date]])</f>
        <v>2022</v>
      </c>
      <c r="N560" s="4">
        <f>MONTH(StockTransactionsTable[[#This Row],[Date]])</f>
        <v>6</v>
      </c>
      <c r="R560" s="1"/>
      <c r="V560" s="33"/>
      <c r="W560" s="33"/>
    </row>
    <row r="561" spans="2:23">
      <c r="B561" s="3">
        <v>44727</v>
      </c>
      <c r="C561" s="6" t="s">
        <v>14</v>
      </c>
      <c r="D561" s="6" t="s">
        <v>30</v>
      </c>
      <c r="E561" s="5">
        <v>28</v>
      </c>
      <c r="F561" s="5">
        <v>0.35360000000000003</v>
      </c>
      <c r="G561" s="5">
        <f>StockTransactionsTable[[#This Row],[Shares No.]]*StockTransactionsTable[[#This Row],[Amount per Share]]</f>
        <v>9.9008000000000003</v>
      </c>
      <c r="H561" s="5">
        <v>0</v>
      </c>
      <c r="I56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9.9008000000000003</v>
      </c>
      <c r="J561" s="19">
        <f>StockTransactionsTable[[#This Row],[Fee]]/StockTransactionsTable[[#This Row],[Total Amount]]</f>
        <v>0</v>
      </c>
      <c r="K561" s="5">
        <f>IF(StockTransactionsTable[[#This Row],[Transaction Type]]="Buy", StockTransactionsTable[[#This Row],[Total Amount with Fee]] / StockTransactionsTable[[#This Row],[Shares No.]],0)</f>
        <v>0</v>
      </c>
      <c r="L56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61" s="4">
        <f>YEAR(StockTransactionsTable[[#This Row],[Date]])</f>
        <v>2022</v>
      </c>
      <c r="N561" s="4">
        <f>MONTH(StockTransactionsTable[[#This Row],[Date]])</f>
        <v>6</v>
      </c>
      <c r="R561" s="1"/>
      <c r="V561" s="33"/>
      <c r="W561" s="33"/>
    </row>
    <row r="562" spans="2:23">
      <c r="B562" s="3">
        <v>44727</v>
      </c>
      <c r="C562" s="6" t="s">
        <v>98</v>
      </c>
      <c r="D562" s="6" t="s">
        <v>30</v>
      </c>
      <c r="E562" s="5">
        <v>327</v>
      </c>
      <c r="F562" s="5">
        <v>0.42499999999999999</v>
      </c>
      <c r="G562" s="5">
        <f>StockTransactionsTable[[#This Row],[Shares No.]]*StockTransactionsTable[[#This Row],[Amount per Share]]</f>
        <v>138.97499999999999</v>
      </c>
      <c r="H562" s="5">
        <v>0</v>
      </c>
      <c r="I56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138.97499999999999</v>
      </c>
      <c r="J562" s="19">
        <f>StockTransactionsTable[[#This Row],[Fee]]/StockTransactionsTable[[#This Row],[Total Amount]]</f>
        <v>0</v>
      </c>
      <c r="K562" s="5">
        <f>IF(StockTransactionsTable[[#This Row],[Transaction Type]]="Buy", StockTransactionsTable[[#This Row],[Total Amount with Fee]] / StockTransactionsTable[[#This Row],[Shares No.]],0)</f>
        <v>0</v>
      </c>
      <c r="L56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62" s="4">
        <f>YEAR(StockTransactionsTable[[#This Row],[Date]])</f>
        <v>2022</v>
      </c>
      <c r="N562" s="4">
        <f>MONTH(StockTransactionsTable[[#This Row],[Date]])</f>
        <v>6</v>
      </c>
      <c r="R562" s="1"/>
      <c r="V562" s="33"/>
      <c r="W562" s="33"/>
    </row>
    <row r="563" spans="2:23">
      <c r="B563" s="3">
        <v>44727</v>
      </c>
      <c r="C563" s="6" t="s">
        <v>12</v>
      </c>
      <c r="D563" s="6" t="s">
        <v>30</v>
      </c>
      <c r="E563" s="5">
        <v>64</v>
      </c>
      <c r="F563" s="5">
        <v>0.247</v>
      </c>
      <c r="G563" s="5">
        <f>StockTransactionsTable[[#This Row],[Shares No.]]*StockTransactionsTable[[#This Row],[Amount per Share]]</f>
        <v>15.808</v>
      </c>
      <c r="H563" s="5">
        <v>0</v>
      </c>
      <c r="I56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15.808</v>
      </c>
      <c r="J563" s="19">
        <f>StockTransactionsTable[[#This Row],[Fee]]/StockTransactionsTable[[#This Row],[Total Amount]]</f>
        <v>0</v>
      </c>
      <c r="K563" s="5">
        <f>IF(StockTransactionsTable[[#This Row],[Transaction Type]]="Buy", StockTransactionsTable[[#This Row],[Total Amount with Fee]] / StockTransactionsTable[[#This Row],[Shares No.]],0)</f>
        <v>0</v>
      </c>
      <c r="L56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63" s="4">
        <f>YEAR(StockTransactionsTable[[#This Row],[Date]])</f>
        <v>2022</v>
      </c>
      <c r="N563" s="4">
        <f>MONTH(StockTransactionsTable[[#This Row],[Date]])</f>
        <v>6</v>
      </c>
      <c r="R563" s="1"/>
      <c r="V563" s="33"/>
      <c r="W563" s="33"/>
    </row>
    <row r="564" spans="2:23">
      <c r="B564" s="3">
        <v>44728</v>
      </c>
      <c r="C564" s="6" t="s">
        <v>91</v>
      </c>
      <c r="D564" s="6" t="s">
        <v>29</v>
      </c>
      <c r="E564" s="5">
        <v>11</v>
      </c>
      <c r="F564" s="5" vm="508">
        <v>244.97</v>
      </c>
      <c r="G564" s="5">
        <f>StockTransactionsTable[[#This Row],[Shares No.]]*StockTransactionsTable[[#This Row],[Amount per Share]]</f>
        <v>2694.67</v>
      </c>
      <c r="H564" s="5">
        <v>1.3155779730008716</v>
      </c>
      <c r="I56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2695.985577973001</v>
      </c>
      <c r="J564" s="19">
        <f>StockTransactionsTable[[#This Row],[Fee]]/StockTransactionsTable[[#This Row],[Total Amount]]</f>
        <v>4.882148734356606E-4</v>
      </c>
      <c r="K564" s="5">
        <f>IF(StockTransactionsTable[[#This Row],[Transaction Type]]="Buy", StockTransactionsTable[[#This Row],[Total Amount with Fee]] / StockTransactionsTable[[#This Row],[Shares No.]],0)</f>
        <v>245.08959799754555</v>
      </c>
      <c r="L56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64" s="4">
        <f>YEAR(StockTransactionsTable[[#This Row],[Date]])</f>
        <v>2022</v>
      </c>
      <c r="N564" s="4">
        <f>MONTH(StockTransactionsTable[[#This Row],[Date]])</f>
        <v>6</v>
      </c>
      <c r="R564" s="1"/>
      <c r="V564" s="33"/>
      <c r="W564" s="33"/>
    </row>
    <row r="565" spans="2:23">
      <c r="B565" s="3">
        <v>44728</v>
      </c>
      <c r="C565" s="6" t="s">
        <v>100</v>
      </c>
      <c r="D565" s="6" t="s">
        <v>30</v>
      </c>
      <c r="E565" s="5">
        <v>140</v>
      </c>
      <c r="F565" s="5">
        <v>0.98499999999999999</v>
      </c>
      <c r="G565" s="5">
        <f>StockTransactionsTable[[#This Row],[Shares No.]]*StockTransactionsTable[[#This Row],[Amount per Share]]</f>
        <v>137.9</v>
      </c>
      <c r="H565" s="5">
        <v>0</v>
      </c>
      <c r="I56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137.9</v>
      </c>
      <c r="J565" s="19">
        <f>StockTransactionsTable[[#This Row],[Fee]]/StockTransactionsTable[[#This Row],[Total Amount]]</f>
        <v>0</v>
      </c>
      <c r="K565" s="5">
        <f>IF(StockTransactionsTable[[#This Row],[Transaction Type]]="Buy", StockTransactionsTable[[#This Row],[Total Amount with Fee]] / StockTransactionsTable[[#This Row],[Shares No.]],0)</f>
        <v>0</v>
      </c>
      <c r="L56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65" s="4">
        <f>YEAR(StockTransactionsTable[[#This Row],[Date]])</f>
        <v>2022</v>
      </c>
      <c r="N565" s="4">
        <f>MONTH(StockTransactionsTable[[#This Row],[Date]])</f>
        <v>6</v>
      </c>
      <c r="R565" s="1"/>
      <c r="V565" s="33"/>
      <c r="W565" s="33"/>
    </row>
    <row r="566" spans="2:23">
      <c r="B566" s="3">
        <v>44728</v>
      </c>
      <c r="C566" s="6" t="s">
        <v>95</v>
      </c>
      <c r="D566" s="6" t="s">
        <v>30</v>
      </c>
      <c r="E566" s="5">
        <v>78</v>
      </c>
      <c r="F566" s="5">
        <v>1.9</v>
      </c>
      <c r="G566" s="5">
        <f>StockTransactionsTable[[#This Row],[Shares No.]]*StockTransactionsTable[[#This Row],[Amount per Share]]</f>
        <v>148.19999999999999</v>
      </c>
      <c r="H566" s="5">
        <v>0</v>
      </c>
      <c r="I56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148.19999999999999</v>
      </c>
      <c r="J566" s="19">
        <f>StockTransactionsTable[[#This Row],[Fee]]/StockTransactionsTable[[#This Row],[Total Amount]]</f>
        <v>0</v>
      </c>
      <c r="K566" s="5">
        <f>IF(StockTransactionsTable[[#This Row],[Transaction Type]]="Buy", StockTransactionsTable[[#This Row],[Total Amount with Fee]] / StockTransactionsTable[[#This Row],[Shares No.]],0)</f>
        <v>0</v>
      </c>
      <c r="L56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66" s="4">
        <f>YEAR(StockTransactionsTable[[#This Row],[Date]])</f>
        <v>2022</v>
      </c>
      <c r="N566" s="4">
        <f>MONTH(StockTransactionsTable[[#This Row],[Date]])</f>
        <v>6</v>
      </c>
      <c r="R566" s="1"/>
      <c r="V566" s="33"/>
      <c r="W566" s="33"/>
    </row>
    <row r="567" spans="2:23">
      <c r="B567" s="3">
        <v>44732</v>
      </c>
      <c r="C567" s="6" t="s">
        <v>88</v>
      </c>
      <c r="D567" s="6" t="s">
        <v>30</v>
      </c>
      <c r="E567" s="5">
        <v>59</v>
      </c>
      <c r="F567" s="5">
        <v>1.38</v>
      </c>
      <c r="G567" s="5">
        <f>StockTransactionsTable[[#This Row],[Shares No.]]*StockTransactionsTable[[#This Row],[Amount per Share]]</f>
        <v>81.419999999999987</v>
      </c>
      <c r="H567" s="5">
        <v>0</v>
      </c>
      <c r="I56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81.419999999999987</v>
      </c>
      <c r="J567" s="19">
        <f>StockTransactionsTable[[#This Row],[Fee]]/StockTransactionsTable[[#This Row],[Total Amount]]</f>
        <v>0</v>
      </c>
      <c r="K567" s="5">
        <f>IF(StockTransactionsTable[[#This Row],[Transaction Type]]="Buy", StockTransactionsTable[[#This Row],[Total Amount with Fee]] / StockTransactionsTable[[#This Row],[Shares No.]],0)</f>
        <v>0</v>
      </c>
      <c r="L56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67" s="4">
        <f>YEAR(StockTransactionsTable[[#This Row],[Date]])</f>
        <v>2022</v>
      </c>
      <c r="N567" s="4">
        <f>MONTH(StockTransactionsTable[[#This Row],[Date]])</f>
        <v>6</v>
      </c>
      <c r="R567" s="1"/>
      <c r="V567" s="33"/>
      <c r="W567" s="33"/>
    </row>
    <row r="568" spans="2:23">
      <c r="B568" s="3">
        <v>44742</v>
      </c>
      <c r="C568" s="6" t="s">
        <v>18</v>
      </c>
      <c r="D568" s="6" t="s">
        <v>30</v>
      </c>
      <c r="E568" s="5">
        <v>43</v>
      </c>
      <c r="F568" s="5">
        <v>1.1499999999999999</v>
      </c>
      <c r="G568" s="5">
        <f>StockTransactionsTable[[#This Row],[Shares No.]]*StockTransactionsTable[[#This Row],[Amount per Share]]</f>
        <v>49.449999999999996</v>
      </c>
      <c r="H568" s="5">
        <v>0</v>
      </c>
      <c r="I56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49.449999999999996</v>
      </c>
      <c r="J568" s="19">
        <f>StockTransactionsTable[[#This Row],[Fee]]/StockTransactionsTable[[#This Row],[Total Amount]]</f>
        <v>0</v>
      </c>
      <c r="K568" s="5">
        <f>IF(StockTransactionsTable[[#This Row],[Transaction Type]]="Buy", StockTransactionsTable[[#This Row],[Total Amount with Fee]] / StockTransactionsTable[[#This Row],[Shares No.]],0)</f>
        <v>0</v>
      </c>
      <c r="L56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68" s="4">
        <f>YEAR(StockTransactionsTable[[#This Row],[Date]])</f>
        <v>2022</v>
      </c>
      <c r="N568" s="4">
        <f>MONTH(StockTransactionsTable[[#This Row],[Date]])</f>
        <v>6</v>
      </c>
      <c r="R568" s="1"/>
      <c r="V568" s="33"/>
      <c r="W568" s="33"/>
    </row>
    <row r="569" spans="2:23">
      <c r="B569" s="3">
        <v>44743</v>
      </c>
      <c r="C569" s="6" t="s">
        <v>23</v>
      </c>
      <c r="D569" s="6" t="s">
        <v>30</v>
      </c>
      <c r="E569" s="5">
        <v>85</v>
      </c>
      <c r="F569" s="5">
        <v>0.44</v>
      </c>
      <c r="G569" s="5">
        <f>StockTransactionsTable[[#This Row],[Shares No.]]*StockTransactionsTable[[#This Row],[Amount per Share]]</f>
        <v>37.4</v>
      </c>
      <c r="H569" s="5">
        <v>0</v>
      </c>
      <c r="I56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37.4</v>
      </c>
      <c r="J569" s="19">
        <f>StockTransactionsTable[[#This Row],[Fee]]/StockTransactionsTable[[#This Row],[Total Amount]]</f>
        <v>0</v>
      </c>
      <c r="K569" s="5">
        <f>IF(StockTransactionsTable[[#This Row],[Transaction Type]]="Buy", StockTransactionsTable[[#This Row],[Total Amount with Fee]] / StockTransactionsTable[[#This Row],[Shares No.]],0)</f>
        <v>0</v>
      </c>
      <c r="L56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69" s="4">
        <f>YEAR(StockTransactionsTable[[#This Row],[Date]])</f>
        <v>2022</v>
      </c>
      <c r="N569" s="4">
        <f>MONTH(StockTransactionsTable[[#This Row],[Date]])</f>
        <v>7</v>
      </c>
      <c r="R569" s="1"/>
      <c r="V569" s="33"/>
      <c r="W569" s="33"/>
    </row>
    <row r="570" spans="2:23">
      <c r="B570" s="3">
        <v>44757</v>
      </c>
      <c r="C570" s="6" t="s">
        <v>12</v>
      </c>
      <c r="D570" s="6" t="s">
        <v>30</v>
      </c>
      <c r="E570" s="5">
        <v>64</v>
      </c>
      <c r="F570" s="5">
        <v>0.2475</v>
      </c>
      <c r="G570" s="5">
        <f>StockTransactionsTable[[#This Row],[Shares No.]]*StockTransactionsTable[[#This Row],[Amount per Share]]</f>
        <v>15.84</v>
      </c>
      <c r="H570" s="5">
        <v>0</v>
      </c>
      <c r="I57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15.84</v>
      </c>
      <c r="J570" s="19">
        <f>StockTransactionsTable[[#This Row],[Fee]]/StockTransactionsTable[[#This Row],[Total Amount]]</f>
        <v>0</v>
      </c>
      <c r="K570" s="5">
        <f>IF(StockTransactionsTable[[#This Row],[Transaction Type]]="Buy", StockTransactionsTable[[#This Row],[Total Amount with Fee]] / StockTransactionsTable[[#This Row],[Shares No.]],0)</f>
        <v>0</v>
      </c>
      <c r="L57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70" s="4">
        <f>YEAR(StockTransactionsTable[[#This Row],[Date]])</f>
        <v>2022</v>
      </c>
      <c r="N570" s="4">
        <f>MONTH(StockTransactionsTable[[#This Row],[Date]])</f>
        <v>7</v>
      </c>
      <c r="R570" s="1"/>
      <c r="V570" s="33"/>
      <c r="W570" s="33"/>
    </row>
    <row r="571" spans="2:23">
      <c r="B571" s="3">
        <v>44771</v>
      </c>
      <c r="C571" s="6" t="s">
        <v>91</v>
      </c>
      <c r="D571" s="6" t="s">
        <v>29</v>
      </c>
      <c r="E571" s="5">
        <v>18</v>
      </c>
      <c r="F571" s="5" vm="509">
        <v>280.74</v>
      </c>
      <c r="G571" s="5">
        <f>StockTransactionsTable[[#This Row],[Shares No.]]*StockTransactionsTable[[#This Row],[Amount per Share]]</f>
        <v>5053.32</v>
      </c>
      <c r="H571" s="5">
        <v>2.1647419056965771</v>
      </c>
      <c r="I57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5055.484741905696</v>
      </c>
      <c r="J571" s="19">
        <f>StockTransactionsTable[[#This Row],[Fee]]/StockTransactionsTable[[#This Row],[Total Amount]]</f>
        <v>4.2838013537566929E-4</v>
      </c>
      <c r="K571" s="5">
        <f>IF(StockTransactionsTable[[#This Row],[Transaction Type]]="Buy", StockTransactionsTable[[#This Row],[Total Amount with Fee]] / StockTransactionsTable[[#This Row],[Shares No.]],0)</f>
        <v>280.86026343920531</v>
      </c>
      <c r="L57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71" s="4">
        <f>YEAR(StockTransactionsTable[[#This Row],[Date]])</f>
        <v>2022</v>
      </c>
      <c r="N571" s="4">
        <f>MONTH(StockTransactionsTable[[#This Row],[Date]])</f>
        <v>7</v>
      </c>
      <c r="R571" s="1"/>
      <c r="V571" s="33"/>
      <c r="W571" s="33"/>
    </row>
    <row r="572" spans="2:23">
      <c r="B572" s="3">
        <v>44773</v>
      </c>
      <c r="C572" s="6" t="s">
        <v>20</v>
      </c>
      <c r="D572" s="6" t="s">
        <v>30</v>
      </c>
      <c r="E572" s="5">
        <v>93</v>
      </c>
      <c r="F572" s="5">
        <v>1</v>
      </c>
      <c r="G572" s="5">
        <f>StockTransactionsTable[[#This Row],[Shares No.]]*StockTransactionsTable[[#This Row],[Amount per Share]]</f>
        <v>93</v>
      </c>
      <c r="H572" s="5">
        <v>0</v>
      </c>
      <c r="I57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93</v>
      </c>
      <c r="J572" s="19">
        <f>StockTransactionsTable[[#This Row],[Fee]]/StockTransactionsTable[[#This Row],[Total Amount]]</f>
        <v>0</v>
      </c>
      <c r="K572" s="5">
        <f>IF(StockTransactionsTable[[#This Row],[Transaction Type]]="Buy", StockTransactionsTable[[#This Row],[Total Amount with Fee]] / StockTransactionsTable[[#This Row],[Shares No.]],0)</f>
        <v>0</v>
      </c>
      <c r="L57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72" s="4">
        <f>YEAR(StockTransactionsTable[[#This Row],[Date]])</f>
        <v>2022</v>
      </c>
      <c r="N572" s="4">
        <f>MONTH(StockTransactionsTable[[#This Row],[Date]])</f>
        <v>7</v>
      </c>
      <c r="R572" s="1"/>
      <c r="V572" s="33"/>
      <c r="W572" s="33"/>
    </row>
    <row r="573" spans="2:23">
      <c r="B573" s="3">
        <v>44774</v>
      </c>
      <c r="C573" s="6" t="s">
        <v>15</v>
      </c>
      <c r="D573" s="6" t="s">
        <v>30</v>
      </c>
      <c r="E573" s="5">
        <v>124</v>
      </c>
      <c r="F573" s="5">
        <v>0.27750000000000002</v>
      </c>
      <c r="G573" s="5">
        <f>StockTransactionsTable[[#This Row],[Shares No.]]*StockTransactionsTable[[#This Row],[Amount per Share]]</f>
        <v>34.410000000000004</v>
      </c>
      <c r="H573" s="5">
        <v>0</v>
      </c>
      <c r="I57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34.410000000000004</v>
      </c>
      <c r="J573" s="19">
        <f>StockTransactionsTable[[#This Row],[Fee]]/StockTransactionsTable[[#This Row],[Total Amount]]</f>
        <v>0</v>
      </c>
      <c r="K573" s="5">
        <f>IF(StockTransactionsTable[[#This Row],[Transaction Type]]="Buy", StockTransactionsTable[[#This Row],[Total Amount with Fee]] / StockTransactionsTable[[#This Row],[Shares No.]],0)</f>
        <v>0</v>
      </c>
      <c r="L57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73" s="4">
        <f>YEAR(StockTransactionsTable[[#This Row],[Date]])</f>
        <v>2022</v>
      </c>
      <c r="N573" s="4">
        <f>MONTH(StockTransactionsTable[[#This Row],[Date]])</f>
        <v>8</v>
      </c>
      <c r="R573" s="1"/>
      <c r="V573" s="33"/>
      <c r="W573" s="33"/>
    </row>
    <row r="574" spans="2:23">
      <c r="B574" s="3">
        <v>44785</v>
      </c>
      <c r="C574" s="6" t="s">
        <v>19</v>
      </c>
      <c r="D574" s="6" t="s">
        <v>30</v>
      </c>
      <c r="E574" s="5">
        <v>57</v>
      </c>
      <c r="F574" s="5">
        <v>1.18</v>
      </c>
      <c r="G574" s="5">
        <f>StockTransactionsTable[[#This Row],[Shares No.]]*StockTransactionsTable[[#This Row],[Amount per Share]]</f>
        <v>67.259999999999991</v>
      </c>
      <c r="H574" s="5">
        <v>0</v>
      </c>
      <c r="I57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67.259999999999991</v>
      </c>
      <c r="J574" s="19">
        <f>StockTransactionsTable[[#This Row],[Fee]]/StockTransactionsTable[[#This Row],[Total Amount]]</f>
        <v>0</v>
      </c>
      <c r="K574" s="5">
        <f>IF(StockTransactionsTable[[#This Row],[Transaction Type]]="Buy", StockTransactionsTable[[#This Row],[Total Amount with Fee]] / StockTransactionsTable[[#This Row],[Shares No.]],0)</f>
        <v>0</v>
      </c>
      <c r="L57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74" s="4">
        <f>YEAR(StockTransactionsTable[[#This Row],[Date]])</f>
        <v>2022</v>
      </c>
      <c r="N574" s="4">
        <f>MONTH(StockTransactionsTable[[#This Row],[Date]])</f>
        <v>8</v>
      </c>
      <c r="R574" s="1"/>
      <c r="V574" s="33"/>
      <c r="W574" s="33"/>
    </row>
    <row r="575" spans="2:23">
      <c r="B575" s="3">
        <v>44788</v>
      </c>
      <c r="C575" s="6" t="s">
        <v>86</v>
      </c>
      <c r="D575" s="6" t="s">
        <v>30</v>
      </c>
      <c r="E575" s="5">
        <v>114</v>
      </c>
      <c r="F575" s="5">
        <v>1.41</v>
      </c>
      <c r="G575" s="5">
        <f>StockTransactionsTable[[#This Row],[Shares No.]]*StockTransactionsTable[[#This Row],[Amount per Share]]</f>
        <v>160.73999999999998</v>
      </c>
      <c r="H575" s="5">
        <v>0</v>
      </c>
      <c r="I57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160.73999999999998</v>
      </c>
      <c r="J575" s="19">
        <f>StockTransactionsTable[[#This Row],[Fee]]/StockTransactionsTable[[#This Row],[Total Amount]]</f>
        <v>0</v>
      </c>
      <c r="K575" s="5">
        <f>IF(StockTransactionsTable[[#This Row],[Transaction Type]]="Buy", StockTransactionsTable[[#This Row],[Total Amount with Fee]] / StockTransactionsTable[[#This Row],[Shares No.]],0)</f>
        <v>0</v>
      </c>
      <c r="L57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75" s="4">
        <f>YEAR(StockTransactionsTable[[#This Row],[Date]])</f>
        <v>2022</v>
      </c>
      <c r="N575" s="4">
        <f>MONTH(StockTransactionsTable[[#This Row],[Date]])</f>
        <v>8</v>
      </c>
      <c r="R575" s="1"/>
      <c r="V575" s="33"/>
      <c r="W575" s="33"/>
    </row>
    <row r="576" spans="2:23">
      <c r="B576" s="3">
        <v>44788</v>
      </c>
      <c r="C576" s="6" t="s">
        <v>12</v>
      </c>
      <c r="D576" s="6" t="s">
        <v>30</v>
      </c>
      <c r="E576" s="5">
        <v>64</v>
      </c>
      <c r="F576" s="5">
        <v>0.2475</v>
      </c>
      <c r="G576" s="5">
        <f>StockTransactionsTable[[#This Row],[Shares No.]]*StockTransactionsTable[[#This Row],[Amount per Share]]</f>
        <v>15.84</v>
      </c>
      <c r="H576" s="5">
        <v>0</v>
      </c>
      <c r="I57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15.84</v>
      </c>
      <c r="J576" s="19">
        <f>StockTransactionsTable[[#This Row],[Fee]]/StockTransactionsTable[[#This Row],[Total Amount]]</f>
        <v>0</v>
      </c>
      <c r="K576" s="5">
        <f>IF(StockTransactionsTable[[#This Row],[Transaction Type]]="Buy", StockTransactionsTable[[#This Row],[Total Amount with Fee]] / StockTransactionsTable[[#This Row],[Shares No.]],0)</f>
        <v>0</v>
      </c>
      <c r="L57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76" s="4">
        <f>YEAR(StockTransactionsTable[[#This Row],[Date]])</f>
        <v>2022</v>
      </c>
      <c r="N576" s="4">
        <f>MONTH(StockTransactionsTable[[#This Row],[Date]])</f>
        <v>8</v>
      </c>
      <c r="R576" s="1"/>
      <c r="V576" s="33"/>
      <c r="W576" s="33"/>
    </row>
    <row r="577" spans="2:23">
      <c r="B577" s="3">
        <v>44788</v>
      </c>
      <c r="C577" s="6" t="s">
        <v>21</v>
      </c>
      <c r="D577" s="6" t="s">
        <v>30</v>
      </c>
      <c r="E577" s="5">
        <v>42</v>
      </c>
      <c r="F577" s="5">
        <v>0.9133</v>
      </c>
      <c r="G577" s="5">
        <f>StockTransactionsTable[[#This Row],[Shares No.]]*StockTransactionsTable[[#This Row],[Amount per Share]]</f>
        <v>38.358600000000003</v>
      </c>
      <c r="H577" s="5">
        <v>0</v>
      </c>
      <c r="I57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38.358600000000003</v>
      </c>
      <c r="J577" s="19">
        <f>StockTransactionsTable[[#This Row],[Fee]]/StockTransactionsTable[[#This Row],[Total Amount]]</f>
        <v>0</v>
      </c>
      <c r="K577" s="5">
        <f>IF(StockTransactionsTable[[#This Row],[Transaction Type]]="Buy", StockTransactionsTable[[#This Row],[Total Amount with Fee]] / StockTransactionsTable[[#This Row],[Shares No.]],0)</f>
        <v>0</v>
      </c>
      <c r="L57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77" s="4">
        <f>YEAR(StockTransactionsTable[[#This Row],[Date]])</f>
        <v>2022</v>
      </c>
      <c r="N577" s="4">
        <f>MONTH(StockTransactionsTable[[#This Row],[Date]])</f>
        <v>8</v>
      </c>
      <c r="R577" s="1"/>
      <c r="V577" s="33"/>
      <c r="W577" s="33"/>
    </row>
    <row r="578" spans="2:23">
      <c r="B578" s="3">
        <v>44792</v>
      </c>
      <c r="C578" s="6" t="s">
        <v>22</v>
      </c>
      <c r="D578" s="6" t="s">
        <v>30</v>
      </c>
      <c r="E578" s="5">
        <v>106</v>
      </c>
      <c r="F578" s="5">
        <v>1.2</v>
      </c>
      <c r="G578" s="5">
        <f>StockTransactionsTable[[#This Row],[Shares No.]]*StockTransactionsTable[[#This Row],[Amount per Share]]</f>
        <v>127.19999999999999</v>
      </c>
      <c r="H578" s="5">
        <v>0</v>
      </c>
      <c r="I57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127.19999999999999</v>
      </c>
      <c r="J578" s="19">
        <f>StockTransactionsTable[[#This Row],[Fee]]/StockTransactionsTable[[#This Row],[Total Amount]]</f>
        <v>0</v>
      </c>
      <c r="K578" s="5">
        <f>IF(StockTransactionsTable[[#This Row],[Transaction Type]]="Buy", StockTransactionsTable[[#This Row],[Total Amount with Fee]] / StockTransactionsTable[[#This Row],[Shares No.]],0)</f>
        <v>0</v>
      </c>
      <c r="L57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78" s="4">
        <f>YEAR(StockTransactionsTable[[#This Row],[Date]])</f>
        <v>2022</v>
      </c>
      <c r="N578" s="4">
        <f>MONTH(StockTransactionsTable[[#This Row],[Date]])</f>
        <v>8</v>
      </c>
      <c r="R578" s="1"/>
      <c r="V578" s="33"/>
      <c r="W578" s="33"/>
    </row>
    <row r="579" spans="2:23">
      <c r="B579" s="3">
        <v>44803</v>
      </c>
      <c r="C579" s="6" t="s">
        <v>17</v>
      </c>
      <c r="D579" s="6" t="s">
        <v>29</v>
      </c>
      <c r="E579" s="5">
        <v>21</v>
      </c>
      <c r="F579" s="5" vm="510">
        <v>129.58000000000001</v>
      </c>
      <c r="G579" s="5">
        <f>StockTransactionsTable[[#This Row],[Shares No.]]*StockTransactionsTable[[#This Row],[Amount per Share]]</f>
        <v>2721.1800000000003</v>
      </c>
      <c r="H579" s="5">
        <v>1.2342702912792856</v>
      </c>
      <c r="I57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2722.4142702912795</v>
      </c>
      <c r="J579" s="19">
        <f>StockTransactionsTable[[#This Row],[Fee]]/StockTransactionsTable[[#This Row],[Total Amount]]</f>
        <v>4.5357906910946188E-4</v>
      </c>
      <c r="K579" s="5">
        <f>IF(StockTransactionsTable[[#This Row],[Transaction Type]]="Buy", StockTransactionsTable[[#This Row],[Total Amount with Fee]] / StockTransactionsTable[[#This Row],[Shares No.]],0)</f>
        <v>129.6387747757752</v>
      </c>
      <c r="L57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79" s="4">
        <f>YEAR(StockTransactionsTable[[#This Row],[Date]])</f>
        <v>2022</v>
      </c>
      <c r="N579" s="4">
        <f>MONTH(StockTransactionsTable[[#This Row],[Date]])</f>
        <v>8</v>
      </c>
      <c r="R579" s="1"/>
      <c r="V579" s="33"/>
      <c r="W579" s="33"/>
    </row>
    <row r="580" spans="2:23">
      <c r="B580" s="3">
        <v>44810</v>
      </c>
      <c r="C580" s="6" t="s">
        <v>84</v>
      </c>
      <c r="D580" s="6" t="s">
        <v>30</v>
      </c>
      <c r="E580" s="5">
        <v>51</v>
      </c>
      <c r="F580" s="5">
        <v>1.1299999999999999</v>
      </c>
      <c r="G580" s="5">
        <f>StockTransactionsTable[[#This Row],[Shares No.]]*StockTransactionsTable[[#This Row],[Amount per Share]]</f>
        <v>57.629999999999995</v>
      </c>
      <c r="H580" s="5">
        <v>0</v>
      </c>
      <c r="I58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57.629999999999995</v>
      </c>
      <c r="J580" s="19">
        <f>StockTransactionsTable[[#This Row],[Fee]]/StockTransactionsTable[[#This Row],[Total Amount]]</f>
        <v>0</v>
      </c>
      <c r="K580" s="5">
        <f>IF(StockTransactionsTable[[#This Row],[Transaction Type]]="Buy", StockTransactionsTable[[#This Row],[Total Amount with Fee]] / StockTransactionsTable[[#This Row],[Shares No.]],0)</f>
        <v>0</v>
      </c>
      <c r="L58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80" s="4">
        <f>YEAR(StockTransactionsTable[[#This Row],[Date]])</f>
        <v>2022</v>
      </c>
      <c r="N580" s="4">
        <f>MONTH(StockTransactionsTable[[#This Row],[Date]])</f>
        <v>9</v>
      </c>
      <c r="R580" s="1"/>
      <c r="V580" s="33"/>
      <c r="W580" s="33"/>
    </row>
    <row r="581" spans="2:23">
      <c r="B581" s="3">
        <v>44810</v>
      </c>
      <c r="C581" s="6" t="s">
        <v>13</v>
      </c>
      <c r="D581" s="6" t="s">
        <v>30</v>
      </c>
      <c r="E581" s="5">
        <v>55</v>
      </c>
      <c r="F581" s="5">
        <v>0.4</v>
      </c>
      <c r="G581" s="5">
        <f>StockTransactionsTable[[#This Row],[Shares No.]]*StockTransactionsTable[[#This Row],[Amount per Share]]</f>
        <v>22</v>
      </c>
      <c r="H581" s="5">
        <v>0</v>
      </c>
      <c r="I58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22</v>
      </c>
      <c r="J581" s="19">
        <f>StockTransactionsTable[[#This Row],[Fee]]/StockTransactionsTable[[#This Row],[Total Amount]]</f>
        <v>0</v>
      </c>
      <c r="K581" s="5">
        <f>IF(StockTransactionsTable[[#This Row],[Transaction Type]]="Buy", StockTransactionsTable[[#This Row],[Total Amount with Fee]] / StockTransactionsTable[[#This Row],[Shares No.]],0)</f>
        <v>0</v>
      </c>
      <c r="L58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81" s="4">
        <f>YEAR(StockTransactionsTable[[#This Row],[Date]])</f>
        <v>2022</v>
      </c>
      <c r="N581" s="4">
        <f>MONTH(StockTransactionsTable[[#This Row],[Date]])</f>
        <v>9</v>
      </c>
      <c r="R581" s="1"/>
      <c r="V581" s="33"/>
      <c r="W581" s="33"/>
    </row>
    <row r="582" spans="2:23">
      <c r="B582" s="3">
        <v>44812</v>
      </c>
      <c r="C582" s="6" t="s">
        <v>91</v>
      </c>
      <c r="D582" s="6" t="s">
        <v>30</v>
      </c>
      <c r="E582" s="5">
        <v>176</v>
      </c>
      <c r="F582" s="5">
        <v>0.62</v>
      </c>
      <c r="G582" s="5">
        <f>StockTransactionsTable[[#This Row],[Shares No.]]*StockTransactionsTable[[#This Row],[Amount per Share]]</f>
        <v>109.12</v>
      </c>
      <c r="H582" s="5">
        <v>0</v>
      </c>
      <c r="I58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109.12</v>
      </c>
      <c r="J582" s="19">
        <f>StockTransactionsTable[[#This Row],[Fee]]/StockTransactionsTable[[#This Row],[Total Amount]]</f>
        <v>0</v>
      </c>
      <c r="K582" s="5">
        <f>IF(StockTransactionsTable[[#This Row],[Transaction Type]]="Buy", StockTransactionsTable[[#This Row],[Total Amount with Fee]] / StockTransactionsTable[[#This Row],[Shares No.]],0)</f>
        <v>0</v>
      </c>
      <c r="L58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82" s="4">
        <f>YEAR(StockTransactionsTable[[#This Row],[Date]])</f>
        <v>2022</v>
      </c>
      <c r="N582" s="4">
        <f>MONTH(StockTransactionsTable[[#This Row],[Date]])</f>
        <v>9</v>
      </c>
      <c r="R582" s="1"/>
      <c r="V582" s="33"/>
      <c r="W582" s="33"/>
    </row>
    <row r="583" spans="2:23">
      <c r="B583" s="3">
        <v>44813</v>
      </c>
      <c r="C583" s="6" t="s">
        <v>16</v>
      </c>
      <c r="D583" s="6" t="s">
        <v>30</v>
      </c>
      <c r="E583" s="5">
        <v>185</v>
      </c>
      <c r="F583" s="5">
        <v>0.88</v>
      </c>
      <c r="G583" s="5">
        <f>StockTransactionsTable[[#This Row],[Shares No.]]*StockTransactionsTable[[#This Row],[Amount per Share]]</f>
        <v>162.80000000000001</v>
      </c>
      <c r="H583" s="5">
        <v>0</v>
      </c>
      <c r="I58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162.80000000000001</v>
      </c>
      <c r="J583" s="19">
        <f>StockTransactionsTable[[#This Row],[Fee]]/StockTransactionsTable[[#This Row],[Total Amount]]</f>
        <v>0</v>
      </c>
      <c r="K583" s="5">
        <f>IF(StockTransactionsTable[[#This Row],[Transaction Type]]="Buy", StockTransactionsTable[[#This Row],[Total Amount with Fee]] / StockTransactionsTable[[#This Row],[Shares No.]],0)</f>
        <v>0</v>
      </c>
      <c r="L58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83" s="4">
        <f>YEAR(StockTransactionsTable[[#This Row],[Date]])</f>
        <v>2022</v>
      </c>
      <c r="N583" s="4">
        <f>MONTH(StockTransactionsTable[[#This Row],[Date]])</f>
        <v>9</v>
      </c>
      <c r="R583" s="1"/>
      <c r="V583" s="33"/>
      <c r="W583" s="33"/>
    </row>
    <row r="584" spans="2:23">
      <c r="B584" s="3">
        <v>44814</v>
      </c>
      <c r="C584" s="6" t="s">
        <v>17</v>
      </c>
      <c r="D584" s="6" t="s">
        <v>30</v>
      </c>
      <c r="E584" s="5">
        <v>173</v>
      </c>
      <c r="F584" s="5">
        <v>1.65</v>
      </c>
      <c r="G584" s="5">
        <f>StockTransactionsTable[[#This Row],[Shares No.]]*StockTransactionsTable[[#This Row],[Amount per Share]]</f>
        <v>285.45</v>
      </c>
      <c r="H584" s="5">
        <v>0</v>
      </c>
      <c r="I58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285.45</v>
      </c>
      <c r="J584" s="19">
        <f>StockTransactionsTable[[#This Row],[Fee]]/StockTransactionsTable[[#This Row],[Total Amount]]</f>
        <v>0</v>
      </c>
      <c r="K584" s="5">
        <f>IF(StockTransactionsTable[[#This Row],[Transaction Type]]="Buy", StockTransactionsTable[[#This Row],[Total Amount with Fee]] / StockTransactionsTable[[#This Row],[Shares No.]],0)</f>
        <v>0</v>
      </c>
      <c r="L58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84" s="4">
        <f>YEAR(StockTransactionsTable[[#This Row],[Date]])</f>
        <v>2022</v>
      </c>
      <c r="N584" s="4">
        <f>MONTH(StockTransactionsTable[[#This Row],[Date]])</f>
        <v>9</v>
      </c>
      <c r="R584" s="1"/>
      <c r="V584" s="33"/>
      <c r="W584" s="33"/>
    </row>
    <row r="585" spans="2:23">
      <c r="B585" s="3">
        <v>44814</v>
      </c>
      <c r="C585" s="6" t="s">
        <v>106</v>
      </c>
      <c r="D585" s="6" t="s">
        <v>30</v>
      </c>
      <c r="E585" s="5">
        <v>88</v>
      </c>
      <c r="F585" s="5">
        <v>0.62</v>
      </c>
      <c r="G585" s="5">
        <f>StockTransactionsTable[[#This Row],[Shares No.]]*StockTransactionsTable[[#This Row],[Amount per Share]]</f>
        <v>54.56</v>
      </c>
      <c r="H585" s="5">
        <v>0</v>
      </c>
      <c r="I58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54.56</v>
      </c>
      <c r="J585" s="19">
        <f>StockTransactionsTable[[#This Row],[Fee]]/StockTransactionsTable[[#This Row],[Total Amount]]</f>
        <v>0</v>
      </c>
      <c r="K585" s="5">
        <f>IF(StockTransactionsTable[[#This Row],[Transaction Type]]="Buy", StockTransactionsTable[[#This Row],[Total Amount with Fee]] / StockTransactionsTable[[#This Row],[Shares No.]],0)</f>
        <v>0</v>
      </c>
      <c r="L58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85" s="4">
        <f>YEAR(StockTransactionsTable[[#This Row],[Date]])</f>
        <v>2022</v>
      </c>
      <c r="N585" s="4">
        <f>MONTH(StockTransactionsTable[[#This Row],[Date]])</f>
        <v>9</v>
      </c>
      <c r="R585" s="1"/>
      <c r="V585" s="33"/>
      <c r="W585" s="33"/>
    </row>
    <row r="586" spans="2:23">
      <c r="B586" s="3">
        <v>44819</v>
      </c>
      <c r="C586" s="6" t="s">
        <v>14</v>
      </c>
      <c r="D586" s="6" t="s">
        <v>30</v>
      </c>
      <c r="E586" s="5">
        <v>28</v>
      </c>
      <c r="F586" s="5">
        <v>0.3604</v>
      </c>
      <c r="G586" s="5">
        <f>StockTransactionsTable[[#This Row],[Shares No.]]*StockTransactionsTable[[#This Row],[Amount per Share]]</f>
        <v>10.091200000000001</v>
      </c>
      <c r="H586" s="5">
        <v>0</v>
      </c>
      <c r="I58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10.091200000000001</v>
      </c>
      <c r="J586" s="19">
        <f>StockTransactionsTable[[#This Row],[Fee]]/StockTransactionsTable[[#This Row],[Total Amount]]</f>
        <v>0</v>
      </c>
      <c r="K586" s="5">
        <f>IF(StockTransactionsTable[[#This Row],[Transaction Type]]="Buy", StockTransactionsTable[[#This Row],[Total Amount with Fee]] / StockTransactionsTable[[#This Row],[Shares No.]],0)</f>
        <v>0</v>
      </c>
      <c r="L58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86" s="4">
        <f>YEAR(StockTransactionsTable[[#This Row],[Date]])</f>
        <v>2022</v>
      </c>
      <c r="N586" s="4">
        <f>MONTH(StockTransactionsTable[[#This Row],[Date]])</f>
        <v>9</v>
      </c>
      <c r="R586" s="1"/>
      <c r="V586" s="33"/>
      <c r="W586" s="33"/>
    </row>
    <row r="587" spans="2:23">
      <c r="B587" s="3">
        <v>44819</v>
      </c>
      <c r="C587" s="6" t="s">
        <v>95</v>
      </c>
      <c r="D587" s="6" t="s">
        <v>30</v>
      </c>
      <c r="E587" s="5">
        <v>78</v>
      </c>
      <c r="F587" s="5">
        <v>1.9</v>
      </c>
      <c r="G587" s="5">
        <f>StockTransactionsTable[[#This Row],[Shares No.]]*StockTransactionsTable[[#This Row],[Amount per Share]]</f>
        <v>148.19999999999999</v>
      </c>
      <c r="H587" s="5">
        <v>0</v>
      </c>
      <c r="I58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148.19999999999999</v>
      </c>
      <c r="J587" s="19">
        <f>StockTransactionsTable[[#This Row],[Fee]]/StockTransactionsTable[[#This Row],[Total Amount]]</f>
        <v>0</v>
      </c>
      <c r="K587" s="5">
        <f>IF(StockTransactionsTable[[#This Row],[Transaction Type]]="Buy", StockTransactionsTable[[#This Row],[Total Amount with Fee]] / StockTransactionsTable[[#This Row],[Shares No.]],0)</f>
        <v>0</v>
      </c>
      <c r="L58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87" s="4">
        <f>YEAR(StockTransactionsTable[[#This Row],[Date]])</f>
        <v>2022</v>
      </c>
      <c r="N587" s="4">
        <f>MONTH(StockTransactionsTable[[#This Row],[Date]])</f>
        <v>9</v>
      </c>
      <c r="R587" s="1"/>
      <c r="V587" s="33"/>
      <c r="W587" s="33"/>
    </row>
    <row r="588" spans="2:23">
      <c r="B588" s="3">
        <v>44819</v>
      </c>
      <c r="C588" s="6" t="s">
        <v>98</v>
      </c>
      <c r="D588" s="6" t="s">
        <v>30</v>
      </c>
      <c r="E588" s="5">
        <v>327</v>
      </c>
      <c r="F588" s="5">
        <v>0.42499999999999999</v>
      </c>
      <c r="G588" s="5">
        <f>StockTransactionsTable[[#This Row],[Shares No.]]*StockTransactionsTable[[#This Row],[Amount per Share]]</f>
        <v>138.97499999999999</v>
      </c>
      <c r="H588" s="5">
        <v>0</v>
      </c>
      <c r="I58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138.97499999999999</v>
      </c>
      <c r="J588" s="19">
        <f>StockTransactionsTable[[#This Row],[Fee]]/StockTransactionsTable[[#This Row],[Total Amount]]</f>
        <v>0</v>
      </c>
      <c r="K588" s="5">
        <f>IF(StockTransactionsTable[[#This Row],[Transaction Type]]="Buy", StockTransactionsTable[[#This Row],[Total Amount with Fee]] / StockTransactionsTable[[#This Row],[Shares No.]],0)</f>
        <v>0</v>
      </c>
      <c r="L58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88" s="4">
        <f>YEAR(StockTransactionsTable[[#This Row],[Date]])</f>
        <v>2022</v>
      </c>
      <c r="N588" s="4">
        <f>MONTH(StockTransactionsTable[[#This Row],[Date]])</f>
        <v>9</v>
      </c>
      <c r="R588" s="1"/>
      <c r="V588" s="33"/>
      <c r="W588" s="33"/>
    </row>
    <row r="589" spans="2:23">
      <c r="B589" s="3">
        <v>44819</v>
      </c>
      <c r="C589" s="6" t="s">
        <v>12</v>
      </c>
      <c r="D589" s="6" t="s">
        <v>30</v>
      </c>
      <c r="E589" s="5">
        <v>64</v>
      </c>
      <c r="F589" s="5">
        <v>0.2475</v>
      </c>
      <c r="G589" s="5">
        <f>StockTransactionsTable[[#This Row],[Shares No.]]*StockTransactionsTable[[#This Row],[Amount per Share]]</f>
        <v>15.84</v>
      </c>
      <c r="H589" s="5">
        <v>0</v>
      </c>
      <c r="I58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15.84</v>
      </c>
      <c r="J589" s="19">
        <f>StockTransactionsTable[[#This Row],[Fee]]/StockTransactionsTable[[#This Row],[Total Amount]]</f>
        <v>0</v>
      </c>
      <c r="K589" s="5">
        <f>IF(StockTransactionsTable[[#This Row],[Transaction Type]]="Buy", StockTransactionsTable[[#This Row],[Total Amount with Fee]] / StockTransactionsTable[[#This Row],[Shares No.]],0)</f>
        <v>0</v>
      </c>
      <c r="L58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89" s="4">
        <f>YEAR(StockTransactionsTable[[#This Row],[Date]])</f>
        <v>2022</v>
      </c>
      <c r="N589" s="4">
        <f>MONTH(StockTransactionsTable[[#This Row],[Date]])</f>
        <v>9</v>
      </c>
      <c r="R589" s="1"/>
      <c r="V589" s="33"/>
      <c r="W589" s="33"/>
    </row>
    <row r="590" spans="2:23">
      <c r="B590" s="3">
        <v>44820</v>
      </c>
      <c r="C590" s="6" t="s">
        <v>100</v>
      </c>
      <c r="D590" s="6" t="s">
        <v>30</v>
      </c>
      <c r="E590" s="5">
        <v>140</v>
      </c>
      <c r="F590" s="5">
        <v>1.0049999999999999</v>
      </c>
      <c r="G590" s="5">
        <f>StockTransactionsTable[[#This Row],[Shares No.]]*StockTransactionsTable[[#This Row],[Amount per Share]]</f>
        <v>140.69999999999999</v>
      </c>
      <c r="H590" s="5">
        <v>0</v>
      </c>
      <c r="I59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140.69999999999999</v>
      </c>
      <c r="J590" s="19">
        <f>StockTransactionsTable[[#This Row],[Fee]]/StockTransactionsTable[[#This Row],[Total Amount]]</f>
        <v>0</v>
      </c>
      <c r="K590" s="5">
        <f>IF(StockTransactionsTable[[#This Row],[Transaction Type]]="Buy", StockTransactionsTable[[#This Row],[Total Amount with Fee]] / StockTransactionsTable[[#This Row],[Shares No.]],0)</f>
        <v>0</v>
      </c>
      <c r="L59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90" s="4">
        <f>YEAR(StockTransactionsTable[[#This Row],[Date]])</f>
        <v>2022</v>
      </c>
      <c r="N590" s="4">
        <f>MONTH(StockTransactionsTable[[#This Row],[Date]])</f>
        <v>9</v>
      </c>
      <c r="R590" s="1"/>
      <c r="V590" s="33"/>
      <c r="W590" s="33"/>
    </row>
    <row r="591" spans="2:23">
      <c r="B591" s="3">
        <v>44820</v>
      </c>
      <c r="C591" s="6" t="s">
        <v>88</v>
      </c>
      <c r="D591" s="6" t="s">
        <v>30</v>
      </c>
      <c r="E591" s="5">
        <v>59</v>
      </c>
      <c r="F591" s="5">
        <v>1.38</v>
      </c>
      <c r="G591" s="5">
        <f>StockTransactionsTable[[#This Row],[Shares No.]]*StockTransactionsTable[[#This Row],[Amount per Share]]</f>
        <v>81.419999999999987</v>
      </c>
      <c r="H591" s="5">
        <v>0</v>
      </c>
      <c r="I59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81.419999999999987</v>
      </c>
      <c r="J591" s="19">
        <f>StockTransactionsTable[[#This Row],[Fee]]/StockTransactionsTable[[#This Row],[Total Amount]]</f>
        <v>0</v>
      </c>
      <c r="K591" s="5">
        <f>IF(StockTransactionsTable[[#This Row],[Transaction Type]]="Buy", StockTransactionsTable[[#This Row],[Total Amount with Fee]] / StockTransactionsTable[[#This Row],[Shares No.]],0)</f>
        <v>0</v>
      </c>
      <c r="L59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91" s="4">
        <f>YEAR(StockTransactionsTable[[#This Row],[Date]])</f>
        <v>2022</v>
      </c>
      <c r="N591" s="4">
        <f>MONTH(StockTransactionsTable[[#This Row],[Date]])</f>
        <v>9</v>
      </c>
      <c r="R591" s="1"/>
      <c r="V591" s="33"/>
      <c r="W591" s="33"/>
    </row>
    <row r="592" spans="2:23">
      <c r="B592" s="3">
        <v>44823</v>
      </c>
      <c r="C592" s="6" t="s">
        <v>95</v>
      </c>
      <c r="D592" s="6" t="s">
        <v>29</v>
      </c>
      <c r="E592" s="5">
        <v>33</v>
      </c>
      <c r="F592" s="5" vm="511">
        <v>280.42</v>
      </c>
      <c r="G592" s="5">
        <f>StockTransactionsTable[[#This Row],[Shares No.]]*StockTransactionsTable[[#This Row],[Amount per Share]]</f>
        <v>9253.86</v>
      </c>
      <c r="H592" s="5">
        <v>4.0583826126480425</v>
      </c>
      <c r="I59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9257.9183826126482</v>
      </c>
      <c r="J592" s="19">
        <f>StockTransactionsTable[[#This Row],[Fee]]/StockTransactionsTable[[#This Row],[Total Amount]]</f>
        <v>4.3856105588889851E-4</v>
      </c>
      <c r="K592" s="5">
        <f>IF(StockTransactionsTable[[#This Row],[Transaction Type]]="Buy", StockTransactionsTable[[#This Row],[Total Amount with Fee]] / StockTransactionsTable[[#This Row],[Shares No.]],0)</f>
        <v>280.54298129129239</v>
      </c>
      <c r="L59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92" s="4">
        <f>YEAR(StockTransactionsTable[[#This Row],[Date]])</f>
        <v>2022</v>
      </c>
      <c r="N592" s="4">
        <f>MONTH(StockTransactionsTable[[#This Row],[Date]])</f>
        <v>9</v>
      </c>
      <c r="R592" s="1"/>
      <c r="V592" s="33"/>
      <c r="W592" s="33"/>
    </row>
    <row r="593" spans="2:23">
      <c r="B593" s="3">
        <v>44834</v>
      </c>
      <c r="C593" s="6" t="s">
        <v>18</v>
      </c>
      <c r="D593" s="6" t="s">
        <v>30</v>
      </c>
      <c r="E593" s="5">
        <v>43</v>
      </c>
      <c r="F593" s="5">
        <v>1.1499999999999999</v>
      </c>
      <c r="G593" s="5">
        <f>StockTransactionsTable[[#This Row],[Shares No.]]*StockTransactionsTable[[#This Row],[Amount per Share]]</f>
        <v>49.449999999999996</v>
      </c>
      <c r="H593" s="5">
        <v>0</v>
      </c>
      <c r="I59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49.449999999999996</v>
      </c>
      <c r="J593" s="19">
        <f>StockTransactionsTable[[#This Row],[Fee]]/StockTransactionsTable[[#This Row],[Total Amount]]</f>
        <v>0</v>
      </c>
      <c r="K593" s="5">
        <f>IF(StockTransactionsTable[[#This Row],[Transaction Type]]="Buy", StockTransactionsTable[[#This Row],[Total Amount with Fee]] / StockTransactionsTable[[#This Row],[Shares No.]],0)</f>
        <v>0</v>
      </c>
      <c r="L59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93" s="4">
        <f>YEAR(StockTransactionsTable[[#This Row],[Date]])</f>
        <v>2022</v>
      </c>
      <c r="N593" s="4">
        <f>MONTH(StockTransactionsTable[[#This Row],[Date]])</f>
        <v>9</v>
      </c>
      <c r="R593" s="1"/>
      <c r="V593" s="33"/>
      <c r="W593" s="33"/>
    </row>
    <row r="594" spans="2:23">
      <c r="B594" s="3">
        <v>44837</v>
      </c>
      <c r="C594" s="6" t="s">
        <v>23</v>
      </c>
      <c r="D594" s="6" t="s">
        <v>30</v>
      </c>
      <c r="E594" s="5">
        <v>85</v>
      </c>
      <c r="F594" s="5">
        <v>0.44</v>
      </c>
      <c r="G594" s="5">
        <f>StockTransactionsTable[[#This Row],[Shares No.]]*StockTransactionsTable[[#This Row],[Amount per Share]]</f>
        <v>37.4</v>
      </c>
      <c r="H594" s="5">
        <v>0</v>
      </c>
      <c r="I59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37.4</v>
      </c>
      <c r="J594" s="19">
        <f>StockTransactionsTable[[#This Row],[Fee]]/StockTransactionsTable[[#This Row],[Total Amount]]</f>
        <v>0</v>
      </c>
      <c r="K594" s="5">
        <f>IF(StockTransactionsTable[[#This Row],[Transaction Type]]="Buy", StockTransactionsTable[[#This Row],[Total Amount with Fee]] / StockTransactionsTable[[#This Row],[Shares No.]],0)</f>
        <v>0</v>
      </c>
      <c r="L59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94" s="4">
        <f>YEAR(StockTransactionsTable[[#This Row],[Date]])</f>
        <v>2022</v>
      </c>
      <c r="N594" s="4">
        <f>MONTH(StockTransactionsTable[[#This Row],[Date]])</f>
        <v>10</v>
      </c>
      <c r="R594" s="1"/>
      <c r="V594" s="33"/>
      <c r="W594" s="33"/>
    </row>
    <row r="595" spans="2:23">
      <c r="B595" s="3">
        <v>44848</v>
      </c>
      <c r="C595" s="6" t="s">
        <v>22</v>
      </c>
      <c r="D595" s="6" t="s">
        <v>29</v>
      </c>
      <c r="E595" s="5">
        <v>13</v>
      </c>
      <c r="F595" s="5" vm="512">
        <v>178.19</v>
      </c>
      <c r="G595" s="5">
        <f>StockTransactionsTable[[#This Row],[Shares No.]]*StockTransactionsTable[[#This Row],[Amount per Share]]</f>
        <v>2316.4699999999998</v>
      </c>
      <c r="H595" s="5">
        <v>1.0968736289761758</v>
      </c>
      <c r="I59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2317.5668736289758</v>
      </c>
      <c r="J595" s="19">
        <f>StockTransactionsTable[[#This Row],[Fee]]/StockTransactionsTable[[#This Row],[Total Amount]]</f>
        <v>4.735108285348724E-4</v>
      </c>
      <c r="K595" s="5">
        <f>IF(StockTransactionsTable[[#This Row],[Transaction Type]]="Buy", StockTransactionsTable[[#This Row],[Total Amount with Fee]] / StockTransactionsTable[[#This Row],[Shares No.]],0)</f>
        <v>178.27437489453661</v>
      </c>
      <c r="L59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95" s="4">
        <f>YEAR(StockTransactionsTable[[#This Row],[Date]])</f>
        <v>2022</v>
      </c>
      <c r="N595" s="4">
        <f>MONTH(StockTransactionsTable[[#This Row],[Date]])</f>
        <v>10</v>
      </c>
      <c r="R595" s="1"/>
      <c r="V595" s="33"/>
      <c r="W595" s="33"/>
    </row>
    <row r="596" spans="2:23">
      <c r="B596" s="3">
        <v>44848</v>
      </c>
      <c r="C596" s="6" t="s">
        <v>12</v>
      </c>
      <c r="D596" s="6" t="s">
        <v>30</v>
      </c>
      <c r="E596" s="5">
        <v>64</v>
      </c>
      <c r="F596" s="5">
        <v>0.248</v>
      </c>
      <c r="G596" s="5">
        <f>StockTransactionsTable[[#This Row],[Shares No.]]*StockTransactionsTable[[#This Row],[Amount per Share]]</f>
        <v>15.872</v>
      </c>
      <c r="H596" s="5">
        <v>0</v>
      </c>
      <c r="I59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15.872</v>
      </c>
      <c r="J596" s="19">
        <f>StockTransactionsTable[[#This Row],[Fee]]/StockTransactionsTable[[#This Row],[Total Amount]]</f>
        <v>0</v>
      </c>
      <c r="K596" s="5">
        <f>IF(StockTransactionsTable[[#This Row],[Transaction Type]]="Buy", StockTransactionsTable[[#This Row],[Total Amount with Fee]] / StockTransactionsTable[[#This Row],[Shares No.]],0)</f>
        <v>0</v>
      </c>
      <c r="L59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96" s="4">
        <f>YEAR(StockTransactionsTable[[#This Row],[Date]])</f>
        <v>2022</v>
      </c>
      <c r="N596" s="4">
        <f>MONTH(StockTransactionsTable[[#This Row],[Date]])</f>
        <v>10</v>
      </c>
      <c r="R596" s="1"/>
      <c r="V596" s="33"/>
      <c r="W596" s="33"/>
    </row>
    <row r="597" spans="2:23">
      <c r="B597" s="3">
        <v>44865</v>
      </c>
      <c r="C597" s="6" t="s">
        <v>20</v>
      </c>
      <c r="D597" s="6" t="s">
        <v>30</v>
      </c>
      <c r="E597" s="5">
        <v>93</v>
      </c>
      <c r="F597" s="5">
        <v>1</v>
      </c>
      <c r="G597" s="5">
        <f>StockTransactionsTable[[#This Row],[Shares No.]]*StockTransactionsTable[[#This Row],[Amount per Share]]</f>
        <v>93</v>
      </c>
      <c r="H597" s="5">
        <v>0</v>
      </c>
      <c r="I59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93</v>
      </c>
      <c r="J597" s="19">
        <f>StockTransactionsTable[[#This Row],[Fee]]/StockTransactionsTable[[#This Row],[Total Amount]]</f>
        <v>0</v>
      </c>
      <c r="K597" s="5">
        <f>IF(StockTransactionsTable[[#This Row],[Transaction Type]]="Buy", StockTransactionsTable[[#This Row],[Total Amount with Fee]] / StockTransactionsTable[[#This Row],[Shares No.]],0)</f>
        <v>0</v>
      </c>
      <c r="L59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97" s="4">
        <f>YEAR(StockTransactionsTable[[#This Row],[Date]])</f>
        <v>2022</v>
      </c>
      <c r="N597" s="4">
        <f>MONTH(StockTransactionsTable[[#This Row],[Date]])</f>
        <v>10</v>
      </c>
      <c r="R597" s="1"/>
      <c r="V597" s="33"/>
      <c r="W597" s="33"/>
    </row>
    <row r="598" spans="2:23">
      <c r="B598" s="3">
        <v>44866</v>
      </c>
      <c r="C598" s="6" t="s">
        <v>15</v>
      </c>
      <c r="D598" s="6" t="s">
        <v>30</v>
      </c>
      <c r="E598" s="5">
        <v>124</v>
      </c>
      <c r="F598" s="5">
        <v>0.27750000000000002</v>
      </c>
      <c r="G598" s="5">
        <f>StockTransactionsTable[[#This Row],[Shares No.]]*StockTransactionsTable[[#This Row],[Amount per Share]]</f>
        <v>34.410000000000004</v>
      </c>
      <c r="H598" s="5">
        <v>0</v>
      </c>
      <c r="I59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34.410000000000004</v>
      </c>
      <c r="J598" s="19">
        <f>StockTransactionsTable[[#This Row],[Fee]]/StockTransactionsTable[[#This Row],[Total Amount]]</f>
        <v>0</v>
      </c>
      <c r="K598" s="5">
        <f>IF(StockTransactionsTable[[#This Row],[Transaction Type]]="Buy", StockTransactionsTable[[#This Row],[Total Amount with Fee]] / StockTransactionsTable[[#This Row],[Shares No.]],0)</f>
        <v>0</v>
      </c>
      <c r="L59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98" s="4">
        <f>YEAR(StockTransactionsTable[[#This Row],[Date]])</f>
        <v>2022</v>
      </c>
      <c r="N598" s="4">
        <f>MONTH(StockTransactionsTable[[#This Row],[Date]])</f>
        <v>11</v>
      </c>
      <c r="R598" s="1"/>
      <c r="V598" s="33"/>
      <c r="W598" s="33"/>
    </row>
    <row r="599" spans="2:23">
      <c r="B599" s="3">
        <v>44875</v>
      </c>
      <c r="C599" s="6" t="s">
        <v>19</v>
      </c>
      <c r="D599" s="6" t="s">
        <v>30</v>
      </c>
      <c r="E599" s="5">
        <v>57</v>
      </c>
      <c r="F599" s="5">
        <v>1.18</v>
      </c>
      <c r="G599" s="5">
        <f>StockTransactionsTable[[#This Row],[Shares No.]]*StockTransactionsTable[[#This Row],[Amount per Share]]</f>
        <v>67.259999999999991</v>
      </c>
      <c r="H599" s="5">
        <v>0</v>
      </c>
      <c r="I59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67.259999999999991</v>
      </c>
      <c r="J599" s="19">
        <f>StockTransactionsTable[[#This Row],[Fee]]/StockTransactionsTable[[#This Row],[Total Amount]]</f>
        <v>0</v>
      </c>
      <c r="K599" s="5">
        <f>IF(StockTransactionsTable[[#This Row],[Transaction Type]]="Buy", StockTransactionsTable[[#This Row],[Total Amount with Fee]] / StockTransactionsTable[[#This Row],[Shares No.]],0)</f>
        <v>0</v>
      </c>
      <c r="L59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599" s="4">
        <f>YEAR(StockTransactionsTable[[#This Row],[Date]])</f>
        <v>2022</v>
      </c>
      <c r="N599" s="4">
        <f>MONTH(StockTransactionsTable[[#This Row],[Date]])</f>
        <v>11</v>
      </c>
      <c r="R599" s="1"/>
      <c r="V599" s="33"/>
      <c r="W599" s="33"/>
    </row>
    <row r="600" spans="2:23">
      <c r="B600" s="3">
        <v>44880</v>
      </c>
      <c r="C600" s="6" t="s">
        <v>86</v>
      </c>
      <c r="D600" s="6" t="s">
        <v>30</v>
      </c>
      <c r="E600" s="5">
        <v>114</v>
      </c>
      <c r="F600" s="5">
        <v>1.41</v>
      </c>
      <c r="G600" s="5">
        <f>StockTransactionsTable[[#This Row],[Shares No.]]*StockTransactionsTable[[#This Row],[Amount per Share]]</f>
        <v>160.73999999999998</v>
      </c>
      <c r="H600" s="5">
        <v>0</v>
      </c>
      <c r="I60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160.73999999999998</v>
      </c>
      <c r="J600" s="19">
        <f>StockTransactionsTable[[#This Row],[Fee]]/StockTransactionsTable[[#This Row],[Total Amount]]</f>
        <v>0</v>
      </c>
      <c r="K600" s="5">
        <f>IF(StockTransactionsTable[[#This Row],[Transaction Type]]="Buy", StockTransactionsTable[[#This Row],[Total Amount with Fee]] / StockTransactionsTable[[#This Row],[Shares No.]],0)</f>
        <v>0</v>
      </c>
      <c r="L60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00" s="4">
        <f>YEAR(StockTransactionsTable[[#This Row],[Date]])</f>
        <v>2022</v>
      </c>
      <c r="N600" s="4">
        <f>MONTH(StockTransactionsTable[[#This Row],[Date]])</f>
        <v>11</v>
      </c>
      <c r="R600" s="1"/>
      <c r="V600" s="33"/>
      <c r="W600" s="33"/>
    </row>
    <row r="601" spans="2:23">
      <c r="B601" s="3">
        <v>44880</v>
      </c>
      <c r="C601" s="6" t="s">
        <v>12</v>
      </c>
      <c r="D601" s="6" t="s">
        <v>30</v>
      </c>
      <c r="E601" s="5">
        <v>64</v>
      </c>
      <c r="F601" s="5">
        <v>0.248</v>
      </c>
      <c r="G601" s="5">
        <f>StockTransactionsTable[[#This Row],[Shares No.]]*StockTransactionsTable[[#This Row],[Amount per Share]]</f>
        <v>15.872</v>
      </c>
      <c r="H601" s="5">
        <v>0</v>
      </c>
      <c r="I60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15.872</v>
      </c>
      <c r="J601" s="19">
        <f>StockTransactionsTable[[#This Row],[Fee]]/StockTransactionsTable[[#This Row],[Total Amount]]</f>
        <v>0</v>
      </c>
      <c r="K601" s="5">
        <f>IF(StockTransactionsTable[[#This Row],[Transaction Type]]="Buy", StockTransactionsTable[[#This Row],[Total Amount with Fee]] / StockTransactionsTable[[#This Row],[Shares No.]],0)</f>
        <v>0</v>
      </c>
      <c r="L60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01" s="4">
        <f>YEAR(StockTransactionsTable[[#This Row],[Date]])</f>
        <v>2022</v>
      </c>
      <c r="N601" s="4">
        <f>MONTH(StockTransactionsTable[[#This Row],[Date]])</f>
        <v>11</v>
      </c>
      <c r="R601" s="1"/>
      <c r="V601" s="33"/>
      <c r="W601" s="33"/>
    </row>
    <row r="602" spans="2:23">
      <c r="B602" s="3">
        <v>44880</v>
      </c>
      <c r="C602" s="6" t="s">
        <v>21</v>
      </c>
      <c r="D602" s="6" t="s">
        <v>30</v>
      </c>
      <c r="E602" s="5">
        <v>42</v>
      </c>
      <c r="F602" s="5">
        <v>0.9133</v>
      </c>
      <c r="G602" s="5">
        <f>StockTransactionsTable[[#This Row],[Shares No.]]*StockTransactionsTable[[#This Row],[Amount per Share]]</f>
        <v>38.358600000000003</v>
      </c>
      <c r="H602" s="5">
        <v>0</v>
      </c>
      <c r="I60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38.358600000000003</v>
      </c>
      <c r="J602" s="19">
        <f>StockTransactionsTable[[#This Row],[Fee]]/StockTransactionsTable[[#This Row],[Total Amount]]</f>
        <v>0</v>
      </c>
      <c r="K602" s="5">
        <f>IF(StockTransactionsTable[[#This Row],[Transaction Type]]="Buy", StockTransactionsTable[[#This Row],[Total Amount with Fee]] / StockTransactionsTable[[#This Row],[Shares No.]],0)</f>
        <v>0</v>
      </c>
      <c r="L60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02" s="4">
        <f>YEAR(StockTransactionsTable[[#This Row],[Date]])</f>
        <v>2022</v>
      </c>
      <c r="N602" s="4">
        <f>MONTH(StockTransactionsTable[[#This Row],[Date]])</f>
        <v>11</v>
      </c>
      <c r="R602" s="1"/>
      <c r="V602" s="33"/>
      <c r="W602" s="33"/>
    </row>
    <row r="603" spans="2:23">
      <c r="B603" s="3">
        <v>44883</v>
      </c>
      <c r="C603" s="6" t="s">
        <v>22</v>
      </c>
      <c r="D603" s="6" t="s">
        <v>30</v>
      </c>
      <c r="E603" s="5">
        <v>119</v>
      </c>
      <c r="F603" s="5">
        <v>1.2</v>
      </c>
      <c r="G603" s="5">
        <f>StockTransactionsTable[[#This Row],[Shares No.]]*StockTransactionsTable[[#This Row],[Amount per Share]]</f>
        <v>142.79999999999998</v>
      </c>
      <c r="H603" s="5">
        <v>0</v>
      </c>
      <c r="I60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142.79999999999998</v>
      </c>
      <c r="J603" s="19">
        <f>StockTransactionsTable[[#This Row],[Fee]]/StockTransactionsTable[[#This Row],[Total Amount]]</f>
        <v>0</v>
      </c>
      <c r="K603" s="5">
        <f>IF(StockTransactionsTable[[#This Row],[Transaction Type]]="Buy", StockTransactionsTable[[#This Row],[Total Amount with Fee]] / StockTransactionsTable[[#This Row],[Shares No.]],0)</f>
        <v>0</v>
      </c>
      <c r="L60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03" s="4">
        <f>YEAR(StockTransactionsTable[[#This Row],[Date]])</f>
        <v>2022</v>
      </c>
      <c r="N603" s="4">
        <f>MONTH(StockTransactionsTable[[#This Row],[Date]])</f>
        <v>11</v>
      </c>
      <c r="R603" s="1"/>
      <c r="V603" s="33"/>
      <c r="W603" s="33"/>
    </row>
    <row r="604" spans="2:23">
      <c r="B604" s="3">
        <v>44893</v>
      </c>
      <c r="C604" s="6" t="s">
        <v>98</v>
      </c>
      <c r="D604" s="6" t="s">
        <v>29</v>
      </c>
      <c r="E604" s="5">
        <v>11</v>
      </c>
      <c r="F604" s="5" vm="513">
        <v>83.73</v>
      </c>
      <c r="G604" s="5">
        <f>StockTransactionsTable[[#This Row],[Shares No.]]*StockTransactionsTable[[#This Row],[Amount per Share]]</f>
        <v>921.03000000000009</v>
      </c>
      <c r="H604" s="5">
        <v>0.38850395939795107</v>
      </c>
      <c r="I60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921.41850395939798</v>
      </c>
      <c r="J604" s="19">
        <f>StockTransactionsTable[[#This Row],[Fee]]/StockTransactionsTable[[#This Row],[Total Amount]]</f>
        <v>4.2181466336378947E-4</v>
      </c>
      <c r="K604" s="5">
        <f>IF(StockTransactionsTable[[#This Row],[Transaction Type]]="Buy", StockTransactionsTable[[#This Row],[Total Amount with Fee]] / StockTransactionsTable[[#This Row],[Shares No.]],0)</f>
        <v>83.765318541763449</v>
      </c>
      <c r="L60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04" s="4">
        <f>YEAR(StockTransactionsTable[[#This Row],[Date]])</f>
        <v>2022</v>
      </c>
      <c r="N604" s="4">
        <f>MONTH(StockTransactionsTable[[#This Row],[Date]])</f>
        <v>11</v>
      </c>
      <c r="R604" s="1"/>
      <c r="V604" s="33"/>
      <c r="W604" s="33"/>
    </row>
    <row r="605" spans="2:23">
      <c r="B605" s="3">
        <v>44900</v>
      </c>
      <c r="C605" s="6" t="s">
        <v>13</v>
      </c>
      <c r="D605" s="6" t="s">
        <v>30</v>
      </c>
      <c r="E605" s="5">
        <v>55</v>
      </c>
      <c r="F605" s="5">
        <v>0.4</v>
      </c>
      <c r="G605" s="5">
        <f>StockTransactionsTable[[#This Row],[Shares No.]]*StockTransactionsTable[[#This Row],[Amount per Share]]</f>
        <v>22</v>
      </c>
      <c r="H605" s="5">
        <v>0</v>
      </c>
      <c r="I60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22</v>
      </c>
      <c r="J605" s="19">
        <f>StockTransactionsTable[[#This Row],[Fee]]/StockTransactionsTable[[#This Row],[Total Amount]]</f>
        <v>0</v>
      </c>
      <c r="K605" s="5">
        <f>IF(StockTransactionsTable[[#This Row],[Transaction Type]]="Buy", StockTransactionsTable[[#This Row],[Total Amount with Fee]] / StockTransactionsTable[[#This Row],[Shares No.]],0)</f>
        <v>0</v>
      </c>
      <c r="L60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05" s="4">
        <f>YEAR(StockTransactionsTable[[#This Row],[Date]])</f>
        <v>2022</v>
      </c>
      <c r="N605" s="4">
        <f>MONTH(StockTransactionsTable[[#This Row],[Date]])</f>
        <v>12</v>
      </c>
      <c r="R605" s="1"/>
      <c r="V605" s="33"/>
      <c r="W605" s="33"/>
    </row>
    <row r="606" spans="2:23">
      <c r="B606" s="3">
        <v>44901</v>
      </c>
      <c r="C606" s="6" t="s">
        <v>84</v>
      </c>
      <c r="D606" s="6" t="s">
        <v>30</v>
      </c>
      <c r="E606" s="5">
        <v>51</v>
      </c>
      <c r="F606" s="5">
        <v>1.1299999999999999</v>
      </c>
      <c r="G606" s="5">
        <f>StockTransactionsTable[[#This Row],[Shares No.]]*StockTransactionsTable[[#This Row],[Amount per Share]]</f>
        <v>57.629999999999995</v>
      </c>
      <c r="H606" s="5">
        <v>0</v>
      </c>
      <c r="I60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57.629999999999995</v>
      </c>
      <c r="J606" s="19">
        <f>StockTransactionsTable[[#This Row],[Fee]]/StockTransactionsTable[[#This Row],[Total Amount]]</f>
        <v>0</v>
      </c>
      <c r="K606" s="5">
        <f>IF(StockTransactionsTable[[#This Row],[Transaction Type]]="Buy", StockTransactionsTable[[#This Row],[Total Amount with Fee]] / StockTransactionsTable[[#This Row],[Shares No.]],0)</f>
        <v>0</v>
      </c>
      <c r="L60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06" s="4">
        <f>YEAR(StockTransactionsTable[[#This Row],[Date]])</f>
        <v>2022</v>
      </c>
      <c r="N606" s="4">
        <f>MONTH(StockTransactionsTable[[#This Row],[Date]])</f>
        <v>12</v>
      </c>
      <c r="R606" s="1"/>
      <c r="V606" s="33"/>
      <c r="W606" s="33"/>
    </row>
    <row r="607" spans="2:23">
      <c r="B607" s="3">
        <v>44903</v>
      </c>
      <c r="C607" s="6" t="s">
        <v>91</v>
      </c>
      <c r="D607" s="6" t="s">
        <v>30</v>
      </c>
      <c r="E607" s="5">
        <v>176</v>
      </c>
      <c r="F607" s="5">
        <v>0.68</v>
      </c>
      <c r="G607" s="5">
        <f>StockTransactionsTable[[#This Row],[Shares No.]]*StockTransactionsTable[[#This Row],[Amount per Share]]</f>
        <v>119.68</v>
      </c>
      <c r="H607" s="5">
        <v>0</v>
      </c>
      <c r="I60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119.68</v>
      </c>
      <c r="J607" s="19">
        <f>StockTransactionsTable[[#This Row],[Fee]]/StockTransactionsTable[[#This Row],[Total Amount]]</f>
        <v>0</v>
      </c>
      <c r="K607" s="5">
        <f>IF(StockTransactionsTable[[#This Row],[Transaction Type]]="Buy", StockTransactionsTable[[#This Row],[Total Amount with Fee]] / StockTransactionsTable[[#This Row],[Shares No.]],0)</f>
        <v>0</v>
      </c>
      <c r="L60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07" s="4">
        <f>YEAR(StockTransactionsTable[[#This Row],[Date]])</f>
        <v>2022</v>
      </c>
      <c r="N607" s="4">
        <f>MONTH(StockTransactionsTable[[#This Row],[Date]])</f>
        <v>12</v>
      </c>
      <c r="R607" s="1"/>
      <c r="V607" s="33"/>
      <c r="W607" s="33"/>
    </row>
    <row r="608" spans="2:23">
      <c r="B608" s="3">
        <v>44904</v>
      </c>
      <c r="C608" s="6" t="s">
        <v>16</v>
      </c>
      <c r="D608" s="6" t="s">
        <v>30</v>
      </c>
      <c r="E608" s="5">
        <v>185</v>
      </c>
      <c r="F608" s="5">
        <v>0.91</v>
      </c>
      <c r="G608" s="5">
        <f>StockTransactionsTable[[#This Row],[Shares No.]]*StockTransactionsTable[[#This Row],[Amount per Share]]</f>
        <v>168.35</v>
      </c>
      <c r="H608" s="5">
        <v>0</v>
      </c>
      <c r="I60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168.35</v>
      </c>
      <c r="J608" s="19">
        <f>StockTransactionsTable[[#This Row],[Fee]]/StockTransactionsTable[[#This Row],[Total Amount]]</f>
        <v>0</v>
      </c>
      <c r="K608" s="5">
        <f>IF(StockTransactionsTable[[#This Row],[Transaction Type]]="Buy", StockTransactionsTable[[#This Row],[Total Amount with Fee]] / StockTransactionsTable[[#This Row],[Shares No.]],0)</f>
        <v>0</v>
      </c>
      <c r="L60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08" s="4">
        <f>YEAR(StockTransactionsTable[[#This Row],[Date]])</f>
        <v>2022</v>
      </c>
      <c r="N608" s="4">
        <f>MONTH(StockTransactionsTable[[#This Row],[Date]])</f>
        <v>12</v>
      </c>
      <c r="R608" s="1"/>
      <c r="V608" s="33"/>
      <c r="W608" s="33"/>
    </row>
    <row r="609" spans="2:23">
      <c r="B609" s="3">
        <v>44905</v>
      </c>
      <c r="C609" s="6" t="s">
        <v>17</v>
      </c>
      <c r="D609" s="6" t="s">
        <v>30</v>
      </c>
      <c r="E609" s="5">
        <v>194</v>
      </c>
      <c r="F609" s="5">
        <v>1.65</v>
      </c>
      <c r="G609" s="5">
        <f>StockTransactionsTable[[#This Row],[Shares No.]]*StockTransactionsTable[[#This Row],[Amount per Share]]</f>
        <v>320.09999999999997</v>
      </c>
      <c r="H609" s="5">
        <v>0</v>
      </c>
      <c r="I60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320.09999999999997</v>
      </c>
      <c r="J609" s="19">
        <f>StockTransactionsTable[[#This Row],[Fee]]/StockTransactionsTable[[#This Row],[Total Amount]]</f>
        <v>0</v>
      </c>
      <c r="K609" s="5">
        <f>IF(StockTransactionsTable[[#This Row],[Transaction Type]]="Buy", StockTransactionsTable[[#This Row],[Total Amount with Fee]] / StockTransactionsTable[[#This Row],[Shares No.]],0)</f>
        <v>0</v>
      </c>
      <c r="L60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09" s="4">
        <f>YEAR(StockTransactionsTable[[#This Row],[Date]])</f>
        <v>2022</v>
      </c>
      <c r="N609" s="4">
        <f>MONTH(StockTransactionsTable[[#This Row],[Date]])</f>
        <v>12</v>
      </c>
      <c r="R609" s="1"/>
      <c r="V609" s="33"/>
      <c r="W609" s="33"/>
    </row>
    <row r="610" spans="2:23">
      <c r="B610" s="3">
        <v>44907</v>
      </c>
      <c r="C610" s="6" t="s">
        <v>106</v>
      </c>
      <c r="D610" s="6" t="s">
        <v>30</v>
      </c>
      <c r="E610" s="5">
        <v>88</v>
      </c>
      <c r="F610" s="5">
        <v>0.62</v>
      </c>
      <c r="G610" s="5">
        <f>StockTransactionsTable[[#This Row],[Shares No.]]*StockTransactionsTable[[#This Row],[Amount per Share]]</f>
        <v>54.56</v>
      </c>
      <c r="H610" s="5">
        <v>0</v>
      </c>
      <c r="I61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54.56</v>
      </c>
      <c r="J610" s="19">
        <f>StockTransactionsTable[[#This Row],[Fee]]/StockTransactionsTable[[#This Row],[Total Amount]]</f>
        <v>0</v>
      </c>
      <c r="K610" s="5">
        <f>IF(StockTransactionsTable[[#This Row],[Transaction Type]]="Buy", StockTransactionsTable[[#This Row],[Total Amount with Fee]] / StockTransactionsTable[[#This Row],[Shares No.]],0)</f>
        <v>0</v>
      </c>
      <c r="L61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10" s="4">
        <f>YEAR(StockTransactionsTable[[#This Row],[Date]])</f>
        <v>2022</v>
      </c>
      <c r="N610" s="4">
        <f>MONTH(StockTransactionsTable[[#This Row],[Date]])</f>
        <v>12</v>
      </c>
      <c r="R610" s="1"/>
      <c r="V610" s="33"/>
      <c r="W610" s="33"/>
    </row>
    <row r="611" spans="2:23">
      <c r="B611" s="3">
        <v>44910</v>
      </c>
      <c r="C611" s="6" t="s">
        <v>14</v>
      </c>
      <c r="D611" s="6" t="s">
        <v>30</v>
      </c>
      <c r="E611" s="5">
        <v>28</v>
      </c>
      <c r="F611" s="5">
        <v>0.36720000000000003</v>
      </c>
      <c r="G611" s="5">
        <f>StockTransactionsTable[[#This Row],[Shares No.]]*StockTransactionsTable[[#This Row],[Amount per Share]]</f>
        <v>10.281600000000001</v>
      </c>
      <c r="H611" s="5">
        <v>0</v>
      </c>
      <c r="I61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10.281600000000001</v>
      </c>
      <c r="J611" s="19">
        <f>StockTransactionsTable[[#This Row],[Fee]]/StockTransactionsTable[[#This Row],[Total Amount]]</f>
        <v>0</v>
      </c>
      <c r="K611" s="5">
        <f>IF(StockTransactionsTable[[#This Row],[Transaction Type]]="Buy", StockTransactionsTable[[#This Row],[Total Amount with Fee]] / StockTransactionsTable[[#This Row],[Shares No.]],0)</f>
        <v>0</v>
      </c>
      <c r="L61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11" s="4">
        <f>YEAR(StockTransactionsTable[[#This Row],[Date]])</f>
        <v>2022</v>
      </c>
      <c r="N611" s="4">
        <f>MONTH(StockTransactionsTable[[#This Row],[Date]])</f>
        <v>12</v>
      </c>
      <c r="R611" s="1"/>
      <c r="V611" s="33"/>
      <c r="W611" s="33"/>
    </row>
    <row r="612" spans="2:23">
      <c r="B612" s="3">
        <v>44910</v>
      </c>
      <c r="C612" s="6" t="s">
        <v>95</v>
      </c>
      <c r="D612" s="6" t="s">
        <v>30</v>
      </c>
      <c r="E612" s="5">
        <v>111</v>
      </c>
      <c r="F612" s="5">
        <v>1.9</v>
      </c>
      <c r="G612" s="5">
        <f>StockTransactionsTable[[#This Row],[Shares No.]]*StockTransactionsTable[[#This Row],[Amount per Share]]</f>
        <v>210.89999999999998</v>
      </c>
      <c r="H612" s="5">
        <v>0</v>
      </c>
      <c r="I61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210.89999999999998</v>
      </c>
      <c r="J612" s="19">
        <f>StockTransactionsTable[[#This Row],[Fee]]/StockTransactionsTable[[#This Row],[Total Amount]]</f>
        <v>0</v>
      </c>
      <c r="K612" s="5">
        <f>IF(StockTransactionsTable[[#This Row],[Transaction Type]]="Buy", StockTransactionsTable[[#This Row],[Total Amount with Fee]] / StockTransactionsTable[[#This Row],[Shares No.]],0)</f>
        <v>0</v>
      </c>
      <c r="L61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12" s="4">
        <f>YEAR(StockTransactionsTable[[#This Row],[Date]])</f>
        <v>2022</v>
      </c>
      <c r="N612" s="4">
        <f>MONTH(StockTransactionsTable[[#This Row],[Date]])</f>
        <v>12</v>
      </c>
      <c r="R612" s="1"/>
      <c r="V612" s="33"/>
      <c r="W612" s="33"/>
    </row>
    <row r="613" spans="2:23">
      <c r="B613" s="3">
        <v>44910</v>
      </c>
      <c r="C613" s="6" t="s">
        <v>23</v>
      </c>
      <c r="D613" s="6" t="s">
        <v>30</v>
      </c>
      <c r="E613" s="5">
        <v>85</v>
      </c>
      <c r="F613" s="5">
        <v>0.44</v>
      </c>
      <c r="G613" s="5">
        <f>StockTransactionsTable[[#This Row],[Shares No.]]*StockTransactionsTable[[#This Row],[Amount per Share]]</f>
        <v>37.4</v>
      </c>
      <c r="H613" s="5">
        <v>0</v>
      </c>
      <c r="I61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37.4</v>
      </c>
      <c r="J613" s="19">
        <f>StockTransactionsTable[[#This Row],[Fee]]/StockTransactionsTable[[#This Row],[Total Amount]]</f>
        <v>0</v>
      </c>
      <c r="K613" s="5">
        <f>IF(StockTransactionsTable[[#This Row],[Transaction Type]]="Buy", StockTransactionsTable[[#This Row],[Total Amount with Fee]] / StockTransactionsTable[[#This Row],[Shares No.]],0)</f>
        <v>0</v>
      </c>
      <c r="L61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13" s="4">
        <f>YEAR(StockTransactionsTable[[#This Row],[Date]])</f>
        <v>2022</v>
      </c>
      <c r="N613" s="4">
        <f>MONTH(StockTransactionsTable[[#This Row],[Date]])</f>
        <v>12</v>
      </c>
      <c r="R613" s="1"/>
      <c r="V613" s="33"/>
      <c r="W613" s="33"/>
    </row>
    <row r="614" spans="2:23">
      <c r="B614" s="3">
        <v>44910</v>
      </c>
      <c r="C614" s="6" t="s">
        <v>88</v>
      </c>
      <c r="D614" s="6" t="s">
        <v>30</v>
      </c>
      <c r="E614" s="5">
        <v>59</v>
      </c>
      <c r="F614" s="5">
        <v>1.52</v>
      </c>
      <c r="G614" s="5">
        <f>StockTransactionsTable[[#This Row],[Shares No.]]*StockTransactionsTable[[#This Row],[Amount per Share]]</f>
        <v>89.68</v>
      </c>
      <c r="H614" s="5">
        <v>0</v>
      </c>
      <c r="I61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89.68</v>
      </c>
      <c r="J614" s="19">
        <f>StockTransactionsTable[[#This Row],[Fee]]/StockTransactionsTable[[#This Row],[Total Amount]]</f>
        <v>0</v>
      </c>
      <c r="K614" s="5">
        <f>IF(StockTransactionsTable[[#This Row],[Transaction Type]]="Buy", StockTransactionsTable[[#This Row],[Total Amount with Fee]] / StockTransactionsTable[[#This Row],[Shares No.]],0)</f>
        <v>0</v>
      </c>
      <c r="L61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14" s="4">
        <f>YEAR(StockTransactionsTable[[#This Row],[Date]])</f>
        <v>2022</v>
      </c>
      <c r="N614" s="4">
        <f>MONTH(StockTransactionsTable[[#This Row],[Date]])</f>
        <v>12</v>
      </c>
      <c r="R614" s="1"/>
      <c r="V614" s="33"/>
      <c r="W614" s="33"/>
    </row>
    <row r="615" spans="2:23">
      <c r="B615" s="3">
        <v>44910</v>
      </c>
      <c r="C615" s="6" t="s">
        <v>98</v>
      </c>
      <c r="D615" s="6" t="s">
        <v>30</v>
      </c>
      <c r="E615" s="5">
        <v>327</v>
      </c>
      <c r="F615" s="5">
        <v>0.42499999999999999</v>
      </c>
      <c r="G615" s="5">
        <f>StockTransactionsTable[[#This Row],[Shares No.]]*StockTransactionsTable[[#This Row],[Amount per Share]]</f>
        <v>138.97499999999999</v>
      </c>
      <c r="H615" s="5">
        <v>0</v>
      </c>
      <c r="I61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138.97499999999999</v>
      </c>
      <c r="J615" s="19">
        <f>StockTransactionsTable[[#This Row],[Fee]]/StockTransactionsTable[[#This Row],[Total Amount]]</f>
        <v>0</v>
      </c>
      <c r="K615" s="5">
        <f>IF(StockTransactionsTable[[#This Row],[Transaction Type]]="Buy", StockTransactionsTable[[#This Row],[Total Amount with Fee]] / StockTransactionsTable[[#This Row],[Shares No.]],0)</f>
        <v>0</v>
      </c>
      <c r="L61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15" s="4">
        <f>YEAR(StockTransactionsTable[[#This Row],[Date]])</f>
        <v>2022</v>
      </c>
      <c r="N615" s="4">
        <f>MONTH(StockTransactionsTable[[#This Row],[Date]])</f>
        <v>12</v>
      </c>
      <c r="R615" s="1"/>
      <c r="V615" s="33"/>
      <c r="W615" s="33"/>
    </row>
    <row r="616" spans="2:23">
      <c r="B616" s="3">
        <v>44910</v>
      </c>
      <c r="C616" s="6" t="s">
        <v>12</v>
      </c>
      <c r="D616" s="6" t="s">
        <v>30</v>
      </c>
      <c r="E616" s="5">
        <v>64</v>
      </c>
      <c r="F616" s="5">
        <v>0.248</v>
      </c>
      <c r="G616" s="5">
        <f>StockTransactionsTable[[#This Row],[Shares No.]]*StockTransactionsTable[[#This Row],[Amount per Share]]</f>
        <v>15.872</v>
      </c>
      <c r="H616" s="5">
        <v>0</v>
      </c>
      <c r="I61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15.872</v>
      </c>
      <c r="J616" s="19">
        <f>StockTransactionsTable[[#This Row],[Fee]]/StockTransactionsTable[[#This Row],[Total Amount]]</f>
        <v>0</v>
      </c>
      <c r="K616" s="5">
        <f>IF(StockTransactionsTable[[#This Row],[Transaction Type]]="Buy", StockTransactionsTable[[#This Row],[Total Amount with Fee]] / StockTransactionsTable[[#This Row],[Shares No.]],0)</f>
        <v>0</v>
      </c>
      <c r="L61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16" s="4">
        <f>YEAR(StockTransactionsTable[[#This Row],[Date]])</f>
        <v>2022</v>
      </c>
      <c r="N616" s="4">
        <f>MONTH(StockTransactionsTable[[#This Row],[Date]])</f>
        <v>12</v>
      </c>
      <c r="R616" s="1"/>
      <c r="V616" s="33"/>
      <c r="W616" s="33"/>
    </row>
    <row r="617" spans="2:23">
      <c r="B617" s="3">
        <v>44911</v>
      </c>
      <c r="C617" s="6" t="s">
        <v>100</v>
      </c>
      <c r="D617" s="6" t="s">
        <v>29</v>
      </c>
      <c r="E617" s="5">
        <v>35</v>
      </c>
      <c r="F617" s="5" vm="514">
        <v>100.34</v>
      </c>
      <c r="G617" s="5">
        <f>StockTransactionsTable[[#This Row],[Shares No.]]*StockTransactionsTable[[#This Row],[Amount per Share]]</f>
        <v>3511.9</v>
      </c>
      <c r="H617" s="5">
        <v>1.5070886958904892</v>
      </c>
      <c r="I61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3513.4070886958907</v>
      </c>
      <c r="J617" s="19">
        <f>StockTransactionsTable[[#This Row],[Fee]]/StockTransactionsTable[[#This Row],[Total Amount]]</f>
        <v>4.2913770206739631E-4</v>
      </c>
      <c r="K617" s="5">
        <f>IF(StockTransactionsTable[[#This Row],[Transaction Type]]="Buy", StockTransactionsTable[[#This Row],[Total Amount with Fee]] / StockTransactionsTable[[#This Row],[Shares No.]],0)</f>
        <v>100.38305967702544</v>
      </c>
      <c r="L61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17" s="4">
        <f>YEAR(StockTransactionsTable[[#This Row],[Date]])</f>
        <v>2022</v>
      </c>
      <c r="N617" s="4">
        <f>MONTH(StockTransactionsTable[[#This Row],[Date]])</f>
        <v>12</v>
      </c>
      <c r="R617" s="1"/>
      <c r="V617" s="33"/>
      <c r="W617" s="33"/>
    </row>
    <row r="618" spans="2:23">
      <c r="B618" s="3">
        <v>44911</v>
      </c>
      <c r="C618" s="6" t="s">
        <v>100</v>
      </c>
      <c r="D618" s="6" t="s">
        <v>30</v>
      </c>
      <c r="E618" s="5">
        <v>140</v>
      </c>
      <c r="F618" s="5">
        <v>1.0049999999999999</v>
      </c>
      <c r="G618" s="5">
        <f>StockTransactionsTable[[#This Row],[Shares No.]]*StockTransactionsTable[[#This Row],[Amount per Share]]</f>
        <v>140.69999999999999</v>
      </c>
      <c r="H618" s="5">
        <v>0</v>
      </c>
      <c r="I61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140.69999999999999</v>
      </c>
      <c r="J618" s="19">
        <f>StockTransactionsTable[[#This Row],[Fee]]/StockTransactionsTable[[#This Row],[Total Amount]]</f>
        <v>0</v>
      </c>
      <c r="K618" s="5">
        <f>IF(StockTransactionsTable[[#This Row],[Transaction Type]]="Buy", StockTransactionsTable[[#This Row],[Total Amount with Fee]] / StockTransactionsTable[[#This Row],[Shares No.]],0)</f>
        <v>0</v>
      </c>
      <c r="L61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18" s="4">
        <f>YEAR(StockTransactionsTable[[#This Row],[Date]])</f>
        <v>2022</v>
      </c>
      <c r="N618" s="4">
        <f>MONTH(StockTransactionsTable[[#This Row],[Date]])</f>
        <v>12</v>
      </c>
      <c r="R618" s="1"/>
      <c r="V618" s="33"/>
      <c r="W618" s="33"/>
    </row>
    <row r="619" spans="2:23">
      <c r="B619" s="3">
        <v>44925</v>
      </c>
      <c r="C619" s="6" t="s">
        <v>12</v>
      </c>
      <c r="D619" s="6" t="s">
        <v>29</v>
      </c>
      <c r="E619" s="5">
        <v>11</v>
      </c>
      <c r="F619" s="5" vm="515">
        <v>63.43</v>
      </c>
      <c r="G619" s="5">
        <f>StockTransactionsTable[[#This Row],[Shares No.]]*StockTransactionsTable[[#This Row],[Amount per Share]]</f>
        <v>697.73</v>
      </c>
      <c r="H619" s="5">
        <v>0.31099990697383167</v>
      </c>
      <c r="I61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698.04099990697387</v>
      </c>
      <c r="J619" s="19">
        <f>StockTransactionsTable[[#This Row],[Fee]]/StockTransactionsTable[[#This Row],[Total Amount]]</f>
        <v>4.4573102342429261E-4</v>
      </c>
      <c r="K619" s="5">
        <f>IF(StockTransactionsTable[[#This Row],[Transaction Type]]="Buy", StockTransactionsTable[[#This Row],[Total Amount with Fee]] / StockTransactionsTable[[#This Row],[Shares No.]],0)</f>
        <v>63.458272718815806</v>
      </c>
      <c r="L61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19" s="4">
        <f>YEAR(StockTransactionsTable[[#This Row],[Date]])</f>
        <v>2022</v>
      </c>
      <c r="N619" s="4">
        <f>MONTH(StockTransactionsTable[[#This Row],[Date]])</f>
        <v>12</v>
      </c>
      <c r="R619" s="1"/>
      <c r="V619" s="33"/>
      <c r="W619" s="33"/>
    </row>
    <row r="620" spans="2:23">
      <c r="B620" s="3">
        <v>44932</v>
      </c>
      <c r="C620" s="6" t="s">
        <v>18</v>
      </c>
      <c r="D620" s="6" t="s">
        <v>30</v>
      </c>
      <c r="E620" s="5">
        <v>43</v>
      </c>
      <c r="F620" s="5">
        <v>1.1499999999999999</v>
      </c>
      <c r="G620" s="5">
        <f>StockTransactionsTable[[#This Row],[Shares No.]]*StockTransactionsTable[[#This Row],[Amount per Share]]</f>
        <v>49.449999999999996</v>
      </c>
      <c r="H620" s="5">
        <v>0</v>
      </c>
      <c r="I62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49.449999999999996</v>
      </c>
      <c r="J620" s="19">
        <f>StockTransactionsTable[[#This Row],[Fee]]/StockTransactionsTable[[#This Row],[Total Amount]]</f>
        <v>0</v>
      </c>
      <c r="K620" s="5">
        <f>IF(StockTransactionsTable[[#This Row],[Transaction Type]]="Buy", StockTransactionsTable[[#This Row],[Total Amount with Fee]] / StockTransactionsTable[[#This Row],[Shares No.]],0)</f>
        <v>0</v>
      </c>
      <c r="L62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20" s="4">
        <f>YEAR(StockTransactionsTable[[#This Row],[Date]])</f>
        <v>2023</v>
      </c>
      <c r="N620" s="4">
        <f>MONTH(StockTransactionsTable[[#This Row],[Date]])</f>
        <v>1</v>
      </c>
      <c r="R620" s="1"/>
      <c r="V620" s="33"/>
      <c r="W620" s="33"/>
    </row>
    <row r="621" spans="2:23">
      <c r="B621" s="3">
        <v>44939</v>
      </c>
      <c r="C621" s="6" t="s">
        <v>12</v>
      </c>
      <c r="D621" s="6" t="s">
        <v>30</v>
      </c>
      <c r="E621" s="5">
        <v>64</v>
      </c>
      <c r="F621" s="5">
        <v>0.2485</v>
      </c>
      <c r="G621" s="5">
        <f>StockTransactionsTable[[#This Row],[Shares No.]]*StockTransactionsTable[[#This Row],[Amount per Share]]</f>
        <v>15.904</v>
      </c>
      <c r="H621" s="5">
        <v>0</v>
      </c>
      <c r="I62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15.904</v>
      </c>
      <c r="J621" s="19">
        <f>StockTransactionsTable[[#This Row],[Fee]]/StockTransactionsTable[[#This Row],[Total Amount]]</f>
        <v>0</v>
      </c>
      <c r="K621" s="5">
        <f>IF(StockTransactionsTable[[#This Row],[Transaction Type]]="Buy", StockTransactionsTable[[#This Row],[Total Amount with Fee]] / StockTransactionsTable[[#This Row],[Shares No.]],0)</f>
        <v>0</v>
      </c>
      <c r="L62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21" s="4">
        <f>YEAR(StockTransactionsTable[[#This Row],[Date]])</f>
        <v>2023</v>
      </c>
      <c r="N621" s="4">
        <f>MONTH(StockTransactionsTable[[#This Row],[Date]])</f>
        <v>1</v>
      </c>
      <c r="R621" s="1"/>
      <c r="V621" s="33"/>
      <c r="W621" s="33"/>
    </row>
    <row r="622" spans="2:23">
      <c r="B622" s="3">
        <v>44951</v>
      </c>
      <c r="C622" s="6" t="s">
        <v>100</v>
      </c>
      <c r="D622" s="6" t="s">
        <v>29</v>
      </c>
      <c r="E622" s="5">
        <v>19</v>
      </c>
      <c r="F622" s="5" vm="516">
        <v>101.42</v>
      </c>
      <c r="G622" s="5">
        <f>StockTransactionsTable[[#This Row],[Shares No.]]*StockTransactionsTable[[#This Row],[Amount per Share]]</f>
        <v>1926.98</v>
      </c>
      <c r="H622" s="5">
        <v>0.89763106365917578</v>
      </c>
      <c r="I62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1927.8776310636592</v>
      </c>
      <c r="J622" s="19">
        <f>StockTransactionsTable[[#This Row],[Fee]]/StockTransactionsTable[[#This Row],[Total Amount]]</f>
        <v>4.6582271931165648E-4</v>
      </c>
      <c r="K622" s="5">
        <f>IF(StockTransactionsTable[[#This Row],[Transaction Type]]="Buy", StockTransactionsTable[[#This Row],[Total Amount with Fee]] / StockTransactionsTable[[#This Row],[Shares No.]],0)</f>
        <v>101.46724374019259</v>
      </c>
      <c r="L62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22" s="4">
        <f>YEAR(StockTransactionsTable[[#This Row],[Date]])</f>
        <v>2023</v>
      </c>
      <c r="N622" s="4">
        <f>MONTH(StockTransactionsTable[[#This Row],[Date]])</f>
        <v>1</v>
      </c>
      <c r="R622" s="1"/>
      <c r="V622" s="33"/>
      <c r="W622" s="33"/>
    </row>
    <row r="623" spans="2:23">
      <c r="B623" s="3">
        <v>44957</v>
      </c>
      <c r="C623" s="6" t="s">
        <v>20</v>
      </c>
      <c r="D623" s="6" t="s">
        <v>30</v>
      </c>
      <c r="E623" s="5">
        <v>93</v>
      </c>
      <c r="F623" s="5">
        <v>1</v>
      </c>
      <c r="G623" s="5">
        <f>StockTransactionsTable[[#This Row],[Shares No.]]*StockTransactionsTable[[#This Row],[Amount per Share]]</f>
        <v>93</v>
      </c>
      <c r="H623" s="5">
        <v>0</v>
      </c>
      <c r="I62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93</v>
      </c>
      <c r="J623" s="19">
        <f>StockTransactionsTable[[#This Row],[Fee]]/StockTransactionsTable[[#This Row],[Total Amount]]</f>
        <v>0</v>
      </c>
      <c r="K623" s="5">
        <f>IF(StockTransactionsTable[[#This Row],[Transaction Type]]="Buy", StockTransactionsTable[[#This Row],[Total Amount with Fee]] / StockTransactionsTable[[#This Row],[Shares No.]],0)</f>
        <v>0</v>
      </c>
      <c r="L62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23" s="4">
        <f>YEAR(StockTransactionsTable[[#This Row],[Date]])</f>
        <v>2023</v>
      </c>
      <c r="N623" s="4">
        <f>MONTH(StockTransactionsTable[[#This Row],[Date]])</f>
        <v>1</v>
      </c>
      <c r="R623" s="1"/>
      <c r="V623" s="33"/>
      <c r="W623" s="33"/>
    </row>
    <row r="624" spans="2:23">
      <c r="B624" s="3">
        <v>44958</v>
      </c>
      <c r="C624" s="6" t="s">
        <v>15</v>
      </c>
      <c r="D624" s="6" t="s">
        <v>30</v>
      </c>
      <c r="E624" s="5">
        <v>124</v>
      </c>
      <c r="F624" s="5">
        <v>0.27750000000000002</v>
      </c>
      <c r="G624" s="5">
        <f>StockTransactionsTable[[#This Row],[Shares No.]]*StockTransactionsTable[[#This Row],[Amount per Share]]</f>
        <v>34.410000000000004</v>
      </c>
      <c r="H624" s="5">
        <v>0</v>
      </c>
      <c r="I62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34.410000000000004</v>
      </c>
      <c r="J624" s="19">
        <f>StockTransactionsTable[[#This Row],[Fee]]/StockTransactionsTable[[#This Row],[Total Amount]]</f>
        <v>0</v>
      </c>
      <c r="K624" s="5">
        <f>IF(StockTransactionsTable[[#This Row],[Transaction Type]]="Buy", StockTransactionsTable[[#This Row],[Total Amount with Fee]] / StockTransactionsTable[[#This Row],[Shares No.]],0)</f>
        <v>0</v>
      </c>
      <c r="L62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24" s="4">
        <f>YEAR(StockTransactionsTable[[#This Row],[Date]])</f>
        <v>2023</v>
      </c>
      <c r="N624" s="4">
        <f>MONTH(StockTransactionsTable[[#This Row],[Date]])</f>
        <v>2</v>
      </c>
      <c r="R624" s="1"/>
      <c r="V624" s="33"/>
      <c r="W624" s="33"/>
    </row>
    <row r="625" spans="2:23">
      <c r="B625" s="3">
        <v>44965</v>
      </c>
      <c r="C625" s="6" t="s">
        <v>12</v>
      </c>
      <c r="D625" s="6" t="s">
        <v>29</v>
      </c>
      <c r="E625" s="5">
        <v>22</v>
      </c>
      <c r="F625" s="5" vm="517">
        <v>67.22</v>
      </c>
      <c r="G625" s="5">
        <f>StockTransactionsTable[[#This Row],[Shares No.]]*StockTransactionsTable[[#This Row],[Amount per Share]]</f>
        <v>1478.84</v>
      </c>
      <c r="H625" s="5">
        <v>0.70396039644543651</v>
      </c>
      <c r="I62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1479.5439603964453</v>
      </c>
      <c r="J625" s="19">
        <f>StockTransactionsTable[[#This Row],[Fee]]/StockTransactionsTable[[#This Row],[Total Amount]]</f>
        <v>4.7602201485315282E-4</v>
      </c>
      <c r="K625" s="5">
        <f>IF(StockTransactionsTable[[#This Row],[Transaction Type]]="Buy", StockTransactionsTable[[#This Row],[Total Amount with Fee]] / StockTransactionsTable[[#This Row],[Shares No.]],0)</f>
        <v>67.251998199838425</v>
      </c>
      <c r="L62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25" s="4">
        <f>YEAR(StockTransactionsTable[[#This Row],[Date]])</f>
        <v>2023</v>
      </c>
      <c r="N625" s="4">
        <f>MONTH(StockTransactionsTable[[#This Row],[Date]])</f>
        <v>2</v>
      </c>
      <c r="R625" s="1"/>
      <c r="V625" s="33"/>
      <c r="W625" s="33"/>
    </row>
    <row r="626" spans="2:23">
      <c r="B626" s="3">
        <v>44967</v>
      </c>
      <c r="C626" s="6" t="s">
        <v>19</v>
      </c>
      <c r="D626" s="6" t="s">
        <v>30</v>
      </c>
      <c r="E626" s="5">
        <v>57</v>
      </c>
      <c r="F626" s="5">
        <v>1.18</v>
      </c>
      <c r="G626" s="5">
        <f>StockTransactionsTable[[#This Row],[Shares No.]]*StockTransactionsTable[[#This Row],[Amount per Share]]</f>
        <v>67.259999999999991</v>
      </c>
      <c r="H626" s="5">
        <v>0</v>
      </c>
      <c r="I62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67.259999999999991</v>
      </c>
      <c r="J626" s="19">
        <f>StockTransactionsTable[[#This Row],[Fee]]/StockTransactionsTable[[#This Row],[Total Amount]]</f>
        <v>0</v>
      </c>
      <c r="K626" s="5">
        <f>IF(StockTransactionsTable[[#This Row],[Transaction Type]]="Buy", StockTransactionsTable[[#This Row],[Total Amount with Fee]] / StockTransactionsTable[[#This Row],[Shares No.]],0)</f>
        <v>0</v>
      </c>
      <c r="L62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26" s="4">
        <f>YEAR(StockTransactionsTable[[#This Row],[Date]])</f>
        <v>2023</v>
      </c>
      <c r="N626" s="4">
        <f>MONTH(StockTransactionsTable[[#This Row],[Date]])</f>
        <v>2</v>
      </c>
      <c r="R626" s="1"/>
      <c r="V626" s="33"/>
      <c r="W626" s="33"/>
    </row>
    <row r="627" spans="2:23">
      <c r="B627" s="3">
        <v>44972</v>
      </c>
      <c r="C627" s="6" t="s">
        <v>86</v>
      </c>
      <c r="D627" s="6" t="s">
        <v>30</v>
      </c>
      <c r="E627" s="5">
        <v>114</v>
      </c>
      <c r="F627" s="5">
        <v>1.48</v>
      </c>
      <c r="G627" s="5">
        <f>StockTransactionsTable[[#This Row],[Shares No.]]*StockTransactionsTable[[#This Row],[Amount per Share]]</f>
        <v>168.72</v>
      </c>
      <c r="H627" s="5">
        <v>0</v>
      </c>
      <c r="I62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168.72</v>
      </c>
      <c r="J627" s="19">
        <f>StockTransactionsTable[[#This Row],[Fee]]/StockTransactionsTable[[#This Row],[Total Amount]]</f>
        <v>0</v>
      </c>
      <c r="K627" s="5">
        <f>IF(StockTransactionsTable[[#This Row],[Transaction Type]]="Buy", StockTransactionsTable[[#This Row],[Total Amount with Fee]] / StockTransactionsTable[[#This Row],[Shares No.]],0)</f>
        <v>0</v>
      </c>
      <c r="L62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27" s="4">
        <f>YEAR(StockTransactionsTable[[#This Row],[Date]])</f>
        <v>2023</v>
      </c>
      <c r="N627" s="4">
        <f>MONTH(StockTransactionsTable[[#This Row],[Date]])</f>
        <v>2</v>
      </c>
      <c r="R627" s="1"/>
      <c r="V627" s="33"/>
      <c r="W627" s="33"/>
    </row>
    <row r="628" spans="2:23">
      <c r="B628" s="3">
        <v>44972</v>
      </c>
      <c r="C628" s="6" t="s">
        <v>12</v>
      </c>
      <c r="D628" s="6" t="s">
        <v>30</v>
      </c>
      <c r="E628" s="5">
        <v>75</v>
      </c>
      <c r="F628" s="5">
        <v>0.2485</v>
      </c>
      <c r="G628" s="5">
        <f>StockTransactionsTable[[#This Row],[Shares No.]]*StockTransactionsTable[[#This Row],[Amount per Share]]</f>
        <v>18.637499999999999</v>
      </c>
      <c r="H628" s="5">
        <v>0</v>
      </c>
      <c r="I62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18.637499999999999</v>
      </c>
      <c r="J628" s="19">
        <f>StockTransactionsTable[[#This Row],[Fee]]/StockTransactionsTable[[#This Row],[Total Amount]]</f>
        <v>0</v>
      </c>
      <c r="K628" s="5">
        <f>IF(StockTransactionsTable[[#This Row],[Transaction Type]]="Buy", StockTransactionsTable[[#This Row],[Total Amount with Fee]] / StockTransactionsTable[[#This Row],[Shares No.]],0)</f>
        <v>0</v>
      </c>
      <c r="L62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28" s="4">
        <f>YEAR(StockTransactionsTable[[#This Row],[Date]])</f>
        <v>2023</v>
      </c>
      <c r="N628" s="4">
        <f>MONTH(StockTransactionsTable[[#This Row],[Date]])</f>
        <v>2</v>
      </c>
      <c r="R628" s="1"/>
      <c r="V628" s="33"/>
      <c r="W628" s="33"/>
    </row>
    <row r="629" spans="2:23">
      <c r="B629" s="3">
        <v>44972</v>
      </c>
      <c r="C629" s="6" t="s">
        <v>21</v>
      </c>
      <c r="D629" s="6" t="s">
        <v>30</v>
      </c>
      <c r="E629" s="5">
        <v>42</v>
      </c>
      <c r="F629" s="5">
        <v>0.9133</v>
      </c>
      <c r="G629" s="5">
        <f>StockTransactionsTable[[#This Row],[Shares No.]]*StockTransactionsTable[[#This Row],[Amount per Share]]</f>
        <v>38.358600000000003</v>
      </c>
      <c r="H629" s="5">
        <v>0</v>
      </c>
      <c r="I62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38.358600000000003</v>
      </c>
      <c r="J629" s="19">
        <f>StockTransactionsTable[[#This Row],[Fee]]/StockTransactionsTable[[#This Row],[Total Amount]]</f>
        <v>0</v>
      </c>
      <c r="K629" s="5">
        <f>IF(StockTransactionsTable[[#This Row],[Transaction Type]]="Buy", StockTransactionsTable[[#This Row],[Total Amount with Fee]] / StockTransactionsTable[[#This Row],[Shares No.]],0)</f>
        <v>0</v>
      </c>
      <c r="L62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29" s="4">
        <f>YEAR(StockTransactionsTable[[#This Row],[Date]])</f>
        <v>2023</v>
      </c>
      <c r="N629" s="4">
        <f>MONTH(StockTransactionsTable[[#This Row],[Date]])</f>
        <v>2</v>
      </c>
      <c r="R629" s="1"/>
      <c r="V629" s="33"/>
      <c r="W629" s="33"/>
    </row>
    <row r="630" spans="2:23">
      <c r="B630" s="3">
        <v>44974</v>
      </c>
      <c r="C630" s="6" t="s">
        <v>22</v>
      </c>
      <c r="D630" s="6" t="s">
        <v>30</v>
      </c>
      <c r="E630" s="5">
        <v>119</v>
      </c>
      <c r="F630" s="5">
        <v>1.2</v>
      </c>
      <c r="G630" s="5">
        <f>StockTransactionsTable[[#This Row],[Shares No.]]*StockTransactionsTable[[#This Row],[Amount per Share]]</f>
        <v>142.79999999999998</v>
      </c>
      <c r="H630" s="5">
        <v>0</v>
      </c>
      <c r="I63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142.79999999999998</v>
      </c>
      <c r="J630" s="19">
        <f>StockTransactionsTable[[#This Row],[Fee]]/StockTransactionsTable[[#This Row],[Total Amount]]</f>
        <v>0</v>
      </c>
      <c r="K630" s="5">
        <f>IF(StockTransactionsTable[[#This Row],[Transaction Type]]="Buy", StockTransactionsTable[[#This Row],[Total Amount with Fee]] / StockTransactionsTable[[#This Row],[Shares No.]],0)</f>
        <v>0</v>
      </c>
      <c r="L63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30" s="4">
        <f>YEAR(StockTransactionsTable[[#This Row],[Date]])</f>
        <v>2023</v>
      </c>
      <c r="N630" s="4">
        <f>MONTH(StockTransactionsTable[[#This Row],[Date]])</f>
        <v>2</v>
      </c>
      <c r="R630" s="1"/>
      <c r="V630" s="33"/>
      <c r="W630" s="33"/>
    </row>
    <row r="631" spans="2:23">
      <c r="B631" s="3">
        <v>44988</v>
      </c>
      <c r="C631" s="6" t="s">
        <v>13</v>
      </c>
      <c r="D631" s="6" t="s">
        <v>30</v>
      </c>
      <c r="E631" s="5">
        <v>55</v>
      </c>
      <c r="F631" s="5">
        <v>0.41</v>
      </c>
      <c r="G631" s="5">
        <f>StockTransactionsTable[[#This Row],[Shares No.]]*StockTransactionsTable[[#This Row],[Amount per Share]]</f>
        <v>22.549999999999997</v>
      </c>
      <c r="H631" s="5">
        <v>0</v>
      </c>
      <c r="I63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22.549999999999997</v>
      </c>
      <c r="J631" s="19">
        <f>StockTransactionsTable[[#This Row],[Fee]]/StockTransactionsTable[[#This Row],[Total Amount]]</f>
        <v>0</v>
      </c>
      <c r="K631" s="5">
        <f>IF(StockTransactionsTable[[#This Row],[Transaction Type]]="Buy", StockTransactionsTable[[#This Row],[Total Amount with Fee]] / StockTransactionsTable[[#This Row],[Shares No.]],0)</f>
        <v>0</v>
      </c>
      <c r="L63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31" s="4">
        <f>YEAR(StockTransactionsTable[[#This Row],[Date]])</f>
        <v>2023</v>
      </c>
      <c r="N631" s="4">
        <f>MONTH(StockTransactionsTable[[#This Row],[Date]])</f>
        <v>3</v>
      </c>
      <c r="R631" s="1"/>
      <c r="V631" s="33"/>
      <c r="W631" s="33"/>
    </row>
    <row r="632" spans="2:23">
      <c r="B632" s="3">
        <v>44992</v>
      </c>
      <c r="C632" s="6" t="s">
        <v>84</v>
      </c>
      <c r="D632" s="6" t="s">
        <v>30</v>
      </c>
      <c r="E632" s="5">
        <v>51</v>
      </c>
      <c r="F632" s="5">
        <v>1.1299999999999999</v>
      </c>
      <c r="G632" s="5">
        <f>StockTransactionsTable[[#This Row],[Shares No.]]*StockTransactionsTable[[#This Row],[Amount per Share]]</f>
        <v>57.629999999999995</v>
      </c>
      <c r="H632" s="5">
        <v>0</v>
      </c>
      <c r="I63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57.629999999999995</v>
      </c>
      <c r="J632" s="19">
        <f>StockTransactionsTable[[#This Row],[Fee]]/StockTransactionsTable[[#This Row],[Total Amount]]</f>
        <v>0</v>
      </c>
      <c r="K632" s="5">
        <f>IF(StockTransactionsTable[[#This Row],[Transaction Type]]="Buy", StockTransactionsTable[[#This Row],[Total Amount with Fee]] / StockTransactionsTable[[#This Row],[Shares No.]],0)</f>
        <v>0</v>
      </c>
      <c r="L63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32" s="4">
        <f>YEAR(StockTransactionsTable[[#This Row],[Date]])</f>
        <v>2023</v>
      </c>
      <c r="N632" s="4">
        <f>MONTH(StockTransactionsTable[[#This Row],[Date]])</f>
        <v>3</v>
      </c>
      <c r="R632" s="1"/>
      <c r="V632" s="33"/>
      <c r="W632" s="33"/>
    </row>
    <row r="633" spans="2:23">
      <c r="B633" s="3">
        <v>44993</v>
      </c>
      <c r="C633" s="6" t="s">
        <v>91</v>
      </c>
      <c r="D633" s="6" t="s">
        <v>29</v>
      </c>
      <c r="E633" s="5">
        <v>7</v>
      </c>
      <c r="F633" s="5" vm="518">
        <v>253.7</v>
      </c>
      <c r="G633" s="5">
        <f>StockTransactionsTable[[#This Row],[Shares No.]]*StockTransactionsTable[[#This Row],[Amount per Share]]</f>
        <v>1775.8999999999999</v>
      </c>
      <c r="H633" s="5">
        <v>0.80134397461961338</v>
      </c>
      <c r="I63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1776.7013439746195</v>
      </c>
      <c r="J633" s="19">
        <f>StockTransactionsTable[[#This Row],[Fee]]/StockTransactionsTable[[#This Row],[Total Amount]]</f>
        <v>4.5123260015744889E-4</v>
      </c>
      <c r="K633" s="5">
        <f>IF(StockTransactionsTable[[#This Row],[Transaction Type]]="Buy", StockTransactionsTable[[#This Row],[Total Amount with Fee]] / StockTransactionsTable[[#This Row],[Shares No.]],0)</f>
        <v>253.81447771065993</v>
      </c>
      <c r="L63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33" s="4">
        <f>YEAR(StockTransactionsTable[[#This Row],[Date]])</f>
        <v>2023</v>
      </c>
      <c r="N633" s="4">
        <f>MONTH(StockTransactionsTable[[#This Row],[Date]])</f>
        <v>3</v>
      </c>
      <c r="R633" s="1"/>
      <c r="V633" s="33"/>
      <c r="W633" s="33"/>
    </row>
    <row r="634" spans="2:23">
      <c r="B634" s="3">
        <v>44994</v>
      </c>
      <c r="C634" s="6" t="s">
        <v>91</v>
      </c>
      <c r="D634" s="6" t="s">
        <v>30</v>
      </c>
      <c r="E634" s="5">
        <v>176</v>
      </c>
      <c r="F634" s="5">
        <v>0.68</v>
      </c>
      <c r="G634" s="5">
        <f>StockTransactionsTable[[#This Row],[Shares No.]]*StockTransactionsTable[[#This Row],[Amount per Share]]</f>
        <v>119.68</v>
      </c>
      <c r="H634" s="5">
        <v>0</v>
      </c>
      <c r="I63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119.68</v>
      </c>
      <c r="J634" s="19">
        <f>StockTransactionsTable[[#This Row],[Fee]]/StockTransactionsTable[[#This Row],[Total Amount]]</f>
        <v>0</v>
      </c>
      <c r="K634" s="5">
        <f>IF(StockTransactionsTable[[#This Row],[Transaction Type]]="Buy", StockTransactionsTable[[#This Row],[Total Amount with Fee]] / StockTransactionsTable[[#This Row],[Shares No.]],0)</f>
        <v>0</v>
      </c>
      <c r="L63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34" s="4">
        <f>YEAR(StockTransactionsTable[[#This Row],[Date]])</f>
        <v>2023</v>
      </c>
      <c r="N634" s="4">
        <f>MONTH(StockTransactionsTable[[#This Row],[Date]])</f>
        <v>3</v>
      </c>
      <c r="R634" s="1"/>
      <c r="V634" s="33"/>
      <c r="W634" s="33"/>
    </row>
    <row r="635" spans="2:23">
      <c r="B635" s="3">
        <v>44995</v>
      </c>
      <c r="C635" s="6" t="s">
        <v>17</v>
      </c>
      <c r="D635" s="6" t="s">
        <v>30</v>
      </c>
      <c r="E635" s="5">
        <v>194</v>
      </c>
      <c r="F635" s="5">
        <v>1.65</v>
      </c>
      <c r="G635" s="5">
        <f>StockTransactionsTable[[#This Row],[Shares No.]]*StockTransactionsTable[[#This Row],[Amount per Share]]</f>
        <v>320.09999999999997</v>
      </c>
      <c r="H635" s="5">
        <v>0</v>
      </c>
      <c r="I63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320.09999999999997</v>
      </c>
      <c r="J635" s="19">
        <f>StockTransactionsTable[[#This Row],[Fee]]/StockTransactionsTable[[#This Row],[Total Amount]]</f>
        <v>0</v>
      </c>
      <c r="K635" s="5">
        <f>IF(StockTransactionsTable[[#This Row],[Transaction Type]]="Buy", StockTransactionsTable[[#This Row],[Total Amount with Fee]] / StockTransactionsTable[[#This Row],[Shares No.]],0)</f>
        <v>0</v>
      </c>
      <c r="L63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35" s="4">
        <f>YEAR(StockTransactionsTable[[#This Row],[Date]])</f>
        <v>2023</v>
      </c>
      <c r="N635" s="4">
        <f>MONTH(StockTransactionsTable[[#This Row],[Date]])</f>
        <v>3</v>
      </c>
      <c r="R635" s="1"/>
      <c r="V635" s="33"/>
      <c r="W635" s="33"/>
    </row>
    <row r="636" spans="2:23">
      <c r="B636" s="3">
        <v>44995</v>
      </c>
      <c r="C636" s="6" t="s">
        <v>106</v>
      </c>
      <c r="D636" s="6" t="s">
        <v>30</v>
      </c>
      <c r="E636" s="5">
        <v>88</v>
      </c>
      <c r="F636" s="5">
        <v>0.62</v>
      </c>
      <c r="G636" s="5">
        <f>StockTransactionsTable[[#This Row],[Shares No.]]*StockTransactionsTable[[#This Row],[Amount per Share]]</f>
        <v>54.56</v>
      </c>
      <c r="H636" s="5">
        <v>0</v>
      </c>
      <c r="I63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54.56</v>
      </c>
      <c r="J636" s="19">
        <f>StockTransactionsTable[[#This Row],[Fee]]/StockTransactionsTable[[#This Row],[Total Amount]]</f>
        <v>0</v>
      </c>
      <c r="K636" s="5">
        <f>IF(StockTransactionsTable[[#This Row],[Transaction Type]]="Buy", StockTransactionsTable[[#This Row],[Total Amount with Fee]] / StockTransactionsTable[[#This Row],[Shares No.]],0)</f>
        <v>0</v>
      </c>
      <c r="L63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36" s="4">
        <f>YEAR(StockTransactionsTable[[#This Row],[Date]])</f>
        <v>2023</v>
      </c>
      <c r="N636" s="4">
        <f>MONTH(StockTransactionsTable[[#This Row],[Date]])</f>
        <v>3</v>
      </c>
      <c r="R636" s="1"/>
      <c r="V636" s="33"/>
      <c r="W636" s="33"/>
    </row>
    <row r="637" spans="2:23">
      <c r="B637" s="3">
        <v>44995</v>
      </c>
      <c r="C637" s="6" t="s">
        <v>16</v>
      </c>
      <c r="D637" s="6" t="s">
        <v>30</v>
      </c>
      <c r="E637" s="5">
        <v>185</v>
      </c>
      <c r="F637" s="5">
        <v>0.91</v>
      </c>
      <c r="G637" s="5">
        <f>StockTransactionsTable[[#This Row],[Shares No.]]*StockTransactionsTable[[#This Row],[Amount per Share]]</f>
        <v>168.35</v>
      </c>
      <c r="H637" s="5">
        <v>0</v>
      </c>
      <c r="I63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168.35</v>
      </c>
      <c r="J637" s="19">
        <f>StockTransactionsTable[[#This Row],[Fee]]/StockTransactionsTable[[#This Row],[Total Amount]]</f>
        <v>0</v>
      </c>
      <c r="K637" s="5">
        <f>IF(StockTransactionsTable[[#This Row],[Transaction Type]]="Buy", StockTransactionsTable[[#This Row],[Total Amount with Fee]] / StockTransactionsTable[[#This Row],[Shares No.]],0)</f>
        <v>0</v>
      </c>
      <c r="L63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37" s="4">
        <f>YEAR(StockTransactionsTable[[#This Row],[Date]])</f>
        <v>2023</v>
      </c>
      <c r="N637" s="4">
        <f>MONTH(StockTransactionsTable[[#This Row],[Date]])</f>
        <v>3</v>
      </c>
      <c r="R637" s="1"/>
      <c r="V637" s="33"/>
      <c r="W637" s="33"/>
    </row>
    <row r="638" spans="2:23">
      <c r="B638" s="3">
        <v>45000</v>
      </c>
      <c r="C638" s="6" t="s">
        <v>14</v>
      </c>
      <c r="D638" s="6" t="s">
        <v>30</v>
      </c>
      <c r="E638" s="5">
        <v>28</v>
      </c>
      <c r="F638" s="5">
        <v>0.3745</v>
      </c>
      <c r="G638" s="5">
        <f>StockTransactionsTable[[#This Row],[Shares No.]]*StockTransactionsTable[[#This Row],[Amount per Share]]</f>
        <v>10.486000000000001</v>
      </c>
      <c r="H638" s="5">
        <v>0</v>
      </c>
      <c r="I63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10.486000000000001</v>
      </c>
      <c r="J638" s="19">
        <f>StockTransactionsTable[[#This Row],[Fee]]/StockTransactionsTable[[#This Row],[Total Amount]]</f>
        <v>0</v>
      </c>
      <c r="K638" s="5">
        <f>IF(StockTransactionsTable[[#This Row],[Transaction Type]]="Buy", StockTransactionsTable[[#This Row],[Total Amount with Fee]] / StockTransactionsTable[[#This Row],[Shares No.]],0)</f>
        <v>0</v>
      </c>
      <c r="L63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38" s="4">
        <f>YEAR(StockTransactionsTable[[#This Row],[Date]])</f>
        <v>2023</v>
      </c>
      <c r="N638" s="4">
        <f>MONTH(StockTransactionsTable[[#This Row],[Date]])</f>
        <v>3</v>
      </c>
      <c r="R638" s="1"/>
      <c r="V638" s="33"/>
      <c r="W638" s="33"/>
    </row>
    <row r="639" spans="2:23">
      <c r="B639" s="3">
        <v>45000</v>
      </c>
      <c r="C639" s="6" t="s">
        <v>88</v>
      </c>
      <c r="D639" s="6" t="s">
        <v>30</v>
      </c>
      <c r="E639" s="5">
        <v>59</v>
      </c>
      <c r="F639" s="5">
        <v>1.52</v>
      </c>
      <c r="G639" s="5">
        <f>StockTransactionsTable[[#This Row],[Shares No.]]*StockTransactionsTable[[#This Row],[Amount per Share]]</f>
        <v>89.68</v>
      </c>
      <c r="H639" s="5">
        <v>0</v>
      </c>
      <c r="I63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89.68</v>
      </c>
      <c r="J639" s="19">
        <f>StockTransactionsTable[[#This Row],[Fee]]/StockTransactionsTable[[#This Row],[Total Amount]]</f>
        <v>0</v>
      </c>
      <c r="K639" s="5">
        <f>IF(StockTransactionsTable[[#This Row],[Transaction Type]]="Buy", StockTransactionsTable[[#This Row],[Total Amount with Fee]] / StockTransactionsTable[[#This Row],[Shares No.]],0)</f>
        <v>0</v>
      </c>
      <c r="L63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39" s="4">
        <f>YEAR(StockTransactionsTable[[#This Row],[Date]])</f>
        <v>2023</v>
      </c>
      <c r="N639" s="4">
        <f>MONTH(StockTransactionsTable[[#This Row],[Date]])</f>
        <v>3</v>
      </c>
      <c r="R639" s="1"/>
      <c r="V639" s="33"/>
      <c r="W639" s="33"/>
    </row>
    <row r="640" spans="2:23">
      <c r="B640" s="3">
        <v>45000</v>
      </c>
      <c r="C640" s="6" t="s">
        <v>98</v>
      </c>
      <c r="D640" s="6" t="s">
        <v>30</v>
      </c>
      <c r="E640" s="5">
        <v>338</v>
      </c>
      <c r="F640" s="5">
        <v>0.46750000000000003</v>
      </c>
      <c r="G640" s="5">
        <f>StockTransactionsTable[[#This Row],[Shares No.]]*StockTransactionsTable[[#This Row],[Amount per Share]]</f>
        <v>158.01500000000001</v>
      </c>
      <c r="H640" s="5">
        <v>0</v>
      </c>
      <c r="I64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158.01500000000001</v>
      </c>
      <c r="J640" s="19">
        <f>StockTransactionsTable[[#This Row],[Fee]]/StockTransactionsTable[[#This Row],[Total Amount]]</f>
        <v>0</v>
      </c>
      <c r="K640" s="5">
        <f>IF(StockTransactionsTable[[#This Row],[Transaction Type]]="Buy", StockTransactionsTable[[#This Row],[Total Amount with Fee]] / StockTransactionsTable[[#This Row],[Shares No.]],0)</f>
        <v>0</v>
      </c>
      <c r="L64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40" s="4">
        <f>YEAR(StockTransactionsTable[[#This Row],[Date]])</f>
        <v>2023</v>
      </c>
      <c r="N640" s="4">
        <f>MONTH(StockTransactionsTable[[#This Row],[Date]])</f>
        <v>3</v>
      </c>
      <c r="R640" s="1"/>
      <c r="V640" s="33"/>
      <c r="W640" s="33"/>
    </row>
    <row r="641" spans="2:23">
      <c r="B641" s="3">
        <v>45000</v>
      </c>
      <c r="C641" s="6" t="s">
        <v>12</v>
      </c>
      <c r="D641" s="6" t="s">
        <v>30</v>
      </c>
      <c r="E641" s="5">
        <v>97</v>
      </c>
      <c r="F641" s="5">
        <v>0.2545</v>
      </c>
      <c r="G641" s="5">
        <f>StockTransactionsTable[[#This Row],[Shares No.]]*StockTransactionsTable[[#This Row],[Amount per Share]]</f>
        <v>24.686499999999999</v>
      </c>
      <c r="H641" s="5">
        <v>0</v>
      </c>
      <c r="I64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24.686499999999999</v>
      </c>
      <c r="J641" s="19">
        <f>StockTransactionsTable[[#This Row],[Fee]]/StockTransactionsTable[[#This Row],[Total Amount]]</f>
        <v>0</v>
      </c>
      <c r="K641" s="5">
        <f>IF(StockTransactionsTable[[#This Row],[Transaction Type]]="Buy", StockTransactionsTable[[#This Row],[Total Amount with Fee]] / StockTransactionsTable[[#This Row],[Shares No.]],0)</f>
        <v>0</v>
      </c>
      <c r="L64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41" s="4">
        <f>YEAR(StockTransactionsTable[[#This Row],[Date]])</f>
        <v>2023</v>
      </c>
      <c r="N641" s="4">
        <f>MONTH(StockTransactionsTable[[#This Row],[Date]])</f>
        <v>3</v>
      </c>
      <c r="R641" s="1"/>
      <c r="V641" s="33"/>
      <c r="W641" s="33"/>
    </row>
    <row r="642" spans="2:23">
      <c r="B642" s="3">
        <v>45001</v>
      </c>
      <c r="C642" s="6" t="s">
        <v>100</v>
      </c>
      <c r="D642" s="6" t="s">
        <v>30</v>
      </c>
      <c r="E642" s="5">
        <v>194</v>
      </c>
      <c r="F642" s="5">
        <v>1.0049999999999999</v>
      </c>
      <c r="G642" s="5">
        <f>StockTransactionsTable[[#This Row],[Shares No.]]*StockTransactionsTable[[#This Row],[Amount per Share]]</f>
        <v>194.96999999999997</v>
      </c>
      <c r="H642" s="5">
        <v>0</v>
      </c>
      <c r="I64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194.96999999999997</v>
      </c>
      <c r="J642" s="19">
        <f>StockTransactionsTable[[#This Row],[Fee]]/StockTransactionsTable[[#This Row],[Total Amount]]</f>
        <v>0</v>
      </c>
      <c r="K642" s="5">
        <f>IF(StockTransactionsTable[[#This Row],[Transaction Type]]="Buy", StockTransactionsTable[[#This Row],[Total Amount with Fee]] / StockTransactionsTable[[#This Row],[Shares No.]],0)</f>
        <v>0</v>
      </c>
      <c r="L64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42" s="4">
        <f>YEAR(StockTransactionsTable[[#This Row],[Date]])</f>
        <v>2023</v>
      </c>
      <c r="N642" s="4">
        <f>MONTH(StockTransactionsTable[[#This Row],[Date]])</f>
        <v>3</v>
      </c>
      <c r="R642" s="1"/>
      <c r="V642" s="33"/>
      <c r="W642" s="33"/>
    </row>
    <row r="643" spans="2:23">
      <c r="B643" s="3">
        <v>45008</v>
      </c>
      <c r="C643" s="6" t="s">
        <v>95</v>
      </c>
      <c r="D643" s="6" t="s">
        <v>30</v>
      </c>
      <c r="E643" s="5">
        <v>111</v>
      </c>
      <c r="F643" s="5">
        <v>2.09</v>
      </c>
      <c r="G643" s="5">
        <f>StockTransactionsTable[[#This Row],[Shares No.]]*StockTransactionsTable[[#This Row],[Amount per Share]]</f>
        <v>231.98999999999998</v>
      </c>
      <c r="H643" s="5">
        <v>0</v>
      </c>
      <c r="I64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231.98999999999998</v>
      </c>
      <c r="J643" s="19">
        <f>StockTransactionsTable[[#This Row],[Fee]]/StockTransactionsTable[[#This Row],[Total Amount]]</f>
        <v>0</v>
      </c>
      <c r="K643" s="5">
        <f>IF(StockTransactionsTable[[#This Row],[Transaction Type]]="Buy", StockTransactionsTable[[#This Row],[Total Amount with Fee]] / StockTransactionsTable[[#This Row],[Shares No.]],0)</f>
        <v>0</v>
      </c>
      <c r="L64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43" s="4">
        <f>YEAR(StockTransactionsTable[[#This Row],[Date]])</f>
        <v>2023</v>
      </c>
      <c r="N643" s="4">
        <f>MONTH(StockTransactionsTable[[#This Row],[Date]])</f>
        <v>3</v>
      </c>
      <c r="R643" s="1"/>
      <c r="V643" s="33"/>
      <c r="W643" s="33"/>
    </row>
    <row r="644" spans="2:23">
      <c r="B644" s="3">
        <v>45015</v>
      </c>
      <c r="C644" s="6" t="s">
        <v>20</v>
      </c>
      <c r="D644" s="6" t="s">
        <v>29</v>
      </c>
      <c r="E644" s="5">
        <v>23</v>
      </c>
      <c r="F644" s="5" vm="519">
        <v>128.75</v>
      </c>
      <c r="G644" s="5">
        <f>StockTransactionsTable[[#This Row],[Shares No.]]*StockTransactionsTable[[#This Row],[Amount per Share]]</f>
        <v>2961.25</v>
      </c>
      <c r="H644" s="5">
        <v>1.4474166120559426</v>
      </c>
      <c r="I64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2962.6974166120558</v>
      </c>
      <c r="J644" s="19">
        <f>StockTransactionsTable[[#This Row],[Fee]]/StockTransactionsTable[[#This Row],[Total Amount]]</f>
        <v>4.8878568579347999E-4</v>
      </c>
      <c r="K644" s="5">
        <f>IF(StockTransactionsTable[[#This Row],[Transaction Type]]="Buy", StockTransactionsTable[[#This Row],[Total Amount with Fee]] / StockTransactionsTable[[#This Row],[Shares No.]],0)</f>
        <v>128.81293115704591</v>
      </c>
      <c r="L64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44" s="4">
        <f>YEAR(StockTransactionsTable[[#This Row],[Date]])</f>
        <v>2023</v>
      </c>
      <c r="N644" s="4">
        <f>MONTH(StockTransactionsTable[[#This Row],[Date]])</f>
        <v>3</v>
      </c>
      <c r="R644" s="1"/>
      <c r="V644" s="33"/>
      <c r="W644" s="33"/>
    </row>
    <row r="645" spans="2:23">
      <c r="B645" s="3">
        <v>45016</v>
      </c>
      <c r="C645" s="6" t="s">
        <v>18</v>
      </c>
      <c r="D645" s="6" t="s">
        <v>30</v>
      </c>
      <c r="E645" s="5">
        <v>43</v>
      </c>
      <c r="F645" s="5">
        <v>1.1499999999999999</v>
      </c>
      <c r="G645" s="5">
        <f>StockTransactionsTable[[#This Row],[Shares No.]]*StockTransactionsTable[[#This Row],[Amount per Share]]</f>
        <v>49.449999999999996</v>
      </c>
      <c r="H645" s="5">
        <v>0</v>
      </c>
      <c r="I64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49.449999999999996</v>
      </c>
      <c r="J645" s="19">
        <f>StockTransactionsTable[[#This Row],[Fee]]/StockTransactionsTable[[#This Row],[Total Amount]]</f>
        <v>0</v>
      </c>
      <c r="K645" s="5">
        <f>IF(StockTransactionsTable[[#This Row],[Transaction Type]]="Buy", StockTransactionsTable[[#This Row],[Total Amount with Fee]] / StockTransactionsTable[[#This Row],[Shares No.]],0)</f>
        <v>0</v>
      </c>
      <c r="L64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45" s="4">
        <f>YEAR(StockTransactionsTable[[#This Row],[Date]])</f>
        <v>2023</v>
      </c>
      <c r="N645" s="4">
        <f>MONTH(StockTransactionsTable[[#This Row],[Date]])</f>
        <v>3</v>
      </c>
      <c r="R645" s="1"/>
      <c r="V645" s="33"/>
      <c r="W645" s="33"/>
    </row>
    <row r="646" spans="2:23">
      <c r="B646" s="3">
        <v>45019</v>
      </c>
      <c r="C646" s="6" t="s">
        <v>23</v>
      </c>
      <c r="D646" s="6" t="s">
        <v>30</v>
      </c>
      <c r="E646" s="5">
        <v>85</v>
      </c>
      <c r="F646" s="5">
        <v>0.46</v>
      </c>
      <c r="G646" s="5">
        <f>StockTransactionsTable[[#This Row],[Shares No.]]*StockTransactionsTable[[#This Row],[Amount per Share]]</f>
        <v>39.1</v>
      </c>
      <c r="H646" s="5">
        <v>0</v>
      </c>
      <c r="I64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39.1</v>
      </c>
      <c r="J646" s="19">
        <f>StockTransactionsTable[[#This Row],[Fee]]/StockTransactionsTable[[#This Row],[Total Amount]]</f>
        <v>0</v>
      </c>
      <c r="K646" s="5">
        <f>IF(StockTransactionsTable[[#This Row],[Transaction Type]]="Buy", StockTransactionsTable[[#This Row],[Total Amount with Fee]] / StockTransactionsTable[[#This Row],[Shares No.]],0)</f>
        <v>0</v>
      </c>
      <c r="L64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46" s="4">
        <f>YEAR(StockTransactionsTable[[#This Row],[Date]])</f>
        <v>2023</v>
      </c>
      <c r="N646" s="4">
        <f>MONTH(StockTransactionsTable[[#This Row],[Date]])</f>
        <v>4</v>
      </c>
      <c r="R646" s="1"/>
      <c r="V646" s="33"/>
      <c r="W646" s="33"/>
    </row>
    <row r="647" spans="2:23">
      <c r="B647" s="3">
        <v>45030</v>
      </c>
      <c r="C647" s="6" t="s">
        <v>12</v>
      </c>
      <c r="D647" s="6" t="s">
        <v>30</v>
      </c>
      <c r="E647" s="5">
        <v>97</v>
      </c>
      <c r="F647" s="5">
        <v>0.255</v>
      </c>
      <c r="G647" s="5">
        <f>StockTransactionsTable[[#This Row],[Shares No.]]*StockTransactionsTable[[#This Row],[Amount per Share]]</f>
        <v>24.734999999999999</v>
      </c>
      <c r="H647" s="5">
        <v>0</v>
      </c>
      <c r="I64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24.734999999999999</v>
      </c>
      <c r="J647" s="19">
        <f>StockTransactionsTable[[#This Row],[Fee]]/StockTransactionsTable[[#This Row],[Total Amount]]</f>
        <v>0</v>
      </c>
      <c r="K647" s="5">
        <f>IF(StockTransactionsTable[[#This Row],[Transaction Type]]="Buy", StockTransactionsTable[[#This Row],[Total Amount with Fee]] / StockTransactionsTable[[#This Row],[Shares No.]],0)</f>
        <v>0</v>
      </c>
      <c r="L64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47" s="4">
        <f>YEAR(StockTransactionsTable[[#This Row],[Date]])</f>
        <v>2023</v>
      </c>
      <c r="N647" s="4">
        <f>MONTH(StockTransactionsTable[[#This Row],[Date]])</f>
        <v>4</v>
      </c>
      <c r="R647" s="1"/>
      <c r="V647" s="33"/>
      <c r="W647" s="33"/>
    </row>
    <row r="648" spans="2:23">
      <c r="B648" s="3">
        <v>45046</v>
      </c>
      <c r="C648" s="6" t="s">
        <v>20</v>
      </c>
      <c r="D648" s="6" t="s">
        <v>30</v>
      </c>
      <c r="E648" s="5">
        <v>116</v>
      </c>
      <c r="F648" s="5">
        <v>1</v>
      </c>
      <c r="G648" s="5">
        <f>StockTransactionsTable[[#This Row],[Shares No.]]*StockTransactionsTable[[#This Row],[Amount per Share]]</f>
        <v>116</v>
      </c>
      <c r="H648" s="5">
        <v>0</v>
      </c>
      <c r="I64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116</v>
      </c>
      <c r="J648" s="19">
        <f>StockTransactionsTable[[#This Row],[Fee]]/StockTransactionsTable[[#This Row],[Total Amount]]</f>
        <v>0</v>
      </c>
      <c r="K648" s="5">
        <f>IF(StockTransactionsTable[[#This Row],[Transaction Type]]="Buy", StockTransactionsTable[[#This Row],[Total Amount with Fee]] / StockTransactionsTable[[#This Row],[Shares No.]],0)</f>
        <v>0</v>
      </c>
      <c r="L64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48" s="4">
        <f>YEAR(StockTransactionsTable[[#This Row],[Date]])</f>
        <v>2023</v>
      </c>
      <c r="N648" s="4">
        <f>MONTH(StockTransactionsTable[[#This Row],[Date]])</f>
        <v>4</v>
      </c>
      <c r="R648" s="1"/>
      <c r="V648" s="33"/>
      <c r="W648" s="33"/>
    </row>
    <row r="649" spans="2:23">
      <c r="B649" s="3">
        <v>45047</v>
      </c>
      <c r="C649" s="6" t="s">
        <v>15</v>
      </c>
      <c r="D649" s="6" t="s">
        <v>30</v>
      </c>
      <c r="E649" s="5">
        <v>124</v>
      </c>
      <c r="F649" s="5">
        <v>0.27750000000000002</v>
      </c>
      <c r="G649" s="5">
        <f>StockTransactionsTable[[#This Row],[Shares No.]]*StockTransactionsTable[[#This Row],[Amount per Share]]</f>
        <v>34.410000000000004</v>
      </c>
      <c r="H649" s="5">
        <v>0</v>
      </c>
      <c r="I64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34.410000000000004</v>
      </c>
      <c r="J649" s="19">
        <f>StockTransactionsTable[[#This Row],[Fee]]/StockTransactionsTable[[#This Row],[Total Amount]]</f>
        <v>0</v>
      </c>
      <c r="K649" s="5">
        <f>IF(StockTransactionsTable[[#This Row],[Transaction Type]]="Buy", StockTransactionsTable[[#This Row],[Total Amount with Fee]] / StockTransactionsTable[[#This Row],[Shares No.]],0)</f>
        <v>0</v>
      </c>
      <c r="L64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49" s="4">
        <f>YEAR(StockTransactionsTable[[#This Row],[Date]])</f>
        <v>2023</v>
      </c>
      <c r="N649" s="4">
        <f>MONTH(StockTransactionsTable[[#This Row],[Date]])</f>
        <v>5</v>
      </c>
      <c r="R649" s="1"/>
      <c r="V649" s="33"/>
      <c r="W649" s="33"/>
    </row>
    <row r="650" spans="2:23">
      <c r="B650" s="3">
        <v>45055</v>
      </c>
      <c r="C650" s="6" t="s">
        <v>95</v>
      </c>
      <c r="D650" s="6" t="s">
        <v>29</v>
      </c>
      <c r="E650" s="5">
        <v>32</v>
      </c>
      <c r="F650" s="5" vm="520">
        <v>290.58</v>
      </c>
      <c r="G650" s="5">
        <f>StockTransactionsTable[[#This Row],[Shares No.]]*StockTransactionsTable[[#This Row],[Amount per Share]]</f>
        <v>9298.56</v>
      </c>
      <c r="H650" s="5">
        <v>3.9736336269127523</v>
      </c>
      <c r="I65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9302.533633626912</v>
      </c>
      <c r="J650" s="19">
        <f>StockTransactionsTable[[#This Row],[Fee]]/StockTransactionsTable[[#This Row],[Total Amount]]</f>
        <v>4.2733860155903201E-4</v>
      </c>
      <c r="K650" s="5">
        <f>IF(StockTransactionsTable[[#This Row],[Transaction Type]]="Buy", StockTransactionsTable[[#This Row],[Total Amount with Fee]] / StockTransactionsTable[[#This Row],[Shares No.]],0)</f>
        <v>290.704176050841</v>
      </c>
      <c r="L65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50" s="4">
        <f>YEAR(StockTransactionsTable[[#This Row],[Date]])</f>
        <v>2023</v>
      </c>
      <c r="N650" s="4">
        <f>MONTH(StockTransactionsTable[[#This Row],[Date]])</f>
        <v>5</v>
      </c>
      <c r="R650" s="1"/>
      <c r="V650" s="33"/>
      <c r="W650" s="33"/>
    </row>
    <row r="651" spans="2:23">
      <c r="B651" s="3">
        <v>45058</v>
      </c>
      <c r="C651" s="6" t="s">
        <v>19</v>
      </c>
      <c r="D651" s="6" t="s">
        <v>30</v>
      </c>
      <c r="E651" s="5">
        <v>57</v>
      </c>
      <c r="F651" s="5">
        <v>1.18</v>
      </c>
      <c r="G651" s="5">
        <f>StockTransactionsTable[[#This Row],[Shares No.]]*StockTransactionsTable[[#This Row],[Amount per Share]]</f>
        <v>67.259999999999991</v>
      </c>
      <c r="H651" s="5">
        <v>0</v>
      </c>
      <c r="I65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67.259999999999991</v>
      </c>
      <c r="J651" s="19">
        <f>StockTransactionsTable[[#This Row],[Fee]]/StockTransactionsTable[[#This Row],[Total Amount]]</f>
        <v>0</v>
      </c>
      <c r="K651" s="5">
        <f>IF(StockTransactionsTable[[#This Row],[Transaction Type]]="Buy", StockTransactionsTable[[#This Row],[Total Amount with Fee]] / StockTransactionsTable[[#This Row],[Shares No.]],0)</f>
        <v>0</v>
      </c>
      <c r="L65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51" s="4">
        <f>YEAR(StockTransactionsTable[[#This Row],[Date]])</f>
        <v>2023</v>
      </c>
      <c r="N651" s="4">
        <f>MONTH(StockTransactionsTable[[#This Row],[Date]])</f>
        <v>5</v>
      </c>
      <c r="R651" s="1"/>
      <c r="V651" s="33"/>
      <c r="W651" s="33"/>
    </row>
    <row r="652" spans="2:23">
      <c r="B652" s="3">
        <v>45061</v>
      </c>
      <c r="C652" s="6" t="s">
        <v>86</v>
      </c>
      <c r="D652" s="6" t="s">
        <v>30</v>
      </c>
      <c r="E652" s="5">
        <v>114</v>
      </c>
      <c r="F652" s="5">
        <v>1.48</v>
      </c>
      <c r="G652" s="5">
        <f>StockTransactionsTable[[#This Row],[Shares No.]]*StockTransactionsTable[[#This Row],[Amount per Share]]</f>
        <v>168.72</v>
      </c>
      <c r="H652" s="5">
        <v>0</v>
      </c>
      <c r="I65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168.72</v>
      </c>
      <c r="J652" s="19">
        <f>StockTransactionsTable[[#This Row],[Fee]]/StockTransactionsTable[[#This Row],[Total Amount]]</f>
        <v>0</v>
      </c>
      <c r="K652" s="5">
        <f>IF(StockTransactionsTable[[#This Row],[Transaction Type]]="Buy", StockTransactionsTable[[#This Row],[Total Amount with Fee]] / StockTransactionsTable[[#This Row],[Shares No.]],0)</f>
        <v>0</v>
      </c>
      <c r="L65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52" s="4">
        <f>YEAR(StockTransactionsTable[[#This Row],[Date]])</f>
        <v>2023</v>
      </c>
      <c r="N652" s="4">
        <f>MONTH(StockTransactionsTable[[#This Row],[Date]])</f>
        <v>5</v>
      </c>
      <c r="R652" s="1"/>
      <c r="V652" s="33"/>
      <c r="W652" s="33"/>
    </row>
    <row r="653" spans="2:23">
      <c r="B653" s="3">
        <v>45061</v>
      </c>
      <c r="C653" s="6" t="s">
        <v>12</v>
      </c>
      <c r="D653" s="6" t="s">
        <v>30</v>
      </c>
      <c r="E653" s="5">
        <v>97</v>
      </c>
      <c r="F653" s="5">
        <v>0.255</v>
      </c>
      <c r="G653" s="5">
        <f>StockTransactionsTable[[#This Row],[Shares No.]]*StockTransactionsTable[[#This Row],[Amount per Share]]</f>
        <v>24.734999999999999</v>
      </c>
      <c r="H653" s="5">
        <v>0</v>
      </c>
      <c r="I65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24.734999999999999</v>
      </c>
      <c r="J653" s="19">
        <f>StockTransactionsTable[[#This Row],[Fee]]/StockTransactionsTable[[#This Row],[Total Amount]]</f>
        <v>0</v>
      </c>
      <c r="K653" s="5">
        <f>IF(StockTransactionsTable[[#This Row],[Transaction Type]]="Buy", StockTransactionsTable[[#This Row],[Total Amount with Fee]] / StockTransactionsTable[[#This Row],[Shares No.]],0)</f>
        <v>0</v>
      </c>
      <c r="L65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53" s="4">
        <f>YEAR(StockTransactionsTable[[#This Row],[Date]])</f>
        <v>2023</v>
      </c>
      <c r="N653" s="4">
        <f>MONTH(StockTransactionsTable[[#This Row],[Date]])</f>
        <v>5</v>
      </c>
      <c r="R653" s="1"/>
      <c r="V653" s="33"/>
      <c r="W653" s="33"/>
    </row>
    <row r="654" spans="2:23">
      <c r="B654" s="3">
        <v>45061</v>
      </c>
      <c r="C654" s="6" t="s">
        <v>21</v>
      </c>
      <c r="D654" s="6" t="s">
        <v>30</v>
      </c>
      <c r="E654" s="5">
        <v>42</v>
      </c>
      <c r="F654" s="5">
        <v>0.94069999999999998</v>
      </c>
      <c r="G654" s="5">
        <f>StockTransactionsTable[[#This Row],[Shares No.]]*StockTransactionsTable[[#This Row],[Amount per Share]]</f>
        <v>39.509399999999999</v>
      </c>
      <c r="H654" s="5">
        <v>0</v>
      </c>
      <c r="I65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39.509399999999999</v>
      </c>
      <c r="J654" s="19">
        <f>StockTransactionsTable[[#This Row],[Fee]]/StockTransactionsTable[[#This Row],[Total Amount]]</f>
        <v>0</v>
      </c>
      <c r="K654" s="5">
        <f>IF(StockTransactionsTable[[#This Row],[Transaction Type]]="Buy", StockTransactionsTable[[#This Row],[Total Amount with Fee]] / StockTransactionsTable[[#This Row],[Shares No.]],0)</f>
        <v>0</v>
      </c>
      <c r="L65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54" s="4">
        <f>YEAR(StockTransactionsTable[[#This Row],[Date]])</f>
        <v>2023</v>
      </c>
      <c r="N654" s="4">
        <f>MONTH(StockTransactionsTable[[#This Row],[Date]])</f>
        <v>5</v>
      </c>
      <c r="R654" s="1"/>
      <c r="V654" s="33"/>
      <c r="W654" s="33"/>
    </row>
    <row r="655" spans="2:23">
      <c r="B655" s="3">
        <v>45065</v>
      </c>
      <c r="C655" s="6" t="s">
        <v>22</v>
      </c>
      <c r="D655" s="6" t="s">
        <v>30</v>
      </c>
      <c r="E655" s="5">
        <v>119</v>
      </c>
      <c r="F655" s="5">
        <v>1.2</v>
      </c>
      <c r="G655" s="5">
        <f>StockTransactionsTable[[#This Row],[Shares No.]]*StockTransactionsTable[[#This Row],[Amount per Share]]</f>
        <v>142.79999999999998</v>
      </c>
      <c r="H655" s="5">
        <v>0</v>
      </c>
      <c r="I65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142.79999999999998</v>
      </c>
      <c r="J655" s="19">
        <f>StockTransactionsTable[[#This Row],[Fee]]/StockTransactionsTable[[#This Row],[Total Amount]]</f>
        <v>0</v>
      </c>
      <c r="K655" s="5">
        <f>IF(StockTransactionsTable[[#This Row],[Transaction Type]]="Buy", StockTransactionsTable[[#This Row],[Total Amount with Fee]] / StockTransactionsTable[[#This Row],[Shares No.]],0)</f>
        <v>0</v>
      </c>
      <c r="L65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55" s="4">
        <f>YEAR(StockTransactionsTable[[#This Row],[Date]])</f>
        <v>2023</v>
      </c>
      <c r="N655" s="4">
        <f>MONTH(StockTransactionsTable[[#This Row],[Date]])</f>
        <v>5</v>
      </c>
      <c r="R655" s="1"/>
      <c r="V655" s="33"/>
      <c r="W655" s="33"/>
    </row>
    <row r="656" spans="2:23">
      <c r="B656" s="3">
        <v>45083</v>
      </c>
      <c r="C656" s="6" t="s">
        <v>84</v>
      </c>
      <c r="D656" s="6" t="s">
        <v>30</v>
      </c>
      <c r="E656" s="5">
        <v>51</v>
      </c>
      <c r="F656" s="5">
        <v>1.19</v>
      </c>
      <c r="G656" s="5">
        <f>StockTransactionsTable[[#This Row],[Shares No.]]*StockTransactionsTable[[#This Row],[Amount per Share]]</f>
        <v>60.69</v>
      </c>
      <c r="H656" s="5">
        <v>0</v>
      </c>
      <c r="I65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60.69</v>
      </c>
      <c r="J656" s="19">
        <f>StockTransactionsTable[[#This Row],[Fee]]/StockTransactionsTable[[#This Row],[Total Amount]]</f>
        <v>0</v>
      </c>
      <c r="K656" s="5">
        <f>IF(StockTransactionsTable[[#This Row],[Transaction Type]]="Buy", StockTransactionsTable[[#This Row],[Total Amount with Fee]] / StockTransactionsTable[[#This Row],[Shares No.]],0)</f>
        <v>0</v>
      </c>
      <c r="L65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56" s="4">
        <f>YEAR(StockTransactionsTable[[#This Row],[Date]])</f>
        <v>2023</v>
      </c>
      <c r="N656" s="4">
        <f>MONTH(StockTransactionsTable[[#This Row],[Date]])</f>
        <v>6</v>
      </c>
      <c r="R656" s="1"/>
      <c r="V656" s="33"/>
      <c r="W656" s="33"/>
    </row>
    <row r="657" spans="2:23">
      <c r="B657" s="3">
        <v>45085</v>
      </c>
      <c r="C657" s="6" t="s">
        <v>91</v>
      </c>
      <c r="D657" s="6" t="s">
        <v>30</v>
      </c>
      <c r="E657" s="5">
        <v>183</v>
      </c>
      <c r="F657" s="5">
        <v>0.68</v>
      </c>
      <c r="G657" s="5">
        <f>StockTransactionsTable[[#This Row],[Shares No.]]*StockTransactionsTable[[#This Row],[Amount per Share]]</f>
        <v>124.44000000000001</v>
      </c>
      <c r="H657" s="5">
        <v>0</v>
      </c>
      <c r="I65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124.44000000000001</v>
      </c>
      <c r="J657" s="19">
        <f>StockTransactionsTable[[#This Row],[Fee]]/StockTransactionsTable[[#This Row],[Total Amount]]</f>
        <v>0</v>
      </c>
      <c r="K657" s="5">
        <f>IF(StockTransactionsTable[[#This Row],[Transaction Type]]="Buy", StockTransactionsTable[[#This Row],[Total Amount with Fee]] / StockTransactionsTable[[#This Row],[Shares No.]],0)</f>
        <v>0</v>
      </c>
      <c r="L65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57" s="4">
        <f>YEAR(StockTransactionsTable[[#This Row],[Date]])</f>
        <v>2023</v>
      </c>
      <c r="N657" s="4">
        <f>MONTH(StockTransactionsTable[[#This Row],[Date]])</f>
        <v>6</v>
      </c>
      <c r="R657" s="1"/>
      <c r="V657" s="33"/>
      <c r="W657" s="33"/>
    </row>
    <row r="658" spans="2:23">
      <c r="B658" s="3">
        <v>45086</v>
      </c>
      <c r="C658" s="6" t="s">
        <v>15</v>
      </c>
      <c r="D658" s="6" t="s">
        <v>29</v>
      </c>
      <c r="E658" s="5">
        <v>9</v>
      </c>
      <c r="F658" s="5" vm="521">
        <v>15.95</v>
      </c>
      <c r="G658" s="5">
        <f>StockTransactionsTable[[#This Row],[Shares No.]]*StockTransactionsTable[[#This Row],[Amount per Share]]</f>
        <v>143.54999999999998</v>
      </c>
      <c r="H658" s="5">
        <v>7.1695172950873312E-2</v>
      </c>
      <c r="I65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143.62169517295087</v>
      </c>
      <c r="J658" s="19">
        <f>StockTransactionsTable[[#This Row],[Fee]]/StockTransactionsTable[[#This Row],[Total Amount]]</f>
        <v>4.9944390770375008E-4</v>
      </c>
      <c r="K658" s="5">
        <f>IF(StockTransactionsTable[[#This Row],[Transaction Type]]="Buy", StockTransactionsTable[[#This Row],[Total Amount with Fee]] / StockTransactionsTable[[#This Row],[Shares No.]],0)</f>
        <v>15.957966130327874</v>
      </c>
      <c r="L65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58" s="4">
        <f>YEAR(StockTransactionsTable[[#This Row],[Date]])</f>
        <v>2023</v>
      </c>
      <c r="N658" s="4">
        <f>MONTH(StockTransactionsTable[[#This Row],[Date]])</f>
        <v>6</v>
      </c>
      <c r="R658" s="1"/>
      <c r="V658" s="33"/>
      <c r="W658" s="33"/>
    </row>
    <row r="659" spans="2:23">
      <c r="B659" s="3">
        <v>45086</v>
      </c>
      <c r="C659" s="6" t="s">
        <v>13</v>
      </c>
      <c r="D659" s="6" t="s">
        <v>30</v>
      </c>
      <c r="E659" s="5">
        <v>55</v>
      </c>
      <c r="F659" s="5">
        <v>0.41</v>
      </c>
      <c r="G659" s="5">
        <f>StockTransactionsTable[[#This Row],[Shares No.]]*StockTransactionsTable[[#This Row],[Amount per Share]]</f>
        <v>22.549999999999997</v>
      </c>
      <c r="H659" s="5">
        <v>0</v>
      </c>
      <c r="I65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22.549999999999997</v>
      </c>
      <c r="J659" s="19">
        <f>StockTransactionsTable[[#This Row],[Fee]]/StockTransactionsTable[[#This Row],[Total Amount]]</f>
        <v>0</v>
      </c>
      <c r="K659" s="5">
        <f>IF(StockTransactionsTable[[#This Row],[Transaction Type]]="Buy", StockTransactionsTable[[#This Row],[Total Amount with Fee]] / StockTransactionsTable[[#This Row],[Shares No.]],0)</f>
        <v>0</v>
      </c>
      <c r="L65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59" s="4">
        <f>YEAR(StockTransactionsTable[[#This Row],[Date]])</f>
        <v>2023</v>
      </c>
      <c r="N659" s="4">
        <f>MONTH(StockTransactionsTable[[#This Row],[Date]])</f>
        <v>6</v>
      </c>
      <c r="R659" s="1"/>
      <c r="V659" s="33"/>
      <c r="W659" s="33"/>
    </row>
    <row r="660" spans="2:23">
      <c r="B660" s="3">
        <v>45086</v>
      </c>
      <c r="C660" s="6" t="s">
        <v>16</v>
      </c>
      <c r="D660" s="6" t="s">
        <v>30</v>
      </c>
      <c r="E660" s="5">
        <v>185</v>
      </c>
      <c r="F660" s="5">
        <v>0.91</v>
      </c>
      <c r="G660" s="5">
        <f>StockTransactionsTable[[#This Row],[Shares No.]]*StockTransactionsTable[[#This Row],[Amount per Share]]</f>
        <v>168.35</v>
      </c>
      <c r="H660" s="5">
        <v>0</v>
      </c>
      <c r="I66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168.35</v>
      </c>
      <c r="J660" s="19">
        <f>StockTransactionsTable[[#This Row],[Fee]]/StockTransactionsTable[[#This Row],[Total Amount]]</f>
        <v>0</v>
      </c>
      <c r="K660" s="5">
        <f>IF(StockTransactionsTable[[#This Row],[Transaction Type]]="Buy", StockTransactionsTable[[#This Row],[Total Amount with Fee]] / StockTransactionsTable[[#This Row],[Shares No.]],0)</f>
        <v>0</v>
      </c>
      <c r="L66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60" s="4">
        <f>YEAR(StockTransactionsTable[[#This Row],[Date]])</f>
        <v>2023</v>
      </c>
      <c r="N660" s="4">
        <f>MONTH(StockTransactionsTable[[#This Row],[Date]])</f>
        <v>6</v>
      </c>
      <c r="R660" s="1"/>
      <c r="V660" s="33"/>
      <c r="W660" s="33"/>
    </row>
    <row r="661" spans="2:23">
      <c r="B661" s="3">
        <v>45087</v>
      </c>
      <c r="C661" s="6" t="s">
        <v>17</v>
      </c>
      <c r="D661" s="6" t="s">
        <v>30</v>
      </c>
      <c r="E661" s="5">
        <v>194</v>
      </c>
      <c r="F661" s="5">
        <v>1.66</v>
      </c>
      <c r="G661" s="5">
        <f>StockTransactionsTable[[#This Row],[Shares No.]]*StockTransactionsTable[[#This Row],[Amount per Share]]</f>
        <v>322.03999999999996</v>
      </c>
      <c r="H661" s="5">
        <v>0</v>
      </c>
      <c r="I66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322.03999999999996</v>
      </c>
      <c r="J661" s="19">
        <f>StockTransactionsTable[[#This Row],[Fee]]/StockTransactionsTable[[#This Row],[Total Amount]]</f>
        <v>0</v>
      </c>
      <c r="K661" s="5">
        <f>IF(StockTransactionsTable[[#This Row],[Transaction Type]]="Buy", StockTransactionsTable[[#This Row],[Total Amount with Fee]] / StockTransactionsTable[[#This Row],[Shares No.]],0)</f>
        <v>0</v>
      </c>
      <c r="L66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61" s="4">
        <f>YEAR(StockTransactionsTable[[#This Row],[Date]])</f>
        <v>2023</v>
      </c>
      <c r="N661" s="4">
        <f>MONTH(StockTransactionsTable[[#This Row],[Date]])</f>
        <v>6</v>
      </c>
      <c r="R661" s="1"/>
      <c r="V661" s="33"/>
      <c r="W661" s="33"/>
    </row>
    <row r="662" spans="2:23">
      <c r="B662" s="3">
        <v>45089</v>
      </c>
      <c r="C662" s="6" t="s">
        <v>106</v>
      </c>
      <c r="D662" s="6" t="s">
        <v>30</v>
      </c>
      <c r="E662" s="5">
        <v>88</v>
      </c>
      <c r="F662" s="5">
        <v>0.62</v>
      </c>
      <c r="G662" s="5">
        <f>StockTransactionsTable[[#This Row],[Shares No.]]*StockTransactionsTable[[#This Row],[Amount per Share]]</f>
        <v>54.56</v>
      </c>
      <c r="H662" s="5">
        <v>0</v>
      </c>
      <c r="I66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54.56</v>
      </c>
      <c r="J662" s="19">
        <f>StockTransactionsTable[[#This Row],[Fee]]/StockTransactionsTable[[#This Row],[Total Amount]]</f>
        <v>0</v>
      </c>
      <c r="K662" s="5">
        <f>IF(StockTransactionsTable[[#This Row],[Transaction Type]]="Buy", StockTransactionsTable[[#This Row],[Total Amount with Fee]] / StockTransactionsTable[[#This Row],[Shares No.]],0)</f>
        <v>0</v>
      </c>
      <c r="L66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62" s="4">
        <f>YEAR(StockTransactionsTable[[#This Row],[Date]])</f>
        <v>2023</v>
      </c>
      <c r="N662" s="4">
        <f>MONTH(StockTransactionsTable[[#This Row],[Date]])</f>
        <v>6</v>
      </c>
      <c r="R662" s="1"/>
      <c r="V662" s="33"/>
      <c r="W662" s="33"/>
    </row>
    <row r="663" spans="2:23">
      <c r="B663" s="3">
        <v>45092</v>
      </c>
      <c r="C663" s="6" t="s">
        <v>14</v>
      </c>
      <c r="D663" s="6" t="s">
        <v>30</v>
      </c>
      <c r="E663" s="5">
        <v>28</v>
      </c>
      <c r="F663" s="5">
        <v>0.38179999999999997</v>
      </c>
      <c r="G663" s="5">
        <f>StockTransactionsTable[[#This Row],[Shares No.]]*StockTransactionsTable[[#This Row],[Amount per Share]]</f>
        <v>10.690399999999999</v>
      </c>
      <c r="H663" s="5">
        <v>0</v>
      </c>
      <c r="I66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10.690399999999999</v>
      </c>
      <c r="J663" s="19">
        <f>StockTransactionsTable[[#This Row],[Fee]]/StockTransactionsTable[[#This Row],[Total Amount]]</f>
        <v>0</v>
      </c>
      <c r="K663" s="5">
        <f>IF(StockTransactionsTable[[#This Row],[Transaction Type]]="Buy", StockTransactionsTable[[#This Row],[Total Amount with Fee]] / StockTransactionsTable[[#This Row],[Shares No.]],0)</f>
        <v>0</v>
      </c>
      <c r="L66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63" s="4">
        <f>YEAR(StockTransactionsTable[[#This Row],[Date]])</f>
        <v>2023</v>
      </c>
      <c r="N663" s="4">
        <f>MONTH(StockTransactionsTable[[#This Row],[Date]])</f>
        <v>6</v>
      </c>
      <c r="R663" s="1"/>
      <c r="V663" s="33"/>
      <c r="W663" s="33"/>
    </row>
    <row r="664" spans="2:23">
      <c r="B664" s="3">
        <v>45092</v>
      </c>
      <c r="C664" s="6" t="s">
        <v>95</v>
      </c>
      <c r="D664" s="6" t="s">
        <v>30</v>
      </c>
      <c r="E664" s="5">
        <v>143</v>
      </c>
      <c r="F664" s="5">
        <v>2.09</v>
      </c>
      <c r="G664" s="5">
        <f>StockTransactionsTable[[#This Row],[Shares No.]]*StockTransactionsTable[[#This Row],[Amount per Share]]</f>
        <v>298.87</v>
      </c>
      <c r="H664" s="5">
        <v>0</v>
      </c>
      <c r="I66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298.87</v>
      </c>
      <c r="J664" s="19">
        <f>StockTransactionsTable[[#This Row],[Fee]]/StockTransactionsTable[[#This Row],[Total Amount]]</f>
        <v>0</v>
      </c>
      <c r="K664" s="5">
        <f>IF(StockTransactionsTable[[#This Row],[Transaction Type]]="Buy", StockTransactionsTable[[#This Row],[Total Amount with Fee]] / StockTransactionsTable[[#This Row],[Shares No.]],0)</f>
        <v>0</v>
      </c>
      <c r="L66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64" s="4">
        <f>YEAR(StockTransactionsTable[[#This Row],[Date]])</f>
        <v>2023</v>
      </c>
      <c r="N664" s="4">
        <f>MONTH(StockTransactionsTable[[#This Row],[Date]])</f>
        <v>6</v>
      </c>
      <c r="R664" s="1"/>
      <c r="V664" s="33"/>
      <c r="W664" s="33"/>
    </row>
    <row r="665" spans="2:23">
      <c r="B665" s="3">
        <v>45092</v>
      </c>
      <c r="C665" s="6" t="s">
        <v>98</v>
      </c>
      <c r="D665" s="6" t="s">
        <v>30</v>
      </c>
      <c r="E665" s="5">
        <v>338</v>
      </c>
      <c r="F665" s="5">
        <v>0.46750000000000003</v>
      </c>
      <c r="G665" s="5">
        <f>StockTransactionsTable[[#This Row],[Shares No.]]*StockTransactionsTable[[#This Row],[Amount per Share]]</f>
        <v>158.01500000000001</v>
      </c>
      <c r="H665" s="5">
        <v>0</v>
      </c>
      <c r="I66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158.01500000000001</v>
      </c>
      <c r="J665" s="19">
        <f>StockTransactionsTable[[#This Row],[Fee]]/StockTransactionsTable[[#This Row],[Total Amount]]</f>
        <v>0</v>
      </c>
      <c r="K665" s="5">
        <f>IF(StockTransactionsTable[[#This Row],[Transaction Type]]="Buy", StockTransactionsTable[[#This Row],[Total Amount with Fee]] / StockTransactionsTable[[#This Row],[Shares No.]],0)</f>
        <v>0</v>
      </c>
      <c r="L66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65" s="4">
        <f>YEAR(StockTransactionsTable[[#This Row],[Date]])</f>
        <v>2023</v>
      </c>
      <c r="N665" s="4">
        <f>MONTH(StockTransactionsTable[[#This Row],[Date]])</f>
        <v>6</v>
      </c>
      <c r="R665" s="1"/>
      <c r="V665" s="33"/>
      <c r="W665" s="33"/>
    </row>
    <row r="666" spans="2:23">
      <c r="B666" s="3">
        <v>45092</v>
      </c>
      <c r="C666" s="6" t="s">
        <v>12</v>
      </c>
      <c r="D666" s="6" t="s">
        <v>30</v>
      </c>
      <c r="E666" s="5">
        <v>97</v>
      </c>
      <c r="F666" s="5">
        <v>0.255</v>
      </c>
      <c r="G666" s="5">
        <f>StockTransactionsTable[[#This Row],[Shares No.]]*StockTransactionsTable[[#This Row],[Amount per Share]]</f>
        <v>24.734999999999999</v>
      </c>
      <c r="H666" s="5">
        <v>0</v>
      </c>
      <c r="I66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24.734999999999999</v>
      </c>
      <c r="J666" s="19">
        <f>StockTransactionsTable[[#This Row],[Fee]]/StockTransactionsTable[[#This Row],[Total Amount]]</f>
        <v>0</v>
      </c>
      <c r="K666" s="5">
        <f>IF(StockTransactionsTable[[#This Row],[Transaction Type]]="Buy", StockTransactionsTable[[#This Row],[Total Amount with Fee]] / StockTransactionsTable[[#This Row],[Shares No.]],0)</f>
        <v>0</v>
      </c>
      <c r="L66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66" s="4">
        <f>YEAR(StockTransactionsTable[[#This Row],[Date]])</f>
        <v>2023</v>
      </c>
      <c r="N666" s="4">
        <f>MONTH(StockTransactionsTable[[#This Row],[Date]])</f>
        <v>6</v>
      </c>
      <c r="R666" s="1"/>
      <c r="V666" s="33"/>
      <c r="W666" s="33"/>
    </row>
    <row r="667" spans="2:23">
      <c r="B667" s="3">
        <v>45093</v>
      </c>
      <c r="C667" s="6" t="s">
        <v>100</v>
      </c>
      <c r="D667" s="6" t="s">
        <v>30</v>
      </c>
      <c r="E667" s="5">
        <v>194</v>
      </c>
      <c r="F667" s="5">
        <v>1.0049999999999999</v>
      </c>
      <c r="G667" s="5">
        <f>StockTransactionsTable[[#This Row],[Shares No.]]*StockTransactionsTable[[#This Row],[Amount per Share]]</f>
        <v>194.96999999999997</v>
      </c>
      <c r="H667" s="5">
        <v>0</v>
      </c>
      <c r="I66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194.96999999999997</v>
      </c>
      <c r="J667" s="19">
        <f>StockTransactionsTable[[#This Row],[Fee]]/StockTransactionsTable[[#This Row],[Total Amount]]</f>
        <v>0</v>
      </c>
      <c r="K667" s="5">
        <f>IF(StockTransactionsTable[[#This Row],[Transaction Type]]="Buy", StockTransactionsTable[[#This Row],[Total Amount with Fee]] / StockTransactionsTable[[#This Row],[Shares No.]],0)</f>
        <v>0</v>
      </c>
      <c r="L66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67" s="4">
        <f>YEAR(StockTransactionsTable[[#This Row],[Date]])</f>
        <v>2023</v>
      </c>
      <c r="N667" s="4">
        <f>MONTH(StockTransactionsTable[[#This Row],[Date]])</f>
        <v>6</v>
      </c>
      <c r="R667" s="1"/>
      <c r="V667" s="33"/>
      <c r="W667" s="33"/>
    </row>
    <row r="668" spans="2:23">
      <c r="B668" s="3">
        <v>45097</v>
      </c>
      <c r="C668" s="6" t="s">
        <v>88</v>
      </c>
      <c r="D668" s="6" t="s">
        <v>30</v>
      </c>
      <c r="E668" s="5">
        <v>59</v>
      </c>
      <c r="F668" s="5">
        <v>1.52</v>
      </c>
      <c r="G668" s="5">
        <f>StockTransactionsTable[[#This Row],[Shares No.]]*StockTransactionsTable[[#This Row],[Amount per Share]]</f>
        <v>89.68</v>
      </c>
      <c r="H668" s="5">
        <v>0</v>
      </c>
      <c r="I66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89.68</v>
      </c>
      <c r="J668" s="19">
        <f>StockTransactionsTable[[#This Row],[Fee]]/StockTransactionsTable[[#This Row],[Total Amount]]</f>
        <v>0</v>
      </c>
      <c r="K668" s="5">
        <f>IF(StockTransactionsTable[[#This Row],[Transaction Type]]="Buy", StockTransactionsTable[[#This Row],[Total Amount with Fee]] / StockTransactionsTable[[#This Row],[Shares No.]],0)</f>
        <v>0</v>
      </c>
      <c r="L66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68" s="4">
        <f>YEAR(StockTransactionsTable[[#This Row],[Date]])</f>
        <v>2023</v>
      </c>
      <c r="N668" s="4">
        <f>MONTH(StockTransactionsTable[[#This Row],[Date]])</f>
        <v>6</v>
      </c>
      <c r="R668" s="1"/>
      <c r="V668" s="33"/>
      <c r="W668" s="33"/>
    </row>
    <row r="669" spans="2:23">
      <c r="B669" s="3">
        <v>45107</v>
      </c>
      <c r="C669" s="6" t="s">
        <v>18</v>
      </c>
      <c r="D669" s="6" t="s">
        <v>30</v>
      </c>
      <c r="E669" s="5">
        <v>43</v>
      </c>
      <c r="F669" s="5">
        <v>1.2649999999999999</v>
      </c>
      <c r="G669" s="5">
        <f>StockTransactionsTable[[#This Row],[Shares No.]]*StockTransactionsTable[[#This Row],[Amount per Share]]</f>
        <v>54.394999999999996</v>
      </c>
      <c r="H669" s="5">
        <v>0</v>
      </c>
      <c r="I66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54.394999999999996</v>
      </c>
      <c r="J669" s="19">
        <f>StockTransactionsTable[[#This Row],[Fee]]/StockTransactionsTable[[#This Row],[Total Amount]]</f>
        <v>0</v>
      </c>
      <c r="K669" s="5">
        <f>IF(StockTransactionsTable[[#This Row],[Transaction Type]]="Buy", StockTransactionsTable[[#This Row],[Total Amount with Fee]] / StockTransactionsTable[[#This Row],[Shares No.]],0)</f>
        <v>0</v>
      </c>
      <c r="L66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69" s="4">
        <f>YEAR(StockTransactionsTable[[#This Row],[Date]])</f>
        <v>2023</v>
      </c>
      <c r="N669" s="4">
        <f>MONTH(StockTransactionsTable[[#This Row],[Date]])</f>
        <v>6</v>
      </c>
      <c r="R669" s="1"/>
      <c r="V669" s="33"/>
      <c r="W669" s="33"/>
    </row>
    <row r="670" spans="2:23">
      <c r="B670" s="3">
        <v>45110</v>
      </c>
      <c r="C670" s="6" t="s">
        <v>23</v>
      </c>
      <c r="D670" s="6" t="s">
        <v>30</v>
      </c>
      <c r="E670" s="5">
        <v>85</v>
      </c>
      <c r="F670" s="5">
        <v>0.46</v>
      </c>
      <c r="G670" s="5">
        <f>StockTransactionsTable[[#This Row],[Shares No.]]*StockTransactionsTable[[#This Row],[Amount per Share]]</f>
        <v>39.1</v>
      </c>
      <c r="H670" s="5">
        <v>0</v>
      </c>
      <c r="I67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39.1</v>
      </c>
      <c r="J670" s="19">
        <f>StockTransactionsTable[[#This Row],[Fee]]/StockTransactionsTable[[#This Row],[Total Amount]]</f>
        <v>0</v>
      </c>
      <c r="K670" s="5">
        <f>IF(StockTransactionsTable[[#This Row],[Transaction Type]]="Buy", StockTransactionsTable[[#This Row],[Total Amount with Fee]] / StockTransactionsTable[[#This Row],[Shares No.]],0)</f>
        <v>0</v>
      </c>
      <c r="L67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70" s="4">
        <f>YEAR(StockTransactionsTable[[#This Row],[Date]])</f>
        <v>2023</v>
      </c>
      <c r="N670" s="4">
        <f>MONTH(StockTransactionsTable[[#This Row],[Date]])</f>
        <v>7</v>
      </c>
      <c r="R670" s="1"/>
      <c r="V670" s="33"/>
      <c r="W670" s="33"/>
    </row>
    <row r="671" spans="2:23">
      <c r="B671" s="3">
        <v>45121</v>
      </c>
      <c r="C671" s="6" t="s">
        <v>100</v>
      </c>
      <c r="D671" s="6" t="s">
        <v>29</v>
      </c>
      <c r="E671" s="5">
        <v>23</v>
      </c>
      <c r="F671" s="5" vm="522">
        <v>93.01</v>
      </c>
      <c r="G671" s="5">
        <f>StockTransactionsTable[[#This Row],[Shares No.]]*StockTransactionsTable[[#This Row],[Amount per Share]]</f>
        <v>2139.23</v>
      </c>
      <c r="H671" s="5">
        <v>1.0316820481208724</v>
      </c>
      <c r="I67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2140.2616820481207</v>
      </c>
      <c r="J671" s="19">
        <f>StockTransactionsTable[[#This Row],[Fee]]/StockTransactionsTable[[#This Row],[Total Amount]]</f>
        <v>4.8226794132509007E-4</v>
      </c>
      <c r="K671" s="5">
        <f>IF(StockTransactionsTable[[#This Row],[Transaction Type]]="Buy", StockTransactionsTable[[#This Row],[Total Amount with Fee]] / StockTransactionsTable[[#This Row],[Shares No.]],0)</f>
        <v>93.054855741222639</v>
      </c>
      <c r="L67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71" s="4">
        <f>YEAR(StockTransactionsTable[[#This Row],[Date]])</f>
        <v>2023</v>
      </c>
      <c r="N671" s="4">
        <f>MONTH(StockTransactionsTable[[#This Row],[Date]])</f>
        <v>7</v>
      </c>
      <c r="R671" s="1"/>
      <c r="V671" s="33"/>
      <c r="W671" s="33"/>
    </row>
    <row r="672" spans="2:23">
      <c r="B672" s="3">
        <v>45121</v>
      </c>
      <c r="C672" s="6" t="s">
        <v>12</v>
      </c>
      <c r="D672" s="6" t="s">
        <v>30</v>
      </c>
      <c r="E672" s="5">
        <v>97</v>
      </c>
      <c r="F672" s="5">
        <v>0.2555</v>
      </c>
      <c r="G672" s="5">
        <f>StockTransactionsTable[[#This Row],[Shares No.]]*StockTransactionsTable[[#This Row],[Amount per Share]]</f>
        <v>24.7835</v>
      </c>
      <c r="H672" s="5">
        <v>0</v>
      </c>
      <c r="I67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24.7835</v>
      </c>
      <c r="J672" s="19">
        <f>StockTransactionsTable[[#This Row],[Fee]]/StockTransactionsTable[[#This Row],[Total Amount]]</f>
        <v>0</v>
      </c>
      <c r="K672" s="5">
        <f>IF(StockTransactionsTable[[#This Row],[Transaction Type]]="Buy", StockTransactionsTable[[#This Row],[Total Amount with Fee]] / StockTransactionsTable[[#This Row],[Shares No.]],0)</f>
        <v>0</v>
      </c>
      <c r="L67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72" s="4">
        <f>YEAR(StockTransactionsTable[[#This Row],[Date]])</f>
        <v>2023</v>
      </c>
      <c r="N672" s="4">
        <f>MONTH(StockTransactionsTable[[#This Row],[Date]])</f>
        <v>7</v>
      </c>
      <c r="R672" s="1"/>
      <c r="V672" s="33"/>
      <c r="W672" s="33"/>
    </row>
    <row r="673" spans="2:23">
      <c r="B673" s="3">
        <v>45138</v>
      </c>
      <c r="C673" s="6" t="s">
        <v>20</v>
      </c>
      <c r="D673" s="6" t="s">
        <v>30</v>
      </c>
      <c r="E673" s="5">
        <v>116</v>
      </c>
      <c r="F673" s="5">
        <v>1</v>
      </c>
      <c r="G673" s="5">
        <f>StockTransactionsTable[[#This Row],[Shares No.]]*StockTransactionsTable[[#This Row],[Amount per Share]]</f>
        <v>116</v>
      </c>
      <c r="H673" s="5">
        <v>0</v>
      </c>
      <c r="I67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116</v>
      </c>
      <c r="J673" s="19">
        <f>StockTransactionsTable[[#This Row],[Fee]]/StockTransactionsTable[[#This Row],[Total Amount]]</f>
        <v>0</v>
      </c>
      <c r="K673" s="5">
        <f>IF(StockTransactionsTable[[#This Row],[Transaction Type]]="Buy", StockTransactionsTable[[#This Row],[Total Amount with Fee]] / StockTransactionsTable[[#This Row],[Shares No.]],0)</f>
        <v>0</v>
      </c>
      <c r="L67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73" s="4">
        <f>YEAR(StockTransactionsTable[[#This Row],[Date]])</f>
        <v>2023</v>
      </c>
      <c r="N673" s="4">
        <f>MONTH(StockTransactionsTable[[#This Row],[Date]])</f>
        <v>7</v>
      </c>
      <c r="R673" s="1"/>
      <c r="V673" s="33"/>
      <c r="W673" s="33"/>
    </row>
    <row r="674" spans="2:23">
      <c r="B674" s="3">
        <v>45139</v>
      </c>
      <c r="C674" s="6" t="s">
        <v>15</v>
      </c>
      <c r="D674" s="6" t="s">
        <v>30</v>
      </c>
      <c r="E674" s="5">
        <v>133</v>
      </c>
      <c r="F674" s="5">
        <v>0.27750000000000002</v>
      </c>
      <c r="G674" s="5">
        <f>StockTransactionsTable[[#This Row],[Shares No.]]*StockTransactionsTable[[#This Row],[Amount per Share]]</f>
        <v>36.907500000000006</v>
      </c>
      <c r="H674" s="5">
        <v>0</v>
      </c>
      <c r="I67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36.907500000000006</v>
      </c>
      <c r="J674" s="19">
        <f>StockTransactionsTable[[#This Row],[Fee]]/StockTransactionsTable[[#This Row],[Total Amount]]</f>
        <v>0</v>
      </c>
      <c r="K674" s="5">
        <f>IF(StockTransactionsTable[[#This Row],[Transaction Type]]="Buy", StockTransactionsTable[[#This Row],[Total Amount with Fee]] / StockTransactionsTable[[#This Row],[Shares No.]],0)</f>
        <v>0</v>
      </c>
      <c r="L67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74" s="4">
        <f>YEAR(StockTransactionsTable[[#This Row],[Date]])</f>
        <v>2023</v>
      </c>
      <c r="N674" s="4">
        <f>MONTH(StockTransactionsTable[[#This Row],[Date]])</f>
        <v>8</v>
      </c>
      <c r="R674" s="1"/>
      <c r="V674" s="33"/>
      <c r="W674" s="33"/>
    </row>
    <row r="675" spans="2:23">
      <c r="B675" s="3">
        <v>45142</v>
      </c>
      <c r="C675" s="6" t="s">
        <v>88</v>
      </c>
      <c r="D675" s="6" t="s">
        <v>29</v>
      </c>
      <c r="E675" s="5">
        <v>9</v>
      </c>
      <c r="F675" s="5" vm="523">
        <v>287.02</v>
      </c>
      <c r="G675" s="5">
        <f>StockTransactionsTable[[#This Row],[Shares No.]]*StockTransactionsTable[[#This Row],[Amount per Share]]</f>
        <v>2583.1799999999998</v>
      </c>
      <c r="H675" s="5">
        <v>1.2387321792072763</v>
      </c>
      <c r="I67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2584.4187321792069</v>
      </c>
      <c r="J675" s="19">
        <f>StockTransactionsTable[[#This Row],[Fee]]/StockTransactionsTable[[#This Row],[Total Amount]]</f>
        <v>4.7953769354333668E-4</v>
      </c>
      <c r="K675" s="5">
        <f>IF(StockTransactionsTable[[#This Row],[Transaction Type]]="Buy", StockTransactionsTable[[#This Row],[Total Amount with Fee]] / StockTransactionsTable[[#This Row],[Shares No.]],0)</f>
        <v>287.15763690880078</v>
      </c>
      <c r="L67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75" s="4">
        <f>YEAR(StockTransactionsTable[[#This Row],[Date]])</f>
        <v>2023</v>
      </c>
      <c r="N675" s="4">
        <f>MONTH(StockTransactionsTable[[#This Row],[Date]])</f>
        <v>8</v>
      </c>
      <c r="R675" s="1"/>
      <c r="V675" s="33"/>
      <c r="W675" s="33"/>
    </row>
    <row r="676" spans="2:23">
      <c r="B676" s="3">
        <v>45153</v>
      </c>
      <c r="C676" s="6" t="s">
        <v>86</v>
      </c>
      <c r="D676" s="6" t="s">
        <v>30</v>
      </c>
      <c r="E676" s="5">
        <v>114</v>
      </c>
      <c r="F676" s="5">
        <v>1.48</v>
      </c>
      <c r="G676" s="5">
        <f>StockTransactionsTable[[#This Row],[Shares No.]]*StockTransactionsTable[[#This Row],[Amount per Share]]</f>
        <v>168.72</v>
      </c>
      <c r="H676" s="5">
        <v>0</v>
      </c>
      <c r="I67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168.72</v>
      </c>
      <c r="J676" s="19">
        <f>StockTransactionsTable[[#This Row],[Fee]]/StockTransactionsTable[[#This Row],[Total Amount]]</f>
        <v>0</v>
      </c>
      <c r="K676" s="5">
        <f>IF(StockTransactionsTable[[#This Row],[Transaction Type]]="Buy", StockTransactionsTable[[#This Row],[Total Amount with Fee]] / StockTransactionsTable[[#This Row],[Shares No.]],0)</f>
        <v>0</v>
      </c>
      <c r="L67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76" s="4">
        <f>YEAR(StockTransactionsTable[[#This Row],[Date]])</f>
        <v>2023</v>
      </c>
      <c r="N676" s="4">
        <f>MONTH(StockTransactionsTable[[#This Row],[Date]])</f>
        <v>8</v>
      </c>
      <c r="R676" s="1"/>
      <c r="V676" s="33"/>
      <c r="W676" s="33"/>
    </row>
    <row r="677" spans="2:23">
      <c r="B677" s="3">
        <v>45153</v>
      </c>
      <c r="C677" s="6" t="s">
        <v>12</v>
      </c>
      <c r="D677" s="6" t="s">
        <v>30</v>
      </c>
      <c r="E677" s="5">
        <v>97</v>
      </c>
      <c r="F677" s="5">
        <v>0.2555</v>
      </c>
      <c r="G677" s="5">
        <f>StockTransactionsTable[[#This Row],[Shares No.]]*StockTransactionsTable[[#This Row],[Amount per Share]]</f>
        <v>24.7835</v>
      </c>
      <c r="H677" s="5">
        <v>0</v>
      </c>
      <c r="I67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24.7835</v>
      </c>
      <c r="J677" s="19">
        <f>StockTransactionsTable[[#This Row],[Fee]]/StockTransactionsTable[[#This Row],[Total Amount]]</f>
        <v>0</v>
      </c>
      <c r="K677" s="5">
        <f>IF(StockTransactionsTable[[#This Row],[Transaction Type]]="Buy", StockTransactionsTable[[#This Row],[Total Amount with Fee]] / StockTransactionsTable[[#This Row],[Shares No.]],0)</f>
        <v>0</v>
      </c>
      <c r="L67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77" s="4">
        <f>YEAR(StockTransactionsTable[[#This Row],[Date]])</f>
        <v>2023</v>
      </c>
      <c r="N677" s="4">
        <f>MONTH(StockTransactionsTable[[#This Row],[Date]])</f>
        <v>8</v>
      </c>
      <c r="R677" s="1"/>
      <c r="V677" s="33"/>
      <c r="W677" s="33"/>
    </row>
    <row r="678" spans="2:23">
      <c r="B678" s="3">
        <v>45153</v>
      </c>
      <c r="C678" s="6" t="s">
        <v>21</v>
      </c>
      <c r="D678" s="6" t="s">
        <v>30</v>
      </c>
      <c r="E678" s="5">
        <v>42</v>
      </c>
      <c r="F678" s="5">
        <v>0.94069999999999998</v>
      </c>
      <c r="G678" s="5">
        <f>StockTransactionsTable[[#This Row],[Shares No.]]*StockTransactionsTable[[#This Row],[Amount per Share]]</f>
        <v>39.509399999999999</v>
      </c>
      <c r="H678" s="5">
        <v>0</v>
      </c>
      <c r="I67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39.509399999999999</v>
      </c>
      <c r="J678" s="19">
        <f>StockTransactionsTable[[#This Row],[Fee]]/StockTransactionsTable[[#This Row],[Total Amount]]</f>
        <v>0</v>
      </c>
      <c r="K678" s="5">
        <f>IF(StockTransactionsTable[[#This Row],[Transaction Type]]="Buy", StockTransactionsTable[[#This Row],[Total Amount with Fee]] / StockTransactionsTable[[#This Row],[Shares No.]],0)</f>
        <v>0</v>
      </c>
      <c r="L67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78" s="4">
        <f>YEAR(StockTransactionsTable[[#This Row],[Date]])</f>
        <v>2023</v>
      </c>
      <c r="N678" s="4">
        <f>MONTH(StockTransactionsTable[[#This Row],[Date]])</f>
        <v>8</v>
      </c>
      <c r="R678" s="1"/>
      <c r="V678" s="33"/>
      <c r="W678" s="33"/>
    </row>
    <row r="679" spans="2:23">
      <c r="B679" s="3">
        <v>45156</v>
      </c>
      <c r="C679" s="6" t="s">
        <v>22</v>
      </c>
      <c r="D679" s="6" t="s">
        <v>30</v>
      </c>
      <c r="E679" s="5">
        <v>119</v>
      </c>
      <c r="F679" s="5">
        <v>1.3</v>
      </c>
      <c r="G679" s="5">
        <f>StockTransactionsTable[[#This Row],[Shares No.]]*StockTransactionsTable[[#This Row],[Amount per Share]]</f>
        <v>154.70000000000002</v>
      </c>
      <c r="H679" s="5">
        <v>0</v>
      </c>
      <c r="I67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154.70000000000002</v>
      </c>
      <c r="J679" s="19">
        <f>StockTransactionsTable[[#This Row],[Fee]]/StockTransactionsTable[[#This Row],[Total Amount]]</f>
        <v>0</v>
      </c>
      <c r="K679" s="5">
        <f>IF(StockTransactionsTable[[#This Row],[Transaction Type]]="Buy", StockTransactionsTable[[#This Row],[Total Amount with Fee]] / StockTransactionsTable[[#This Row],[Shares No.]],0)</f>
        <v>0</v>
      </c>
      <c r="L67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79" s="4">
        <f>YEAR(StockTransactionsTable[[#This Row],[Date]])</f>
        <v>2023</v>
      </c>
      <c r="N679" s="4">
        <f>MONTH(StockTransactionsTable[[#This Row],[Date]])</f>
        <v>8</v>
      </c>
      <c r="R679" s="1"/>
      <c r="V679" s="33"/>
      <c r="W679" s="33"/>
    </row>
    <row r="680" spans="2:23">
      <c r="B680" s="3">
        <v>45163</v>
      </c>
      <c r="C680" s="6" t="s">
        <v>19</v>
      </c>
      <c r="D680" s="6" t="s">
        <v>30</v>
      </c>
      <c r="E680" s="5">
        <v>57</v>
      </c>
      <c r="F680" s="5">
        <v>1.2</v>
      </c>
      <c r="G680" s="5">
        <f>StockTransactionsTable[[#This Row],[Shares No.]]*StockTransactionsTable[[#This Row],[Amount per Share]]</f>
        <v>68.399999999999991</v>
      </c>
      <c r="H680" s="5">
        <v>0</v>
      </c>
      <c r="I68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68.399999999999991</v>
      </c>
      <c r="J680" s="19">
        <f>StockTransactionsTable[[#This Row],[Fee]]/StockTransactionsTable[[#This Row],[Total Amount]]</f>
        <v>0</v>
      </c>
      <c r="K680" s="5">
        <f>IF(StockTransactionsTable[[#This Row],[Transaction Type]]="Buy", StockTransactionsTable[[#This Row],[Total Amount with Fee]] / StockTransactionsTable[[#This Row],[Shares No.]],0)</f>
        <v>0</v>
      </c>
      <c r="L68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80" s="4">
        <f>YEAR(StockTransactionsTable[[#This Row],[Date]])</f>
        <v>2023</v>
      </c>
      <c r="N680" s="4">
        <f>MONTH(StockTransactionsTable[[#This Row],[Date]])</f>
        <v>8</v>
      </c>
      <c r="R680" s="1"/>
      <c r="V680" s="33"/>
      <c r="W680" s="33"/>
    </row>
    <row r="681" spans="2:23">
      <c r="B681" s="3">
        <v>45174</v>
      </c>
      <c r="C681" s="6" t="s">
        <v>13</v>
      </c>
      <c r="D681" s="6" t="s">
        <v>30</v>
      </c>
      <c r="E681" s="5">
        <v>55</v>
      </c>
      <c r="F681" s="5">
        <v>0.41</v>
      </c>
      <c r="G681" s="5">
        <f>StockTransactionsTable[[#This Row],[Shares No.]]*StockTransactionsTable[[#This Row],[Amount per Share]]</f>
        <v>22.549999999999997</v>
      </c>
      <c r="H681" s="5">
        <v>0</v>
      </c>
      <c r="I68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22.549999999999997</v>
      </c>
      <c r="J681" s="19">
        <f>StockTransactionsTable[[#This Row],[Fee]]/StockTransactionsTable[[#This Row],[Total Amount]]</f>
        <v>0</v>
      </c>
      <c r="K681" s="5">
        <f>IF(StockTransactionsTable[[#This Row],[Transaction Type]]="Buy", StockTransactionsTable[[#This Row],[Total Amount with Fee]] / StockTransactionsTable[[#This Row],[Shares No.]],0)</f>
        <v>0</v>
      </c>
      <c r="L68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81" s="4">
        <f>YEAR(StockTransactionsTable[[#This Row],[Date]])</f>
        <v>2023</v>
      </c>
      <c r="N681" s="4">
        <f>MONTH(StockTransactionsTable[[#This Row],[Date]])</f>
        <v>9</v>
      </c>
      <c r="R681" s="1"/>
      <c r="V681" s="33"/>
      <c r="W681" s="33"/>
    </row>
    <row r="682" spans="2:23">
      <c r="B682" s="3">
        <v>45175</v>
      </c>
      <c r="C682" s="6" t="s">
        <v>86</v>
      </c>
      <c r="D682" s="6" t="s">
        <v>29</v>
      </c>
      <c r="E682" s="5">
        <v>6</v>
      </c>
      <c r="F682" s="5" vm="524">
        <v>145.61000000000001</v>
      </c>
      <c r="G682" s="5">
        <f>StockTransactionsTable[[#This Row],[Shares No.]]*StockTransactionsTable[[#This Row],[Amount per Share]]</f>
        <v>873.66000000000008</v>
      </c>
      <c r="H682" s="5">
        <v>0.36063568610273772</v>
      </c>
      <c r="I68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874.02063568610276</v>
      </c>
      <c r="J682" s="19">
        <f>StockTransactionsTable[[#This Row],[Fee]]/StockTransactionsTable[[#This Row],[Total Amount]]</f>
        <v>4.127872239804245E-4</v>
      </c>
      <c r="K682" s="5">
        <f>IF(StockTransactionsTable[[#This Row],[Transaction Type]]="Buy", StockTransactionsTable[[#This Row],[Total Amount with Fee]] / StockTransactionsTable[[#This Row],[Shares No.]],0)</f>
        <v>145.67010594768379</v>
      </c>
      <c r="L68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82" s="4">
        <f>YEAR(StockTransactionsTable[[#This Row],[Date]])</f>
        <v>2023</v>
      </c>
      <c r="N682" s="4">
        <f>MONTH(StockTransactionsTable[[#This Row],[Date]])</f>
        <v>9</v>
      </c>
      <c r="R682" s="1"/>
      <c r="V682" s="33"/>
      <c r="W682" s="33"/>
    </row>
    <row r="683" spans="2:23">
      <c r="B683" s="3">
        <v>45176</v>
      </c>
      <c r="C683" s="6" t="s">
        <v>84</v>
      </c>
      <c r="D683" s="6" t="s">
        <v>30</v>
      </c>
      <c r="E683" s="5">
        <v>51</v>
      </c>
      <c r="F683" s="5">
        <v>1.19</v>
      </c>
      <c r="G683" s="5">
        <f>StockTransactionsTable[[#This Row],[Shares No.]]*StockTransactionsTable[[#This Row],[Amount per Share]]</f>
        <v>60.69</v>
      </c>
      <c r="H683" s="5">
        <v>0</v>
      </c>
      <c r="I68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60.69</v>
      </c>
      <c r="J683" s="19">
        <f>StockTransactionsTable[[#This Row],[Fee]]/StockTransactionsTable[[#This Row],[Total Amount]]</f>
        <v>0</v>
      </c>
      <c r="K683" s="5">
        <f>IF(StockTransactionsTable[[#This Row],[Transaction Type]]="Buy", StockTransactionsTable[[#This Row],[Total Amount with Fee]] / StockTransactionsTable[[#This Row],[Shares No.]],0)</f>
        <v>0</v>
      </c>
      <c r="L68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83" s="4">
        <f>YEAR(StockTransactionsTable[[#This Row],[Date]])</f>
        <v>2023</v>
      </c>
      <c r="N683" s="4">
        <f>MONTH(StockTransactionsTable[[#This Row],[Date]])</f>
        <v>9</v>
      </c>
      <c r="R683" s="1"/>
      <c r="V683" s="33"/>
      <c r="W683" s="33"/>
    </row>
    <row r="684" spans="2:23">
      <c r="B684" s="3">
        <v>45178</v>
      </c>
      <c r="C684" s="6" t="s">
        <v>17</v>
      </c>
      <c r="D684" s="6" t="s">
        <v>30</v>
      </c>
      <c r="E684" s="5">
        <v>194</v>
      </c>
      <c r="F684" s="5">
        <v>1.66</v>
      </c>
      <c r="G684" s="5">
        <f>StockTransactionsTable[[#This Row],[Shares No.]]*StockTransactionsTable[[#This Row],[Amount per Share]]</f>
        <v>322.03999999999996</v>
      </c>
      <c r="H684" s="5">
        <v>0</v>
      </c>
      <c r="I68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322.03999999999996</v>
      </c>
      <c r="J684" s="19">
        <f>StockTransactionsTable[[#This Row],[Fee]]/StockTransactionsTable[[#This Row],[Total Amount]]</f>
        <v>0</v>
      </c>
      <c r="K684" s="5">
        <f>IF(StockTransactionsTable[[#This Row],[Transaction Type]]="Buy", StockTransactionsTable[[#This Row],[Total Amount with Fee]] / StockTransactionsTable[[#This Row],[Shares No.]],0)</f>
        <v>0</v>
      </c>
      <c r="L68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84" s="4">
        <f>YEAR(StockTransactionsTable[[#This Row],[Date]])</f>
        <v>2023</v>
      </c>
      <c r="N684" s="4">
        <f>MONTH(StockTransactionsTable[[#This Row],[Date]])</f>
        <v>9</v>
      </c>
      <c r="R684" s="1"/>
      <c r="V684" s="33"/>
      <c r="W684" s="33"/>
    </row>
    <row r="685" spans="2:23">
      <c r="B685" s="3">
        <v>45180</v>
      </c>
      <c r="C685" s="6" t="s">
        <v>16</v>
      </c>
      <c r="D685" s="6" t="s">
        <v>30</v>
      </c>
      <c r="E685" s="5">
        <v>185</v>
      </c>
      <c r="F685" s="5">
        <v>0.91</v>
      </c>
      <c r="G685" s="5">
        <f>StockTransactionsTable[[#This Row],[Shares No.]]*StockTransactionsTable[[#This Row],[Amount per Share]]</f>
        <v>168.35</v>
      </c>
      <c r="H685" s="5">
        <v>0</v>
      </c>
      <c r="I68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168.35</v>
      </c>
      <c r="J685" s="19">
        <f>StockTransactionsTable[[#This Row],[Fee]]/StockTransactionsTable[[#This Row],[Total Amount]]</f>
        <v>0</v>
      </c>
      <c r="K685" s="5">
        <f>IF(StockTransactionsTable[[#This Row],[Transaction Type]]="Buy", StockTransactionsTable[[#This Row],[Total Amount with Fee]] / StockTransactionsTable[[#This Row],[Shares No.]],0)</f>
        <v>0</v>
      </c>
      <c r="L68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85" s="4">
        <f>YEAR(StockTransactionsTable[[#This Row],[Date]])</f>
        <v>2023</v>
      </c>
      <c r="N685" s="4">
        <f>MONTH(StockTransactionsTable[[#This Row],[Date]])</f>
        <v>9</v>
      </c>
      <c r="R685" s="1"/>
      <c r="V685" s="33"/>
      <c r="W685" s="33"/>
    </row>
    <row r="686" spans="2:23">
      <c r="B686" s="3">
        <v>45181</v>
      </c>
      <c r="C686" s="6" t="s">
        <v>106</v>
      </c>
      <c r="D686" s="6" t="s">
        <v>30</v>
      </c>
      <c r="E686" s="5">
        <v>88</v>
      </c>
      <c r="F686" s="5">
        <v>0.65</v>
      </c>
      <c r="G686" s="5">
        <f>StockTransactionsTable[[#This Row],[Shares No.]]*StockTransactionsTable[[#This Row],[Amount per Share]]</f>
        <v>57.2</v>
      </c>
      <c r="H686" s="5">
        <v>0</v>
      </c>
      <c r="I68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57.2</v>
      </c>
      <c r="J686" s="19">
        <f>StockTransactionsTable[[#This Row],[Fee]]/StockTransactionsTable[[#This Row],[Total Amount]]</f>
        <v>0</v>
      </c>
      <c r="K686" s="5">
        <f>IF(StockTransactionsTable[[#This Row],[Transaction Type]]="Buy", StockTransactionsTable[[#This Row],[Total Amount with Fee]] / StockTransactionsTable[[#This Row],[Shares No.]],0)</f>
        <v>0</v>
      </c>
      <c r="L68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86" s="4">
        <f>YEAR(StockTransactionsTable[[#This Row],[Date]])</f>
        <v>2023</v>
      </c>
      <c r="N686" s="4">
        <f>MONTH(StockTransactionsTable[[#This Row],[Date]])</f>
        <v>9</v>
      </c>
      <c r="R686" s="1"/>
      <c r="V686" s="33"/>
      <c r="W686" s="33"/>
    </row>
    <row r="687" spans="2:23">
      <c r="B687" s="3">
        <v>45183</v>
      </c>
      <c r="C687" s="6" t="s">
        <v>95</v>
      </c>
      <c r="D687" s="6" t="s">
        <v>30</v>
      </c>
      <c r="E687" s="5">
        <v>143</v>
      </c>
      <c r="F687" s="5">
        <v>2.09</v>
      </c>
      <c r="G687" s="5">
        <f>StockTransactionsTable[[#This Row],[Shares No.]]*StockTransactionsTable[[#This Row],[Amount per Share]]</f>
        <v>298.87</v>
      </c>
      <c r="H687" s="5">
        <v>0</v>
      </c>
      <c r="I68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298.87</v>
      </c>
      <c r="J687" s="19">
        <f>StockTransactionsTable[[#This Row],[Fee]]/StockTransactionsTable[[#This Row],[Total Amount]]</f>
        <v>0</v>
      </c>
      <c r="K687" s="5">
        <f>IF(StockTransactionsTable[[#This Row],[Transaction Type]]="Buy", StockTransactionsTable[[#This Row],[Total Amount with Fee]] / StockTransactionsTable[[#This Row],[Shares No.]],0)</f>
        <v>0</v>
      </c>
      <c r="L68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87" s="4">
        <f>YEAR(StockTransactionsTable[[#This Row],[Date]])</f>
        <v>2023</v>
      </c>
      <c r="N687" s="4">
        <f>MONTH(StockTransactionsTable[[#This Row],[Date]])</f>
        <v>9</v>
      </c>
      <c r="R687" s="1"/>
      <c r="V687" s="33"/>
      <c r="W687" s="33"/>
    </row>
    <row r="688" spans="2:23">
      <c r="B688" s="3">
        <v>45183</v>
      </c>
      <c r="C688" s="6" t="s">
        <v>91</v>
      </c>
      <c r="D688" s="6" t="s">
        <v>30</v>
      </c>
      <c r="E688" s="5">
        <v>183</v>
      </c>
      <c r="F688" s="5">
        <v>0.68</v>
      </c>
      <c r="G688" s="5">
        <f>StockTransactionsTable[[#This Row],[Shares No.]]*StockTransactionsTable[[#This Row],[Amount per Share]]</f>
        <v>124.44000000000001</v>
      </c>
      <c r="H688" s="5">
        <v>0</v>
      </c>
      <c r="I68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124.44000000000001</v>
      </c>
      <c r="J688" s="19">
        <f>StockTransactionsTable[[#This Row],[Fee]]/StockTransactionsTable[[#This Row],[Total Amount]]</f>
        <v>0</v>
      </c>
      <c r="K688" s="5">
        <f>IF(StockTransactionsTable[[#This Row],[Transaction Type]]="Buy", StockTransactionsTable[[#This Row],[Total Amount with Fee]] / StockTransactionsTable[[#This Row],[Shares No.]],0)</f>
        <v>0</v>
      </c>
      <c r="L68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88" s="4">
        <f>YEAR(StockTransactionsTable[[#This Row],[Date]])</f>
        <v>2023</v>
      </c>
      <c r="N688" s="4">
        <f>MONTH(StockTransactionsTable[[#This Row],[Date]])</f>
        <v>9</v>
      </c>
      <c r="R688" s="1"/>
      <c r="V688" s="33"/>
      <c r="W688" s="33"/>
    </row>
    <row r="689" spans="2:23">
      <c r="B689" s="3">
        <v>45184</v>
      </c>
      <c r="C689" s="6" t="s">
        <v>14</v>
      </c>
      <c r="D689" s="6" t="s">
        <v>30</v>
      </c>
      <c r="E689" s="5">
        <v>28</v>
      </c>
      <c r="F689" s="5">
        <v>0.3891</v>
      </c>
      <c r="G689" s="5">
        <f>StockTransactionsTable[[#This Row],[Shares No.]]*StockTransactionsTable[[#This Row],[Amount per Share]]</f>
        <v>10.8948</v>
      </c>
      <c r="H689" s="5">
        <v>0</v>
      </c>
      <c r="I68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10.8948</v>
      </c>
      <c r="J689" s="19">
        <f>StockTransactionsTable[[#This Row],[Fee]]/StockTransactionsTable[[#This Row],[Total Amount]]</f>
        <v>0</v>
      </c>
      <c r="K689" s="5">
        <f>IF(StockTransactionsTable[[#This Row],[Transaction Type]]="Buy", StockTransactionsTable[[#This Row],[Total Amount with Fee]] / StockTransactionsTable[[#This Row],[Shares No.]],0)</f>
        <v>0</v>
      </c>
      <c r="L68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89" s="4">
        <f>YEAR(StockTransactionsTable[[#This Row],[Date]])</f>
        <v>2023</v>
      </c>
      <c r="N689" s="4">
        <f>MONTH(StockTransactionsTable[[#This Row],[Date]])</f>
        <v>9</v>
      </c>
      <c r="R689" s="1"/>
      <c r="V689" s="33"/>
      <c r="W689" s="33"/>
    </row>
    <row r="690" spans="2:23">
      <c r="B690" s="3">
        <v>45184</v>
      </c>
      <c r="C690" s="6" t="s">
        <v>98</v>
      </c>
      <c r="D690" s="6" t="s">
        <v>30</v>
      </c>
      <c r="E690" s="5">
        <v>338</v>
      </c>
      <c r="F690" s="5">
        <v>0.46750000000000003</v>
      </c>
      <c r="G690" s="5">
        <f>StockTransactionsTable[[#This Row],[Shares No.]]*StockTransactionsTable[[#This Row],[Amount per Share]]</f>
        <v>158.01500000000001</v>
      </c>
      <c r="H690" s="5">
        <v>0</v>
      </c>
      <c r="I69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158.01500000000001</v>
      </c>
      <c r="J690" s="19">
        <f>StockTransactionsTable[[#This Row],[Fee]]/StockTransactionsTable[[#This Row],[Total Amount]]</f>
        <v>0</v>
      </c>
      <c r="K690" s="5">
        <f>IF(StockTransactionsTable[[#This Row],[Transaction Type]]="Buy", StockTransactionsTable[[#This Row],[Total Amount with Fee]] / StockTransactionsTable[[#This Row],[Shares No.]],0)</f>
        <v>0</v>
      </c>
      <c r="L69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90" s="4">
        <f>YEAR(StockTransactionsTable[[#This Row],[Date]])</f>
        <v>2023</v>
      </c>
      <c r="N690" s="4">
        <f>MONTH(StockTransactionsTable[[#This Row],[Date]])</f>
        <v>9</v>
      </c>
      <c r="R690" s="1"/>
      <c r="V690" s="33"/>
      <c r="W690" s="33"/>
    </row>
    <row r="691" spans="2:23">
      <c r="B691" s="3">
        <v>45184</v>
      </c>
      <c r="C691" s="6" t="s">
        <v>12</v>
      </c>
      <c r="D691" s="6" t="s">
        <v>30</v>
      </c>
      <c r="E691" s="5">
        <v>97</v>
      </c>
      <c r="F691" s="5">
        <v>0.2555</v>
      </c>
      <c r="G691" s="5">
        <f>StockTransactionsTable[[#This Row],[Shares No.]]*StockTransactionsTable[[#This Row],[Amount per Share]]</f>
        <v>24.7835</v>
      </c>
      <c r="H691" s="5">
        <v>0</v>
      </c>
      <c r="I69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24.7835</v>
      </c>
      <c r="J691" s="19">
        <f>StockTransactionsTable[[#This Row],[Fee]]/StockTransactionsTable[[#This Row],[Total Amount]]</f>
        <v>0</v>
      </c>
      <c r="K691" s="5">
        <f>IF(StockTransactionsTable[[#This Row],[Transaction Type]]="Buy", StockTransactionsTable[[#This Row],[Total Amount with Fee]] / StockTransactionsTable[[#This Row],[Shares No.]],0)</f>
        <v>0</v>
      </c>
      <c r="L69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91" s="4">
        <f>YEAR(StockTransactionsTable[[#This Row],[Date]])</f>
        <v>2023</v>
      </c>
      <c r="N691" s="4">
        <f>MONTH(StockTransactionsTable[[#This Row],[Date]])</f>
        <v>9</v>
      </c>
      <c r="R691" s="1"/>
      <c r="V691" s="33"/>
      <c r="W691" s="33"/>
    </row>
    <row r="692" spans="2:23">
      <c r="B692" s="3">
        <v>45187</v>
      </c>
      <c r="C692" s="6" t="s">
        <v>100</v>
      </c>
      <c r="D692" s="6" t="s">
        <v>30</v>
      </c>
      <c r="E692" s="5">
        <v>217</v>
      </c>
      <c r="F692" s="5">
        <v>1.0249999999999999</v>
      </c>
      <c r="G692" s="5">
        <f>StockTransactionsTable[[#This Row],[Shares No.]]*StockTransactionsTable[[#This Row],[Amount per Share]]</f>
        <v>222.42499999999998</v>
      </c>
      <c r="H692" s="5">
        <v>0</v>
      </c>
      <c r="I69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222.42499999999998</v>
      </c>
      <c r="J692" s="19">
        <f>StockTransactionsTable[[#This Row],[Fee]]/StockTransactionsTable[[#This Row],[Total Amount]]</f>
        <v>0</v>
      </c>
      <c r="K692" s="5">
        <f>IF(StockTransactionsTable[[#This Row],[Transaction Type]]="Buy", StockTransactionsTable[[#This Row],[Total Amount with Fee]] / StockTransactionsTable[[#This Row],[Shares No.]],0)</f>
        <v>0</v>
      </c>
      <c r="L69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92" s="4">
        <f>YEAR(StockTransactionsTable[[#This Row],[Date]])</f>
        <v>2023</v>
      </c>
      <c r="N692" s="4">
        <f>MONTH(StockTransactionsTable[[#This Row],[Date]])</f>
        <v>9</v>
      </c>
      <c r="R692" s="1"/>
      <c r="V692" s="33"/>
      <c r="W692" s="33"/>
    </row>
    <row r="693" spans="2:23">
      <c r="B693" s="3">
        <v>45187</v>
      </c>
      <c r="C693" s="6" t="s">
        <v>88</v>
      </c>
      <c r="D693" s="6" t="s">
        <v>30</v>
      </c>
      <c r="E693" s="5">
        <v>68</v>
      </c>
      <c r="F693" s="5">
        <v>1.52</v>
      </c>
      <c r="G693" s="5">
        <f>StockTransactionsTable[[#This Row],[Shares No.]]*StockTransactionsTable[[#This Row],[Amount per Share]]</f>
        <v>103.36</v>
      </c>
      <c r="H693" s="5">
        <v>0</v>
      </c>
      <c r="I69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103.36</v>
      </c>
      <c r="J693" s="19">
        <f>StockTransactionsTable[[#This Row],[Fee]]/StockTransactionsTable[[#This Row],[Total Amount]]</f>
        <v>0</v>
      </c>
      <c r="K693" s="5">
        <f>IF(StockTransactionsTable[[#This Row],[Transaction Type]]="Buy", StockTransactionsTable[[#This Row],[Total Amount with Fee]] / StockTransactionsTable[[#This Row],[Shares No.]],0)</f>
        <v>0</v>
      </c>
      <c r="L69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93" s="4">
        <f>YEAR(StockTransactionsTable[[#This Row],[Date]])</f>
        <v>2023</v>
      </c>
      <c r="N693" s="4">
        <f>MONTH(StockTransactionsTable[[#This Row],[Date]])</f>
        <v>9</v>
      </c>
      <c r="R693" s="1"/>
      <c r="V693" s="33"/>
      <c r="W693" s="33"/>
    </row>
    <row r="694" spans="2:23">
      <c r="B694" s="3">
        <v>45198</v>
      </c>
      <c r="C694" s="6" t="s">
        <v>18</v>
      </c>
      <c r="D694" s="6" t="s">
        <v>30</v>
      </c>
      <c r="E694" s="5">
        <v>43</v>
      </c>
      <c r="F694" s="5">
        <v>1.2649999999999999</v>
      </c>
      <c r="G694" s="5">
        <f>StockTransactionsTable[[#This Row],[Shares No.]]*StockTransactionsTable[[#This Row],[Amount per Share]]</f>
        <v>54.394999999999996</v>
      </c>
      <c r="H694" s="5">
        <v>0</v>
      </c>
      <c r="I69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54.394999999999996</v>
      </c>
      <c r="J694" s="19">
        <f>StockTransactionsTable[[#This Row],[Fee]]/StockTransactionsTable[[#This Row],[Total Amount]]</f>
        <v>0</v>
      </c>
      <c r="K694" s="5">
        <f>IF(StockTransactionsTable[[#This Row],[Transaction Type]]="Buy", StockTransactionsTable[[#This Row],[Total Amount with Fee]] / StockTransactionsTable[[#This Row],[Shares No.]],0)</f>
        <v>0</v>
      </c>
      <c r="L69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94" s="4">
        <f>YEAR(StockTransactionsTable[[#This Row],[Date]])</f>
        <v>2023</v>
      </c>
      <c r="N694" s="4">
        <f>MONTH(StockTransactionsTable[[#This Row],[Date]])</f>
        <v>9</v>
      </c>
      <c r="R694" s="1"/>
      <c r="V694" s="33"/>
      <c r="W694" s="33"/>
    </row>
    <row r="695" spans="2:23">
      <c r="B695" s="3">
        <v>45201</v>
      </c>
      <c r="C695" s="6" t="s">
        <v>23</v>
      </c>
      <c r="D695" s="6" t="s">
        <v>30</v>
      </c>
      <c r="E695" s="5">
        <v>85</v>
      </c>
      <c r="F695" s="5">
        <v>0.46</v>
      </c>
      <c r="G695" s="5">
        <f>StockTransactionsTable[[#This Row],[Shares No.]]*StockTransactionsTable[[#This Row],[Amount per Share]]</f>
        <v>39.1</v>
      </c>
      <c r="H695" s="5">
        <v>0</v>
      </c>
      <c r="I69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39.1</v>
      </c>
      <c r="J695" s="19">
        <f>StockTransactionsTable[[#This Row],[Fee]]/StockTransactionsTable[[#This Row],[Total Amount]]</f>
        <v>0</v>
      </c>
      <c r="K695" s="5">
        <f>IF(StockTransactionsTable[[#This Row],[Transaction Type]]="Buy", StockTransactionsTable[[#This Row],[Total Amount with Fee]] / StockTransactionsTable[[#This Row],[Shares No.]],0)</f>
        <v>0</v>
      </c>
      <c r="L69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95" s="4">
        <f>YEAR(StockTransactionsTable[[#This Row],[Date]])</f>
        <v>2023</v>
      </c>
      <c r="N695" s="4">
        <f>MONTH(StockTransactionsTable[[#This Row],[Date]])</f>
        <v>10</v>
      </c>
      <c r="R695" s="1"/>
      <c r="V695" s="33"/>
      <c r="W695" s="33"/>
    </row>
    <row r="696" spans="2:23">
      <c r="B696" s="3">
        <v>45212</v>
      </c>
      <c r="C696" s="6" t="s">
        <v>12</v>
      </c>
      <c r="D696" s="6" t="s">
        <v>30</v>
      </c>
      <c r="E696" s="5">
        <v>97</v>
      </c>
      <c r="F696" s="5">
        <v>0.25600000000000001</v>
      </c>
      <c r="G696" s="5">
        <f>StockTransactionsTable[[#This Row],[Shares No.]]*StockTransactionsTable[[#This Row],[Amount per Share]]</f>
        <v>24.832000000000001</v>
      </c>
      <c r="H696" s="5">
        <v>0</v>
      </c>
      <c r="I69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24.832000000000001</v>
      </c>
      <c r="J696" s="19">
        <f>StockTransactionsTable[[#This Row],[Fee]]/StockTransactionsTable[[#This Row],[Total Amount]]</f>
        <v>0</v>
      </c>
      <c r="K696" s="5">
        <f>IF(StockTransactionsTable[[#This Row],[Transaction Type]]="Buy", StockTransactionsTable[[#This Row],[Total Amount with Fee]] / StockTransactionsTable[[#This Row],[Shares No.]],0)</f>
        <v>0</v>
      </c>
      <c r="L69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96" s="4">
        <f>YEAR(StockTransactionsTable[[#This Row],[Date]])</f>
        <v>2023</v>
      </c>
      <c r="N696" s="4">
        <f>MONTH(StockTransactionsTable[[#This Row],[Date]])</f>
        <v>10</v>
      </c>
      <c r="R696" s="1"/>
      <c r="V696" s="33"/>
      <c r="W696" s="33"/>
    </row>
    <row r="697" spans="2:23">
      <c r="B697" s="3">
        <v>45216</v>
      </c>
      <c r="C697" s="6" t="s">
        <v>23</v>
      </c>
      <c r="D697" s="6" t="s">
        <v>29</v>
      </c>
      <c r="E697" s="5">
        <v>32</v>
      </c>
      <c r="F697" s="5" vm="525">
        <v>54.07</v>
      </c>
      <c r="G697" s="5">
        <f>StockTransactionsTable[[#This Row],[Shares No.]]*StockTransactionsTable[[#This Row],[Amount per Share]]</f>
        <v>1730.24</v>
      </c>
      <c r="H697" s="5">
        <v>0.75878981275371504</v>
      </c>
      <c r="I69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1730.9987898127538</v>
      </c>
      <c r="J697" s="19">
        <f>StockTransactionsTable[[#This Row],[Fee]]/StockTransactionsTable[[#This Row],[Total Amount]]</f>
        <v>4.3854598943135926E-4</v>
      </c>
      <c r="K697" s="5">
        <f>IF(StockTransactionsTable[[#This Row],[Transaction Type]]="Buy", StockTransactionsTable[[#This Row],[Total Amount with Fee]] / StockTransactionsTable[[#This Row],[Shares No.]],0)</f>
        <v>54.093712181648556</v>
      </c>
      <c r="L69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97" s="4">
        <f>YEAR(StockTransactionsTable[[#This Row],[Date]])</f>
        <v>2023</v>
      </c>
      <c r="N697" s="4">
        <f>MONTH(StockTransactionsTable[[#This Row],[Date]])</f>
        <v>10</v>
      </c>
      <c r="R697" s="1"/>
      <c r="V697" s="33"/>
      <c r="W697" s="33"/>
    </row>
    <row r="698" spans="2:23">
      <c r="B698" s="3">
        <v>45230</v>
      </c>
      <c r="C698" s="6" t="s">
        <v>20</v>
      </c>
      <c r="D698" s="6" t="s">
        <v>30</v>
      </c>
      <c r="E698" s="5">
        <v>116</v>
      </c>
      <c r="F698" s="5">
        <v>1.05</v>
      </c>
      <c r="G698" s="5">
        <f>StockTransactionsTable[[#This Row],[Shares No.]]*StockTransactionsTable[[#This Row],[Amount per Share]]</f>
        <v>121.80000000000001</v>
      </c>
      <c r="H698" s="5">
        <v>0</v>
      </c>
      <c r="I69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121.80000000000001</v>
      </c>
      <c r="J698" s="19">
        <f>StockTransactionsTable[[#This Row],[Fee]]/StockTransactionsTable[[#This Row],[Total Amount]]</f>
        <v>0</v>
      </c>
      <c r="K698" s="5">
        <f>IF(StockTransactionsTable[[#This Row],[Transaction Type]]="Buy", StockTransactionsTable[[#This Row],[Total Amount with Fee]] / StockTransactionsTable[[#This Row],[Shares No.]],0)</f>
        <v>0</v>
      </c>
      <c r="L69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98" s="4">
        <f>YEAR(StockTransactionsTable[[#This Row],[Date]])</f>
        <v>2023</v>
      </c>
      <c r="N698" s="4">
        <f>MONTH(StockTransactionsTable[[#This Row],[Date]])</f>
        <v>10</v>
      </c>
      <c r="R698" s="1"/>
      <c r="V698" s="33"/>
      <c r="W698" s="33"/>
    </row>
    <row r="699" spans="2:23">
      <c r="B699" s="3">
        <v>45231</v>
      </c>
      <c r="C699" s="6" t="s">
        <v>15</v>
      </c>
      <c r="D699" s="6" t="s">
        <v>30</v>
      </c>
      <c r="E699" s="5">
        <v>133</v>
      </c>
      <c r="F699" s="5">
        <v>0.27750000000000002</v>
      </c>
      <c r="G699" s="5">
        <f>StockTransactionsTable[[#This Row],[Shares No.]]*StockTransactionsTable[[#This Row],[Amount per Share]]</f>
        <v>36.907500000000006</v>
      </c>
      <c r="H699" s="5">
        <v>0</v>
      </c>
      <c r="I69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36.907500000000006</v>
      </c>
      <c r="J699" s="19">
        <f>StockTransactionsTable[[#This Row],[Fee]]/StockTransactionsTable[[#This Row],[Total Amount]]</f>
        <v>0</v>
      </c>
      <c r="K699" s="5">
        <f>IF(StockTransactionsTable[[#This Row],[Transaction Type]]="Buy", StockTransactionsTable[[#This Row],[Total Amount with Fee]] / StockTransactionsTable[[#This Row],[Shares No.]],0)</f>
        <v>0</v>
      </c>
      <c r="L69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699" s="4">
        <f>YEAR(StockTransactionsTable[[#This Row],[Date]])</f>
        <v>2023</v>
      </c>
      <c r="N699" s="4">
        <f>MONTH(StockTransactionsTable[[#This Row],[Date]])</f>
        <v>11</v>
      </c>
      <c r="R699" s="1"/>
      <c r="V699" s="33"/>
      <c r="W699" s="33"/>
    </row>
    <row r="700" spans="2:23">
      <c r="B700" s="3">
        <v>45239</v>
      </c>
      <c r="C700" s="6" t="s">
        <v>19</v>
      </c>
      <c r="D700" s="6" t="s">
        <v>30</v>
      </c>
      <c r="E700" s="5">
        <v>57</v>
      </c>
      <c r="F700" s="5">
        <v>1.2</v>
      </c>
      <c r="G700" s="5">
        <f>StockTransactionsTable[[#This Row],[Shares No.]]*StockTransactionsTable[[#This Row],[Amount per Share]]</f>
        <v>68.399999999999991</v>
      </c>
      <c r="H700" s="5">
        <v>0</v>
      </c>
      <c r="I70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68.399999999999991</v>
      </c>
      <c r="J700" s="19">
        <f>StockTransactionsTable[[#This Row],[Fee]]/StockTransactionsTable[[#This Row],[Total Amount]]</f>
        <v>0</v>
      </c>
      <c r="K700" s="5">
        <f>IF(StockTransactionsTable[[#This Row],[Transaction Type]]="Buy", StockTransactionsTable[[#This Row],[Total Amount with Fee]] / StockTransactionsTable[[#This Row],[Shares No.]],0)</f>
        <v>0</v>
      </c>
      <c r="L70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00" s="4">
        <f>YEAR(StockTransactionsTable[[#This Row],[Date]])</f>
        <v>2023</v>
      </c>
      <c r="N700" s="4">
        <f>MONTH(StockTransactionsTable[[#This Row],[Date]])</f>
        <v>11</v>
      </c>
      <c r="R700" s="1"/>
      <c r="V700" s="33"/>
      <c r="W700" s="33"/>
    </row>
    <row r="701" spans="2:23">
      <c r="B701" s="3">
        <v>45245</v>
      </c>
      <c r="C701" s="6" t="s">
        <v>86</v>
      </c>
      <c r="D701" s="6" t="s">
        <v>30</v>
      </c>
      <c r="E701" s="5">
        <v>120</v>
      </c>
      <c r="F701" s="5">
        <v>1.48</v>
      </c>
      <c r="G701" s="5">
        <f>StockTransactionsTable[[#This Row],[Shares No.]]*StockTransactionsTable[[#This Row],[Amount per Share]]</f>
        <v>177.6</v>
      </c>
      <c r="H701" s="5">
        <v>0</v>
      </c>
      <c r="I70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177.6</v>
      </c>
      <c r="J701" s="19">
        <f>StockTransactionsTable[[#This Row],[Fee]]/StockTransactionsTable[[#This Row],[Total Amount]]</f>
        <v>0</v>
      </c>
      <c r="K701" s="5">
        <f>IF(StockTransactionsTable[[#This Row],[Transaction Type]]="Buy", StockTransactionsTable[[#This Row],[Total Amount with Fee]] / StockTransactionsTable[[#This Row],[Shares No.]],0)</f>
        <v>0</v>
      </c>
      <c r="L70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01" s="4">
        <f>YEAR(StockTransactionsTable[[#This Row],[Date]])</f>
        <v>2023</v>
      </c>
      <c r="N701" s="4">
        <f>MONTH(StockTransactionsTable[[#This Row],[Date]])</f>
        <v>11</v>
      </c>
      <c r="R701" s="1"/>
      <c r="V701" s="33"/>
      <c r="W701" s="33"/>
    </row>
    <row r="702" spans="2:23">
      <c r="B702" s="3">
        <v>45245</v>
      </c>
      <c r="C702" s="6" t="s">
        <v>12</v>
      </c>
      <c r="D702" s="6" t="s">
        <v>30</v>
      </c>
      <c r="E702" s="5">
        <v>97</v>
      </c>
      <c r="F702" s="5">
        <v>0.25600000000000001</v>
      </c>
      <c r="G702" s="5">
        <f>StockTransactionsTable[[#This Row],[Shares No.]]*StockTransactionsTable[[#This Row],[Amount per Share]]</f>
        <v>24.832000000000001</v>
      </c>
      <c r="H702" s="5">
        <v>0</v>
      </c>
      <c r="I70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24.832000000000001</v>
      </c>
      <c r="J702" s="19">
        <f>StockTransactionsTable[[#This Row],[Fee]]/StockTransactionsTable[[#This Row],[Total Amount]]</f>
        <v>0</v>
      </c>
      <c r="K702" s="5">
        <f>IF(StockTransactionsTable[[#This Row],[Transaction Type]]="Buy", StockTransactionsTable[[#This Row],[Total Amount with Fee]] / StockTransactionsTable[[#This Row],[Shares No.]],0)</f>
        <v>0</v>
      </c>
      <c r="L70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02" s="4">
        <f>YEAR(StockTransactionsTable[[#This Row],[Date]])</f>
        <v>2023</v>
      </c>
      <c r="N702" s="4">
        <f>MONTH(StockTransactionsTable[[#This Row],[Date]])</f>
        <v>11</v>
      </c>
      <c r="R702" s="1"/>
      <c r="V702" s="33"/>
      <c r="W702" s="33"/>
    </row>
    <row r="703" spans="2:23">
      <c r="B703" s="3">
        <v>45245</v>
      </c>
      <c r="C703" s="6" t="s">
        <v>21</v>
      </c>
      <c r="D703" s="6" t="s">
        <v>30</v>
      </c>
      <c r="E703" s="5">
        <v>42</v>
      </c>
      <c r="F703" s="5">
        <v>0.94069999999999998</v>
      </c>
      <c r="G703" s="5">
        <f>StockTransactionsTable[[#This Row],[Shares No.]]*StockTransactionsTable[[#This Row],[Amount per Share]]</f>
        <v>39.509399999999999</v>
      </c>
      <c r="H703" s="5">
        <v>0</v>
      </c>
      <c r="I70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39.509399999999999</v>
      </c>
      <c r="J703" s="19">
        <f>StockTransactionsTable[[#This Row],[Fee]]/StockTransactionsTable[[#This Row],[Total Amount]]</f>
        <v>0</v>
      </c>
      <c r="K703" s="5">
        <f>IF(StockTransactionsTable[[#This Row],[Transaction Type]]="Buy", StockTransactionsTable[[#This Row],[Total Amount with Fee]] / StockTransactionsTable[[#This Row],[Shares No.]],0)</f>
        <v>0</v>
      </c>
      <c r="L70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03" s="4">
        <f>YEAR(StockTransactionsTable[[#This Row],[Date]])</f>
        <v>2023</v>
      </c>
      <c r="N703" s="4">
        <f>MONTH(StockTransactionsTable[[#This Row],[Date]])</f>
        <v>11</v>
      </c>
      <c r="R703" s="1"/>
      <c r="V703" s="33"/>
      <c r="W703" s="33"/>
    </row>
    <row r="704" spans="2:23">
      <c r="B704" s="3">
        <v>45250</v>
      </c>
      <c r="C704" s="6" t="s">
        <v>22</v>
      </c>
      <c r="D704" s="6" t="s">
        <v>30</v>
      </c>
      <c r="E704" s="5">
        <v>119</v>
      </c>
      <c r="F704" s="5">
        <v>1.3</v>
      </c>
      <c r="G704" s="5">
        <f>StockTransactionsTable[[#This Row],[Shares No.]]*StockTransactionsTable[[#This Row],[Amount per Share]]</f>
        <v>154.70000000000002</v>
      </c>
      <c r="H704" s="5">
        <v>0</v>
      </c>
      <c r="I70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154.70000000000002</v>
      </c>
      <c r="J704" s="19">
        <f>StockTransactionsTable[[#This Row],[Fee]]/StockTransactionsTable[[#This Row],[Total Amount]]</f>
        <v>0</v>
      </c>
      <c r="K704" s="5">
        <f>IF(StockTransactionsTable[[#This Row],[Transaction Type]]="Buy", StockTransactionsTable[[#This Row],[Total Amount with Fee]] / StockTransactionsTable[[#This Row],[Shares No.]],0)</f>
        <v>0</v>
      </c>
      <c r="L70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04" s="4">
        <f>YEAR(StockTransactionsTable[[#This Row],[Date]])</f>
        <v>2023</v>
      </c>
      <c r="N704" s="4">
        <f>MONTH(StockTransactionsTable[[#This Row],[Date]])</f>
        <v>11</v>
      </c>
      <c r="R704" s="1"/>
      <c r="V704" s="33"/>
      <c r="W704" s="33"/>
    </row>
    <row r="705" spans="2:23">
      <c r="B705" s="3">
        <v>45252</v>
      </c>
      <c r="C705" s="6" t="s">
        <v>14</v>
      </c>
      <c r="D705" s="6" t="s">
        <v>29</v>
      </c>
      <c r="E705" s="5">
        <v>35</v>
      </c>
      <c r="F705" s="5" vm="526">
        <v>23</v>
      </c>
      <c r="G705" s="5">
        <f>StockTransactionsTable[[#This Row],[Shares No.]]*StockTransactionsTable[[#This Row],[Amount per Share]]</f>
        <v>805</v>
      </c>
      <c r="H705" s="5">
        <v>0.3751030490009184</v>
      </c>
      <c r="I70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805.37510304900093</v>
      </c>
      <c r="J705" s="19">
        <f>StockTransactionsTable[[#This Row],[Fee]]/StockTransactionsTable[[#This Row],[Total Amount]]</f>
        <v>4.659665204980353E-4</v>
      </c>
      <c r="K705" s="5">
        <f>IF(StockTransactionsTable[[#This Row],[Transaction Type]]="Buy", StockTransactionsTable[[#This Row],[Total Amount with Fee]] / StockTransactionsTable[[#This Row],[Shares No.]],0)</f>
        <v>23.010717229971455</v>
      </c>
      <c r="L70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05" s="4">
        <f>YEAR(StockTransactionsTable[[#This Row],[Date]])</f>
        <v>2023</v>
      </c>
      <c r="N705" s="4">
        <f>MONTH(StockTransactionsTable[[#This Row],[Date]])</f>
        <v>11</v>
      </c>
      <c r="R705" s="1"/>
      <c r="V705" s="33"/>
      <c r="W705" s="33"/>
    </row>
    <row r="706" spans="2:23">
      <c r="B706" s="3">
        <v>45264</v>
      </c>
      <c r="C706" s="6" t="s">
        <v>13</v>
      </c>
      <c r="D706" s="6" t="s">
        <v>30</v>
      </c>
      <c r="E706" s="5">
        <v>55</v>
      </c>
      <c r="F706" s="5">
        <v>0.41</v>
      </c>
      <c r="G706" s="5">
        <f>StockTransactionsTable[[#This Row],[Shares No.]]*StockTransactionsTable[[#This Row],[Amount per Share]]</f>
        <v>22.549999999999997</v>
      </c>
      <c r="H706" s="5">
        <v>0</v>
      </c>
      <c r="I70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22.549999999999997</v>
      </c>
      <c r="J706" s="19">
        <f>StockTransactionsTable[[#This Row],[Fee]]/StockTransactionsTable[[#This Row],[Total Amount]]</f>
        <v>0</v>
      </c>
      <c r="K706" s="5">
        <f>IF(StockTransactionsTable[[#This Row],[Transaction Type]]="Buy", StockTransactionsTable[[#This Row],[Total Amount with Fee]] / StockTransactionsTable[[#This Row],[Shares No.]],0)</f>
        <v>0</v>
      </c>
      <c r="L70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06" s="4">
        <f>YEAR(StockTransactionsTable[[#This Row],[Date]])</f>
        <v>2023</v>
      </c>
      <c r="N706" s="4">
        <f>MONTH(StockTransactionsTable[[#This Row],[Date]])</f>
        <v>12</v>
      </c>
      <c r="R706" s="1"/>
      <c r="V706" s="33"/>
      <c r="W706" s="33"/>
    </row>
    <row r="707" spans="2:23">
      <c r="B707" s="3">
        <v>45265</v>
      </c>
      <c r="C707" s="6" t="s">
        <v>84</v>
      </c>
      <c r="D707" s="6" t="s">
        <v>30</v>
      </c>
      <c r="E707" s="5">
        <v>51</v>
      </c>
      <c r="F707" s="5">
        <v>1.19</v>
      </c>
      <c r="G707" s="5">
        <f>StockTransactionsTable[[#This Row],[Shares No.]]*StockTransactionsTable[[#This Row],[Amount per Share]]</f>
        <v>60.69</v>
      </c>
      <c r="H707" s="5">
        <v>0</v>
      </c>
      <c r="I70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60.69</v>
      </c>
      <c r="J707" s="19">
        <f>StockTransactionsTable[[#This Row],[Fee]]/StockTransactionsTable[[#This Row],[Total Amount]]</f>
        <v>0</v>
      </c>
      <c r="K707" s="5">
        <f>IF(StockTransactionsTable[[#This Row],[Transaction Type]]="Buy", StockTransactionsTable[[#This Row],[Total Amount with Fee]] / StockTransactionsTable[[#This Row],[Shares No.]],0)</f>
        <v>0</v>
      </c>
      <c r="L70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07" s="4">
        <f>YEAR(StockTransactionsTable[[#This Row],[Date]])</f>
        <v>2023</v>
      </c>
      <c r="N707" s="4">
        <f>MONTH(StockTransactionsTable[[#This Row],[Date]])</f>
        <v>12</v>
      </c>
      <c r="R707" s="1"/>
      <c r="V707" s="33"/>
      <c r="W707" s="33"/>
    </row>
    <row r="708" spans="2:23">
      <c r="B708" s="3">
        <v>45269</v>
      </c>
      <c r="C708" s="6" t="s">
        <v>17</v>
      </c>
      <c r="D708" s="6" t="s">
        <v>30</v>
      </c>
      <c r="E708" s="5">
        <v>194</v>
      </c>
      <c r="F708" s="5">
        <v>1.66</v>
      </c>
      <c r="G708" s="5">
        <f>StockTransactionsTable[[#This Row],[Shares No.]]*StockTransactionsTable[[#This Row],[Amount per Share]]</f>
        <v>322.03999999999996</v>
      </c>
      <c r="H708" s="5">
        <v>0</v>
      </c>
      <c r="I70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322.03999999999996</v>
      </c>
      <c r="J708" s="19">
        <f>StockTransactionsTable[[#This Row],[Fee]]/StockTransactionsTable[[#This Row],[Total Amount]]</f>
        <v>0</v>
      </c>
      <c r="K708" s="5">
        <f>IF(StockTransactionsTable[[#This Row],[Transaction Type]]="Buy", StockTransactionsTable[[#This Row],[Total Amount with Fee]] / StockTransactionsTable[[#This Row],[Shares No.]],0)</f>
        <v>0</v>
      </c>
      <c r="L70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08" s="4">
        <f>YEAR(StockTransactionsTable[[#This Row],[Date]])</f>
        <v>2023</v>
      </c>
      <c r="N708" s="4">
        <f>MONTH(StockTransactionsTable[[#This Row],[Date]])</f>
        <v>12</v>
      </c>
      <c r="R708" s="1"/>
      <c r="V708" s="33"/>
      <c r="W708" s="33"/>
    </row>
    <row r="709" spans="2:23">
      <c r="B709" s="3">
        <v>45271</v>
      </c>
      <c r="C709" s="6" t="s">
        <v>16</v>
      </c>
      <c r="D709" s="6" t="s">
        <v>30</v>
      </c>
      <c r="E709" s="5">
        <v>185</v>
      </c>
      <c r="F709" s="5">
        <v>0.95</v>
      </c>
      <c r="G709" s="5">
        <f>StockTransactionsTable[[#This Row],[Shares No.]]*StockTransactionsTable[[#This Row],[Amount per Share]]</f>
        <v>175.75</v>
      </c>
      <c r="H709" s="5">
        <v>0</v>
      </c>
      <c r="I70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175.75</v>
      </c>
      <c r="J709" s="19">
        <f>StockTransactionsTable[[#This Row],[Fee]]/StockTransactionsTable[[#This Row],[Total Amount]]</f>
        <v>0</v>
      </c>
      <c r="K709" s="5">
        <f>IF(StockTransactionsTable[[#This Row],[Transaction Type]]="Buy", StockTransactionsTable[[#This Row],[Total Amount with Fee]] / StockTransactionsTable[[#This Row],[Shares No.]],0)</f>
        <v>0</v>
      </c>
      <c r="L70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09" s="4">
        <f>YEAR(StockTransactionsTable[[#This Row],[Date]])</f>
        <v>2023</v>
      </c>
      <c r="N709" s="4">
        <f>MONTH(StockTransactionsTable[[#This Row],[Date]])</f>
        <v>12</v>
      </c>
      <c r="R709" s="1"/>
      <c r="V709" s="33"/>
      <c r="W709" s="33"/>
    </row>
    <row r="710" spans="2:23">
      <c r="B710" s="3">
        <v>45272</v>
      </c>
      <c r="C710" s="6" t="s">
        <v>106</v>
      </c>
      <c r="D710" s="6" t="s">
        <v>30</v>
      </c>
      <c r="E710" s="5">
        <v>88</v>
      </c>
      <c r="F710" s="5">
        <v>0.65</v>
      </c>
      <c r="G710" s="5">
        <f>StockTransactionsTable[[#This Row],[Shares No.]]*StockTransactionsTable[[#This Row],[Amount per Share]]</f>
        <v>57.2</v>
      </c>
      <c r="H710" s="5">
        <v>0</v>
      </c>
      <c r="I71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57.2</v>
      </c>
      <c r="J710" s="19">
        <f>StockTransactionsTable[[#This Row],[Fee]]/StockTransactionsTable[[#This Row],[Total Amount]]</f>
        <v>0</v>
      </c>
      <c r="K710" s="5">
        <f>IF(StockTransactionsTable[[#This Row],[Transaction Type]]="Buy", StockTransactionsTable[[#This Row],[Total Amount with Fee]] / StockTransactionsTable[[#This Row],[Shares No.]],0)</f>
        <v>0</v>
      </c>
      <c r="L71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10" s="4">
        <f>YEAR(StockTransactionsTable[[#This Row],[Date]])</f>
        <v>2023</v>
      </c>
      <c r="N710" s="4">
        <f>MONTH(StockTransactionsTable[[#This Row],[Date]])</f>
        <v>12</v>
      </c>
      <c r="R710" s="1"/>
      <c r="V710" s="33"/>
      <c r="W710" s="33"/>
    </row>
    <row r="711" spans="2:23">
      <c r="B711" s="3">
        <v>45274</v>
      </c>
      <c r="C711" s="6" t="s">
        <v>95</v>
      </c>
      <c r="D711" s="6" t="s">
        <v>30</v>
      </c>
      <c r="E711" s="5">
        <v>143</v>
      </c>
      <c r="F711" s="5">
        <v>2.09</v>
      </c>
      <c r="G711" s="5">
        <f>StockTransactionsTable[[#This Row],[Shares No.]]*StockTransactionsTable[[#This Row],[Amount per Share]]</f>
        <v>298.87</v>
      </c>
      <c r="H711" s="5">
        <v>0</v>
      </c>
      <c r="I71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298.87</v>
      </c>
      <c r="J711" s="19">
        <f>StockTransactionsTable[[#This Row],[Fee]]/StockTransactionsTable[[#This Row],[Total Amount]]</f>
        <v>0</v>
      </c>
      <c r="K711" s="5">
        <f>IF(StockTransactionsTable[[#This Row],[Transaction Type]]="Buy", StockTransactionsTable[[#This Row],[Total Amount with Fee]] / StockTransactionsTable[[#This Row],[Shares No.]],0)</f>
        <v>0</v>
      </c>
      <c r="L71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11" s="4">
        <f>YEAR(StockTransactionsTable[[#This Row],[Date]])</f>
        <v>2023</v>
      </c>
      <c r="N711" s="4">
        <f>MONTH(StockTransactionsTable[[#This Row],[Date]])</f>
        <v>12</v>
      </c>
      <c r="R711" s="1"/>
      <c r="V711" s="33"/>
      <c r="W711" s="33"/>
    </row>
    <row r="712" spans="2:23">
      <c r="B712" s="3">
        <v>45274</v>
      </c>
      <c r="C712" s="6" t="s">
        <v>91</v>
      </c>
      <c r="D712" s="6" t="s">
        <v>30</v>
      </c>
      <c r="E712" s="5">
        <v>183</v>
      </c>
      <c r="F712" s="5">
        <v>0.75</v>
      </c>
      <c r="G712" s="5">
        <f>StockTransactionsTable[[#This Row],[Shares No.]]*StockTransactionsTable[[#This Row],[Amount per Share]]</f>
        <v>137.25</v>
      </c>
      <c r="H712" s="5">
        <v>0</v>
      </c>
      <c r="I71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137.25</v>
      </c>
      <c r="J712" s="19">
        <f>StockTransactionsTable[[#This Row],[Fee]]/StockTransactionsTable[[#This Row],[Total Amount]]</f>
        <v>0</v>
      </c>
      <c r="K712" s="5">
        <f>IF(StockTransactionsTable[[#This Row],[Transaction Type]]="Buy", StockTransactionsTable[[#This Row],[Total Amount with Fee]] / StockTransactionsTable[[#This Row],[Shares No.]],0)</f>
        <v>0</v>
      </c>
      <c r="L71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12" s="4">
        <f>YEAR(StockTransactionsTable[[#This Row],[Date]])</f>
        <v>2023</v>
      </c>
      <c r="N712" s="4">
        <f>MONTH(StockTransactionsTable[[#This Row],[Date]])</f>
        <v>12</v>
      </c>
      <c r="R712" s="1"/>
      <c r="V712" s="33"/>
      <c r="W712" s="33"/>
    </row>
    <row r="713" spans="2:23">
      <c r="B713" s="3">
        <v>45275</v>
      </c>
      <c r="C713" s="6" t="s">
        <v>14</v>
      </c>
      <c r="D713" s="6" t="s">
        <v>30</v>
      </c>
      <c r="E713" s="5">
        <v>63</v>
      </c>
      <c r="F713" s="5">
        <v>0.39639999999999997</v>
      </c>
      <c r="G713" s="5">
        <f>StockTransactionsTable[[#This Row],[Shares No.]]*StockTransactionsTable[[#This Row],[Amount per Share]]</f>
        <v>24.973199999999999</v>
      </c>
      <c r="H713" s="5">
        <v>0</v>
      </c>
      <c r="I71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24.973199999999999</v>
      </c>
      <c r="J713" s="19">
        <f>StockTransactionsTable[[#This Row],[Fee]]/StockTransactionsTable[[#This Row],[Total Amount]]</f>
        <v>0</v>
      </c>
      <c r="K713" s="5">
        <f>IF(StockTransactionsTable[[#This Row],[Transaction Type]]="Buy", StockTransactionsTable[[#This Row],[Total Amount with Fee]] / StockTransactionsTable[[#This Row],[Shares No.]],0)</f>
        <v>0</v>
      </c>
      <c r="L71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13" s="4">
        <f>YEAR(StockTransactionsTable[[#This Row],[Date]])</f>
        <v>2023</v>
      </c>
      <c r="N713" s="4">
        <f>MONTH(StockTransactionsTable[[#This Row],[Date]])</f>
        <v>12</v>
      </c>
      <c r="R713" s="1"/>
      <c r="V713" s="33"/>
      <c r="W713" s="33"/>
    </row>
    <row r="714" spans="2:23">
      <c r="B714" s="3">
        <v>45275</v>
      </c>
      <c r="C714" s="6" t="s">
        <v>23</v>
      </c>
      <c r="D714" s="6" t="s">
        <v>30</v>
      </c>
      <c r="E714" s="5">
        <v>117</v>
      </c>
      <c r="F714" s="5">
        <v>0.46</v>
      </c>
      <c r="G714" s="5">
        <f>StockTransactionsTable[[#This Row],[Shares No.]]*StockTransactionsTable[[#This Row],[Amount per Share]]</f>
        <v>53.82</v>
      </c>
      <c r="H714" s="5">
        <v>0</v>
      </c>
      <c r="I71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53.82</v>
      </c>
      <c r="J714" s="19">
        <f>StockTransactionsTable[[#This Row],[Fee]]/StockTransactionsTable[[#This Row],[Total Amount]]</f>
        <v>0</v>
      </c>
      <c r="K714" s="5">
        <f>IF(StockTransactionsTable[[#This Row],[Transaction Type]]="Buy", StockTransactionsTable[[#This Row],[Total Amount with Fee]] / StockTransactionsTable[[#This Row],[Shares No.]],0)</f>
        <v>0</v>
      </c>
      <c r="L71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14" s="4">
        <f>YEAR(StockTransactionsTable[[#This Row],[Date]])</f>
        <v>2023</v>
      </c>
      <c r="N714" s="4">
        <f>MONTH(StockTransactionsTable[[#This Row],[Date]])</f>
        <v>12</v>
      </c>
      <c r="R714" s="1"/>
      <c r="V714" s="33"/>
      <c r="W714" s="33"/>
    </row>
    <row r="715" spans="2:23">
      <c r="B715" s="3">
        <v>45275</v>
      </c>
      <c r="C715" s="6" t="s">
        <v>88</v>
      </c>
      <c r="D715" s="6" t="s">
        <v>30</v>
      </c>
      <c r="E715" s="5">
        <v>68</v>
      </c>
      <c r="F715" s="5">
        <v>1.67</v>
      </c>
      <c r="G715" s="5">
        <f>StockTransactionsTable[[#This Row],[Shares No.]]*StockTransactionsTable[[#This Row],[Amount per Share]]</f>
        <v>113.56</v>
      </c>
      <c r="H715" s="5">
        <v>0</v>
      </c>
      <c r="I71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113.56</v>
      </c>
      <c r="J715" s="19">
        <f>StockTransactionsTable[[#This Row],[Fee]]/StockTransactionsTable[[#This Row],[Total Amount]]</f>
        <v>0</v>
      </c>
      <c r="K715" s="5">
        <f>IF(StockTransactionsTable[[#This Row],[Transaction Type]]="Buy", StockTransactionsTable[[#This Row],[Total Amount with Fee]] / StockTransactionsTable[[#This Row],[Shares No.]],0)</f>
        <v>0</v>
      </c>
      <c r="L71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15" s="4">
        <f>YEAR(StockTransactionsTable[[#This Row],[Date]])</f>
        <v>2023</v>
      </c>
      <c r="N715" s="4">
        <f>MONTH(StockTransactionsTable[[#This Row],[Date]])</f>
        <v>12</v>
      </c>
      <c r="R715" s="1"/>
      <c r="V715" s="33"/>
      <c r="W715" s="33"/>
    </row>
    <row r="716" spans="2:23">
      <c r="B716" s="3">
        <v>45275</v>
      </c>
      <c r="C716" s="6" t="s">
        <v>98</v>
      </c>
      <c r="D716" s="6" t="s">
        <v>30</v>
      </c>
      <c r="E716" s="5">
        <v>338</v>
      </c>
      <c r="F716" s="5">
        <v>0.46750000000000003</v>
      </c>
      <c r="G716" s="5">
        <f>StockTransactionsTable[[#This Row],[Shares No.]]*StockTransactionsTable[[#This Row],[Amount per Share]]</f>
        <v>158.01500000000001</v>
      </c>
      <c r="H716" s="5">
        <v>0</v>
      </c>
      <c r="I71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158.01500000000001</v>
      </c>
      <c r="J716" s="19">
        <f>StockTransactionsTable[[#This Row],[Fee]]/StockTransactionsTable[[#This Row],[Total Amount]]</f>
        <v>0</v>
      </c>
      <c r="K716" s="5">
        <f>IF(StockTransactionsTable[[#This Row],[Transaction Type]]="Buy", StockTransactionsTable[[#This Row],[Total Amount with Fee]] / StockTransactionsTable[[#This Row],[Shares No.]],0)</f>
        <v>0</v>
      </c>
      <c r="L71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16" s="4">
        <f>YEAR(StockTransactionsTable[[#This Row],[Date]])</f>
        <v>2023</v>
      </c>
      <c r="N716" s="4">
        <f>MONTH(StockTransactionsTable[[#This Row],[Date]])</f>
        <v>12</v>
      </c>
      <c r="R716" s="1"/>
      <c r="V716" s="33"/>
      <c r="W716" s="33"/>
    </row>
    <row r="717" spans="2:23">
      <c r="B717" s="3">
        <v>45275</v>
      </c>
      <c r="C717" s="6" t="s">
        <v>12</v>
      </c>
      <c r="D717" s="6" t="s">
        <v>30</v>
      </c>
      <c r="E717" s="5">
        <v>97</v>
      </c>
      <c r="F717" s="5">
        <v>0.25600000000000001</v>
      </c>
      <c r="G717" s="5">
        <f>StockTransactionsTable[[#This Row],[Shares No.]]*StockTransactionsTable[[#This Row],[Amount per Share]]</f>
        <v>24.832000000000001</v>
      </c>
      <c r="H717" s="5">
        <v>0</v>
      </c>
      <c r="I71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24.832000000000001</v>
      </c>
      <c r="J717" s="19">
        <f>StockTransactionsTable[[#This Row],[Fee]]/StockTransactionsTable[[#This Row],[Total Amount]]</f>
        <v>0</v>
      </c>
      <c r="K717" s="5">
        <f>IF(StockTransactionsTable[[#This Row],[Transaction Type]]="Buy", StockTransactionsTable[[#This Row],[Total Amount with Fee]] / StockTransactionsTable[[#This Row],[Shares No.]],0)</f>
        <v>0</v>
      </c>
      <c r="L71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17" s="4">
        <f>YEAR(StockTransactionsTable[[#This Row],[Date]])</f>
        <v>2023</v>
      </c>
      <c r="N717" s="4">
        <f>MONTH(StockTransactionsTable[[#This Row],[Date]])</f>
        <v>12</v>
      </c>
      <c r="R717" s="1"/>
      <c r="V717" s="33"/>
      <c r="W717" s="33"/>
    </row>
    <row r="718" spans="2:23">
      <c r="B718" s="3">
        <v>45278</v>
      </c>
      <c r="C718" s="6" t="s">
        <v>100</v>
      </c>
      <c r="D718" s="6" t="s">
        <v>30</v>
      </c>
      <c r="E718" s="5">
        <v>217</v>
      </c>
      <c r="F718" s="5">
        <v>1.0249999999999999</v>
      </c>
      <c r="G718" s="5">
        <f>StockTransactionsTable[[#This Row],[Shares No.]]*StockTransactionsTable[[#This Row],[Amount per Share]]</f>
        <v>222.42499999999998</v>
      </c>
      <c r="H718" s="5">
        <v>0</v>
      </c>
      <c r="I71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222.42499999999998</v>
      </c>
      <c r="J718" s="19">
        <f>StockTransactionsTable[[#This Row],[Fee]]/StockTransactionsTable[[#This Row],[Total Amount]]</f>
        <v>0</v>
      </c>
      <c r="K718" s="5">
        <f>IF(StockTransactionsTable[[#This Row],[Transaction Type]]="Buy", StockTransactionsTable[[#This Row],[Total Amount with Fee]] / StockTransactionsTable[[#This Row],[Shares No.]],0)</f>
        <v>0</v>
      </c>
      <c r="L71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18" s="4">
        <f>YEAR(StockTransactionsTable[[#This Row],[Date]])</f>
        <v>2023</v>
      </c>
      <c r="N718" s="4">
        <f>MONTH(StockTransactionsTable[[#This Row],[Date]])</f>
        <v>12</v>
      </c>
      <c r="R718" s="1"/>
      <c r="V718" s="33"/>
      <c r="W718" s="33"/>
    </row>
    <row r="719" spans="2:23">
      <c r="B719" s="3">
        <v>45288</v>
      </c>
      <c r="C719" s="6" t="s">
        <v>100</v>
      </c>
      <c r="D719" s="6" t="s">
        <v>29</v>
      </c>
      <c r="E719" s="5">
        <v>33</v>
      </c>
      <c r="F719" s="5" vm="527">
        <v>96.92</v>
      </c>
      <c r="G719" s="5">
        <f>StockTransactionsTable[[#This Row],[Shares No.]]*StockTransactionsTable[[#This Row],[Amount per Share]]</f>
        <v>3198.36</v>
      </c>
      <c r="H719" s="5">
        <v>1.3875370005059531</v>
      </c>
      <c r="I71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3199.7475370005059</v>
      </c>
      <c r="J719" s="19">
        <f>StockTransactionsTable[[#This Row],[Fee]]/StockTransactionsTable[[#This Row],[Total Amount]]</f>
        <v>4.338276493283911E-4</v>
      </c>
      <c r="K719" s="5">
        <f>IF(StockTransactionsTable[[#This Row],[Transaction Type]]="Buy", StockTransactionsTable[[#This Row],[Total Amount with Fee]] / StockTransactionsTable[[#This Row],[Shares No.]],0)</f>
        <v>96.962046575772902</v>
      </c>
      <c r="L71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19" s="4">
        <f>YEAR(StockTransactionsTable[[#This Row],[Date]])</f>
        <v>2023</v>
      </c>
      <c r="N719" s="4">
        <f>MONTH(StockTransactionsTable[[#This Row],[Date]])</f>
        <v>12</v>
      </c>
      <c r="R719" s="1"/>
      <c r="V719" s="33"/>
      <c r="W719" s="33"/>
    </row>
    <row r="720" spans="2:23">
      <c r="B720" s="3">
        <v>45296</v>
      </c>
      <c r="C720" s="6" t="s">
        <v>18</v>
      </c>
      <c r="D720" s="6" t="s">
        <v>30</v>
      </c>
      <c r="E720" s="5">
        <v>43</v>
      </c>
      <c r="F720" s="5">
        <v>1.2649999999999999</v>
      </c>
      <c r="G720" s="5">
        <f>StockTransactionsTable[[#This Row],[Shares No.]]*StockTransactionsTable[[#This Row],[Amount per Share]]</f>
        <v>54.394999999999996</v>
      </c>
      <c r="H720" s="5">
        <v>0</v>
      </c>
      <c r="I72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54.394999999999996</v>
      </c>
      <c r="J720" s="19">
        <f>StockTransactionsTable[[#This Row],[Fee]]/StockTransactionsTable[[#This Row],[Total Amount]]</f>
        <v>0</v>
      </c>
      <c r="K720" s="5">
        <f>IF(StockTransactionsTable[[#This Row],[Transaction Type]]="Buy", StockTransactionsTable[[#This Row],[Total Amount with Fee]] / StockTransactionsTable[[#This Row],[Shares No.]],0)</f>
        <v>0</v>
      </c>
      <c r="L72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20" s="4">
        <f>YEAR(StockTransactionsTable[[#This Row],[Date]])</f>
        <v>2024</v>
      </c>
      <c r="N720" s="4">
        <f>MONTH(StockTransactionsTable[[#This Row],[Date]])</f>
        <v>1</v>
      </c>
      <c r="R720" s="1"/>
      <c r="V720" s="33"/>
      <c r="W720" s="33"/>
    </row>
    <row r="721" spans="2:23">
      <c r="B721" s="3">
        <v>45303</v>
      </c>
      <c r="C721" s="6" t="s">
        <v>12</v>
      </c>
      <c r="D721" s="6" t="s">
        <v>30</v>
      </c>
      <c r="E721" s="5">
        <v>97</v>
      </c>
      <c r="F721" s="5">
        <v>0.25650000000000001</v>
      </c>
      <c r="G721" s="5">
        <f>StockTransactionsTable[[#This Row],[Shares No.]]*StockTransactionsTable[[#This Row],[Amount per Share]]</f>
        <v>24.880500000000001</v>
      </c>
      <c r="H721" s="5">
        <v>0</v>
      </c>
      <c r="I72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24.880500000000001</v>
      </c>
      <c r="J721" s="19">
        <f>StockTransactionsTable[[#This Row],[Fee]]/StockTransactionsTable[[#This Row],[Total Amount]]</f>
        <v>0</v>
      </c>
      <c r="K721" s="5">
        <f>IF(StockTransactionsTable[[#This Row],[Transaction Type]]="Buy", StockTransactionsTable[[#This Row],[Total Amount with Fee]] / StockTransactionsTable[[#This Row],[Shares No.]],0)</f>
        <v>0</v>
      </c>
      <c r="L72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21" s="4">
        <f>YEAR(StockTransactionsTable[[#This Row],[Date]])</f>
        <v>2024</v>
      </c>
      <c r="N721" s="4">
        <f>MONTH(StockTransactionsTable[[#This Row],[Date]])</f>
        <v>1</v>
      </c>
      <c r="R721" s="1"/>
      <c r="V721" s="33"/>
      <c r="W721" s="33"/>
    </row>
    <row r="722" spans="2:23">
      <c r="B722" s="3">
        <v>45322</v>
      </c>
      <c r="C722" s="6" t="s">
        <v>20</v>
      </c>
      <c r="D722" s="6" t="s">
        <v>30</v>
      </c>
      <c r="E722" s="5">
        <v>116</v>
      </c>
      <c r="F722" s="5">
        <v>1.05</v>
      </c>
      <c r="G722" s="5">
        <f>StockTransactionsTable[[#This Row],[Shares No.]]*StockTransactionsTable[[#This Row],[Amount per Share]]</f>
        <v>121.80000000000001</v>
      </c>
      <c r="H722" s="5">
        <v>0</v>
      </c>
      <c r="I72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121.80000000000001</v>
      </c>
      <c r="J722" s="19">
        <f>StockTransactionsTable[[#This Row],[Fee]]/StockTransactionsTable[[#This Row],[Total Amount]]</f>
        <v>0</v>
      </c>
      <c r="K722" s="5">
        <f>IF(StockTransactionsTable[[#This Row],[Transaction Type]]="Buy", StockTransactionsTable[[#This Row],[Total Amount with Fee]] / StockTransactionsTable[[#This Row],[Shares No.]],0)</f>
        <v>0</v>
      </c>
      <c r="L72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22" s="4">
        <f>YEAR(StockTransactionsTable[[#This Row],[Date]])</f>
        <v>2024</v>
      </c>
      <c r="N722" s="4">
        <f>MONTH(StockTransactionsTable[[#This Row],[Date]])</f>
        <v>1</v>
      </c>
      <c r="R722" s="1"/>
      <c r="V722" s="33"/>
      <c r="W722" s="33"/>
    </row>
    <row r="723" spans="2:23">
      <c r="B723" s="3">
        <v>45323</v>
      </c>
      <c r="C723" s="6" t="s">
        <v>15</v>
      </c>
      <c r="D723" s="6" t="s">
        <v>30</v>
      </c>
      <c r="E723" s="5">
        <v>133</v>
      </c>
      <c r="F723" s="5">
        <v>0.27750000000000002</v>
      </c>
      <c r="G723" s="5">
        <f>StockTransactionsTable[[#This Row],[Shares No.]]*StockTransactionsTable[[#This Row],[Amount per Share]]</f>
        <v>36.907500000000006</v>
      </c>
      <c r="H723" s="5">
        <v>0</v>
      </c>
      <c r="I72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36.907500000000006</v>
      </c>
      <c r="J723" s="19">
        <f>StockTransactionsTable[[#This Row],[Fee]]/StockTransactionsTable[[#This Row],[Total Amount]]</f>
        <v>0</v>
      </c>
      <c r="K723" s="5">
        <f>IF(StockTransactionsTable[[#This Row],[Transaction Type]]="Buy", StockTransactionsTable[[#This Row],[Total Amount with Fee]] / StockTransactionsTable[[#This Row],[Shares No.]],0)</f>
        <v>0</v>
      </c>
      <c r="L72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23" s="4">
        <f>YEAR(StockTransactionsTable[[#This Row],[Date]])</f>
        <v>2024</v>
      </c>
      <c r="N723" s="4">
        <f>MONTH(StockTransactionsTable[[#This Row],[Date]])</f>
        <v>2</v>
      </c>
      <c r="R723" s="1"/>
      <c r="V723" s="33"/>
      <c r="W723" s="33"/>
    </row>
    <row r="724" spans="2:23">
      <c r="B724" s="3">
        <v>45328</v>
      </c>
      <c r="C724" s="6" t="s">
        <v>88</v>
      </c>
      <c r="D724" s="6" t="s">
        <v>29</v>
      </c>
      <c r="E724" s="5">
        <v>27</v>
      </c>
      <c r="F724" s="5" vm="528">
        <v>284.64999999999998</v>
      </c>
      <c r="G724" s="5">
        <f>StockTransactionsTable[[#This Row],[Shares No.]]*StockTransactionsTable[[#This Row],[Amount per Share]]</f>
        <v>7685.5499999999993</v>
      </c>
      <c r="H724" s="5">
        <v>3.1842105585875631</v>
      </c>
      <c r="I72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7688.7342105585867</v>
      </c>
      <c r="J724" s="19">
        <f>StockTransactionsTable[[#This Row],[Fee]]/StockTransactionsTable[[#This Row],[Total Amount]]</f>
        <v>4.1431134513308265E-4</v>
      </c>
      <c r="K724" s="5">
        <f>IF(StockTransactionsTable[[#This Row],[Transaction Type]]="Buy", StockTransactionsTable[[#This Row],[Total Amount with Fee]] / StockTransactionsTable[[#This Row],[Shares No.]],0)</f>
        <v>284.76793372439209</v>
      </c>
      <c r="L72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24" s="4">
        <f>YEAR(StockTransactionsTable[[#This Row],[Date]])</f>
        <v>2024</v>
      </c>
      <c r="N724" s="4">
        <f>MONTH(StockTransactionsTable[[#This Row],[Date]])</f>
        <v>2</v>
      </c>
      <c r="R724" s="1"/>
      <c r="V724" s="33"/>
      <c r="W724" s="33"/>
    </row>
    <row r="725" spans="2:23">
      <c r="B725" s="3">
        <v>45331</v>
      </c>
      <c r="C725" s="6" t="s">
        <v>19</v>
      </c>
      <c r="D725" s="6" t="s">
        <v>30</v>
      </c>
      <c r="E725" s="5">
        <v>57</v>
      </c>
      <c r="F725" s="5">
        <v>1.2</v>
      </c>
      <c r="G725" s="5">
        <f>StockTransactionsTable[[#This Row],[Shares No.]]*StockTransactionsTable[[#This Row],[Amount per Share]]</f>
        <v>68.399999999999991</v>
      </c>
      <c r="H725" s="5">
        <v>0</v>
      </c>
      <c r="I72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68.399999999999991</v>
      </c>
      <c r="J725" s="19">
        <f>StockTransactionsTable[[#This Row],[Fee]]/StockTransactionsTable[[#This Row],[Total Amount]]</f>
        <v>0</v>
      </c>
      <c r="K725" s="5">
        <f>IF(StockTransactionsTable[[#This Row],[Transaction Type]]="Buy", StockTransactionsTable[[#This Row],[Total Amount with Fee]] / StockTransactionsTable[[#This Row],[Shares No.]],0)</f>
        <v>0</v>
      </c>
      <c r="L72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25" s="4">
        <f>YEAR(StockTransactionsTable[[#This Row],[Date]])</f>
        <v>2024</v>
      </c>
      <c r="N725" s="4">
        <f>MONTH(StockTransactionsTable[[#This Row],[Date]])</f>
        <v>2</v>
      </c>
      <c r="R725" s="1"/>
      <c r="V725" s="33"/>
      <c r="W725" s="33"/>
    </row>
    <row r="726" spans="2:23">
      <c r="B726" s="3">
        <v>45337</v>
      </c>
      <c r="C726" s="6" t="s">
        <v>86</v>
      </c>
      <c r="D726" s="6" t="s">
        <v>30</v>
      </c>
      <c r="E726" s="5">
        <v>120</v>
      </c>
      <c r="F726" s="5">
        <v>1.55</v>
      </c>
      <c r="G726" s="5">
        <f>StockTransactionsTable[[#This Row],[Shares No.]]*StockTransactionsTable[[#This Row],[Amount per Share]]</f>
        <v>186</v>
      </c>
      <c r="H726" s="5">
        <v>0</v>
      </c>
      <c r="I72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186</v>
      </c>
      <c r="J726" s="19">
        <f>StockTransactionsTable[[#This Row],[Fee]]/StockTransactionsTable[[#This Row],[Total Amount]]</f>
        <v>0</v>
      </c>
      <c r="K726" s="5">
        <f>IF(StockTransactionsTable[[#This Row],[Transaction Type]]="Buy", StockTransactionsTable[[#This Row],[Total Amount with Fee]] / StockTransactionsTable[[#This Row],[Shares No.]],0)</f>
        <v>0</v>
      </c>
      <c r="L72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26" s="4">
        <f>YEAR(StockTransactionsTable[[#This Row],[Date]])</f>
        <v>2024</v>
      </c>
      <c r="N726" s="4">
        <f>MONTH(StockTransactionsTable[[#This Row],[Date]])</f>
        <v>2</v>
      </c>
      <c r="R726" s="1"/>
      <c r="V726" s="33"/>
      <c r="W726" s="33"/>
    </row>
    <row r="727" spans="2:23">
      <c r="B727" s="3">
        <v>45337</v>
      </c>
      <c r="C727" s="6" t="s">
        <v>12</v>
      </c>
      <c r="D727" s="6" t="s">
        <v>30</v>
      </c>
      <c r="E727" s="5">
        <v>97</v>
      </c>
      <c r="F727" s="5">
        <v>0.25650000000000001</v>
      </c>
      <c r="G727" s="5">
        <f>StockTransactionsTable[[#This Row],[Shares No.]]*StockTransactionsTable[[#This Row],[Amount per Share]]</f>
        <v>24.880500000000001</v>
      </c>
      <c r="H727" s="5">
        <v>0</v>
      </c>
      <c r="I72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24.880500000000001</v>
      </c>
      <c r="J727" s="19">
        <f>StockTransactionsTable[[#This Row],[Fee]]/StockTransactionsTable[[#This Row],[Total Amount]]</f>
        <v>0</v>
      </c>
      <c r="K727" s="5">
        <f>IF(StockTransactionsTable[[#This Row],[Transaction Type]]="Buy", StockTransactionsTable[[#This Row],[Total Amount with Fee]] / StockTransactionsTable[[#This Row],[Shares No.]],0)</f>
        <v>0</v>
      </c>
      <c r="L72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27" s="4">
        <f>YEAR(StockTransactionsTable[[#This Row],[Date]])</f>
        <v>2024</v>
      </c>
      <c r="N727" s="4">
        <f>MONTH(StockTransactionsTable[[#This Row],[Date]])</f>
        <v>2</v>
      </c>
      <c r="R727" s="1"/>
      <c r="V727" s="33"/>
      <c r="W727" s="33"/>
    </row>
    <row r="728" spans="2:23">
      <c r="B728" s="3">
        <v>45337</v>
      </c>
      <c r="C728" s="6" t="s">
        <v>21</v>
      </c>
      <c r="D728" s="6" t="s">
        <v>30</v>
      </c>
      <c r="E728" s="5">
        <v>42</v>
      </c>
      <c r="F728" s="5">
        <v>0.94069999999999998</v>
      </c>
      <c r="G728" s="5">
        <f>StockTransactionsTable[[#This Row],[Shares No.]]*StockTransactionsTable[[#This Row],[Amount per Share]]</f>
        <v>39.509399999999999</v>
      </c>
      <c r="H728" s="5">
        <v>0</v>
      </c>
      <c r="I72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39.509399999999999</v>
      </c>
      <c r="J728" s="19">
        <f>StockTransactionsTable[[#This Row],[Fee]]/StockTransactionsTable[[#This Row],[Total Amount]]</f>
        <v>0</v>
      </c>
      <c r="K728" s="5">
        <f>IF(StockTransactionsTable[[#This Row],[Transaction Type]]="Buy", StockTransactionsTable[[#This Row],[Total Amount with Fee]] / StockTransactionsTable[[#This Row],[Shares No.]],0)</f>
        <v>0</v>
      </c>
      <c r="L72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28" s="4">
        <f>YEAR(StockTransactionsTable[[#This Row],[Date]])</f>
        <v>2024</v>
      </c>
      <c r="N728" s="4">
        <f>MONTH(StockTransactionsTable[[#This Row],[Date]])</f>
        <v>2</v>
      </c>
      <c r="R728" s="1"/>
      <c r="V728" s="33"/>
      <c r="W728" s="33"/>
    </row>
    <row r="729" spans="2:23">
      <c r="B729" s="3">
        <v>45342</v>
      </c>
      <c r="C729" s="6" t="s">
        <v>22</v>
      </c>
      <c r="D729" s="6" t="s">
        <v>30</v>
      </c>
      <c r="E729" s="5">
        <v>119</v>
      </c>
      <c r="F729" s="5">
        <v>1.3</v>
      </c>
      <c r="G729" s="5">
        <f>StockTransactionsTable[[#This Row],[Shares No.]]*StockTransactionsTable[[#This Row],[Amount per Share]]</f>
        <v>154.70000000000002</v>
      </c>
      <c r="H729" s="5">
        <v>0</v>
      </c>
      <c r="I72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154.70000000000002</v>
      </c>
      <c r="J729" s="19">
        <f>StockTransactionsTable[[#This Row],[Fee]]/StockTransactionsTable[[#This Row],[Total Amount]]</f>
        <v>0</v>
      </c>
      <c r="K729" s="5">
        <f>IF(StockTransactionsTable[[#This Row],[Transaction Type]]="Buy", StockTransactionsTable[[#This Row],[Total Amount with Fee]] / StockTransactionsTable[[#This Row],[Shares No.]],0)</f>
        <v>0</v>
      </c>
      <c r="L72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29" s="4">
        <f>YEAR(StockTransactionsTable[[#This Row],[Date]])</f>
        <v>2024</v>
      </c>
      <c r="N729" s="4">
        <f>MONTH(StockTransactionsTable[[#This Row],[Date]])</f>
        <v>2</v>
      </c>
      <c r="R729" s="1"/>
      <c r="V729" s="33"/>
      <c r="W729" s="33"/>
    </row>
    <row r="730" spans="2:23">
      <c r="B730" s="3">
        <v>45352</v>
      </c>
      <c r="C730" s="6" t="s">
        <v>13</v>
      </c>
      <c r="D730" s="6" t="s">
        <v>30</v>
      </c>
      <c r="E730" s="5">
        <v>55</v>
      </c>
      <c r="F730" s="5">
        <v>0.42</v>
      </c>
      <c r="G730" s="5">
        <f>StockTransactionsTable[[#This Row],[Shares No.]]*StockTransactionsTable[[#This Row],[Amount per Share]]</f>
        <v>23.099999999999998</v>
      </c>
      <c r="H730" s="5">
        <v>0</v>
      </c>
      <c r="I73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23.099999999999998</v>
      </c>
      <c r="J730" s="19">
        <f>StockTransactionsTable[[#This Row],[Fee]]/StockTransactionsTable[[#This Row],[Total Amount]]</f>
        <v>0</v>
      </c>
      <c r="K730" s="5">
        <f>IF(StockTransactionsTable[[#This Row],[Transaction Type]]="Buy", StockTransactionsTable[[#This Row],[Total Amount with Fee]] / StockTransactionsTable[[#This Row],[Shares No.]],0)</f>
        <v>0</v>
      </c>
      <c r="L73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30" s="4">
        <f>YEAR(StockTransactionsTable[[#This Row],[Date]])</f>
        <v>2024</v>
      </c>
      <c r="N730" s="4">
        <f>MONTH(StockTransactionsTable[[#This Row],[Date]])</f>
        <v>3</v>
      </c>
      <c r="R730" s="1"/>
      <c r="V730" s="33"/>
      <c r="W730" s="33"/>
    </row>
    <row r="731" spans="2:23">
      <c r="B731" s="3">
        <v>45356</v>
      </c>
      <c r="C731" s="6" t="s">
        <v>84</v>
      </c>
      <c r="D731" s="6" t="s">
        <v>30</v>
      </c>
      <c r="E731" s="5">
        <v>51</v>
      </c>
      <c r="F731" s="5">
        <v>1.19</v>
      </c>
      <c r="G731" s="5">
        <f>StockTransactionsTable[[#This Row],[Shares No.]]*StockTransactionsTable[[#This Row],[Amount per Share]]</f>
        <v>60.69</v>
      </c>
      <c r="H731" s="5">
        <v>0</v>
      </c>
      <c r="I73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60.69</v>
      </c>
      <c r="J731" s="19">
        <f>StockTransactionsTable[[#This Row],[Fee]]/StockTransactionsTable[[#This Row],[Total Amount]]</f>
        <v>0</v>
      </c>
      <c r="K731" s="5">
        <f>IF(StockTransactionsTable[[#This Row],[Transaction Type]]="Buy", StockTransactionsTable[[#This Row],[Total Amount with Fee]] / StockTransactionsTable[[#This Row],[Shares No.]],0)</f>
        <v>0</v>
      </c>
      <c r="L73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31" s="4">
        <f>YEAR(StockTransactionsTable[[#This Row],[Date]])</f>
        <v>2024</v>
      </c>
      <c r="N731" s="4">
        <f>MONTH(StockTransactionsTable[[#This Row],[Date]])</f>
        <v>3</v>
      </c>
      <c r="R731" s="1"/>
      <c r="V731" s="33"/>
      <c r="W731" s="33"/>
    </row>
    <row r="732" spans="2:23">
      <c r="B732" s="3">
        <v>45360</v>
      </c>
      <c r="C732" s="6" t="s">
        <v>17</v>
      </c>
      <c r="D732" s="6" t="s">
        <v>30</v>
      </c>
      <c r="E732" s="5">
        <v>194</v>
      </c>
      <c r="F732" s="5">
        <v>1.66</v>
      </c>
      <c r="G732" s="5">
        <f>StockTransactionsTable[[#This Row],[Shares No.]]*StockTransactionsTable[[#This Row],[Amount per Share]]</f>
        <v>322.03999999999996</v>
      </c>
      <c r="H732" s="5">
        <v>0</v>
      </c>
      <c r="I73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322.03999999999996</v>
      </c>
      <c r="J732" s="19">
        <f>StockTransactionsTable[[#This Row],[Fee]]/StockTransactionsTable[[#This Row],[Total Amount]]</f>
        <v>0</v>
      </c>
      <c r="K732" s="5">
        <f>IF(StockTransactionsTable[[#This Row],[Transaction Type]]="Buy", StockTransactionsTable[[#This Row],[Total Amount with Fee]] / StockTransactionsTable[[#This Row],[Shares No.]],0)</f>
        <v>0</v>
      </c>
      <c r="L73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32" s="4">
        <f>YEAR(StockTransactionsTable[[#This Row],[Date]])</f>
        <v>2024</v>
      </c>
      <c r="N732" s="4">
        <f>MONTH(StockTransactionsTable[[#This Row],[Date]])</f>
        <v>3</v>
      </c>
      <c r="R732" s="1"/>
      <c r="V732" s="33"/>
      <c r="W732" s="33"/>
    </row>
    <row r="733" spans="2:23">
      <c r="B733" s="3">
        <v>45362</v>
      </c>
      <c r="C733" s="6" t="s">
        <v>17</v>
      </c>
      <c r="D733" s="6" t="s">
        <v>29</v>
      </c>
      <c r="E733" s="5">
        <v>13</v>
      </c>
      <c r="F733" s="5" vm="529">
        <v>191.73</v>
      </c>
      <c r="G733" s="5">
        <f>StockTransactionsTable[[#This Row],[Shares No.]]*StockTransactionsTable[[#This Row],[Amount per Share]]</f>
        <v>2492.4899999999998</v>
      </c>
      <c r="H733" s="5">
        <v>0.9988395739613517</v>
      </c>
      <c r="I73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2493.4888395739613</v>
      </c>
      <c r="J733" s="19">
        <f>StockTransactionsTable[[#This Row],[Fee]]/StockTransactionsTable[[#This Row],[Total Amount]]</f>
        <v>4.0073965149763964E-4</v>
      </c>
      <c r="K733" s="5">
        <f>IF(StockTransactionsTable[[#This Row],[Transaction Type]]="Buy", StockTransactionsTable[[#This Row],[Total Amount with Fee]] / StockTransactionsTable[[#This Row],[Shares No.]],0)</f>
        <v>191.80683381338164</v>
      </c>
      <c r="L73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33" s="4">
        <f>YEAR(StockTransactionsTable[[#This Row],[Date]])</f>
        <v>2024</v>
      </c>
      <c r="N733" s="4">
        <f>MONTH(StockTransactionsTable[[#This Row],[Date]])</f>
        <v>3</v>
      </c>
      <c r="R733" s="1"/>
      <c r="V733" s="33"/>
      <c r="W733" s="33"/>
    </row>
    <row r="734" spans="2:23">
      <c r="B734" s="3">
        <v>45362</v>
      </c>
      <c r="C734" s="6" t="s">
        <v>16</v>
      </c>
      <c r="D734" s="6" t="s">
        <v>30</v>
      </c>
      <c r="E734" s="5">
        <v>185</v>
      </c>
      <c r="F734" s="5">
        <v>0.95</v>
      </c>
      <c r="G734" s="5">
        <f>StockTransactionsTable[[#This Row],[Shares No.]]*StockTransactionsTable[[#This Row],[Amount per Share]]</f>
        <v>175.75</v>
      </c>
      <c r="H734" s="5">
        <v>0</v>
      </c>
      <c r="I73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175.75</v>
      </c>
      <c r="J734" s="19">
        <f>StockTransactionsTable[[#This Row],[Fee]]/StockTransactionsTable[[#This Row],[Total Amount]]</f>
        <v>0</v>
      </c>
      <c r="K734" s="5">
        <f>IF(StockTransactionsTable[[#This Row],[Transaction Type]]="Buy", StockTransactionsTable[[#This Row],[Total Amount with Fee]] / StockTransactionsTable[[#This Row],[Shares No.]],0)</f>
        <v>0</v>
      </c>
      <c r="L73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34" s="4">
        <f>YEAR(StockTransactionsTable[[#This Row],[Date]])</f>
        <v>2024</v>
      </c>
      <c r="N734" s="4">
        <f>MONTH(StockTransactionsTable[[#This Row],[Date]])</f>
        <v>3</v>
      </c>
      <c r="R734" s="1"/>
      <c r="V734" s="33"/>
      <c r="W734" s="33"/>
    </row>
    <row r="735" spans="2:23">
      <c r="B735" s="3">
        <v>45363</v>
      </c>
      <c r="C735" s="6" t="s">
        <v>106</v>
      </c>
      <c r="D735" s="6" t="s">
        <v>30</v>
      </c>
      <c r="E735" s="5">
        <v>88</v>
      </c>
      <c r="F735" s="5">
        <v>0.65</v>
      </c>
      <c r="G735" s="5">
        <f>StockTransactionsTable[[#This Row],[Shares No.]]*StockTransactionsTable[[#This Row],[Amount per Share]]</f>
        <v>57.2</v>
      </c>
      <c r="H735" s="5">
        <v>0</v>
      </c>
      <c r="I73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57.2</v>
      </c>
      <c r="J735" s="19">
        <f>StockTransactionsTable[[#This Row],[Fee]]/StockTransactionsTable[[#This Row],[Total Amount]]</f>
        <v>0</v>
      </c>
      <c r="K735" s="5">
        <f>IF(StockTransactionsTable[[#This Row],[Transaction Type]]="Buy", StockTransactionsTable[[#This Row],[Total Amount with Fee]] / StockTransactionsTable[[#This Row],[Shares No.]],0)</f>
        <v>0</v>
      </c>
      <c r="L73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35" s="4">
        <f>YEAR(StockTransactionsTable[[#This Row],[Date]])</f>
        <v>2024</v>
      </c>
      <c r="N735" s="4">
        <f>MONTH(StockTransactionsTable[[#This Row],[Date]])</f>
        <v>3</v>
      </c>
      <c r="R735" s="1"/>
      <c r="V735" s="33"/>
      <c r="W735" s="33"/>
    </row>
    <row r="736" spans="2:23">
      <c r="B736" s="3">
        <v>45365</v>
      </c>
      <c r="C736" s="6" t="s">
        <v>91</v>
      </c>
      <c r="D736" s="6" t="s">
        <v>30</v>
      </c>
      <c r="E736" s="5">
        <v>183</v>
      </c>
      <c r="F736" s="5">
        <v>0.75</v>
      </c>
      <c r="G736" s="5">
        <f>StockTransactionsTable[[#This Row],[Shares No.]]*StockTransactionsTable[[#This Row],[Amount per Share]]</f>
        <v>137.25</v>
      </c>
      <c r="H736" s="5">
        <v>0</v>
      </c>
      <c r="I73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137.25</v>
      </c>
      <c r="J736" s="19">
        <f>StockTransactionsTable[[#This Row],[Fee]]/StockTransactionsTable[[#This Row],[Total Amount]]</f>
        <v>0</v>
      </c>
      <c r="K736" s="5">
        <f>IF(StockTransactionsTable[[#This Row],[Transaction Type]]="Buy", StockTransactionsTable[[#This Row],[Total Amount with Fee]] / StockTransactionsTable[[#This Row],[Shares No.]],0)</f>
        <v>0</v>
      </c>
      <c r="L73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36" s="4">
        <f>YEAR(StockTransactionsTable[[#This Row],[Date]])</f>
        <v>2024</v>
      </c>
      <c r="N736" s="4">
        <f>MONTH(StockTransactionsTable[[#This Row],[Date]])</f>
        <v>3</v>
      </c>
      <c r="R736" s="1"/>
      <c r="V736" s="33"/>
      <c r="W736" s="33"/>
    </row>
    <row r="737" spans="2:23">
      <c r="B737" s="3">
        <v>45366</v>
      </c>
      <c r="C737" s="6" t="s">
        <v>14</v>
      </c>
      <c r="D737" s="6" t="s">
        <v>30</v>
      </c>
      <c r="E737" s="5">
        <v>63</v>
      </c>
      <c r="F737" s="5">
        <v>0.40329999999999999</v>
      </c>
      <c r="G737" s="5">
        <f>StockTransactionsTable[[#This Row],[Shares No.]]*StockTransactionsTable[[#This Row],[Amount per Share]]</f>
        <v>25.407899999999998</v>
      </c>
      <c r="H737" s="5">
        <v>0</v>
      </c>
      <c r="I73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25.407899999999998</v>
      </c>
      <c r="J737" s="19">
        <f>StockTransactionsTable[[#This Row],[Fee]]/StockTransactionsTable[[#This Row],[Total Amount]]</f>
        <v>0</v>
      </c>
      <c r="K737" s="5">
        <f>IF(StockTransactionsTable[[#This Row],[Transaction Type]]="Buy", StockTransactionsTable[[#This Row],[Total Amount with Fee]] / StockTransactionsTable[[#This Row],[Shares No.]],0)</f>
        <v>0</v>
      </c>
      <c r="L73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37" s="4">
        <f>YEAR(StockTransactionsTable[[#This Row],[Date]])</f>
        <v>2024</v>
      </c>
      <c r="N737" s="4">
        <f>MONTH(StockTransactionsTable[[#This Row],[Date]])</f>
        <v>3</v>
      </c>
      <c r="R737" s="1"/>
      <c r="V737" s="33"/>
      <c r="W737" s="33"/>
    </row>
    <row r="738" spans="2:23">
      <c r="B738" s="3">
        <v>45366</v>
      </c>
      <c r="C738" s="6" t="s">
        <v>88</v>
      </c>
      <c r="D738" s="6" t="s">
        <v>30</v>
      </c>
      <c r="E738" s="5">
        <v>95</v>
      </c>
      <c r="F738" s="5">
        <v>1.67</v>
      </c>
      <c r="G738" s="5">
        <f>StockTransactionsTable[[#This Row],[Shares No.]]*StockTransactionsTable[[#This Row],[Amount per Share]]</f>
        <v>158.65</v>
      </c>
      <c r="H738" s="5">
        <v>0</v>
      </c>
      <c r="I73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158.65</v>
      </c>
      <c r="J738" s="19">
        <f>StockTransactionsTable[[#This Row],[Fee]]/StockTransactionsTable[[#This Row],[Total Amount]]</f>
        <v>0</v>
      </c>
      <c r="K738" s="5">
        <f>IF(StockTransactionsTable[[#This Row],[Transaction Type]]="Buy", StockTransactionsTable[[#This Row],[Total Amount with Fee]] / StockTransactionsTable[[#This Row],[Shares No.]],0)</f>
        <v>0</v>
      </c>
      <c r="L73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38" s="4">
        <f>YEAR(StockTransactionsTable[[#This Row],[Date]])</f>
        <v>2024</v>
      </c>
      <c r="N738" s="4">
        <f>MONTH(StockTransactionsTable[[#This Row],[Date]])</f>
        <v>3</v>
      </c>
      <c r="R738" s="1"/>
      <c r="V738" s="33"/>
      <c r="W738" s="33"/>
    </row>
    <row r="739" spans="2:23">
      <c r="B739" s="3">
        <v>45366</v>
      </c>
      <c r="C739" s="6" t="s">
        <v>98</v>
      </c>
      <c r="D739" s="6" t="s">
        <v>30</v>
      </c>
      <c r="E739" s="5">
        <v>338</v>
      </c>
      <c r="F739" s="5">
        <v>0.51500000000000001</v>
      </c>
      <c r="G739" s="5">
        <f>StockTransactionsTable[[#This Row],[Shares No.]]*StockTransactionsTable[[#This Row],[Amount per Share]]</f>
        <v>174.07</v>
      </c>
      <c r="H739" s="5">
        <v>0</v>
      </c>
      <c r="I73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174.07</v>
      </c>
      <c r="J739" s="19">
        <f>StockTransactionsTable[[#This Row],[Fee]]/StockTransactionsTable[[#This Row],[Total Amount]]</f>
        <v>0</v>
      </c>
      <c r="K739" s="5">
        <f>IF(StockTransactionsTable[[#This Row],[Transaction Type]]="Buy", StockTransactionsTable[[#This Row],[Total Amount with Fee]] / StockTransactionsTable[[#This Row],[Shares No.]],0)</f>
        <v>0</v>
      </c>
      <c r="L73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39" s="4">
        <f>YEAR(StockTransactionsTable[[#This Row],[Date]])</f>
        <v>2024</v>
      </c>
      <c r="N739" s="4">
        <f>MONTH(StockTransactionsTable[[#This Row],[Date]])</f>
        <v>3</v>
      </c>
      <c r="R739" s="1"/>
      <c r="V739" s="33"/>
      <c r="W739" s="33"/>
    </row>
    <row r="740" spans="2:23">
      <c r="B740" s="3">
        <v>45366</v>
      </c>
      <c r="C740" s="6" t="s">
        <v>12</v>
      </c>
      <c r="D740" s="6" t="s">
        <v>30</v>
      </c>
      <c r="E740" s="5">
        <v>97</v>
      </c>
      <c r="F740" s="5">
        <v>0.25650000000000001</v>
      </c>
      <c r="G740" s="5">
        <f>StockTransactionsTable[[#This Row],[Shares No.]]*StockTransactionsTable[[#This Row],[Amount per Share]]</f>
        <v>24.880500000000001</v>
      </c>
      <c r="H740" s="5">
        <v>0</v>
      </c>
      <c r="I74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24.880500000000001</v>
      </c>
      <c r="J740" s="19">
        <f>StockTransactionsTable[[#This Row],[Fee]]/StockTransactionsTable[[#This Row],[Total Amount]]</f>
        <v>0</v>
      </c>
      <c r="K740" s="5">
        <f>IF(StockTransactionsTable[[#This Row],[Transaction Type]]="Buy", StockTransactionsTable[[#This Row],[Total Amount with Fee]] / StockTransactionsTable[[#This Row],[Shares No.]],0)</f>
        <v>0</v>
      </c>
      <c r="L74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40" s="4">
        <f>YEAR(StockTransactionsTable[[#This Row],[Date]])</f>
        <v>2024</v>
      </c>
      <c r="N740" s="4">
        <f>MONTH(StockTransactionsTable[[#This Row],[Date]])</f>
        <v>3</v>
      </c>
      <c r="R740" s="1"/>
      <c r="V740" s="33"/>
      <c r="W740" s="33"/>
    </row>
    <row r="741" spans="2:23">
      <c r="B741" s="3">
        <v>45369</v>
      </c>
      <c r="C741" s="6" t="s">
        <v>100</v>
      </c>
      <c r="D741" s="6" t="s">
        <v>30</v>
      </c>
      <c r="E741" s="5">
        <v>250</v>
      </c>
      <c r="F741" s="5">
        <v>1.0249999999999999</v>
      </c>
      <c r="G741" s="5">
        <f>StockTransactionsTable[[#This Row],[Shares No.]]*StockTransactionsTable[[#This Row],[Amount per Share]]</f>
        <v>256.25</v>
      </c>
      <c r="H741" s="5">
        <v>0</v>
      </c>
      <c r="I74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256.25</v>
      </c>
      <c r="J741" s="19">
        <f>StockTransactionsTable[[#This Row],[Fee]]/StockTransactionsTable[[#This Row],[Total Amount]]</f>
        <v>0</v>
      </c>
      <c r="K741" s="5">
        <f>IF(StockTransactionsTable[[#This Row],[Transaction Type]]="Buy", StockTransactionsTable[[#This Row],[Total Amount with Fee]] / StockTransactionsTable[[#This Row],[Shares No.]],0)</f>
        <v>0</v>
      </c>
      <c r="L74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41" s="4">
        <f>YEAR(StockTransactionsTable[[#This Row],[Date]])</f>
        <v>2024</v>
      </c>
      <c r="N741" s="4">
        <f>MONTH(StockTransactionsTable[[#This Row],[Date]])</f>
        <v>3</v>
      </c>
      <c r="R741" s="1"/>
      <c r="V741" s="33"/>
      <c r="W741" s="33"/>
    </row>
    <row r="742" spans="2:23">
      <c r="B742" s="3">
        <v>45372</v>
      </c>
      <c r="C742" s="6" t="s">
        <v>95</v>
      </c>
      <c r="D742" s="6" t="s">
        <v>30</v>
      </c>
      <c r="E742" s="5">
        <v>143</v>
      </c>
      <c r="F742" s="5">
        <v>2.25</v>
      </c>
      <c r="G742" s="5">
        <f>StockTransactionsTable[[#This Row],[Shares No.]]*StockTransactionsTable[[#This Row],[Amount per Share]]</f>
        <v>321.75</v>
      </c>
      <c r="H742" s="5">
        <v>0</v>
      </c>
      <c r="I74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321.75</v>
      </c>
      <c r="J742" s="19">
        <f>StockTransactionsTable[[#This Row],[Fee]]/StockTransactionsTable[[#This Row],[Total Amount]]</f>
        <v>0</v>
      </c>
      <c r="K742" s="5">
        <f>IF(StockTransactionsTable[[#This Row],[Transaction Type]]="Buy", StockTransactionsTable[[#This Row],[Total Amount with Fee]] / StockTransactionsTable[[#This Row],[Shares No.]],0)</f>
        <v>0</v>
      </c>
      <c r="L74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42" s="4">
        <f>YEAR(StockTransactionsTable[[#This Row],[Date]])</f>
        <v>2024</v>
      </c>
      <c r="N742" s="4">
        <f>MONTH(StockTransactionsTable[[#This Row],[Date]])</f>
        <v>3</v>
      </c>
      <c r="R742" s="1"/>
      <c r="V742" s="33"/>
      <c r="W742" s="33"/>
    </row>
    <row r="743" spans="2:23">
      <c r="B743" s="3">
        <v>45383</v>
      </c>
      <c r="C743" s="6" t="s">
        <v>23</v>
      </c>
      <c r="D743" s="6" t="s">
        <v>30</v>
      </c>
      <c r="E743" s="5">
        <v>117</v>
      </c>
      <c r="F743" s="5">
        <v>0.48499999999999999</v>
      </c>
      <c r="G743" s="5">
        <f>StockTransactionsTable[[#This Row],[Shares No.]]*StockTransactionsTable[[#This Row],[Amount per Share]]</f>
        <v>56.744999999999997</v>
      </c>
      <c r="H743" s="5">
        <v>0</v>
      </c>
      <c r="I74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56.744999999999997</v>
      </c>
      <c r="J743" s="19">
        <f>StockTransactionsTable[[#This Row],[Fee]]/StockTransactionsTable[[#This Row],[Total Amount]]</f>
        <v>0</v>
      </c>
      <c r="K743" s="5">
        <f>IF(StockTransactionsTable[[#This Row],[Transaction Type]]="Buy", StockTransactionsTable[[#This Row],[Total Amount with Fee]] / StockTransactionsTable[[#This Row],[Shares No.]],0)</f>
        <v>0</v>
      </c>
      <c r="L74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43" s="4">
        <f>YEAR(StockTransactionsTable[[#This Row],[Date]])</f>
        <v>2024</v>
      </c>
      <c r="N743" s="4">
        <f>MONTH(StockTransactionsTable[[#This Row],[Date]])</f>
        <v>4</v>
      </c>
      <c r="R743" s="1"/>
      <c r="V743" s="33"/>
      <c r="W743" s="33"/>
    </row>
    <row r="744" spans="2:23">
      <c r="B744" s="3">
        <v>45383</v>
      </c>
      <c r="C744" s="6" t="s">
        <v>18</v>
      </c>
      <c r="D744" s="6" t="s">
        <v>30</v>
      </c>
      <c r="E744" s="5">
        <v>43</v>
      </c>
      <c r="F744" s="5">
        <v>1.2649999999999999</v>
      </c>
      <c r="G744" s="5">
        <f>StockTransactionsTable[[#This Row],[Shares No.]]*StockTransactionsTable[[#This Row],[Amount per Share]]</f>
        <v>54.394999999999996</v>
      </c>
      <c r="H744" s="5">
        <v>0</v>
      </c>
      <c r="I74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54.394999999999996</v>
      </c>
      <c r="J744" s="19">
        <f>StockTransactionsTable[[#This Row],[Fee]]/StockTransactionsTable[[#This Row],[Total Amount]]</f>
        <v>0</v>
      </c>
      <c r="K744" s="5">
        <f>IF(StockTransactionsTable[[#This Row],[Transaction Type]]="Buy", StockTransactionsTable[[#This Row],[Total Amount with Fee]] / StockTransactionsTable[[#This Row],[Shares No.]],0)</f>
        <v>0</v>
      </c>
      <c r="L74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44" s="4">
        <f>YEAR(StockTransactionsTable[[#This Row],[Date]])</f>
        <v>2024</v>
      </c>
      <c r="N744" s="4">
        <f>MONTH(StockTransactionsTable[[#This Row],[Date]])</f>
        <v>4</v>
      </c>
      <c r="R744" s="1"/>
      <c r="V744" s="33"/>
      <c r="W744" s="33"/>
    </row>
    <row r="745" spans="2:23">
      <c r="B745" s="3">
        <v>45384</v>
      </c>
      <c r="C745" s="6" t="s">
        <v>98</v>
      </c>
      <c r="D745" s="6" t="s">
        <v>29</v>
      </c>
      <c r="E745" s="5">
        <v>22</v>
      </c>
      <c r="F745" s="5" vm="530">
        <v>62.88</v>
      </c>
      <c r="G745" s="5">
        <f>StockTransactionsTable[[#This Row],[Shares No.]]*StockTransactionsTable[[#This Row],[Amount per Share]]</f>
        <v>1383.3600000000001</v>
      </c>
      <c r="H745" s="5">
        <v>0.6550115946409657</v>
      </c>
      <c r="I74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1384.015011594641</v>
      </c>
      <c r="J745" s="19">
        <f>StockTransactionsTable[[#This Row],[Fee]]/StockTransactionsTable[[#This Row],[Total Amount]]</f>
        <v>4.7349322999144523E-4</v>
      </c>
      <c r="K745" s="5">
        <f>IF(StockTransactionsTable[[#This Row],[Transaction Type]]="Buy", StockTransactionsTable[[#This Row],[Total Amount with Fee]] / StockTransactionsTable[[#This Row],[Shares No.]],0)</f>
        <v>62.909773254301861</v>
      </c>
      <c r="L74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45" s="4">
        <f>YEAR(StockTransactionsTable[[#This Row],[Date]])</f>
        <v>2024</v>
      </c>
      <c r="N745" s="4">
        <f>MONTH(StockTransactionsTable[[#This Row],[Date]])</f>
        <v>4</v>
      </c>
      <c r="R745" s="1"/>
      <c r="V745" s="33"/>
      <c r="W745" s="33"/>
    </row>
    <row r="746" spans="2:23">
      <c r="B746" s="3">
        <v>45397</v>
      </c>
      <c r="C746" s="6" t="s">
        <v>12</v>
      </c>
      <c r="D746" s="6" t="s">
        <v>30</v>
      </c>
      <c r="E746" s="5">
        <v>97</v>
      </c>
      <c r="F746" s="5">
        <v>0.25700000000000001</v>
      </c>
      <c r="G746" s="5">
        <f>StockTransactionsTable[[#This Row],[Shares No.]]*StockTransactionsTable[[#This Row],[Amount per Share]]</f>
        <v>24.929000000000002</v>
      </c>
      <c r="H746" s="5">
        <v>0</v>
      </c>
      <c r="I74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24.929000000000002</v>
      </c>
      <c r="J746" s="19">
        <f>StockTransactionsTable[[#This Row],[Fee]]/StockTransactionsTable[[#This Row],[Total Amount]]</f>
        <v>0</v>
      </c>
      <c r="K746" s="5">
        <f>IF(StockTransactionsTable[[#This Row],[Transaction Type]]="Buy", StockTransactionsTable[[#This Row],[Total Amount with Fee]] / StockTransactionsTable[[#This Row],[Shares No.]],0)</f>
        <v>0</v>
      </c>
      <c r="L74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46" s="4">
        <f>YEAR(StockTransactionsTable[[#This Row],[Date]])</f>
        <v>2024</v>
      </c>
      <c r="N746" s="4">
        <f>MONTH(StockTransactionsTable[[#This Row],[Date]])</f>
        <v>4</v>
      </c>
      <c r="R746" s="1"/>
      <c r="V746" s="33"/>
      <c r="W746" s="33"/>
    </row>
    <row r="747" spans="2:23">
      <c r="B747" s="3">
        <v>45412</v>
      </c>
      <c r="C747" s="6" t="s">
        <v>20</v>
      </c>
      <c r="D747" s="6" t="s">
        <v>30</v>
      </c>
      <c r="E747" s="5">
        <v>116</v>
      </c>
      <c r="F747" s="5">
        <v>1.1499999999999999</v>
      </c>
      <c r="G747" s="5">
        <f>StockTransactionsTable[[#This Row],[Shares No.]]*StockTransactionsTable[[#This Row],[Amount per Share]]</f>
        <v>133.39999999999998</v>
      </c>
      <c r="H747" s="5">
        <v>0</v>
      </c>
      <c r="I74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133.39999999999998</v>
      </c>
      <c r="J747" s="19">
        <f>StockTransactionsTable[[#This Row],[Fee]]/StockTransactionsTable[[#This Row],[Total Amount]]</f>
        <v>0</v>
      </c>
      <c r="K747" s="5">
        <f>IF(StockTransactionsTable[[#This Row],[Transaction Type]]="Buy", StockTransactionsTable[[#This Row],[Total Amount with Fee]] / StockTransactionsTable[[#This Row],[Shares No.]],0)</f>
        <v>0</v>
      </c>
      <c r="L74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47" s="4">
        <f>YEAR(StockTransactionsTable[[#This Row],[Date]])</f>
        <v>2024</v>
      </c>
      <c r="N747" s="4">
        <f>MONTH(StockTransactionsTable[[#This Row],[Date]])</f>
        <v>4</v>
      </c>
      <c r="R747" s="1"/>
      <c r="V747" s="33"/>
      <c r="W747" s="33"/>
    </row>
    <row r="748" spans="2:23">
      <c r="B748" s="3">
        <v>45413</v>
      </c>
      <c r="C748" s="6" t="s">
        <v>15</v>
      </c>
      <c r="D748" s="6" t="s">
        <v>30</v>
      </c>
      <c r="E748" s="5">
        <v>133</v>
      </c>
      <c r="F748" s="5">
        <v>0.27750000000000002</v>
      </c>
      <c r="G748" s="5">
        <f>StockTransactionsTable[[#This Row],[Shares No.]]*StockTransactionsTable[[#This Row],[Amount per Share]]</f>
        <v>36.907500000000006</v>
      </c>
      <c r="H748" s="5">
        <v>0</v>
      </c>
      <c r="I74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36.907500000000006</v>
      </c>
      <c r="J748" s="19">
        <f>StockTransactionsTable[[#This Row],[Fee]]/StockTransactionsTable[[#This Row],[Total Amount]]</f>
        <v>0</v>
      </c>
      <c r="K748" s="5">
        <f>IF(StockTransactionsTable[[#This Row],[Transaction Type]]="Buy", StockTransactionsTable[[#This Row],[Total Amount with Fee]] / StockTransactionsTable[[#This Row],[Shares No.]],0)</f>
        <v>0</v>
      </c>
      <c r="L74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48" s="4">
        <f>YEAR(StockTransactionsTable[[#This Row],[Date]])</f>
        <v>2024</v>
      </c>
      <c r="N748" s="4">
        <f>MONTH(StockTransactionsTable[[#This Row],[Date]])</f>
        <v>5</v>
      </c>
      <c r="R748" s="1"/>
      <c r="V748" s="33"/>
      <c r="W748" s="33"/>
    </row>
    <row r="749" spans="2:23">
      <c r="B749" s="3">
        <v>45420</v>
      </c>
      <c r="C749" s="6" t="s">
        <v>13</v>
      </c>
      <c r="D749" s="6" t="s">
        <v>29</v>
      </c>
      <c r="E749" s="5">
        <v>8</v>
      </c>
      <c r="F749" s="5" vm="531">
        <v>28.27</v>
      </c>
      <c r="G749" s="5">
        <f>StockTransactionsTable[[#This Row],[Shares No.]]*StockTransactionsTable[[#This Row],[Amount per Share]]</f>
        <v>226.16</v>
      </c>
      <c r="H749" s="5">
        <v>0.10932709586126348</v>
      </c>
      <c r="I74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226.26932709586126</v>
      </c>
      <c r="J749" s="19">
        <f>StockTransactionsTable[[#This Row],[Fee]]/StockTransactionsTable[[#This Row],[Total Amount]]</f>
        <v>4.8340597745517985E-4</v>
      </c>
      <c r="K749" s="5">
        <f>IF(StockTransactionsTable[[#This Row],[Transaction Type]]="Buy", StockTransactionsTable[[#This Row],[Total Amount with Fee]] / StockTransactionsTable[[#This Row],[Shares No.]],0)</f>
        <v>28.283665886982657</v>
      </c>
      <c r="L74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49" s="4">
        <f>YEAR(StockTransactionsTable[[#This Row],[Date]])</f>
        <v>2024</v>
      </c>
      <c r="N749" s="4">
        <f>MONTH(StockTransactionsTable[[#This Row],[Date]])</f>
        <v>5</v>
      </c>
      <c r="R749" s="1"/>
      <c r="V749" s="33"/>
      <c r="W749" s="33"/>
    </row>
    <row r="750" spans="2:23">
      <c r="B750" s="3">
        <v>45422</v>
      </c>
      <c r="C750" s="6" t="s">
        <v>19</v>
      </c>
      <c r="D750" s="6" t="s">
        <v>30</v>
      </c>
      <c r="E750" s="5">
        <v>57</v>
      </c>
      <c r="F750" s="5">
        <v>1.2</v>
      </c>
      <c r="G750" s="5">
        <f>StockTransactionsTable[[#This Row],[Shares No.]]*StockTransactionsTable[[#This Row],[Amount per Share]]</f>
        <v>68.399999999999991</v>
      </c>
      <c r="H750" s="5">
        <v>0</v>
      </c>
      <c r="I75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68.399999999999991</v>
      </c>
      <c r="J750" s="19">
        <f>StockTransactionsTable[[#This Row],[Fee]]/StockTransactionsTable[[#This Row],[Total Amount]]</f>
        <v>0</v>
      </c>
      <c r="K750" s="5">
        <f>IF(StockTransactionsTable[[#This Row],[Transaction Type]]="Buy", StockTransactionsTable[[#This Row],[Total Amount with Fee]] / StockTransactionsTable[[#This Row],[Shares No.]],0)</f>
        <v>0</v>
      </c>
      <c r="L75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50" s="4">
        <f>YEAR(StockTransactionsTable[[#This Row],[Date]])</f>
        <v>2024</v>
      </c>
      <c r="N750" s="4">
        <f>MONTH(StockTransactionsTable[[#This Row],[Date]])</f>
        <v>5</v>
      </c>
      <c r="R750" s="1"/>
      <c r="V750" s="33"/>
      <c r="W750" s="33"/>
    </row>
    <row r="751" spans="2:23">
      <c r="B751" s="3">
        <v>45427</v>
      </c>
      <c r="C751" s="6" t="s">
        <v>86</v>
      </c>
      <c r="D751" s="6" t="s">
        <v>30</v>
      </c>
      <c r="E751" s="5">
        <v>120</v>
      </c>
      <c r="F751" s="5">
        <v>1.55</v>
      </c>
      <c r="G751" s="5">
        <f>StockTransactionsTable[[#This Row],[Shares No.]]*StockTransactionsTable[[#This Row],[Amount per Share]]</f>
        <v>186</v>
      </c>
      <c r="H751" s="5">
        <v>0</v>
      </c>
      <c r="I75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186</v>
      </c>
      <c r="J751" s="19">
        <f>StockTransactionsTable[[#This Row],[Fee]]/StockTransactionsTable[[#This Row],[Total Amount]]</f>
        <v>0</v>
      </c>
      <c r="K751" s="5">
        <f>IF(StockTransactionsTable[[#This Row],[Transaction Type]]="Buy", StockTransactionsTable[[#This Row],[Total Amount with Fee]] / StockTransactionsTable[[#This Row],[Shares No.]],0)</f>
        <v>0</v>
      </c>
      <c r="L75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51" s="4">
        <f>YEAR(StockTransactionsTable[[#This Row],[Date]])</f>
        <v>2024</v>
      </c>
      <c r="N751" s="4">
        <f>MONTH(StockTransactionsTable[[#This Row],[Date]])</f>
        <v>5</v>
      </c>
      <c r="R751" s="1"/>
      <c r="V751" s="33"/>
      <c r="W751" s="33"/>
    </row>
    <row r="752" spans="2:23">
      <c r="B752" s="3">
        <v>45427</v>
      </c>
      <c r="C752" s="6" t="s">
        <v>12</v>
      </c>
      <c r="D752" s="6" t="s">
        <v>30</v>
      </c>
      <c r="E752" s="5">
        <v>97</v>
      </c>
      <c r="F752" s="5">
        <v>0.25700000000000001</v>
      </c>
      <c r="G752" s="5">
        <f>StockTransactionsTable[[#This Row],[Shares No.]]*StockTransactionsTable[[#This Row],[Amount per Share]]</f>
        <v>24.929000000000002</v>
      </c>
      <c r="H752" s="5">
        <v>0</v>
      </c>
      <c r="I75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24.929000000000002</v>
      </c>
      <c r="J752" s="19">
        <f>StockTransactionsTable[[#This Row],[Fee]]/StockTransactionsTable[[#This Row],[Total Amount]]</f>
        <v>0</v>
      </c>
      <c r="K752" s="5">
        <f>IF(StockTransactionsTable[[#This Row],[Transaction Type]]="Buy", StockTransactionsTable[[#This Row],[Total Amount with Fee]] / StockTransactionsTable[[#This Row],[Shares No.]],0)</f>
        <v>0</v>
      </c>
      <c r="L75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52" s="4">
        <f>YEAR(StockTransactionsTable[[#This Row],[Date]])</f>
        <v>2024</v>
      </c>
      <c r="N752" s="4">
        <f>MONTH(StockTransactionsTable[[#This Row],[Date]])</f>
        <v>5</v>
      </c>
      <c r="R752" s="1"/>
      <c r="V752" s="33"/>
      <c r="W752" s="33"/>
    </row>
    <row r="753" spans="2:23">
      <c r="B753" s="3">
        <v>45427</v>
      </c>
      <c r="C753" s="6" t="s">
        <v>21</v>
      </c>
      <c r="D753" s="6" t="s">
        <v>30</v>
      </c>
      <c r="E753" s="5">
        <v>42</v>
      </c>
      <c r="F753" s="5">
        <v>1.0065</v>
      </c>
      <c r="G753" s="5">
        <f>StockTransactionsTable[[#This Row],[Shares No.]]*StockTransactionsTable[[#This Row],[Amount per Share]]</f>
        <v>42.272999999999996</v>
      </c>
      <c r="H753" s="5">
        <v>0</v>
      </c>
      <c r="I75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42.272999999999996</v>
      </c>
      <c r="J753" s="19">
        <f>StockTransactionsTable[[#This Row],[Fee]]/StockTransactionsTable[[#This Row],[Total Amount]]</f>
        <v>0</v>
      </c>
      <c r="K753" s="5">
        <f>IF(StockTransactionsTable[[#This Row],[Transaction Type]]="Buy", StockTransactionsTable[[#This Row],[Total Amount with Fee]] / StockTransactionsTable[[#This Row],[Shares No.]],0)</f>
        <v>0</v>
      </c>
      <c r="L75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53" s="4">
        <f>YEAR(StockTransactionsTable[[#This Row],[Date]])</f>
        <v>2024</v>
      </c>
      <c r="N753" s="4">
        <f>MONTH(StockTransactionsTable[[#This Row],[Date]])</f>
        <v>5</v>
      </c>
      <c r="R753" s="1"/>
      <c r="V753" s="33"/>
      <c r="W753" s="33"/>
    </row>
    <row r="754" spans="2:23">
      <c r="B754" s="3">
        <v>45432</v>
      </c>
      <c r="C754" s="6" t="s">
        <v>22</v>
      </c>
      <c r="D754" s="6" t="s">
        <v>30</v>
      </c>
      <c r="E754" s="5">
        <v>119</v>
      </c>
      <c r="F754" s="5">
        <v>1.3</v>
      </c>
      <c r="G754" s="5">
        <f>StockTransactionsTable[[#This Row],[Shares No.]]*StockTransactionsTable[[#This Row],[Amount per Share]]</f>
        <v>154.70000000000002</v>
      </c>
      <c r="H754" s="5">
        <v>0</v>
      </c>
      <c r="I75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154.70000000000002</v>
      </c>
      <c r="J754" s="19">
        <f>StockTransactionsTable[[#This Row],[Fee]]/StockTransactionsTable[[#This Row],[Total Amount]]</f>
        <v>0</v>
      </c>
      <c r="K754" s="5">
        <f>IF(StockTransactionsTable[[#This Row],[Transaction Type]]="Buy", StockTransactionsTable[[#This Row],[Total Amount with Fee]] / StockTransactionsTable[[#This Row],[Shares No.]],0)</f>
        <v>0</v>
      </c>
      <c r="L75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54" s="4">
        <f>YEAR(StockTransactionsTable[[#This Row],[Date]])</f>
        <v>2024</v>
      </c>
      <c r="N754" s="4">
        <f>MONTH(StockTransactionsTable[[#This Row],[Date]])</f>
        <v>5</v>
      </c>
      <c r="R754" s="1"/>
      <c r="V754" s="33"/>
      <c r="W754" s="33"/>
    </row>
    <row r="755" spans="2:23">
      <c r="B755" s="3">
        <v>45441</v>
      </c>
      <c r="C755" s="6" t="s">
        <v>98</v>
      </c>
      <c r="D755" s="6" t="s">
        <v>29</v>
      </c>
      <c r="E755" s="5">
        <v>5</v>
      </c>
      <c r="F755" s="5" vm="532">
        <v>76.680000000000007</v>
      </c>
      <c r="G755" s="5">
        <f>StockTransactionsTable[[#This Row],[Shares No.]]*StockTransactionsTable[[#This Row],[Amount per Share]]</f>
        <v>383.40000000000003</v>
      </c>
      <c r="H755" s="5">
        <v>0.17311501110735192</v>
      </c>
      <c r="I75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383.5731150111074</v>
      </c>
      <c r="J755" s="19">
        <f>StockTransactionsTable[[#This Row],[Fee]]/StockTransactionsTable[[#This Row],[Total Amount]]</f>
        <v>4.5152585056690639E-4</v>
      </c>
      <c r="K755" s="5">
        <f>IF(StockTransactionsTable[[#This Row],[Transaction Type]]="Buy", StockTransactionsTable[[#This Row],[Total Amount with Fee]] / StockTransactionsTable[[#This Row],[Shares No.]],0)</f>
        <v>76.714623002221487</v>
      </c>
      <c r="L75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55" s="4">
        <f>YEAR(StockTransactionsTable[[#This Row],[Date]])</f>
        <v>2024</v>
      </c>
      <c r="N755" s="4">
        <f>MONTH(StockTransactionsTable[[#This Row],[Date]])</f>
        <v>5</v>
      </c>
      <c r="R755" s="1"/>
      <c r="V755" s="33"/>
      <c r="W755" s="33"/>
    </row>
    <row r="756" spans="2:23">
      <c r="B756" s="3">
        <v>45447</v>
      </c>
      <c r="C756" s="6" t="s">
        <v>84</v>
      </c>
      <c r="D756" s="6" t="s">
        <v>30</v>
      </c>
      <c r="E756" s="5">
        <v>51</v>
      </c>
      <c r="F756" s="5">
        <v>1.24</v>
      </c>
      <c r="G756" s="5">
        <f>StockTransactionsTable[[#This Row],[Shares No.]]*StockTransactionsTable[[#This Row],[Amount per Share]]</f>
        <v>63.24</v>
      </c>
      <c r="H756" s="5">
        <v>0</v>
      </c>
      <c r="I75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63.24</v>
      </c>
      <c r="J756" s="19">
        <f>StockTransactionsTable[[#This Row],[Fee]]/StockTransactionsTable[[#This Row],[Total Amount]]</f>
        <v>0</v>
      </c>
      <c r="K756" s="5">
        <f>IF(StockTransactionsTable[[#This Row],[Transaction Type]]="Buy", StockTransactionsTable[[#This Row],[Total Amount with Fee]] / StockTransactionsTable[[#This Row],[Shares No.]],0)</f>
        <v>0</v>
      </c>
      <c r="L75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56" s="4">
        <f>YEAR(StockTransactionsTable[[#This Row],[Date]])</f>
        <v>2024</v>
      </c>
      <c r="N756" s="4">
        <f>MONTH(StockTransactionsTable[[#This Row],[Date]])</f>
        <v>6</v>
      </c>
      <c r="R756" s="1"/>
      <c r="V756" s="33"/>
      <c r="W756" s="33"/>
    </row>
    <row r="757" spans="2:23">
      <c r="B757" s="3">
        <v>45453</v>
      </c>
      <c r="C757" s="6" t="s">
        <v>17</v>
      </c>
      <c r="D757" s="6" t="s">
        <v>30</v>
      </c>
      <c r="E757" s="5">
        <v>207</v>
      </c>
      <c r="F757" s="5">
        <v>1.67</v>
      </c>
      <c r="G757" s="5">
        <f>StockTransactionsTable[[#This Row],[Shares No.]]*StockTransactionsTable[[#This Row],[Amount per Share]]</f>
        <v>345.69</v>
      </c>
      <c r="H757" s="5">
        <v>0</v>
      </c>
      <c r="I75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345.69</v>
      </c>
      <c r="J757" s="19">
        <f>StockTransactionsTable[[#This Row],[Fee]]/StockTransactionsTable[[#This Row],[Total Amount]]</f>
        <v>0</v>
      </c>
      <c r="K757" s="5">
        <f>IF(StockTransactionsTable[[#This Row],[Transaction Type]]="Buy", StockTransactionsTable[[#This Row],[Total Amount with Fee]] / StockTransactionsTable[[#This Row],[Shares No.]],0)</f>
        <v>0</v>
      </c>
      <c r="L75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57" s="4">
        <f>YEAR(StockTransactionsTable[[#This Row],[Date]])</f>
        <v>2024</v>
      </c>
      <c r="N757" s="4">
        <f>MONTH(StockTransactionsTable[[#This Row],[Date]])</f>
        <v>6</v>
      </c>
      <c r="R757" s="1"/>
      <c r="V757" s="33"/>
      <c r="W757" s="33"/>
    </row>
    <row r="758" spans="2:23">
      <c r="B758" s="3">
        <v>45453</v>
      </c>
      <c r="C758" s="6" t="s">
        <v>16</v>
      </c>
      <c r="D758" s="6" t="s">
        <v>30</v>
      </c>
      <c r="E758" s="5">
        <v>185</v>
      </c>
      <c r="F758" s="5">
        <v>0.95</v>
      </c>
      <c r="G758" s="5">
        <f>StockTransactionsTable[[#This Row],[Shares No.]]*StockTransactionsTable[[#This Row],[Amount per Share]]</f>
        <v>175.75</v>
      </c>
      <c r="H758" s="5">
        <v>0</v>
      </c>
      <c r="I75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175.75</v>
      </c>
      <c r="J758" s="19">
        <f>StockTransactionsTable[[#This Row],[Fee]]/StockTransactionsTable[[#This Row],[Total Amount]]</f>
        <v>0</v>
      </c>
      <c r="K758" s="5">
        <f>IF(StockTransactionsTable[[#This Row],[Transaction Type]]="Buy", StockTransactionsTable[[#This Row],[Total Amount with Fee]] / StockTransactionsTable[[#This Row],[Shares No.]],0)</f>
        <v>0</v>
      </c>
      <c r="L75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58" s="4">
        <f>YEAR(StockTransactionsTable[[#This Row],[Date]])</f>
        <v>2024</v>
      </c>
      <c r="N758" s="4">
        <f>MONTH(StockTransactionsTable[[#This Row],[Date]])</f>
        <v>6</v>
      </c>
      <c r="R758" s="1"/>
      <c r="V758" s="33"/>
      <c r="W758" s="33"/>
    </row>
    <row r="759" spans="2:23">
      <c r="B759" s="3">
        <v>45455</v>
      </c>
      <c r="C759" s="6" t="s">
        <v>13</v>
      </c>
      <c r="D759" s="6" t="s">
        <v>29</v>
      </c>
      <c r="E759" s="5">
        <v>7</v>
      </c>
      <c r="F759" s="5" vm="533">
        <v>27.66</v>
      </c>
      <c r="G759" s="5">
        <f>StockTransactionsTable[[#This Row],[Shares No.]]*StockTransactionsTable[[#This Row],[Amount per Share]]</f>
        <v>193.62</v>
      </c>
      <c r="H759" s="5">
        <v>9.3915391575989562E-2</v>
      </c>
      <c r="I75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193.71391539157599</v>
      </c>
      <c r="J759" s="19">
        <f>StockTransactionsTable[[#This Row],[Fee]]/StockTransactionsTable[[#This Row],[Total Amount]]</f>
        <v>4.8505005462240241E-4</v>
      </c>
      <c r="K759" s="5">
        <f>IF(StockTransactionsTable[[#This Row],[Transaction Type]]="Buy", StockTransactionsTable[[#This Row],[Total Amount with Fee]] / StockTransactionsTable[[#This Row],[Shares No.]],0)</f>
        <v>27.673416484510856</v>
      </c>
      <c r="L75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59" s="4">
        <f>YEAR(StockTransactionsTable[[#This Row],[Date]])</f>
        <v>2024</v>
      </c>
      <c r="N759" s="4">
        <f>MONTH(StockTransactionsTable[[#This Row],[Date]])</f>
        <v>6</v>
      </c>
      <c r="R759" s="1"/>
      <c r="V759" s="33"/>
      <c r="W759" s="33"/>
    </row>
    <row r="760" spans="2:23">
      <c r="B760" s="3">
        <v>45455</v>
      </c>
      <c r="C760" s="6" t="s">
        <v>106</v>
      </c>
      <c r="D760" s="6" t="s">
        <v>30</v>
      </c>
      <c r="E760" s="5">
        <v>88</v>
      </c>
      <c r="F760" s="5">
        <v>0.65</v>
      </c>
      <c r="G760" s="5">
        <f>StockTransactionsTable[[#This Row],[Shares No.]]*StockTransactionsTable[[#This Row],[Amount per Share]]</f>
        <v>57.2</v>
      </c>
      <c r="H760" s="5">
        <v>0</v>
      </c>
      <c r="I76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57.2</v>
      </c>
      <c r="J760" s="19">
        <f>StockTransactionsTable[[#This Row],[Fee]]/StockTransactionsTable[[#This Row],[Total Amount]]</f>
        <v>0</v>
      </c>
      <c r="K760" s="5">
        <f>IF(StockTransactionsTable[[#This Row],[Transaction Type]]="Buy", StockTransactionsTable[[#This Row],[Total Amount with Fee]] / StockTransactionsTable[[#This Row],[Shares No.]],0)</f>
        <v>0</v>
      </c>
      <c r="L76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60" s="4">
        <f>YEAR(StockTransactionsTable[[#This Row],[Date]])</f>
        <v>2024</v>
      </c>
      <c r="N760" s="4">
        <f>MONTH(StockTransactionsTable[[#This Row],[Date]])</f>
        <v>6</v>
      </c>
      <c r="R760" s="1"/>
      <c r="V760" s="33"/>
      <c r="W760" s="33"/>
    </row>
    <row r="761" spans="2:23">
      <c r="B761" s="3">
        <v>45456</v>
      </c>
      <c r="C761" s="6" t="s">
        <v>95</v>
      </c>
      <c r="D761" s="6" t="s">
        <v>30</v>
      </c>
      <c r="E761" s="5">
        <v>143</v>
      </c>
      <c r="F761" s="5">
        <v>2.25</v>
      </c>
      <c r="G761" s="5">
        <f>StockTransactionsTable[[#This Row],[Shares No.]]*StockTransactionsTable[[#This Row],[Amount per Share]]</f>
        <v>321.75</v>
      </c>
      <c r="H761" s="5">
        <v>0</v>
      </c>
      <c r="I76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321.75</v>
      </c>
      <c r="J761" s="19">
        <f>StockTransactionsTable[[#This Row],[Fee]]/StockTransactionsTable[[#This Row],[Total Amount]]</f>
        <v>0</v>
      </c>
      <c r="K761" s="5">
        <f>IF(StockTransactionsTable[[#This Row],[Transaction Type]]="Buy", StockTransactionsTable[[#This Row],[Total Amount with Fee]] / StockTransactionsTable[[#This Row],[Shares No.]],0)</f>
        <v>0</v>
      </c>
      <c r="L76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61" s="4">
        <f>YEAR(StockTransactionsTable[[#This Row],[Date]])</f>
        <v>2024</v>
      </c>
      <c r="N761" s="4">
        <f>MONTH(StockTransactionsTable[[#This Row],[Date]])</f>
        <v>6</v>
      </c>
      <c r="R761" s="1"/>
      <c r="V761" s="33"/>
      <c r="W761" s="33"/>
    </row>
    <row r="762" spans="2:23">
      <c r="B762" s="3">
        <v>45456</v>
      </c>
      <c r="C762" s="6" t="s">
        <v>91</v>
      </c>
      <c r="D762" s="6" t="s">
        <v>30</v>
      </c>
      <c r="E762" s="5">
        <v>183</v>
      </c>
      <c r="F762" s="5">
        <v>0.75</v>
      </c>
      <c r="G762" s="5">
        <f>StockTransactionsTable[[#This Row],[Shares No.]]*StockTransactionsTable[[#This Row],[Amount per Share]]</f>
        <v>137.25</v>
      </c>
      <c r="H762" s="5">
        <v>0</v>
      </c>
      <c r="I76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137.25</v>
      </c>
      <c r="J762" s="19">
        <f>StockTransactionsTable[[#This Row],[Fee]]/StockTransactionsTable[[#This Row],[Total Amount]]</f>
        <v>0</v>
      </c>
      <c r="K762" s="5">
        <f>IF(StockTransactionsTable[[#This Row],[Transaction Type]]="Buy", StockTransactionsTable[[#This Row],[Total Amount with Fee]] / StockTransactionsTable[[#This Row],[Shares No.]],0)</f>
        <v>0</v>
      </c>
      <c r="L76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62" s="4">
        <f>YEAR(StockTransactionsTable[[#This Row],[Date]])</f>
        <v>2024</v>
      </c>
      <c r="N762" s="4">
        <f>MONTH(StockTransactionsTable[[#This Row],[Date]])</f>
        <v>6</v>
      </c>
      <c r="R762" s="1"/>
      <c r="V762" s="33"/>
      <c r="W762" s="33"/>
    </row>
    <row r="763" spans="2:23">
      <c r="B763" s="3">
        <v>45457</v>
      </c>
      <c r="C763" s="6" t="s">
        <v>12</v>
      </c>
      <c r="D763" s="6" t="s">
        <v>30</v>
      </c>
      <c r="E763" s="5">
        <v>97</v>
      </c>
      <c r="F763" s="5">
        <v>0.26250000000000001</v>
      </c>
      <c r="G763" s="5">
        <f>StockTransactionsTable[[#This Row],[Shares No.]]*StockTransactionsTable[[#This Row],[Amount per Share]]</f>
        <v>25.462500000000002</v>
      </c>
      <c r="H763" s="5">
        <v>0</v>
      </c>
      <c r="I76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25.462500000000002</v>
      </c>
      <c r="J763" s="19">
        <f>StockTransactionsTable[[#This Row],[Fee]]/StockTransactionsTable[[#This Row],[Total Amount]]</f>
        <v>0</v>
      </c>
      <c r="K763" s="5">
        <f>IF(StockTransactionsTable[[#This Row],[Transaction Type]]="Buy", StockTransactionsTable[[#This Row],[Total Amount with Fee]] / StockTransactionsTable[[#This Row],[Shares No.]],0)</f>
        <v>0</v>
      </c>
      <c r="L76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63" s="4">
        <f>YEAR(StockTransactionsTable[[#This Row],[Date]])</f>
        <v>2024</v>
      </c>
      <c r="N763" s="4">
        <f>MONTH(StockTransactionsTable[[#This Row],[Date]])</f>
        <v>6</v>
      </c>
      <c r="R763" s="1"/>
      <c r="V763" s="33"/>
      <c r="W763" s="33"/>
    </row>
    <row r="764" spans="2:23">
      <c r="B764" s="3">
        <v>45457</v>
      </c>
      <c r="C764" s="6" t="s">
        <v>13</v>
      </c>
      <c r="D764" s="6" t="s">
        <v>30</v>
      </c>
      <c r="E764" s="5">
        <v>63</v>
      </c>
      <c r="F764" s="5">
        <v>0.42</v>
      </c>
      <c r="G764" s="5">
        <f>StockTransactionsTable[[#This Row],[Shares No.]]*StockTransactionsTable[[#This Row],[Amount per Share]]</f>
        <v>26.459999999999997</v>
      </c>
      <c r="H764" s="5">
        <v>0</v>
      </c>
      <c r="I76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26.459999999999997</v>
      </c>
      <c r="J764" s="19">
        <f>StockTransactionsTable[[#This Row],[Fee]]/StockTransactionsTable[[#This Row],[Total Amount]]</f>
        <v>0</v>
      </c>
      <c r="K764" s="5">
        <f>IF(StockTransactionsTable[[#This Row],[Transaction Type]]="Buy", StockTransactionsTable[[#This Row],[Total Amount with Fee]] / StockTransactionsTable[[#This Row],[Shares No.]],0)</f>
        <v>0</v>
      </c>
      <c r="L76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64" s="4">
        <f>YEAR(StockTransactionsTable[[#This Row],[Date]])</f>
        <v>2024</v>
      </c>
      <c r="N764" s="4">
        <f>MONTH(StockTransactionsTable[[#This Row],[Date]])</f>
        <v>6</v>
      </c>
      <c r="R764" s="1"/>
      <c r="V764" s="33"/>
      <c r="W764" s="33"/>
    </row>
    <row r="765" spans="2:23">
      <c r="B765" s="3">
        <v>45460</v>
      </c>
      <c r="C765" s="6" t="s">
        <v>14</v>
      </c>
      <c r="D765" s="6" t="s">
        <v>30</v>
      </c>
      <c r="E765" s="5">
        <v>63</v>
      </c>
      <c r="F765" s="5">
        <v>0.41020000000000001</v>
      </c>
      <c r="G765" s="5">
        <f>StockTransactionsTable[[#This Row],[Shares No.]]*StockTransactionsTable[[#This Row],[Amount per Share]]</f>
        <v>25.842600000000001</v>
      </c>
      <c r="H765" s="5">
        <v>0</v>
      </c>
      <c r="I76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25.842600000000001</v>
      </c>
      <c r="J765" s="19">
        <f>StockTransactionsTable[[#This Row],[Fee]]/StockTransactionsTable[[#This Row],[Total Amount]]</f>
        <v>0</v>
      </c>
      <c r="K765" s="5">
        <f>IF(StockTransactionsTable[[#This Row],[Transaction Type]]="Buy", StockTransactionsTable[[#This Row],[Total Amount with Fee]] / StockTransactionsTable[[#This Row],[Shares No.]],0)</f>
        <v>0</v>
      </c>
      <c r="L76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65" s="4">
        <f>YEAR(StockTransactionsTable[[#This Row],[Date]])</f>
        <v>2024</v>
      </c>
      <c r="N765" s="4">
        <f>MONTH(StockTransactionsTable[[#This Row],[Date]])</f>
        <v>6</v>
      </c>
      <c r="R765" s="1"/>
      <c r="V765" s="33"/>
      <c r="W765" s="33"/>
    </row>
    <row r="766" spans="2:23">
      <c r="B766" s="3">
        <v>45460</v>
      </c>
      <c r="C766" s="6" t="s">
        <v>100</v>
      </c>
      <c r="D766" s="6" t="s">
        <v>30</v>
      </c>
      <c r="E766" s="5">
        <v>250</v>
      </c>
      <c r="F766" s="5">
        <v>1.0249999999999999</v>
      </c>
      <c r="G766" s="5">
        <f>StockTransactionsTable[[#This Row],[Shares No.]]*StockTransactionsTable[[#This Row],[Amount per Share]]</f>
        <v>256.25</v>
      </c>
      <c r="H766" s="5">
        <v>0</v>
      </c>
      <c r="I76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256.25</v>
      </c>
      <c r="J766" s="19">
        <f>StockTransactionsTable[[#This Row],[Fee]]/StockTransactionsTable[[#This Row],[Total Amount]]</f>
        <v>0</v>
      </c>
      <c r="K766" s="5">
        <f>IF(StockTransactionsTable[[#This Row],[Transaction Type]]="Buy", StockTransactionsTable[[#This Row],[Total Amount with Fee]] / StockTransactionsTable[[#This Row],[Shares No.]],0)</f>
        <v>0</v>
      </c>
      <c r="L76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66" s="4">
        <f>YEAR(StockTransactionsTable[[#This Row],[Date]])</f>
        <v>2024</v>
      </c>
      <c r="N766" s="4">
        <f>MONTH(StockTransactionsTable[[#This Row],[Date]])</f>
        <v>6</v>
      </c>
      <c r="R766" s="1"/>
      <c r="V766" s="33"/>
      <c r="W766" s="33"/>
    </row>
    <row r="767" spans="2:23">
      <c r="B767" s="3">
        <v>45460</v>
      </c>
      <c r="C767" s="6" t="s">
        <v>88</v>
      </c>
      <c r="D767" s="6" t="s">
        <v>30</v>
      </c>
      <c r="E767" s="5">
        <v>95</v>
      </c>
      <c r="F767" s="5">
        <v>1.67</v>
      </c>
      <c r="G767" s="5">
        <f>StockTransactionsTable[[#This Row],[Shares No.]]*StockTransactionsTable[[#This Row],[Amount per Share]]</f>
        <v>158.65</v>
      </c>
      <c r="H767" s="5">
        <v>0</v>
      </c>
      <c r="I76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158.65</v>
      </c>
      <c r="J767" s="19">
        <f>StockTransactionsTable[[#This Row],[Fee]]/StockTransactionsTable[[#This Row],[Total Amount]]</f>
        <v>0</v>
      </c>
      <c r="K767" s="5">
        <f>IF(StockTransactionsTable[[#This Row],[Transaction Type]]="Buy", StockTransactionsTable[[#This Row],[Total Amount with Fee]] / StockTransactionsTable[[#This Row],[Shares No.]],0)</f>
        <v>0</v>
      </c>
      <c r="L76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67" s="4">
        <f>YEAR(StockTransactionsTable[[#This Row],[Date]])</f>
        <v>2024</v>
      </c>
      <c r="N767" s="4">
        <f>MONTH(StockTransactionsTable[[#This Row],[Date]])</f>
        <v>6</v>
      </c>
      <c r="R767" s="1"/>
      <c r="V767" s="33"/>
      <c r="W767" s="33"/>
    </row>
    <row r="768" spans="2:23">
      <c r="B768" s="3">
        <v>45460</v>
      </c>
      <c r="C768" s="6" t="s">
        <v>98</v>
      </c>
      <c r="D768" s="6" t="s">
        <v>30</v>
      </c>
      <c r="E768" s="5">
        <v>365</v>
      </c>
      <c r="F768" s="5">
        <v>0.51500000000000001</v>
      </c>
      <c r="G768" s="5">
        <f>StockTransactionsTable[[#This Row],[Shares No.]]*StockTransactionsTable[[#This Row],[Amount per Share]]</f>
        <v>187.97499999999999</v>
      </c>
      <c r="H768" s="5">
        <v>0</v>
      </c>
      <c r="I76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187.97499999999999</v>
      </c>
      <c r="J768" s="19">
        <f>StockTransactionsTable[[#This Row],[Fee]]/StockTransactionsTable[[#This Row],[Total Amount]]</f>
        <v>0</v>
      </c>
      <c r="K768" s="5">
        <f>IF(StockTransactionsTable[[#This Row],[Transaction Type]]="Buy", StockTransactionsTable[[#This Row],[Total Amount with Fee]] / StockTransactionsTable[[#This Row],[Shares No.]],0)</f>
        <v>0</v>
      </c>
      <c r="L76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68" s="4">
        <f>YEAR(StockTransactionsTable[[#This Row],[Date]])</f>
        <v>2024</v>
      </c>
      <c r="N768" s="4">
        <f>MONTH(StockTransactionsTable[[#This Row],[Date]])</f>
        <v>6</v>
      </c>
      <c r="R768" s="1"/>
      <c r="V768" s="33"/>
      <c r="W768" s="33"/>
    </row>
    <row r="769" spans="2:23">
      <c r="B769" s="3">
        <v>45471</v>
      </c>
      <c r="C769" s="6" t="s">
        <v>18</v>
      </c>
      <c r="D769" s="6" t="s">
        <v>30</v>
      </c>
      <c r="E769" s="5">
        <v>43</v>
      </c>
      <c r="F769" s="5">
        <v>1.355</v>
      </c>
      <c r="G769" s="5">
        <f>StockTransactionsTable[[#This Row],[Shares No.]]*StockTransactionsTable[[#This Row],[Amount per Share]]</f>
        <v>58.265000000000001</v>
      </c>
      <c r="H769" s="5">
        <v>0</v>
      </c>
      <c r="I76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58.265000000000001</v>
      </c>
      <c r="J769" s="19">
        <f>StockTransactionsTable[[#This Row],[Fee]]/StockTransactionsTable[[#This Row],[Total Amount]]</f>
        <v>0</v>
      </c>
      <c r="K769" s="5">
        <f>IF(StockTransactionsTable[[#This Row],[Transaction Type]]="Buy", StockTransactionsTable[[#This Row],[Total Amount with Fee]] / StockTransactionsTable[[#This Row],[Shares No.]],0)</f>
        <v>0</v>
      </c>
      <c r="L76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69" s="4">
        <f>YEAR(StockTransactionsTable[[#This Row],[Date]])</f>
        <v>2024</v>
      </c>
      <c r="N769" s="4">
        <f>MONTH(StockTransactionsTable[[#This Row],[Date]])</f>
        <v>6</v>
      </c>
      <c r="R769" s="1"/>
      <c r="V769" s="33"/>
      <c r="W769" s="33"/>
    </row>
    <row r="770" spans="2:23">
      <c r="B770" s="3">
        <v>45474</v>
      </c>
      <c r="C770" s="6" t="s">
        <v>23</v>
      </c>
      <c r="D770" s="6" t="s">
        <v>30</v>
      </c>
      <c r="E770" s="5">
        <v>117</v>
      </c>
      <c r="F770" s="5">
        <v>0.48499999999999999</v>
      </c>
      <c r="G770" s="5">
        <f>StockTransactionsTable[[#This Row],[Shares No.]]*StockTransactionsTable[[#This Row],[Amount per Share]]</f>
        <v>56.744999999999997</v>
      </c>
      <c r="H770" s="5">
        <v>0</v>
      </c>
      <c r="I77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56.744999999999997</v>
      </c>
      <c r="J770" s="19">
        <f>StockTransactionsTable[[#This Row],[Fee]]/StockTransactionsTable[[#This Row],[Total Amount]]</f>
        <v>0</v>
      </c>
      <c r="K770" s="5">
        <f>IF(StockTransactionsTable[[#This Row],[Transaction Type]]="Buy", StockTransactionsTable[[#This Row],[Total Amount with Fee]] / StockTransactionsTable[[#This Row],[Shares No.]],0)</f>
        <v>0</v>
      </c>
      <c r="L77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70" s="4">
        <f>YEAR(StockTransactionsTable[[#This Row],[Date]])</f>
        <v>2024</v>
      </c>
      <c r="N770" s="4">
        <f>MONTH(StockTransactionsTable[[#This Row],[Date]])</f>
        <v>7</v>
      </c>
      <c r="R770" s="1"/>
      <c r="V770" s="33"/>
      <c r="W770" s="33"/>
    </row>
    <row r="771" spans="2:23">
      <c r="B771" s="3">
        <v>45478</v>
      </c>
      <c r="C771" s="6" t="s">
        <v>17</v>
      </c>
      <c r="D771" s="6" t="s">
        <v>29</v>
      </c>
      <c r="E771" s="5">
        <v>24</v>
      </c>
      <c r="F771" s="5" vm="534">
        <v>176.02</v>
      </c>
      <c r="G771" s="5">
        <f>StockTransactionsTable[[#This Row],[Shares No.]]*StockTransactionsTable[[#This Row],[Amount per Share]]</f>
        <v>4224.4800000000005</v>
      </c>
      <c r="H771" s="5">
        <v>1.8437735751172739</v>
      </c>
      <c r="I77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4226.3237735751181</v>
      </c>
      <c r="J771" s="19">
        <f>StockTransactionsTable[[#This Row],[Fee]]/StockTransactionsTable[[#This Row],[Total Amount]]</f>
        <v>4.3644982935586718E-4</v>
      </c>
      <c r="K771" s="5">
        <f>IF(StockTransactionsTable[[#This Row],[Transaction Type]]="Buy", StockTransactionsTable[[#This Row],[Total Amount with Fee]] / StockTransactionsTable[[#This Row],[Shares No.]],0)</f>
        <v>176.09682389896327</v>
      </c>
      <c r="L77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71" s="4">
        <f>YEAR(StockTransactionsTable[[#This Row],[Date]])</f>
        <v>2024</v>
      </c>
      <c r="N771" s="4">
        <f>MONTH(StockTransactionsTable[[#This Row],[Date]])</f>
        <v>7</v>
      </c>
      <c r="R771" s="1"/>
      <c r="V771" s="33"/>
      <c r="W771" s="33"/>
    </row>
    <row r="772" spans="2:23">
      <c r="B772" s="3">
        <v>45488</v>
      </c>
      <c r="C772" s="6" t="s">
        <v>12</v>
      </c>
      <c r="D772" s="6" t="s">
        <v>30</v>
      </c>
      <c r="E772" s="5">
        <v>97</v>
      </c>
      <c r="F772" s="5">
        <v>0.26300000000000001</v>
      </c>
      <c r="G772" s="5">
        <f>StockTransactionsTable[[#This Row],[Shares No.]]*StockTransactionsTable[[#This Row],[Amount per Share]]</f>
        <v>25.511000000000003</v>
      </c>
      <c r="H772" s="5">
        <v>0</v>
      </c>
      <c r="I77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25.511000000000003</v>
      </c>
      <c r="J772" s="19">
        <f>StockTransactionsTable[[#This Row],[Fee]]/StockTransactionsTable[[#This Row],[Total Amount]]</f>
        <v>0</v>
      </c>
      <c r="K772" s="5">
        <f>IF(StockTransactionsTable[[#This Row],[Transaction Type]]="Buy", StockTransactionsTable[[#This Row],[Total Amount with Fee]] / StockTransactionsTable[[#This Row],[Shares No.]],0)</f>
        <v>0</v>
      </c>
      <c r="L77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72" s="4">
        <f>YEAR(StockTransactionsTable[[#This Row],[Date]])</f>
        <v>2024</v>
      </c>
      <c r="N772" s="4">
        <f>MONTH(StockTransactionsTable[[#This Row],[Date]])</f>
        <v>7</v>
      </c>
      <c r="R772" s="1"/>
      <c r="V772" s="33"/>
      <c r="W772" s="33"/>
    </row>
    <row r="773" spans="2:23">
      <c r="B773" s="3">
        <v>45504</v>
      </c>
      <c r="C773" s="6" t="s">
        <v>20</v>
      </c>
      <c r="D773" s="6" t="s">
        <v>30</v>
      </c>
      <c r="E773" s="5">
        <v>116</v>
      </c>
      <c r="F773" s="5">
        <v>1.1499999999999999</v>
      </c>
      <c r="G773" s="5">
        <f>StockTransactionsTable[[#This Row],[Shares No.]]*StockTransactionsTable[[#This Row],[Amount per Share]]</f>
        <v>133.39999999999998</v>
      </c>
      <c r="H773" s="5">
        <v>0</v>
      </c>
      <c r="I77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133.39999999999998</v>
      </c>
      <c r="J773" s="19">
        <f>StockTransactionsTable[[#This Row],[Fee]]/StockTransactionsTable[[#This Row],[Total Amount]]</f>
        <v>0</v>
      </c>
      <c r="K773" s="5">
        <f>IF(StockTransactionsTable[[#This Row],[Transaction Type]]="Buy", StockTransactionsTable[[#This Row],[Total Amount with Fee]] / StockTransactionsTable[[#This Row],[Shares No.]],0)</f>
        <v>0</v>
      </c>
      <c r="L77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73" s="4">
        <f>YEAR(StockTransactionsTable[[#This Row],[Date]])</f>
        <v>2024</v>
      </c>
      <c r="N773" s="4">
        <f>MONTH(StockTransactionsTable[[#This Row],[Date]])</f>
        <v>7</v>
      </c>
      <c r="R773" s="1"/>
      <c r="V773" s="33"/>
      <c r="W773" s="33"/>
    </row>
    <row r="774" spans="2:23">
      <c r="B774" s="3">
        <v>45505</v>
      </c>
      <c r="C774" s="6" t="s">
        <v>15</v>
      </c>
      <c r="D774" s="6" t="s">
        <v>30</v>
      </c>
      <c r="E774" s="5">
        <v>133</v>
      </c>
      <c r="F774" s="5">
        <v>0.27750000000000002</v>
      </c>
      <c r="G774" s="5">
        <f>StockTransactionsTable[[#This Row],[Shares No.]]*StockTransactionsTable[[#This Row],[Amount per Share]]</f>
        <v>36.907500000000006</v>
      </c>
      <c r="H774" s="5">
        <v>0</v>
      </c>
      <c r="I77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36.907500000000006</v>
      </c>
      <c r="J774" s="19">
        <f>StockTransactionsTable[[#This Row],[Fee]]/StockTransactionsTable[[#This Row],[Total Amount]]</f>
        <v>0</v>
      </c>
      <c r="K774" s="5">
        <f>IF(StockTransactionsTable[[#This Row],[Transaction Type]]="Buy", StockTransactionsTable[[#This Row],[Total Amount with Fee]] / StockTransactionsTable[[#This Row],[Shares No.]],0)</f>
        <v>0</v>
      </c>
      <c r="L77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74" s="4">
        <f>YEAR(StockTransactionsTable[[#This Row],[Date]])</f>
        <v>2024</v>
      </c>
      <c r="N774" s="4">
        <f>MONTH(StockTransactionsTable[[#This Row],[Date]])</f>
        <v>8</v>
      </c>
      <c r="R774" s="1"/>
      <c r="V774" s="33"/>
      <c r="W774" s="33"/>
    </row>
    <row r="775" spans="2:23">
      <c r="B775" s="3">
        <v>45511</v>
      </c>
      <c r="C775" s="6" t="s">
        <v>15</v>
      </c>
      <c r="D775" s="6" t="s">
        <v>29</v>
      </c>
      <c r="E775" s="5">
        <v>13</v>
      </c>
      <c r="F775" s="5" vm="535">
        <v>19.25</v>
      </c>
      <c r="G775" s="5">
        <f>StockTransactionsTable[[#This Row],[Shares No.]]*StockTransactionsTable[[#This Row],[Amount per Share]]</f>
        <v>250.25</v>
      </c>
      <c r="H775" s="5">
        <v>0.11354276413693104</v>
      </c>
      <c r="I77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250.36354276413692</v>
      </c>
      <c r="J775" s="19">
        <f>StockTransactionsTable[[#This Row],[Fee]]/StockTransactionsTable[[#This Row],[Total Amount]]</f>
        <v>4.5371733920851563E-4</v>
      </c>
      <c r="K775" s="5">
        <f>IF(StockTransactionsTable[[#This Row],[Transaction Type]]="Buy", StockTransactionsTable[[#This Row],[Total Amount with Fee]] / StockTransactionsTable[[#This Row],[Shares No.]],0)</f>
        <v>19.258734058779762</v>
      </c>
      <c r="L77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75" s="4">
        <f>YEAR(StockTransactionsTable[[#This Row],[Date]])</f>
        <v>2024</v>
      </c>
      <c r="N775" s="4">
        <f>MONTH(StockTransactionsTable[[#This Row],[Date]])</f>
        <v>8</v>
      </c>
      <c r="R775" s="1"/>
      <c r="V775" s="33"/>
      <c r="W775" s="33"/>
    </row>
    <row r="776" spans="2:23">
      <c r="B776" s="3">
        <v>45519</v>
      </c>
      <c r="C776" s="6" t="s">
        <v>86</v>
      </c>
      <c r="D776" s="6" t="s">
        <v>30</v>
      </c>
      <c r="E776" s="5">
        <v>120</v>
      </c>
      <c r="F776" s="5">
        <v>1.55</v>
      </c>
      <c r="G776" s="5">
        <f>StockTransactionsTable[[#This Row],[Shares No.]]*StockTransactionsTable[[#This Row],[Amount per Share]]</f>
        <v>186</v>
      </c>
      <c r="H776" s="5">
        <v>0</v>
      </c>
      <c r="I77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186</v>
      </c>
      <c r="J776" s="19">
        <f>StockTransactionsTable[[#This Row],[Fee]]/StockTransactionsTable[[#This Row],[Total Amount]]</f>
        <v>0</v>
      </c>
      <c r="K776" s="5">
        <f>IF(StockTransactionsTable[[#This Row],[Transaction Type]]="Buy", StockTransactionsTable[[#This Row],[Total Amount with Fee]] / StockTransactionsTable[[#This Row],[Shares No.]],0)</f>
        <v>0</v>
      </c>
      <c r="L77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76" s="4">
        <f>YEAR(StockTransactionsTable[[#This Row],[Date]])</f>
        <v>2024</v>
      </c>
      <c r="N776" s="4">
        <f>MONTH(StockTransactionsTable[[#This Row],[Date]])</f>
        <v>8</v>
      </c>
      <c r="R776" s="1"/>
      <c r="V776" s="33"/>
      <c r="W776" s="33"/>
    </row>
    <row r="777" spans="2:23">
      <c r="B777" s="3">
        <v>45519</v>
      </c>
      <c r="C777" s="6" t="s">
        <v>12</v>
      </c>
      <c r="D777" s="6" t="s">
        <v>30</v>
      </c>
      <c r="E777" s="5">
        <v>97</v>
      </c>
      <c r="F777" s="5">
        <v>0.26300000000000001</v>
      </c>
      <c r="G777" s="5">
        <f>StockTransactionsTable[[#This Row],[Shares No.]]*StockTransactionsTable[[#This Row],[Amount per Share]]</f>
        <v>25.511000000000003</v>
      </c>
      <c r="H777" s="5">
        <v>0</v>
      </c>
      <c r="I77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25.511000000000003</v>
      </c>
      <c r="J777" s="19">
        <f>StockTransactionsTable[[#This Row],[Fee]]/StockTransactionsTable[[#This Row],[Total Amount]]</f>
        <v>0</v>
      </c>
      <c r="K777" s="5">
        <f>IF(StockTransactionsTable[[#This Row],[Transaction Type]]="Buy", StockTransactionsTable[[#This Row],[Total Amount with Fee]] / StockTransactionsTable[[#This Row],[Shares No.]],0)</f>
        <v>0</v>
      </c>
      <c r="L77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77" s="4">
        <f>YEAR(StockTransactionsTable[[#This Row],[Date]])</f>
        <v>2024</v>
      </c>
      <c r="N777" s="4">
        <f>MONTH(StockTransactionsTable[[#This Row],[Date]])</f>
        <v>8</v>
      </c>
      <c r="R777" s="1"/>
      <c r="V777" s="33"/>
      <c r="W777" s="33"/>
    </row>
    <row r="778" spans="2:23">
      <c r="B778" s="3">
        <v>45519</v>
      </c>
      <c r="C778" s="6" t="s">
        <v>21</v>
      </c>
      <c r="D778" s="6" t="s">
        <v>30</v>
      </c>
      <c r="E778" s="5">
        <v>42</v>
      </c>
      <c r="F778" s="5">
        <v>1.0065</v>
      </c>
      <c r="G778" s="5">
        <f>StockTransactionsTable[[#This Row],[Shares No.]]*StockTransactionsTable[[#This Row],[Amount per Share]]</f>
        <v>42.272999999999996</v>
      </c>
      <c r="H778" s="5">
        <v>0</v>
      </c>
      <c r="I77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42.272999999999996</v>
      </c>
      <c r="J778" s="19">
        <f>StockTransactionsTable[[#This Row],[Fee]]/StockTransactionsTable[[#This Row],[Total Amount]]</f>
        <v>0</v>
      </c>
      <c r="K778" s="5">
        <f>IF(StockTransactionsTable[[#This Row],[Transaction Type]]="Buy", StockTransactionsTable[[#This Row],[Total Amount with Fee]] / StockTransactionsTable[[#This Row],[Shares No.]],0)</f>
        <v>0</v>
      </c>
      <c r="L77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78" s="4">
        <f>YEAR(StockTransactionsTable[[#This Row],[Date]])</f>
        <v>2024</v>
      </c>
      <c r="N778" s="4">
        <f>MONTH(StockTransactionsTable[[#This Row],[Date]])</f>
        <v>8</v>
      </c>
      <c r="R778" s="1"/>
      <c r="V778" s="33"/>
      <c r="W778" s="33"/>
    </row>
    <row r="779" spans="2:23">
      <c r="B779" s="3">
        <v>45524</v>
      </c>
      <c r="C779" s="6" t="s">
        <v>22</v>
      </c>
      <c r="D779" s="6" t="s">
        <v>30</v>
      </c>
      <c r="E779" s="5">
        <v>119</v>
      </c>
      <c r="F779" s="5">
        <v>1.41</v>
      </c>
      <c r="G779" s="5">
        <f>StockTransactionsTable[[#This Row],[Shares No.]]*StockTransactionsTable[[#This Row],[Amount per Share]]</f>
        <v>167.79</v>
      </c>
      <c r="H779" s="5">
        <v>0</v>
      </c>
      <c r="I77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167.79</v>
      </c>
      <c r="J779" s="19">
        <f>StockTransactionsTable[[#This Row],[Fee]]/StockTransactionsTable[[#This Row],[Total Amount]]</f>
        <v>0</v>
      </c>
      <c r="K779" s="5">
        <f>IF(StockTransactionsTable[[#This Row],[Transaction Type]]="Buy", StockTransactionsTable[[#This Row],[Total Amount with Fee]] / StockTransactionsTable[[#This Row],[Shares No.]],0)</f>
        <v>0</v>
      </c>
      <c r="L77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79" s="4">
        <f>YEAR(StockTransactionsTable[[#This Row],[Date]])</f>
        <v>2024</v>
      </c>
      <c r="N779" s="4">
        <f>MONTH(StockTransactionsTable[[#This Row],[Date]])</f>
        <v>8</v>
      </c>
      <c r="R779" s="1"/>
      <c r="V779" s="33"/>
      <c r="W779" s="33"/>
    </row>
    <row r="780" spans="2:23">
      <c r="B780" s="3">
        <v>45526</v>
      </c>
      <c r="C780" s="6" t="s">
        <v>86</v>
      </c>
      <c r="D780" s="6" t="s">
        <v>29</v>
      </c>
      <c r="E780" s="5">
        <v>21</v>
      </c>
      <c r="F780" s="5" vm="536">
        <v>196.37</v>
      </c>
      <c r="G780" s="5">
        <f>StockTransactionsTable[[#This Row],[Shares No.]]*StockTransactionsTable[[#This Row],[Amount per Share]]</f>
        <v>4123.7700000000004</v>
      </c>
      <c r="H780" s="5">
        <v>1.7887448196090523</v>
      </c>
      <c r="I78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4125.5587448196093</v>
      </c>
      <c r="J780" s="19">
        <f>StockTransactionsTable[[#This Row],[Fee]]/StockTransactionsTable[[#This Row],[Total Amount]]</f>
        <v>4.3376444845591585E-4</v>
      </c>
      <c r="K780" s="5">
        <f>IF(StockTransactionsTable[[#This Row],[Transaction Type]]="Buy", StockTransactionsTable[[#This Row],[Total Amount with Fee]] / StockTransactionsTable[[#This Row],[Shares No.]],0)</f>
        <v>196.45517832474329</v>
      </c>
      <c r="L78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80" s="4">
        <f>YEAR(StockTransactionsTable[[#This Row],[Date]])</f>
        <v>2024</v>
      </c>
      <c r="N780" s="4">
        <f>MONTH(StockTransactionsTable[[#This Row],[Date]])</f>
        <v>8</v>
      </c>
      <c r="R780" s="1"/>
      <c r="V780" s="33"/>
      <c r="W780" s="33"/>
    </row>
    <row r="781" spans="2:23">
      <c r="B781" s="3">
        <v>45534</v>
      </c>
      <c r="C781" s="6" t="s">
        <v>19</v>
      </c>
      <c r="D781" s="6" t="s">
        <v>30</v>
      </c>
      <c r="E781" s="5">
        <v>57</v>
      </c>
      <c r="F781" s="5">
        <v>1.22</v>
      </c>
      <c r="G781" s="5">
        <f>StockTransactionsTable[[#This Row],[Shares No.]]*StockTransactionsTable[[#This Row],[Amount per Share]]</f>
        <v>69.539999999999992</v>
      </c>
      <c r="H781" s="5">
        <v>0</v>
      </c>
      <c r="I78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69.539999999999992</v>
      </c>
      <c r="J781" s="19">
        <f>StockTransactionsTable[[#This Row],[Fee]]/StockTransactionsTable[[#This Row],[Total Amount]]</f>
        <v>0</v>
      </c>
      <c r="K781" s="5">
        <f>IF(StockTransactionsTable[[#This Row],[Transaction Type]]="Buy", StockTransactionsTable[[#This Row],[Total Amount with Fee]] / StockTransactionsTable[[#This Row],[Shares No.]],0)</f>
        <v>0</v>
      </c>
      <c r="L78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81" s="4">
        <f>YEAR(StockTransactionsTable[[#This Row],[Date]])</f>
        <v>2024</v>
      </c>
      <c r="N781" s="4">
        <f>MONTH(StockTransactionsTable[[#This Row],[Date]])</f>
        <v>8</v>
      </c>
      <c r="R781" s="1"/>
      <c r="V781" s="33"/>
      <c r="W781" s="33"/>
    </row>
    <row r="782" spans="2:23">
      <c r="B782" s="3">
        <v>45538</v>
      </c>
      <c r="C782" s="6" t="s">
        <v>13</v>
      </c>
      <c r="D782" s="6" t="s">
        <v>30</v>
      </c>
      <c r="E782" s="5">
        <v>70</v>
      </c>
      <c r="F782" s="5">
        <v>0.42</v>
      </c>
      <c r="G782" s="5">
        <f>StockTransactionsTable[[#This Row],[Shares No.]]*StockTransactionsTable[[#This Row],[Amount per Share]]</f>
        <v>29.4</v>
      </c>
      <c r="H782" s="5">
        <v>0</v>
      </c>
      <c r="I78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29.4</v>
      </c>
      <c r="J782" s="19">
        <f>StockTransactionsTable[[#This Row],[Fee]]/StockTransactionsTable[[#This Row],[Total Amount]]</f>
        <v>0</v>
      </c>
      <c r="K782" s="5">
        <f>IF(StockTransactionsTable[[#This Row],[Transaction Type]]="Buy", StockTransactionsTable[[#This Row],[Total Amount with Fee]] / StockTransactionsTable[[#This Row],[Shares No.]],0)</f>
        <v>0</v>
      </c>
      <c r="L78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82" s="4">
        <f>YEAR(StockTransactionsTable[[#This Row],[Date]])</f>
        <v>2024</v>
      </c>
      <c r="N782" s="4">
        <f>MONTH(StockTransactionsTable[[#This Row],[Date]])</f>
        <v>9</v>
      </c>
      <c r="R782" s="1"/>
      <c r="V782" s="33"/>
      <c r="W782" s="33"/>
    </row>
    <row r="783" spans="2:23">
      <c r="B783" s="3">
        <v>45540</v>
      </c>
      <c r="C783" s="6" t="s">
        <v>13</v>
      </c>
      <c r="D783" s="6" t="s">
        <v>29</v>
      </c>
      <c r="E783" s="5">
        <v>24</v>
      </c>
      <c r="F783" s="5" vm="537">
        <v>28.51</v>
      </c>
      <c r="G783" s="5">
        <f>StockTransactionsTable[[#This Row],[Shares No.]]*StockTransactionsTable[[#This Row],[Amount per Share]]</f>
        <v>684.24</v>
      </c>
      <c r="H783" s="5">
        <v>0.29404578187772085</v>
      </c>
      <c r="I78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684.53404578187769</v>
      </c>
      <c r="J783" s="19">
        <f>StockTransactionsTable[[#This Row],[Fee]]/StockTransactionsTable[[#This Row],[Total Amount]]</f>
        <v>4.2974070776002698E-4</v>
      </c>
      <c r="K783" s="5">
        <f>IF(StockTransactionsTable[[#This Row],[Transaction Type]]="Buy", StockTransactionsTable[[#This Row],[Total Amount with Fee]] / StockTransactionsTable[[#This Row],[Shares No.]],0)</f>
        <v>28.522251907578237</v>
      </c>
      <c r="L78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83" s="4">
        <f>YEAR(StockTransactionsTable[[#This Row],[Date]])</f>
        <v>2024</v>
      </c>
      <c r="N783" s="4">
        <f>MONTH(StockTransactionsTable[[#This Row],[Date]])</f>
        <v>9</v>
      </c>
      <c r="R783" s="1"/>
      <c r="V783" s="33"/>
      <c r="W783" s="33"/>
    </row>
    <row r="784" spans="2:23">
      <c r="B784" s="3">
        <v>45545</v>
      </c>
      <c r="C784" s="6" t="s">
        <v>17</v>
      </c>
      <c r="D784" s="6" t="s">
        <v>30</v>
      </c>
      <c r="E784" s="5">
        <v>231</v>
      </c>
      <c r="F784" s="5">
        <v>1.67</v>
      </c>
      <c r="G784" s="5">
        <f>StockTransactionsTable[[#This Row],[Shares No.]]*StockTransactionsTable[[#This Row],[Amount per Share]]</f>
        <v>385.77</v>
      </c>
      <c r="H784" s="5">
        <v>0</v>
      </c>
      <c r="I78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385.77</v>
      </c>
      <c r="J784" s="19">
        <f>StockTransactionsTable[[#This Row],[Fee]]/StockTransactionsTable[[#This Row],[Total Amount]]</f>
        <v>0</v>
      </c>
      <c r="K784" s="5">
        <f>IF(StockTransactionsTable[[#This Row],[Transaction Type]]="Buy", StockTransactionsTable[[#This Row],[Total Amount with Fee]] / StockTransactionsTable[[#This Row],[Shares No.]],0)</f>
        <v>0</v>
      </c>
      <c r="L78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84" s="4">
        <f>YEAR(StockTransactionsTable[[#This Row],[Date]])</f>
        <v>2024</v>
      </c>
      <c r="N784" s="4">
        <f>MONTH(StockTransactionsTable[[#This Row],[Date]])</f>
        <v>9</v>
      </c>
      <c r="R784" s="1"/>
      <c r="V784" s="33"/>
      <c r="W784" s="33"/>
    </row>
    <row r="785" spans="2:23">
      <c r="B785" s="3">
        <v>45545</v>
      </c>
      <c r="C785" s="6" t="s">
        <v>84</v>
      </c>
      <c r="D785" s="6" t="s">
        <v>30</v>
      </c>
      <c r="E785" s="5">
        <v>51</v>
      </c>
      <c r="F785" s="5">
        <v>1.24</v>
      </c>
      <c r="G785" s="5">
        <f>StockTransactionsTable[[#This Row],[Shares No.]]*StockTransactionsTable[[#This Row],[Amount per Share]]</f>
        <v>63.24</v>
      </c>
      <c r="H785" s="5">
        <v>0</v>
      </c>
      <c r="I78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63.24</v>
      </c>
      <c r="J785" s="19">
        <f>StockTransactionsTable[[#This Row],[Fee]]/StockTransactionsTable[[#This Row],[Total Amount]]</f>
        <v>0</v>
      </c>
      <c r="K785" s="5">
        <f>IF(StockTransactionsTable[[#This Row],[Transaction Type]]="Buy", StockTransactionsTable[[#This Row],[Total Amount with Fee]] / StockTransactionsTable[[#This Row],[Shares No.]],0)</f>
        <v>0</v>
      </c>
      <c r="L78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85" s="4">
        <f>YEAR(StockTransactionsTable[[#This Row],[Date]])</f>
        <v>2024</v>
      </c>
      <c r="N785" s="4">
        <f>MONTH(StockTransactionsTable[[#This Row],[Date]])</f>
        <v>9</v>
      </c>
      <c r="R785" s="1"/>
      <c r="V785" s="33"/>
      <c r="W785" s="33"/>
    </row>
    <row r="786" spans="2:23">
      <c r="B786" s="3">
        <v>45545</v>
      </c>
      <c r="C786" s="6" t="s">
        <v>16</v>
      </c>
      <c r="D786" s="6" t="s">
        <v>30</v>
      </c>
      <c r="E786" s="5">
        <v>185</v>
      </c>
      <c r="F786" s="5">
        <v>0.95</v>
      </c>
      <c r="G786" s="5">
        <f>StockTransactionsTable[[#This Row],[Shares No.]]*StockTransactionsTable[[#This Row],[Amount per Share]]</f>
        <v>175.75</v>
      </c>
      <c r="H786" s="5">
        <v>0</v>
      </c>
      <c r="I78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175.75</v>
      </c>
      <c r="J786" s="19">
        <f>StockTransactionsTable[[#This Row],[Fee]]/StockTransactionsTable[[#This Row],[Total Amount]]</f>
        <v>0</v>
      </c>
      <c r="K786" s="5">
        <f>IF(StockTransactionsTable[[#This Row],[Transaction Type]]="Buy", StockTransactionsTable[[#This Row],[Total Amount with Fee]] / StockTransactionsTable[[#This Row],[Shares No.]],0)</f>
        <v>0</v>
      </c>
      <c r="L78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86" s="4">
        <f>YEAR(StockTransactionsTable[[#This Row],[Date]])</f>
        <v>2024</v>
      </c>
      <c r="N786" s="4">
        <f>MONTH(StockTransactionsTable[[#This Row],[Date]])</f>
        <v>9</v>
      </c>
      <c r="R786" s="1"/>
      <c r="V786" s="33"/>
      <c r="W786" s="33"/>
    </row>
    <row r="787" spans="2:23">
      <c r="B787" s="3">
        <v>45547</v>
      </c>
      <c r="C787" s="6" t="s">
        <v>95</v>
      </c>
      <c r="D787" s="6" t="s">
        <v>30</v>
      </c>
      <c r="E787" s="5">
        <v>143</v>
      </c>
      <c r="F787" s="5">
        <v>2.25</v>
      </c>
      <c r="G787" s="5">
        <f>StockTransactionsTable[[#This Row],[Shares No.]]*StockTransactionsTable[[#This Row],[Amount per Share]]</f>
        <v>321.75</v>
      </c>
      <c r="H787" s="5">
        <v>0</v>
      </c>
      <c r="I78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321.75</v>
      </c>
      <c r="J787" s="19">
        <f>StockTransactionsTable[[#This Row],[Fee]]/StockTransactionsTable[[#This Row],[Total Amount]]</f>
        <v>0</v>
      </c>
      <c r="K787" s="5">
        <f>IF(StockTransactionsTable[[#This Row],[Transaction Type]]="Buy", StockTransactionsTable[[#This Row],[Total Amount with Fee]] / StockTransactionsTable[[#This Row],[Shares No.]],0)</f>
        <v>0</v>
      </c>
      <c r="L78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87" s="4">
        <f>YEAR(StockTransactionsTable[[#This Row],[Date]])</f>
        <v>2024</v>
      </c>
      <c r="N787" s="4">
        <f>MONTH(StockTransactionsTable[[#This Row],[Date]])</f>
        <v>9</v>
      </c>
      <c r="R787" s="1"/>
      <c r="V787" s="33"/>
      <c r="W787" s="33"/>
    </row>
    <row r="788" spans="2:23">
      <c r="B788" s="3">
        <v>45547</v>
      </c>
      <c r="C788" s="6" t="s">
        <v>91</v>
      </c>
      <c r="D788" s="6" t="s">
        <v>30</v>
      </c>
      <c r="E788" s="5">
        <v>183</v>
      </c>
      <c r="F788" s="5">
        <v>0.75</v>
      </c>
      <c r="G788" s="5">
        <f>StockTransactionsTable[[#This Row],[Shares No.]]*StockTransactionsTable[[#This Row],[Amount per Share]]</f>
        <v>137.25</v>
      </c>
      <c r="H788" s="5">
        <v>0</v>
      </c>
      <c r="I78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137.25</v>
      </c>
      <c r="J788" s="19">
        <f>StockTransactionsTable[[#This Row],[Fee]]/StockTransactionsTable[[#This Row],[Total Amount]]</f>
        <v>0</v>
      </c>
      <c r="K788" s="5">
        <f>IF(StockTransactionsTable[[#This Row],[Transaction Type]]="Buy", StockTransactionsTable[[#This Row],[Total Amount with Fee]] / StockTransactionsTable[[#This Row],[Shares No.]],0)</f>
        <v>0</v>
      </c>
      <c r="L78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88" s="4">
        <f>YEAR(StockTransactionsTable[[#This Row],[Date]])</f>
        <v>2024</v>
      </c>
      <c r="N788" s="4">
        <f>MONTH(StockTransactionsTable[[#This Row],[Date]])</f>
        <v>9</v>
      </c>
      <c r="R788" s="1"/>
      <c r="V788" s="33"/>
      <c r="W788" s="33"/>
    </row>
    <row r="789" spans="2:23">
      <c r="B789" s="3">
        <v>45547</v>
      </c>
      <c r="C789" s="6" t="s">
        <v>106</v>
      </c>
      <c r="D789" s="6" t="s">
        <v>30</v>
      </c>
      <c r="E789" s="5">
        <v>88</v>
      </c>
      <c r="F789" s="5">
        <v>0.68</v>
      </c>
      <c r="G789" s="5">
        <f>StockTransactionsTable[[#This Row],[Shares No.]]*StockTransactionsTable[[#This Row],[Amount per Share]]</f>
        <v>59.84</v>
      </c>
      <c r="H789" s="5">
        <v>0</v>
      </c>
      <c r="I78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59.84</v>
      </c>
      <c r="J789" s="19">
        <f>StockTransactionsTable[[#This Row],[Fee]]/StockTransactionsTable[[#This Row],[Total Amount]]</f>
        <v>0</v>
      </c>
      <c r="K789" s="5">
        <f>IF(StockTransactionsTable[[#This Row],[Transaction Type]]="Buy", StockTransactionsTable[[#This Row],[Total Amount with Fee]] / StockTransactionsTable[[#This Row],[Shares No.]],0)</f>
        <v>0</v>
      </c>
      <c r="L78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89" s="4">
        <f>YEAR(StockTransactionsTable[[#This Row],[Date]])</f>
        <v>2024</v>
      </c>
      <c r="N789" s="4">
        <f>MONTH(StockTransactionsTable[[#This Row],[Date]])</f>
        <v>9</v>
      </c>
      <c r="R789" s="1"/>
      <c r="V789" s="33"/>
      <c r="W789" s="33"/>
    </row>
    <row r="790" spans="2:23">
      <c r="B790" s="3">
        <v>45548</v>
      </c>
      <c r="C790" s="6" t="s">
        <v>12</v>
      </c>
      <c r="D790" s="6" t="s">
        <v>30</v>
      </c>
      <c r="E790" s="5">
        <v>97</v>
      </c>
      <c r="F790" s="5">
        <v>0.26300000000000001</v>
      </c>
      <c r="G790" s="5">
        <f>StockTransactionsTable[[#This Row],[Shares No.]]*StockTransactionsTable[[#This Row],[Amount per Share]]</f>
        <v>25.511000000000003</v>
      </c>
      <c r="H790" s="5">
        <v>0</v>
      </c>
      <c r="I79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25.511000000000003</v>
      </c>
      <c r="J790" s="19">
        <f>StockTransactionsTable[[#This Row],[Fee]]/StockTransactionsTable[[#This Row],[Total Amount]]</f>
        <v>0</v>
      </c>
      <c r="K790" s="5">
        <f>IF(StockTransactionsTable[[#This Row],[Transaction Type]]="Buy", StockTransactionsTable[[#This Row],[Total Amount with Fee]] / StockTransactionsTable[[#This Row],[Shares No.]],0)</f>
        <v>0</v>
      </c>
      <c r="L79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90" s="4">
        <f>YEAR(StockTransactionsTable[[#This Row],[Date]])</f>
        <v>2024</v>
      </c>
      <c r="N790" s="4">
        <f>MONTH(StockTransactionsTable[[#This Row],[Date]])</f>
        <v>9</v>
      </c>
      <c r="R790" s="1"/>
      <c r="V790" s="33"/>
      <c r="W790" s="33"/>
    </row>
    <row r="791" spans="2:23">
      <c r="B791" s="3">
        <v>45551</v>
      </c>
      <c r="C791" s="6" t="s">
        <v>14</v>
      </c>
      <c r="D791" s="6" t="s">
        <v>30</v>
      </c>
      <c r="E791" s="5">
        <v>63</v>
      </c>
      <c r="F791" s="5">
        <v>0.41710000000000003</v>
      </c>
      <c r="G791" s="5">
        <f>StockTransactionsTable[[#This Row],[Shares No.]]*StockTransactionsTable[[#This Row],[Amount per Share]]</f>
        <v>26.2773</v>
      </c>
      <c r="H791" s="5">
        <v>0</v>
      </c>
      <c r="I79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26.2773</v>
      </c>
      <c r="J791" s="19">
        <f>StockTransactionsTable[[#This Row],[Fee]]/StockTransactionsTable[[#This Row],[Total Amount]]</f>
        <v>0</v>
      </c>
      <c r="K791" s="5">
        <f>IF(StockTransactionsTable[[#This Row],[Transaction Type]]="Buy", StockTransactionsTable[[#This Row],[Total Amount with Fee]] / StockTransactionsTable[[#This Row],[Shares No.]],0)</f>
        <v>0</v>
      </c>
      <c r="L79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91" s="4">
        <f>YEAR(StockTransactionsTable[[#This Row],[Date]])</f>
        <v>2024</v>
      </c>
      <c r="N791" s="4">
        <f>MONTH(StockTransactionsTable[[#This Row],[Date]])</f>
        <v>9</v>
      </c>
      <c r="R791" s="1"/>
      <c r="V791" s="33"/>
      <c r="W791" s="33"/>
    </row>
    <row r="792" spans="2:23">
      <c r="B792" s="3">
        <v>45551</v>
      </c>
      <c r="C792" s="6" t="s">
        <v>100</v>
      </c>
      <c r="D792" s="6" t="s">
        <v>30</v>
      </c>
      <c r="E792" s="5">
        <v>250</v>
      </c>
      <c r="F792" s="5">
        <v>1.0449999999999999</v>
      </c>
      <c r="G792" s="5">
        <f>StockTransactionsTable[[#This Row],[Shares No.]]*StockTransactionsTable[[#This Row],[Amount per Share]]</f>
        <v>261.25</v>
      </c>
      <c r="H792" s="5">
        <v>0</v>
      </c>
      <c r="I79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261.25</v>
      </c>
      <c r="J792" s="19">
        <f>StockTransactionsTable[[#This Row],[Fee]]/StockTransactionsTable[[#This Row],[Total Amount]]</f>
        <v>0</v>
      </c>
      <c r="K792" s="5">
        <f>IF(StockTransactionsTable[[#This Row],[Transaction Type]]="Buy", StockTransactionsTable[[#This Row],[Total Amount with Fee]] / StockTransactionsTable[[#This Row],[Shares No.]],0)</f>
        <v>0</v>
      </c>
      <c r="L79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92" s="4">
        <f>YEAR(StockTransactionsTable[[#This Row],[Date]])</f>
        <v>2024</v>
      </c>
      <c r="N792" s="4">
        <f>MONTH(StockTransactionsTable[[#This Row],[Date]])</f>
        <v>9</v>
      </c>
      <c r="R792" s="1"/>
      <c r="V792" s="33"/>
      <c r="W792" s="33"/>
    </row>
    <row r="793" spans="2:23">
      <c r="B793" s="3">
        <v>45551</v>
      </c>
      <c r="C793" s="6" t="s">
        <v>98</v>
      </c>
      <c r="D793" s="6" t="s">
        <v>30</v>
      </c>
      <c r="E793" s="5">
        <v>365</v>
      </c>
      <c r="F793" s="5">
        <v>0.51500000000000001</v>
      </c>
      <c r="G793" s="5">
        <f>StockTransactionsTable[[#This Row],[Shares No.]]*StockTransactionsTable[[#This Row],[Amount per Share]]</f>
        <v>187.97499999999999</v>
      </c>
      <c r="H793" s="5">
        <v>0</v>
      </c>
      <c r="I79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187.97499999999999</v>
      </c>
      <c r="J793" s="19">
        <f>StockTransactionsTable[[#This Row],[Fee]]/StockTransactionsTable[[#This Row],[Total Amount]]</f>
        <v>0</v>
      </c>
      <c r="K793" s="5">
        <f>IF(StockTransactionsTable[[#This Row],[Transaction Type]]="Buy", StockTransactionsTable[[#This Row],[Total Amount with Fee]] / StockTransactionsTable[[#This Row],[Shares No.]],0)</f>
        <v>0</v>
      </c>
      <c r="L79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93" s="4">
        <f>YEAR(StockTransactionsTable[[#This Row],[Date]])</f>
        <v>2024</v>
      </c>
      <c r="N793" s="4">
        <f>MONTH(StockTransactionsTable[[#This Row],[Date]])</f>
        <v>9</v>
      </c>
      <c r="R793" s="1"/>
      <c r="V793" s="33"/>
      <c r="W793" s="33"/>
    </row>
    <row r="794" spans="2:23">
      <c r="B794" s="3">
        <v>45552</v>
      </c>
      <c r="C794" s="6" t="s">
        <v>88</v>
      </c>
      <c r="D794" s="6" t="s">
        <v>30</v>
      </c>
      <c r="E794" s="5">
        <v>95</v>
      </c>
      <c r="F794" s="5">
        <v>1.67</v>
      </c>
      <c r="G794" s="5">
        <f>StockTransactionsTable[[#This Row],[Shares No.]]*StockTransactionsTable[[#This Row],[Amount per Share]]</f>
        <v>158.65</v>
      </c>
      <c r="H794" s="5">
        <v>0</v>
      </c>
      <c r="I79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158.65</v>
      </c>
      <c r="J794" s="19">
        <f>StockTransactionsTable[[#This Row],[Fee]]/StockTransactionsTable[[#This Row],[Total Amount]]</f>
        <v>0</v>
      </c>
      <c r="K794" s="5">
        <f>IF(StockTransactionsTable[[#This Row],[Transaction Type]]="Buy", StockTransactionsTable[[#This Row],[Total Amount with Fee]] / StockTransactionsTable[[#This Row],[Shares No.]],0)</f>
        <v>0</v>
      </c>
      <c r="L79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94" s="4">
        <f>YEAR(StockTransactionsTable[[#This Row],[Date]])</f>
        <v>2024</v>
      </c>
      <c r="N794" s="4">
        <f>MONTH(StockTransactionsTable[[#This Row],[Date]])</f>
        <v>9</v>
      </c>
    </row>
    <row r="795" spans="2:23">
      <c r="B795" s="3">
        <v>45555</v>
      </c>
      <c r="C795" s="6" t="s">
        <v>19</v>
      </c>
      <c r="D795" s="6" t="s">
        <v>29</v>
      </c>
      <c r="E795" s="5">
        <v>29</v>
      </c>
      <c r="F795" s="5" vm="538">
        <v>163.33000000000001</v>
      </c>
      <c r="G795" s="5">
        <f>StockTransactionsTable[[#This Row],[Shares No.]]*StockTransactionsTable[[#This Row],[Amount per Share]]</f>
        <v>4736.5700000000006</v>
      </c>
      <c r="H795" s="5">
        <v>2.2396330429312803</v>
      </c>
      <c r="I79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4738.8096330429316</v>
      </c>
      <c r="J795" s="19">
        <f>StockTransactionsTable[[#This Row],[Fee]]/StockTransactionsTable[[#This Row],[Total Amount]]</f>
        <v>4.7283858212404336E-4</v>
      </c>
      <c r="K795" s="5">
        <f>IF(StockTransactionsTable[[#This Row],[Transaction Type]]="Buy", StockTransactionsTable[[#This Row],[Total Amount with Fee]] / StockTransactionsTable[[#This Row],[Shares No.]],0)</f>
        <v>163.40722872561832</v>
      </c>
      <c r="L79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95" s="4">
        <f>YEAR(StockTransactionsTable[[#This Row],[Date]])</f>
        <v>2024</v>
      </c>
      <c r="N795" s="4">
        <f>MONTH(StockTransactionsTable[[#This Row],[Date]])</f>
        <v>9</v>
      </c>
    </row>
    <row r="796" spans="2:23">
      <c r="B796" s="3">
        <v>45565</v>
      </c>
      <c r="C796" s="6" t="s">
        <v>18</v>
      </c>
      <c r="D796" s="6" t="s">
        <v>30</v>
      </c>
      <c r="E796" s="5">
        <v>43</v>
      </c>
      <c r="F796" s="5">
        <v>1.355</v>
      </c>
      <c r="G796" s="5">
        <f>StockTransactionsTable[[#This Row],[Shares No.]]*StockTransactionsTable[[#This Row],[Amount per Share]]</f>
        <v>58.265000000000001</v>
      </c>
      <c r="H796" s="5">
        <v>0</v>
      </c>
      <c r="I79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58.265000000000001</v>
      </c>
      <c r="J796" s="19">
        <f>StockTransactionsTable[[#This Row],[Fee]]/StockTransactionsTable[[#This Row],[Total Amount]]</f>
        <v>0</v>
      </c>
      <c r="K796" s="5">
        <f>IF(StockTransactionsTable[[#This Row],[Transaction Type]]="Buy", StockTransactionsTable[[#This Row],[Total Amount with Fee]] / StockTransactionsTable[[#This Row],[Shares No.]],0)</f>
        <v>0</v>
      </c>
      <c r="L79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96" s="4">
        <f>YEAR(StockTransactionsTable[[#This Row],[Date]])</f>
        <v>2024</v>
      </c>
      <c r="N796" s="4">
        <f>MONTH(StockTransactionsTable[[#This Row],[Date]])</f>
        <v>9</v>
      </c>
    </row>
    <row r="797" spans="2:23">
      <c r="B797" s="3">
        <v>45566</v>
      </c>
      <c r="C797" s="6" t="s">
        <v>23</v>
      </c>
      <c r="D797" s="6" t="s">
        <v>30</v>
      </c>
      <c r="E797" s="5">
        <v>117</v>
      </c>
      <c r="F797" s="5">
        <v>0.48499999999999999</v>
      </c>
      <c r="G797" s="5">
        <f>StockTransactionsTable[[#This Row],[Shares No.]]*StockTransactionsTable[[#This Row],[Amount per Share]]</f>
        <v>56.744999999999997</v>
      </c>
      <c r="H797" s="5">
        <v>0</v>
      </c>
      <c r="I79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56.744999999999997</v>
      </c>
      <c r="J797" s="19">
        <f>StockTransactionsTable[[#This Row],[Fee]]/StockTransactionsTable[[#This Row],[Total Amount]]</f>
        <v>0</v>
      </c>
      <c r="K797" s="5">
        <f>IF(StockTransactionsTable[[#This Row],[Transaction Type]]="Buy", StockTransactionsTable[[#This Row],[Total Amount with Fee]] / StockTransactionsTable[[#This Row],[Shares No.]],0)</f>
        <v>0</v>
      </c>
      <c r="L79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97" s="4">
        <f>YEAR(StockTransactionsTable[[#This Row],[Date]])</f>
        <v>2024</v>
      </c>
      <c r="N797" s="4">
        <f>MONTH(StockTransactionsTable[[#This Row],[Date]])</f>
        <v>10</v>
      </c>
    </row>
    <row r="798" spans="2:23">
      <c r="B798" s="3">
        <v>45580</v>
      </c>
      <c r="C798" s="6" t="s">
        <v>12</v>
      </c>
      <c r="D798" s="6" t="s">
        <v>30</v>
      </c>
      <c r="E798" s="5">
        <v>97</v>
      </c>
      <c r="F798" s="5">
        <v>0.26350000000000001</v>
      </c>
      <c r="G798" s="5">
        <f>StockTransactionsTable[[#This Row],[Shares No.]]*StockTransactionsTable[[#This Row],[Amount per Share]]</f>
        <v>25.5595</v>
      </c>
      <c r="H798" s="5">
        <v>0</v>
      </c>
      <c r="I79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25.5595</v>
      </c>
      <c r="J798" s="19">
        <f>StockTransactionsTable[[#This Row],[Fee]]/StockTransactionsTable[[#This Row],[Total Amount]]</f>
        <v>0</v>
      </c>
      <c r="K798" s="5">
        <f>IF(StockTransactionsTable[[#This Row],[Transaction Type]]="Buy", StockTransactionsTable[[#This Row],[Total Amount with Fee]] / StockTransactionsTable[[#This Row],[Shares No.]],0)</f>
        <v>0</v>
      </c>
      <c r="L79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98" s="4">
        <f>YEAR(StockTransactionsTable[[#This Row],[Date]])</f>
        <v>2024</v>
      </c>
      <c r="N798" s="4">
        <f>MONTH(StockTransactionsTable[[#This Row],[Date]])</f>
        <v>10</v>
      </c>
    </row>
    <row r="799" spans="2:23">
      <c r="B799" s="3">
        <v>45593</v>
      </c>
      <c r="C799" s="6" t="s">
        <v>13</v>
      </c>
      <c r="D799" s="6" t="s">
        <v>29</v>
      </c>
      <c r="E799" s="5">
        <v>21</v>
      </c>
      <c r="F799" s="5" vm="539">
        <v>28.86</v>
      </c>
      <c r="G799" s="5">
        <f>StockTransactionsTable[[#This Row],[Shares No.]]*StockTransactionsTable[[#This Row],[Amount per Share]]</f>
        <v>606.05999999999995</v>
      </c>
      <c r="H799" s="5">
        <v>0.2877053716141203</v>
      </c>
      <c r="I79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606.3477053716141</v>
      </c>
      <c r="J799" s="19">
        <f>StockTransactionsTable[[#This Row],[Fee]]/StockTransactionsTable[[#This Row],[Total Amount]]</f>
        <v>4.747143378776364E-4</v>
      </c>
      <c r="K799" s="5">
        <f>IF(StockTransactionsTable[[#This Row],[Transaction Type]]="Buy", StockTransactionsTable[[#This Row],[Total Amount with Fee]] / StockTransactionsTable[[#This Row],[Shares No.]],0)</f>
        <v>28.873700255791146</v>
      </c>
      <c r="L79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799" s="4">
        <f>YEAR(StockTransactionsTable[[#This Row],[Date]])</f>
        <v>2024</v>
      </c>
      <c r="N799" s="4">
        <f>MONTH(StockTransactionsTable[[#This Row],[Date]])</f>
        <v>10</v>
      </c>
    </row>
    <row r="800" spans="2:23">
      <c r="B800" s="3">
        <v>45596</v>
      </c>
      <c r="C800" s="6" t="s">
        <v>20</v>
      </c>
      <c r="D800" s="6" t="s">
        <v>30</v>
      </c>
      <c r="E800" s="5">
        <v>116</v>
      </c>
      <c r="F800" s="5">
        <v>1.25</v>
      </c>
      <c r="G800" s="5">
        <f>StockTransactionsTable[[#This Row],[Shares No.]]*StockTransactionsTable[[#This Row],[Amount per Share]]</f>
        <v>145</v>
      </c>
      <c r="H800" s="5">
        <v>0</v>
      </c>
      <c r="I80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145</v>
      </c>
      <c r="J800" s="19">
        <f>StockTransactionsTable[[#This Row],[Fee]]/StockTransactionsTable[[#This Row],[Total Amount]]</f>
        <v>0</v>
      </c>
      <c r="K800" s="5">
        <f>IF(StockTransactionsTable[[#This Row],[Transaction Type]]="Buy", StockTransactionsTable[[#This Row],[Total Amount with Fee]] / StockTransactionsTable[[#This Row],[Shares No.]],0)</f>
        <v>0</v>
      </c>
      <c r="L80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00" s="4">
        <f>YEAR(StockTransactionsTable[[#This Row],[Date]])</f>
        <v>2024</v>
      </c>
      <c r="N800" s="4">
        <f>MONTH(StockTransactionsTable[[#This Row],[Date]])</f>
        <v>10</v>
      </c>
    </row>
    <row r="801" spans="2:14">
      <c r="B801" s="3">
        <v>45597</v>
      </c>
      <c r="C801" s="6" t="s">
        <v>15</v>
      </c>
      <c r="D801" s="6" t="s">
        <v>30</v>
      </c>
      <c r="E801" s="5">
        <v>146</v>
      </c>
      <c r="F801" s="5">
        <v>0.27750000000000002</v>
      </c>
      <c r="G801" s="5">
        <f>StockTransactionsTable[[#This Row],[Shares No.]]*StockTransactionsTable[[#This Row],[Amount per Share]]</f>
        <v>40.515000000000001</v>
      </c>
      <c r="H801" s="5">
        <v>0</v>
      </c>
      <c r="I80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40.515000000000001</v>
      </c>
      <c r="J801" s="19">
        <f>StockTransactionsTable[[#This Row],[Fee]]/StockTransactionsTable[[#This Row],[Total Amount]]</f>
        <v>0</v>
      </c>
      <c r="K801" s="5">
        <f>IF(StockTransactionsTable[[#This Row],[Transaction Type]]="Buy", StockTransactionsTable[[#This Row],[Total Amount with Fee]] / StockTransactionsTable[[#This Row],[Shares No.]],0)</f>
        <v>0</v>
      </c>
      <c r="L80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01" s="4">
        <f>YEAR(StockTransactionsTable[[#This Row],[Date]])</f>
        <v>2024</v>
      </c>
      <c r="N801" s="4">
        <f>MONTH(StockTransactionsTable[[#This Row],[Date]])</f>
        <v>11</v>
      </c>
    </row>
    <row r="802" spans="2:14">
      <c r="B802" s="3">
        <v>45603</v>
      </c>
      <c r="C802" s="6" t="s">
        <v>19</v>
      </c>
      <c r="D802" s="6" t="s">
        <v>30</v>
      </c>
      <c r="E802" s="5">
        <v>86</v>
      </c>
      <c r="F802" s="5">
        <v>1.22</v>
      </c>
      <c r="G802" s="5">
        <f>StockTransactionsTable[[#This Row],[Shares No.]]*StockTransactionsTable[[#This Row],[Amount per Share]]</f>
        <v>104.92</v>
      </c>
      <c r="H802" s="5">
        <v>0</v>
      </c>
      <c r="I80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104.92</v>
      </c>
      <c r="J802" s="19">
        <f>StockTransactionsTable[[#This Row],[Fee]]/StockTransactionsTable[[#This Row],[Total Amount]]</f>
        <v>0</v>
      </c>
      <c r="K802" s="5">
        <f>IF(StockTransactionsTable[[#This Row],[Transaction Type]]="Buy", StockTransactionsTable[[#This Row],[Total Amount with Fee]] / StockTransactionsTable[[#This Row],[Shares No.]],0)</f>
        <v>0</v>
      </c>
      <c r="L80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02" s="4">
        <f>YEAR(StockTransactionsTable[[#This Row],[Date]])</f>
        <v>2024</v>
      </c>
      <c r="N802" s="4">
        <f>MONTH(StockTransactionsTable[[#This Row],[Date]])</f>
        <v>11</v>
      </c>
    </row>
    <row r="803" spans="2:14">
      <c r="B803" s="3">
        <v>45611</v>
      </c>
      <c r="C803" s="6" t="s">
        <v>86</v>
      </c>
      <c r="D803" s="6" t="s">
        <v>30</v>
      </c>
      <c r="E803" s="5">
        <v>141</v>
      </c>
      <c r="F803" s="5">
        <v>1.55</v>
      </c>
      <c r="G803" s="5">
        <f>StockTransactionsTable[[#This Row],[Shares No.]]*StockTransactionsTable[[#This Row],[Amount per Share]]</f>
        <v>218.55</v>
      </c>
      <c r="H803" s="5">
        <v>0</v>
      </c>
      <c r="I80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218.55</v>
      </c>
      <c r="J803" s="19">
        <f>StockTransactionsTable[[#This Row],[Fee]]/StockTransactionsTable[[#This Row],[Total Amount]]</f>
        <v>0</v>
      </c>
      <c r="K803" s="5">
        <f>IF(StockTransactionsTable[[#This Row],[Transaction Type]]="Buy", StockTransactionsTable[[#This Row],[Total Amount with Fee]] / StockTransactionsTable[[#This Row],[Shares No.]],0)</f>
        <v>0</v>
      </c>
      <c r="L80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03" s="4">
        <f>YEAR(StockTransactionsTable[[#This Row],[Date]])</f>
        <v>2024</v>
      </c>
      <c r="N803" s="4">
        <f>MONTH(StockTransactionsTable[[#This Row],[Date]])</f>
        <v>11</v>
      </c>
    </row>
    <row r="804" spans="2:14">
      <c r="B804" s="3">
        <v>45611</v>
      </c>
      <c r="C804" s="6" t="s">
        <v>12</v>
      </c>
      <c r="D804" s="6" t="s">
        <v>30</v>
      </c>
      <c r="E804" s="5">
        <v>97</v>
      </c>
      <c r="F804" s="5">
        <v>0.26350000000000001</v>
      </c>
      <c r="G804" s="5">
        <f>StockTransactionsTable[[#This Row],[Shares No.]]*StockTransactionsTable[[#This Row],[Amount per Share]]</f>
        <v>25.5595</v>
      </c>
      <c r="H804" s="5">
        <v>0</v>
      </c>
      <c r="I80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25.5595</v>
      </c>
      <c r="J804" s="19">
        <f>StockTransactionsTable[[#This Row],[Fee]]/StockTransactionsTable[[#This Row],[Total Amount]]</f>
        <v>0</v>
      </c>
      <c r="K804" s="5">
        <f>IF(StockTransactionsTable[[#This Row],[Transaction Type]]="Buy", StockTransactionsTable[[#This Row],[Total Amount with Fee]] / StockTransactionsTable[[#This Row],[Shares No.]],0)</f>
        <v>0</v>
      </c>
      <c r="L80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04" s="4">
        <f>YEAR(StockTransactionsTable[[#This Row],[Date]])</f>
        <v>2024</v>
      </c>
      <c r="N804" s="4">
        <f>MONTH(StockTransactionsTable[[#This Row],[Date]])</f>
        <v>11</v>
      </c>
    </row>
    <row r="805" spans="2:14">
      <c r="B805" s="3">
        <v>45611</v>
      </c>
      <c r="C805" s="6" t="s">
        <v>21</v>
      </c>
      <c r="D805" s="6" t="s">
        <v>30</v>
      </c>
      <c r="E805" s="5">
        <v>42</v>
      </c>
      <c r="F805" s="5">
        <v>1.0065</v>
      </c>
      <c r="G805" s="5">
        <f>StockTransactionsTable[[#This Row],[Shares No.]]*StockTransactionsTable[[#This Row],[Amount per Share]]</f>
        <v>42.272999999999996</v>
      </c>
      <c r="H805" s="5">
        <v>0</v>
      </c>
      <c r="I80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42.272999999999996</v>
      </c>
      <c r="J805" s="19">
        <f>StockTransactionsTable[[#This Row],[Fee]]/StockTransactionsTable[[#This Row],[Total Amount]]</f>
        <v>0</v>
      </c>
      <c r="K805" s="5">
        <f>IF(StockTransactionsTable[[#This Row],[Transaction Type]]="Buy", StockTransactionsTable[[#This Row],[Total Amount with Fee]] / StockTransactionsTable[[#This Row],[Shares No.]],0)</f>
        <v>0</v>
      </c>
      <c r="L80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05" s="4">
        <f>YEAR(StockTransactionsTable[[#This Row],[Date]])</f>
        <v>2024</v>
      </c>
      <c r="N805" s="4">
        <f>MONTH(StockTransactionsTable[[#This Row],[Date]])</f>
        <v>11</v>
      </c>
    </row>
    <row r="806" spans="2:14">
      <c r="B806" s="3">
        <v>45616</v>
      </c>
      <c r="C806" s="6" t="s">
        <v>22</v>
      </c>
      <c r="D806" s="6" t="s">
        <v>30</v>
      </c>
      <c r="E806" s="5">
        <v>119</v>
      </c>
      <c r="F806" s="5">
        <v>1.41</v>
      </c>
      <c r="G806" s="5">
        <f>StockTransactionsTable[[#This Row],[Shares No.]]*StockTransactionsTable[[#This Row],[Amount per Share]]</f>
        <v>167.79</v>
      </c>
      <c r="H806" s="5">
        <v>0</v>
      </c>
      <c r="I80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167.79</v>
      </c>
      <c r="J806" s="19">
        <f>StockTransactionsTable[[#This Row],[Fee]]/StockTransactionsTable[[#This Row],[Total Amount]]</f>
        <v>0</v>
      </c>
      <c r="K806" s="5">
        <f>IF(StockTransactionsTable[[#This Row],[Transaction Type]]="Buy", StockTransactionsTable[[#This Row],[Total Amount with Fee]] / StockTransactionsTable[[#This Row],[Shares No.]],0)</f>
        <v>0</v>
      </c>
      <c r="L80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06" s="4">
        <f>YEAR(StockTransactionsTable[[#This Row],[Date]])</f>
        <v>2024</v>
      </c>
      <c r="N806" s="4">
        <f>MONTH(StockTransactionsTable[[#This Row],[Date]])</f>
        <v>11</v>
      </c>
    </row>
    <row r="807" spans="2:14">
      <c r="B807" s="3">
        <v>45628</v>
      </c>
      <c r="C807" s="6" t="s">
        <v>13</v>
      </c>
      <c r="D807" s="6" t="s">
        <v>30</v>
      </c>
      <c r="E807" s="5">
        <v>115</v>
      </c>
      <c r="F807" s="5">
        <v>0.42</v>
      </c>
      <c r="G807" s="5">
        <f>StockTransactionsTable[[#This Row],[Shares No.]]*StockTransactionsTable[[#This Row],[Amount per Share]]</f>
        <v>48.3</v>
      </c>
      <c r="H807" s="5">
        <v>0</v>
      </c>
      <c r="I80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48.3</v>
      </c>
      <c r="J807" s="19">
        <f>StockTransactionsTable[[#This Row],[Fee]]/StockTransactionsTable[[#This Row],[Total Amount]]</f>
        <v>0</v>
      </c>
      <c r="K807" s="5">
        <f>IF(StockTransactionsTable[[#This Row],[Transaction Type]]="Buy", StockTransactionsTable[[#This Row],[Total Amount with Fee]] / StockTransactionsTable[[#This Row],[Shares No.]],0)</f>
        <v>0</v>
      </c>
      <c r="L80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07" s="4">
        <f>YEAR(StockTransactionsTable[[#This Row],[Date]])</f>
        <v>2024</v>
      </c>
      <c r="N807" s="4">
        <f>MONTH(StockTransactionsTable[[#This Row],[Date]])</f>
        <v>12</v>
      </c>
    </row>
    <row r="808" spans="2:14">
      <c r="B808" s="3">
        <v>45631</v>
      </c>
      <c r="C808" s="6" t="s">
        <v>21</v>
      </c>
      <c r="D808" s="6" t="s">
        <v>29</v>
      </c>
      <c r="E808" s="5">
        <v>7</v>
      </c>
      <c r="F808" s="5" vm="540">
        <v>176.03</v>
      </c>
      <c r="G808" s="5">
        <f>StockTransactionsTable[[#This Row],[Shares No.]]*StockTransactionsTable[[#This Row],[Amount per Share]]</f>
        <v>1232.21</v>
      </c>
      <c r="H808" s="5">
        <v>0.51590356531806603</v>
      </c>
      <c r="I80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1232.725903565318</v>
      </c>
      <c r="J808" s="19">
        <f>StockTransactionsTable[[#This Row],[Fee]]/StockTransactionsTable[[#This Row],[Total Amount]]</f>
        <v>4.1868152775749749E-4</v>
      </c>
      <c r="K808" s="5">
        <f>IF(StockTransactionsTable[[#This Row],[Transaction Type]]="Buy", StockTransactionsTable[[#This Row],[Total Amount with Fee]] / StockTransactionsTable[[#This Row],[Shares No.]],0)</f>
        <v>176.10370050933116</v>
      </c>
      <c r="L80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08" s="4">
        <f>YEAR(StockTransactionsTable[[#This Row],[Date]])</f>
        <v>2024</v>
      </c>
      <c r="N808" s="4">
        <f>MONTH(StockTransactionsTable[[#This Row],[Date]])</f>
        <v>12</v>
      </c>
    </row>
    <row r="809" spans="2:14">
      <c r="B809" s="3">
        <v>45636</v>
      </c>
      <c r="C809" s="6" t="s">
        <v>17</v>
      </c>
      <c r="D809" s="6" t="s">
        <v>30</v>
      </c>
      <c r="E809" s="5">
        <v>231</v>
      </c>
      <c r="F809" s="5">
        <v>1.67</v>
      </c>
      <c r="G809" s="5">
        <f>StockTransactionsTable[[#This Row],[Shares No.]]*StockTransactionsTable[[#This Row],[Amount per Share]]</f>
        <v>385.77</v>
      </c>
      <c r="H809" s="5">
        <v>0</v>
      </c>
      <c r="I80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385.77</v>
      </c>
      <c r="J809" s="19">
        <f>StockTransactionsTable[[#This Row],[Fee]]/StockTransactionsTable[[#This Row],[Total Amount]]</f>
        <v>0</v>
      </c>
      <c r="K809" s="5">
        <f>IF(StockTransactionsTable[[#This Row],[Transaction Type]]="Buy", StockTransactionsTable[[#This Row],[Total Amount with Fee]] / StockTransactionsTable[[#This Row],[Shares No.]],0)</f>
        <v>0</v>
      </c>
      <c r="L80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09" s="4">
        <f>YEAR(StockTransactionsTable[[#This Row],[Date]])</f>
        <v>2024</v>
      </c>
      <c r="N809" s="4">
        <f>MONTH(StockTransactionsTable[[#This Row],[Date]])</f>
        <v>12</v>
      </c>
    </row>
    <row r="810" spans="2:14">
      <c r="B810" s="3">
        <v>45636</v>
      </c>
      <c r="C810" s="6" t="s">
        <v>84</v>
      </c>
      <c r="D810" s="6" t="s">
        <v>30</v>
      </c>
      <c r="E810" s="5">
        <v>51</v>
      </c>
      <c r="F810" s="5">
        <v>1.24</v>
      </c>
      <c r="G810" s="5">
        <f>StockTransactionsTable[[#This Row],[Shares No.]]*StockTransactionsTable[[#This Row],[Amount per Share]]</f>
        <v>63.24</v>
      </c>
      <c r="H810" s="5">
        <v>0</v>
      </c>
      <c r="I81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63.24</v>
      </c>
      <c r="J810" s="19">
        <f>StockTransactionsTable[[#This Row],[Fee]]/StockTransactionsTable[[#This Row],[Total Amount]]</f>
        <v>0</v>
      </c>
      <c r="K810" s="5">
        <f>IF(StockTransactionsTable[[#This Row],[Transaction Type]]="Buy", StockTransactionsTable[[#This Row],[Total Amount with Fee]] / StockTransactionsTable[[#This Row],[Shares No.]],0)</f>
        <v>0</v>
      </c>
      <c r="L81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10" s="4">
        <f>YEAR(StockTransactionsTable[[#This Row],[Date]])</f>
        <v>2024</v>
      </c>
      <c r="N810" s="4">
        <f>MONTH(StockTransactionsTable[[#This Row],[Date]])</f>
        <v>12</v>
      </c>
    </row>
    <row r="811" spans="2:14">
      <c r="B811" s="3">
        <v>45636</v>
      </c>
      <c r="C811" s="6" t="s">
        <v>16</v>
      </c>
      <c r="D811" s="6" t="s">
        <v>30</v>
      </c>
      <c r="E811" s="5">
        <v>185</v>
      </c>
      <c r="F811" s="5">
        <v>0.99</v>
      </c>
      <c r="G811" s="5">
        <f>StockTransactionsTable[[#This Row],[Shares No.]]*StockTransactionsTable[[#This Row],[Amount per Share]]</f>
        <v>183.15</v>
      </c>
      <c r="H811" s="5">
        <v>0</v>
      </c>
      <c r="I81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183.15</v>
      </c>
      <c r="J811" s="19">
        <f>StockTransactionsTable[[#This Row],[Fee]]/StockTransactionsTable[[#This Row],[Total Amount]]</f>
        <v>0</v>
      </c>
      <c r="K811" s="5">
        <f>IF(StockTransactionsTable[[#This Row],[Transaction Type]]="Buy", StockTransactionsTable[[#This Row],[Total Amount with Fee]] / StockTransactionsTable[[#This Row],[Shares No.]],0)</f>
        <v>0</v>
      </c>
      <c r="L81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11" s="4">
        <f>YEAR(StockTransactionsTable[[#This Row],[Date]])</f>
        <v>2024</v>
      </c>
      <c r="N811" s="4">
        <f>MONTH(StockTransactionsTable[[#This Row],[Date]])</f>
        <v>12</v>
      </c>
    </row>
    <row r="812" spans="2:14">
      <c r="B812" s="3">
        <v>45638</v>
      </c>
      <c r="C812" s="6" t="s">
        <v>95</v>
      </c>
      <c r="D812" s="6" t="s">
        <v>30</v>
      </c>
      <c r="E812" s="5">
        <v>143</v>
      </c>
      <c r="F812" s="5">
        <v>2.25</v>
      </c>
      <c r="G812" s="5">
        <f>StockTransactionsTable[[#This Row],[Shares No.]]*StockTransactionsTable[[#This Row],[Amount per Share]]</f>
        <v>321.75</v>
      </c>
      <c r="H812" s="5">
        <v>0</v>
      </c>
      <c r="I81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321.75</v>
      </c>
      <c r="J812" s="19">
        <f>StockTransactionsTable[[#This Row],[Fee]]/StockTransactionsTable[[#This Row],[Total Amount]]</f>
        <v>0</v>
      </c>
      <c r="K812" s="5">
        <f>IF(StockTransactionsTable[[#This Row],[Transaction Type]]="Buy", StockTransactionsTable[[#This Row],[Total Amount with Fee]] / StockTransactionsTable[[#This Row],[Shares No.]],0)</f>
        <v>0</v>
      </c>
      <c r="L81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12" s="4">
        <f>YEAR(StockTransactionsTable[[#This Row],[Date]])</f>
        <v>2024</v>
      </c>
      <c r="N812" s="4">
        <f>MONTH(StockTransactionsTable[[#This Row],[Date]])</f>
        <v>12</v>
      </c>
    </row>
    <row r="813" spans="2:14">
      <c r="B813" s="3">
        <v>45638</v>
      </c>
      <c r="C813" s="6" t="s">
        <v>91</v>
      </c>
      <c r="D813" s="6" t="s">
        <v>30</v>
      </c>
      <c r="E813" s="5">
        <v>183</v>
      </c>
      <c r="F813" s="5">
        <v>0.83</v>
      </c>
      <c r="G813" s="5">
        <f>StockTransactionsTable[[#This Row],[Shares No.]]*StockTransactionsTable[[#This Row],[Amount per Share]]</f>
        <v>151.88999999999999</v>
      </c>
      <c r="H813" s="5">
        <v>0</v>
      </c>
      <c r="I81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151.88999999999999</v>
      </c>
      <c r="J813" s="19">
        <f>StockTransactionsTable[[#This Row],[Fee]]/StockTransactionsTable[[#This Row],[Total Amount]]</f>
        <v>0</v>
      </c>
      <c r="K813" s="5">
        <f>IF(StockTransactionsTable[[#This Row],[Transaction Type]]="Buy", StockTransactionsTable[[#This Row],[Total Amount with Fee]] / StockTransactionsTable[[#This Row],[Shares No.]],0)</f>
        <v>0</v>
      </c>
      <c r="L81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13" s="4">
        <f>YEAR(StockTransactionsTable[[#This Row],[Date]])</f>
        <v>2024</v>
      </c>
      <c r="N813" s="4">
        <f>MONTH(StockTransactionsTable[[#This Row],[Date]])</f>
        <v>12</v>
      </c>
    </row>
    <row r="814" spans="2:14">
      <c r="B814" s="3">
        <v>45638</v>
      </c>
      <c r="C814" s="6" t="s">
        <v>106</v>
      </c>
      <c r="D814" s="6" t="s">
        <v>30</v>
      </c>
      <c r="E814" s="5">
        <v>88</v>
      </c>
      <c r="F814" s="5">
        <v>0.68</v>
      </c>
      <c r="G814" s="5">
        <f>StockTransactionsTable[[#This Row],[Shares No.]]*StockTransactionsTable[[#This Row],[Amount per Share]]</f>
        <v>59.84</v>
      </c>
      <c r="H814" s="5">
        <v>0</v>
      </c>
      <c r="I81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59.84</v>
      </c>
      <c r="J814" s="19">
        <f>StockTransactionsTable[[#This Row],[Fee]]/StockTransactionsTable[[#This Row],[Total Amount]]</f>
        <v>0</v>
      </c>
      <c r="K814" s="5">
        <f>IF(StockTransactionsTable[[#This Row],[Transaction Type]]="Buy", StockTransactionsTable[[#This Row],[Total Amount with Fee]] / StockTransactionsTable[[#This Row],[Shares No.]],0)</f>
        <v>0</v>
      </c>
      <c r="L81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14" s="4">
        <f>YEAR(StockTransactionsTable[[#This Row],[Date]])</f>
        <v>2024</v>
      </c>
      <c r="N814" s="4">
        <f>MONTH(StockTransactionsTable[[#This Row],[Date]])</f>
        <v>12</v>
      </c>
    </row>
    <row r="815" spans="2:14">
      <c r="B815" s="3">
        <v>45639</v>
      </c>
      <c r="C815" s="6" t="s">
        <v>12</v>
      </c>
      <c r="D815" s="6" t="s">
        <v>30</v>
      </c>
      <c r="E815" s="5">
        <v>97</v>
      </c>
      <c r="F815" s="5">
        <v>0.26350000000000001</v>
      </c>
      <c r="G815" s="5">
        <f>StockTransactionsTable[[#This Row],[Shares No.]]*StockTransactionsTable[[#This Row],[Amount per Share]]</f>
        <v>25.5595</v>
      </c>
      <c r="H815" s="5">
        <v>0</v>
      </c>
      <c r="I81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25.5595</v>
      </c>
      <c r="J815" s="19">
        <f>StockTransactionsTable[[#This Row],[Fee]]/StockTransactionsTable[[#This Row],[Total Amount]]</f>
        <v>0</v>
      </c>
      <c r="K815" s="5">
        <f>IF(StockTransactionsTable[[#This Row],[Transaction Type]]="Buy", StockTransactionsTable[[#This Row],[Total Amount with Fee]] / StockTransactionsTable[[#This Row],[Shares No.]],0)</f>
        <v>0</v>
      </c>
      <c r="L81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15" s="4">
        <f>YEAR(StockTransactionsTable[[#This Row],[Date]])</f>
        <v>2024</v>
      </c>
      <c r="N815" s="4">
        <f>MONTH(StockTransactionsTable[[#This Row],[Date]])</f>
        <v>12</v>
      </c>
    </row>
    <row r="816" spans="2:14">
      <c r="B816" s="3">
        <v>45642</v>
      </c>
      <c r="C816" s="6" t="s">
        <v>14</v>
      </c>
      <c r="D816" s="6" t="s">
        <v>30</v>
      </c>
      <c r="E816" s="5">
        <v>63</v>
      </c>
      <c r="F816" s="5">
        <v>0.42399999999999999</v>
      </c>
      <c r="G816" s="5">
        <f>StockTransactionsTable[[#This Row],[Shares No.]]*StockTransactionsTable[[#This Row],[Amount per Share]]</f>
        <v>26.712</v>
      </c>
      <c r="H816" s="5">
        <v>0</v>
      </c>
      <c r="I81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26.712</v>
      </c>
      <c r="J816" s="19">
        <f>StockTransactionsTable[[#This Row],[Fee]]/StockTransactionsTable[[#This Row],[Total Amount]]</f>
        <v>0</v>
      </c>
      <c r="K816" s="5">
        <f>IF(StockTransactionsTable[[#This Row],[Transaction Type]]="Buy", StockTransactionsTable[[#This Row],[Total Amount with Fee]] / StockTransactionsTable[[#This Row],[Shares No.]],0)</f>
        <v>0</v>
      </c>
      <c r="L81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16" s="4">
        <f>YEAR(StockTransactionsTable[[#This Row],[Date]])</f>
        <v>2024</v>
      </c>
      <c r="N816" s="4">
        <f>MONTH(StockTransactionsTable[[#This Row],[Date]])</f>
        <v>12</v>
      </c>
    </row>
    <row r="817" spans="2:14">
      <c r="B817" s="3">
        <v>45642</v>
      </c>
      <c r="C817" s="6" t="s">
        <v>100</v>
      </c>
      <c r="D817" s="6" t="s">
        <v>30</v>
      </c>
      <c r="E817" s="5">
        <v>250</v>
      </c>
      <c r="F817" s="5">
        <v>1.0449999999999999</v>
      </c>
      <c r="G817" s="5">
        <f>StockTransactionsTable[[#This Row],[Shares No.]]*StockTransactionsTable[[#This Row],[Amount per Share]]</f>
        <v>261.25</v>
      </c>
      <c r="H817" s="5">
        <v>0</v>
      </c>
      <c r="I81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261.25</v>
      </c>
      <c r="J817" s="19">
        <f>StockTransactionsTable[[#This Row],[Fee]]/StockTransactionsTable[[#This Row],[Total Amount]]</f>
        <v>0</v>
      </c>
      <c r="K817" s="5">
        <f>IF(StockTransactionsTable[[#This Row],[Transaction Type]]="Buy", StockTransactionsTable[[#This Row],[Total Amount with Fee]] / StockTransactionsTable[[#This Row],[Shares No.]],0)</f>
        <v>0</v>
      </c>
      <c r="L81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17" s="4">
        <f>YEAR(StockTransactionsTable[[#This Row],[Date]])</f>
        <v>2024</v>
      </c>
      <c r="N817" s="4">
        <f>MONTH(StockTransactionsTable[[#This Row],[Date]])</f>
        <v>12</v>
      </c>
    </row>
    <row r="818" spans="2:14">
      <c r="B818" s="3">
        <v>45642</v>
      </c>
      <c r="C818" s="6" t="s">
        <v>23</v>
      </c>
      <c r="D818" s="6" t="s">
        <v>30</v>
      </c>
      <c r="E818" s="5">
        <v>117</v>
      </c>
      <c r="F818" s="5">
        <v>0.48499999999999999</v>
      </c>
      <c r="G818" s="5">
        <f>StockTransactionsTable[[#This Row],[Shares No.]]*StockTransactionsTable[[#This Row],[Amount per Share]]</f>
        <v>56.744999999999997</v>
      </c>
      <c r="H818" s="5">
        <v>0</v>
      </c>
      <c r="I81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56.744999999999997</v>
      </c>
      <c r="J818" s="19">
        <f>StockTransactionsTable[[#This Row],[Fee]]/StockTransactionsTable[[#This Row],[Total Amount]]</f>
        <v>0</v>
      </c>
      <c r="K818" s="5">
        <f>IF(StockTransactionsTable[[#This Row],[Transaction Type]]="Buy", StockTransactionsTable[[#This Row],[Total Amount with Fee]] / StockTransactionsTable[[#This Row],[Shares No.]],0)</f>
        <v>0</v>
      </c>
      <c r="L81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18" s="4">
        <f>YEAR(StockTransactionsTable[[#This Row],[Date]])</f>
        <v>2024</v>
      </c>
      <c r="N818" s="4">
        <f>MONTH(StockTransactionsTable[[#This Row],[Date]])</f>
        <v>12</v>
      </c>
    </row>
    <row r="819" spans="2:14">
      <c r="B819" s="3">
        <v>45642</v>
      </c>
      <c r="C819" s="6" t="s">
        <v>88</v>
      </c>
      <c r="D819" s="6" t="s">
        <v>30</v>
      </c>
      <c r="E819" s="5">
        <v>95</v>
      </c>
      <c r="F819" s="5">
        <v>1.77</v>
      </c>
      <c r="G819" s="5">
        <f>StockTransactionsTable[[#This Row],[Shares No.]]*StockTransactionsTable[[#This Row],[Amount per Share]]</f>
        <v>168.15</v>
      </c>
      <c r="H819" s="5">
        <v>0</v>
      </c>
      <c r="I81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168.15</v>
      </c>
      <c r="J819" s="19">
        <f>StockTransactionsTable[[#This Row],[Fee]]/StockTransactionsTable[[#This Row],[Total Amount]]</f>
        <v>0</v>
      </c>
      <c r="K819" s="5">
        <f>IF(StockTransactionsTable[[#This Row],[Transaction Type]]="Buy", StockTransactionsTable[[#This Row],[Total Amount with Fee]] / StockTransactionsTable[[#This Row],[Shares No.]],0)</f>
        <v>0</v>
      </c>
      <c r="L81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19" s="4">
        <f>YEAR(StockTransactionsTable[[#This Row],[Date]])</f>
        <v>2024</v>
      </c>
      <c r="N819" s="4">
        <f>MONTH(StockTransactionsTable[[#This Row],[Date]])</f>
        <v>12</v>
      </c>
    </row>
    <row r="820" spans="2:14">
      <c r="B820" s="3">
        <v>45642</v>
      </c>
      <c r="C820" s="6" t="s">
        <v>98</v>
      </c>
      <c r="D820" s="6" t="s">
        <v>30</v>
      </c>
      <c r="E820" s="5">
        <v>365</v>
      </c>
      <c r="F820" s="5">
        <v>0.51500000000000001</v>
      </c>
      <c r="G820" s="5">
        <f>StockTransactionsTable[[#This Row],[Shares No.]]*StockTransactionsTable[[#This Row],[Amount per Share]]</f>
        <v>187.97499999999999</v>
      </c>
      <c r="H820" s="5">
        <v>0</v>
      </c>
      <c r="I82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187.97499999999999</v>
      </c>
      <c r="J820" s="19">
        <f>StockTransactionsTable[[#This Row],[Fee]]/StockTransactionsTable[[#This Row],[Total Amount]]</f>
        <v>0</v>
      </c>
      <c r="K820" s="5">
        <f>IF(StockTransactionsTable[[#This Row],[Transaction Type]]="Buy", StockTransactionsTable[[#This Row],[Total Amount with Fee]] / StockTransactionsTable[[#This Row],[Shares No.]],0)</f>
        <v>0</v>
      </c>
      <c r="L82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20" s="4">
        <f>YEAR(StockTransactionsTable[[#This Row],[Date]])</f>
        <v>2024</v>
      </c>
      <c r="N820" s="4">
        <f>MONTH(StockTransactionsTable[[#This Row],[Date]])</f>
        <v>12</v>
      </c>
    </row>
    <row r="821" spans="2:14">
      <c r="B821" s="3">
        <v>45660</v>
      </c>
      <c r="C821" s="6" t="s">
        <v>86</v>
      </c>
      <c r="D821" s="6" t="s">
        <v>29</v>
      </c>
      <c r="E821" s="5">
        <v>11</v>
      </c>
      <c r="F821" s="5" vm="541">
        <v>181.22</v>
      </c>
      <c r="G821" s="5">
        <f>StockTransactionsTable[[#This Row],[Shares No.]]*StockTransactionsTable[[#This Row],[Amount per Share]]</f>
        <v>1993.42</v>
      </c>
      <c r="H821" s="5">
        <v>0.91363559967675534</v>
      </c>
      <c r="I82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1994.3336355996769</v>
      </c>
      <c r="J821" s="19">
        <f>StockTransactionsTable[[#This Row],[Fee]]/StockTransactionsTable[[#This Row],[Total Amount]]</f>
        <v>4.5832569136296182E-4</v>
      </c>
      <c r="K821" s="5">
        <f>IF(StockTransactionsTable[[#This Row],[Transaction Type]]="Buy", StockTransactionsTable[[#This Row],[Total Amount with Fee]] / StockTransactionsTable[[#This Row],[Shares No.]],0)</f>
        <v>181.30305778178879</v>
      </c>
      <c r="L82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21" s="4">
        <f>YEAR(StockTransactionsTable[[#This Row],[Date]])</f>
        <v>2025</v>
      </c>
      <c r="N821" s="4">
        <f>MONTH(StockTransactionsTable[[#This Row],[Date]])</f>
        <v>1</v>
      </c>
    </row>
    <row r="822" spans="2:14">
      <c r="B822" s="3">
        <v>45663</v>
      </c>
      <c r="C822" s="6" t="s">
        <v>18</v>
      </c>
      <c r="D822" s="6" t="s">
        <v>30</v>
      </c>
      <c r="E822" s="5">
        <v>43</v>
      </c>
      <c r="F822" s="5">
        <v>1.355</v>
      </c>
      <c r="G822" s="5">
        <f>StockTransactionsTable[[#This Row],[Shares No.]]*StockTransactionsTable[[#This Row],[Amount per Share]]</f>
        <v>58.265000000000001</v>
      </c>
      <c r="H822" s="5">
        <v>0</v>
      </c>
      <c r="I82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58.265000000000001</v>
      </c>
      <c r="J822" s="19">
        <f>StockTransactionsTable[[#This Row],[Fee]]/StockTransactionsTable[[#This Row],[Total Amount]]</f>
        <v>0</v>
      </c>
      <c r="K822" s="5">
        <f>IF(StockTransactionsTable[[#This Row],[Transaction Type]]="Buy", StockTransactionsTable[[#This Row],[Total Amount with Fee]] / StockTransactionsTable[[#This Row],[Shares No.]],0)</f>
        <v>0</v>
      </c>
      <c r="L82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22" s="4">
        <f>YEAR(StockTransactionsTable[[#This Row],[Date]])</f>
        <v>2025</v>
      </c>
      <c r="N822" s="4">
        <f>MONTH(StockTransactionsTable[[#This Row],[Date]])</f>
        <v>1</v>
      </c>
    </row>
    <row r="823" spans="2:14">
      <c r="B823" s="3">
        <v>45672</v>
      </c>
      <c r="C823" s="6" t="s">
        <v>12</v>
      </c>
      <c r="D823" s="6" t="s">
        <v>30</v>
      </c>
      <c r="E823" s="5">
        <v>97</v>
      </c>
      <c r="F823" s="5">
        <v>0.26400000000000001</v>
      </c>
      <c r="G823" s="5">
        <f>StockTransactionsTable[[#This Row],[Shares No.]]*StockTransactionsTable[[#This Row],[Amount per Share]]</f>
        <v>25.608000000000001</v>
      </c>
      <c r="H823" s="5">
        <v>0</v>
      </c>
      <c r="I82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25.608000000000001</v>
      </c>
      <c r="J823" s="19">
        <f>StockTransactionsTable[[#This Row],[Fee]]/StockTransactionsTable[[#This Row],[Total Amount]]</f>
        <v>0</v>
      </c>
      <c r="K823" s="5">
        <f>IF(StockTransactionsTable[[#This Row],[Transaction Type]]="Buy", StockTransactionsTable[[#This Row],[Total Amount with Fee]] / StockTransactionsTable[[#This Row],[Shares No.]],0)</f>
        <v>0</v>
      </c>
      <c r="L82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23" s="4">
        <f>YEAR(StockTransactionsTable[[#This Row],[Date]])</f>
        <v>2025</v>
      </c>
      <c r="N823" s="4">
        <f>MONTH(StockTransactionsTable[[#This Row],[Date]])</f>
        <v>1</v>
      </c>
    </row>
    <row r="824" spans="2:14">
      <c r="B824" s="3">
        <v>45678</v>
      </c>
      <c r="C824" s="6" t="s">
        <v>98</v>
      </c>
      <c r="D824" s="6" t="s">
        <v>29</v>
      </c>
      <c r="E824" s="5">
        <v>23</v>
      </c>
      <c r="F824" s="5" vm="542">
        <v>70.849999999999994</v>
      </c>
      <c r="G824" s="5">
        <f>StockTransactionsTable[[#This Row],[Shares No.]]*StockTransactionsTable[[#This Row],[Amount per Share]]</f>
        <v>1629.55</v>
      </c>
      <c r="H824" s="5">
        <v>0.69902937481485083</v>
      </c>
      <c r="I82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1630.2490293748149</v>
      </c>
      <c r="J824" s="19">
        <f>StockTransactionsTable[[#This Row],[Fee]]/StockTransactionsTable[[#This Row],[Total Amount]]</f>
        <v>4.2897080470979769E-4</v>
      </c>
      <c r="K824" s="5">
        <f>IF(StockTransactionsTable[[#This Row],[Transaction Type]]="Buy", StockTransactionsTable[[#This Row],[Total Amount with Fee]] / StockTransactionsTable[[#This Row],[Shares No.]],0)</f>
        <v>70.880392581513689</v>
      </c>
      <c r="L82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24" s="4">
        <f>YEAR(StockTransactionsTable[[#This Row],[Date]])</f>
        <v>2025</v>
      </c>
      <c r="N824" s="4">
        <f>MONTH(StockTransactionsTable[[#This Row],[Date]])</f>
        <v>1</v>
      </c>
    </row>
    <row r="825" spans="2:14">
      <c r="B825" s="3">
        <v>45688</v>
      </c>
      <c r="C825" s="6" t="s">
        <v>20</v>
      </c>
      <c r="D825" s="6" t="s">
        <v>30</v>
      </c>
      <c r="E825" s="5">
        <v>116</v>
      </c>
      <c r="F825" s="5">
        <v>1.25</v>
      </c>
      <c r="G825" s="5">
        <f>StockTransactionsTable[[#This Row],[Shares No.]]*StockTransactionsTable[[#This Row],[Amount per Share]]</f>
        <v>145</v>
      </c>
      <c r="H825" s="5">
        <v>0</v>
      </c>
      <c r="I82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145</v>
      </c>
      <c r="J825" s="19">
        <f>StockTransactionsTable[[#This Row],[Fee]]/StockTransactionsTable[[#This Row],[Total Amount]]</f>
        <v>0</v>
      </c>
      <c r="K825" s="5">
        <f>IF(StockTransactionsTable[[#This Row],[Transaction Type]]="Buy", StockTransactionsTable[[#This Row],[Total Amount with Fee]] / StockTransactionsTable[[#This Row],[Shares No.]],0)</f>
        <v>0</v>
      </c>
      <c r="L82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25" s="4">
        <f>YEAR(StockTransactionsTable[[#This Row],[Date]])</f>
        <v>2025</v>
      </c>
      <c r="N825" s="4">
        <f>MONTH(StockTransactionsTable[[#This Row],[Date]])</f>
        <v>1</v>
      </c>
    </row>
    <row r="826" spans="2:14">
      <c r="B826" s="3">
        <v>45691</v>
      </c>
      <c r="C826" s="6" t="s">
        <v>15</v>
      </c>
      <c r="D826" s="6" t="s">
        <v>30</v>
      </c>
      <c r="E826" s="5">
        <v>146</v>
      </c>
      <c r="F826" s="5">
        <v>0.27750000000000002</v>
      </c>
      <c r="G826" s="5">
        <f>StockTransactionsTable[[#This Row],[Shares No.]]*StockTransactionsTable[[#This Row],[Amount per Share]]</f>
        <v>40.515000000000001</v>
      </c>
      <c r="H826" s="5">
        <v>0</v>
      </c>
      <c r="I82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40.515000000000001</v>
      </c>
      <c r="J826" s="19">
        <f>StockTransactionsTable[[#This Row],[Fee]]/StockTransactionsTable[[#This Row],[Total Amount]]</f>
        <v>0</v>
      </c>
      <c r="K826" s="5">
        <f>IF(StockTransactionsTable[[#This Row],[Transaction Type]]="Buy", StockTransactionsTable[[#This Row],[Total Amount with Fee]] / StockTransactionsTable[[#This Row],[Shares No.]],0)</f>
        <v>0</v>
      </c>
      <c r="L82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26" s="4">
        <f>YEAR(StockTransactionsTable[[#This Row],[Date]])</f>
        <v>2025</v>
      </c>
      <c r="N826" s="4">
        <f>MONTH(StockTransactionsTable[[#This Row],[Date]])</f>
        <v>2</v>
      </c>
    </row>
    <row r="827" spans="2:14">
      <c r="B827" s="3">
        <v>45694</v>
      </c>
      <c r="C827" s="6" t="s">
        <v>95</v>
      </c>
      <c r="D827" s="6" t="s">
        <v>29</v>
      </c>
      <c r="E827" s="5">
        <v>29</v>
      </c>
      <c r="F827" s="5" vm="543">
        <v>414.16</v>
      </c>
      <c r="G827" s="5">
        <f>StockTransactionsTable[[#This Row],[Shares No.]]*StockTransactionsTable[[#This Row],[Amount per Share]]</f>
        <v>12010.640000000001</v>
      </c>
      <c r="H827" s="5">
        <v>5.9724785753643133</v>
      </c>
      <c r="I82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12016.612478575365</v>
      </c>
      <c r="J827" s="19">
        <f>StockTransactionsTable[[#This Row],[Fee]]/StockTransactionsTable[[#This Row],[Total Amount]]</f>
        <v>4.9726563908037476E-4</v>
      </c>
      <c r="K827" s="5">
        <f>IF(StockTransactionsTable[[#This Row],[Transaction Type]]="Buy", StockTransactionsTable[[#This Row],[Total Amount with Fee]] / StockTransactionsTable[[#This Row],[Shares No.]],0)</f>
        <v>414.36594753708158</v>
      </c>
      <c r="L82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27" s="4">
        <f>YEAR(StockTransactionsTable[[#This Row],[Date]])</f>
        <v>2025</v>
      </c>
      <c r="N827" s="4">
        <f>MONTH(StockTransactionsTable[[#This Row],[Date]])</f>
        <v>2</v>
      </c>
    </row>
    <row r="828" spans="2:14">
      <c r="B828" s="3">
        <v>45702</v>
      </c>
      <c r="C828" s="6" t="s">
        <v>86</v>
      </c>
      <c r="D828" s="6" t="s">
        <v>30</v>
      </c>
      <c r="E828" s="5">
        <v>152</v>
      </c>
      <c r="F828" s="5">
        <v>1.64</v>
      </c>
      <c r="G828" s="5">
        <f>StockTransactionsTable[[#This Row],[Shares No.]]*StockTransactionsTable[[#This Row],[Amount per Share]]</f>
        <v>249.27999999999997</v>
      </c>
      <c r="H828" s="5">
        <v>0</v>
      </c>
      <c r="I82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249.27999999999997</v>
      </c>
      <c r="J828" s="19">
        <f>StockTransactionsTable[[#This Row],[Fee]]/StockTransactionsTable[[#This Row],[Total Amount]]</f>
        <v>0</v>
      </c>
      <c r="K828" s="5">
        <f>IF(StockTransactionsTable[[#This Row],[Transaction Type]]="Buy", StockTransactionsTable[[#This Row],[Total Amount with Fee]] / StockTransactionsTable[[#This Row],[Shares No.]],0)</f>
        <v>0</v>
      </c>
      <c r="L82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28" s="4">
        <f>YEAR(StockTransactionsTable[[#This Row],[Date]])</f>
        <v>2025</v>
      </c>
      <c r="N828" s="4">
        <f>MONTH(StockTransactionsTable[[#This Row],[Date]])</f>
        <v>2</v>
      </c>
    </row>
    <row r="829" spans="2:14">
      <c r="B829" s="3">
        <v>45702</v>
      </c>
      <c r="C829" s="6" t="s">
        <v>19</v>
      </c>
      <c r="D829" s="6" t="s">
        <v>30</v>
      </c>
      <c r="E829" s="5">
        <v>86</v>
      </c>
      <c r="F829" s="5">
        <v>1.22</v>
      </c>
      <c r="G829" s="5">
        <f>StockTransactionsTable[[#This Row],[Shares No.]]*StockTransactionsTable[[#This Row],[Amount per Share]]</f>
        <v>104.92</v>
      </c>
      <c r="H829" s="5">
        <v>0</v>
      </c>
      <c r="I82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104.92</v>
      </c>
      <c r="J829" s="19">
        <f>StockTransactionsTable[[#This Row],[Fee]]/StockTransactionsTable[[#This Row],[Total Amount]]</f>
        <v>0</v>
      </c>
      <c r="K829" s="5">
        <f>IF(StockTransactionsTable[[#This Row],[Transaction Type]]="Buy", StockTransactionsTable[[#This Row],[Total Amount with Fee]] / StockTransactionsTable[[#This Row],[Shares No.]],0)</f>
        <v>0</v>
      </c>
      <c r="L82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29" s="4">
        <f>YEAR(StockTransactionsTable[[#This Row],[Date]])</f>
        <v>2025</v>
      </c>
      <c r="N829" s="4">
        <f>MONTH(StockTransactionsTable[[#This Row],[Date]])</f>
        <v>2</v>
      </c>
    </row>
    <row r="830" spans="2:14">
      <c r="B830" s="3">
        <v>45702</v>
      </c>
      <c r="C830" s="6" t="s">
        <v>12</v>
      </c>
      <c r="D830" s="6" t="s">
        <v>30</v>
      </c>
      <c r="E830" s="5">
        <v>97</v>
      </c>
      <c r="F830" s="5">
        <v>0.26400000000000001</v>
      </c>
      <c r="G830" s="5">
        <f>StockTransactionsTable[[#This Row],[Shares No.]]*StockTransactionsTable[[#This Row],[Amount per Share]]</f>
        <v>25.608000000000001</v>
      </c>
      <c r="H830" s="5">
        <v>0</v>
      </c>
      <c r="I83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25.608000000000001</v>
      </c>
      <c r="J830" s="19">
        <f>StockTransactionsTable[[#This Row],[Fee]]/StockTransactionsTable[[#This Row],[Total Amount]]</f>
        <v>0</v>
      </c>
      <c r="K830" s="5">
        <f>IF(StockTransactionsTable[[#This Row],[Transaction Type]]="Buy", StockTransactionsTable[[#This Row],[Total Amount with Fee]] / StockTransactionsTable[[#This Row],[Shares No.]],0)</f>
        <v>0</v>
      </c>
      <c r="L83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30" s="4">
        <f>YEAR(StockTransactionsTable[[#This Row],[Date]])</f>
        <v>2025</v>
      </c>
      <c r="N830" s="4">
        <f>MONTH(StockTransactionsTable[[#This Row],[Date]])</f>
        <v>2</v>
      </c>
    </row>
    <row r="831" spans="2:14">
      <c r="B831" s="3">
        <v>45706</v>
      </c>
      <c r="C831" s="6" t="s">
        <v>21</v>
      </c>
      <c r="D831" s="6" t="s">
        <v>30</v>
      </c>
      <c r="E831" s="5">
        <v>49</v>
      </c>
      <c r="F831" s="5">
        <v>1.0065</v>
      </c>
      <c r="G831" s="5">
        <f>StockTransactionsTable[[#This Row],[Shares No.]]*StockTransactionsTable[[#This Row],[Amount per Share]]</f>
        <v>49.3185</v>
      </c>
      <c r="H831" s="5">
        <v>0</v>
      </c>
      <c r="I83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49.3185</v>
      </c>
      <c r="J831" s="19">
        <f>StockTransactionsTable[[#This Row],[Fee]]/StockTransactionsTable[[#This Row],[Total Amount]]</f>
        <v>0</v>
      </c>
      <c r="K831" s="5">
        <f>IF(StockTransactionsTable[[#This Row],[Transaction Type]]="Buy", StockTransactionsTable[[#This Row],[Total Amount with Fee]] / StockTransactionsTable[[#This Row],[Shares No.]],0)</f>
        <v>0</v>
      </c>
      <c r="L83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31" s="4">
        <f>YEAR(StockTransactionsTable[[#This Row],[Date]])</f>
        <v>2025</v>
      </c>
      <c r="N831" s="4">
        <f>MONTH(StockTransactionsTable[[#This Row],[Date]])</f>
        <v>2</v>
      </c>
    </row>
    <row r="832" spans="2:14">
      <c r="B832" s="3">
        <v>45708</v>
      </c>
      <c r="C832" s="6" t="s">
        <v>22</v>
      </c>
      <c r="D832" s="6" t="s">
        <v>30</v>
      </c>
      <c r="E832" s="5">
        <v>119</v>
      </c>
      <c r="F832" s="5">
        <v>1.41</v>
      </c>
      <c r="G832" s="5">
        <f>StockTransactionsTable[[#This Row],[Shares No.]]*StockTransactionsTable[[#This Row],[Amount per Share]]</f>
        <v>167.79</v>
      </c>
      <c r="H832" s="5">
        <v>0</v>
      </c>
      <c r="I83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167.79</v>
      </c>
      <c r="J832" s="19">
        <f>StockTransactionsTable[[#This Row],[Fee]]/StockTransactionsTable[[#This Row],[Total Amount]]</f>
        <v>0</v>
      </c>
      <c r="K832" s="5">
        <f>IF(StockTransactionsTable[[#This Row],[Transaction Type]]="Buy", StockTransactionsTable[[#This Row],[Total Amount with Fee]] / StockTransactionsTable[[#This Row],[Shares No.]],0)</f>
        <v>0</v>
      </c>
      <c r="L83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32" s="4">
        <f>YEAR(StockTransactionsTable[[#This Row],[Date]])</f>
        <v>2025</v>
      </c>
      <c r="N832" s="4">
        <f>MONTH(StockTransactionsTable[[#This Row],[Date]])</f>
        <v>2</v>
      </c>
    </row>
    <row r="833" spans="2:14">
      <c r="B833" s="3">
        <v>45720</v>
      </c>
      <c r="C833" s="6" t="s">
        <v>84</v>
      </c>
      <c r="D833" s="6" t="s">
        <v>30</v>
      </c>
      <c r="E833" s="5">
        <v>51</v>
      </c>
      <c r="F833" s="5">
        <v>1.24</v>
      </c>
      <c r="G833" s="5">
        <f>StockTransactionsTable[[#This Row],[Shares No.]]*StockTransactionsTable[[#This Row],[Amount per Share]]</f>
        <v>63.24</v>
      </c>
      <c r="H833" s="5">
        <v>0</v>
      </c>
      <c r="I83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63.24</v>
      </c>
      <c r="J833" s="19">
        <f>StockTransactionsTable[[#This Row],[Fee]]/StockTransactionsTable[[#This Row],[Total Amount]]</f>
        <v>0</v>
      </c>
      <c r="K833" s="5">
        <f>IF(StockTransactionsTable[[#This Row],[Transaction Type]]="Buy", StockTransactionsTable[[#This Row],[Total Amount with Fee]] / StockTransactionsTable[[#This Row],[Shares No.]],0)</f>
        <v>0</v>
      </c>
      <c r="L83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33" s="4">
        <f>YEAR(StockTransactionsTable[[#This Row],[Date]])</f>
        <v>2025</v>
      </c>
      <c r="N833" s="4">
        <f>MONTH(StockTransactionsTable[[#This Row],[Date]])</f>
        <v>3</v>
      </c>
    </row>
    <row r="834" spans="2:14">
      <c r="B834" s="3">
        <v>45722</v>
      </c>
      <c r="C834" s="6" t="s">
        <v>91</v>
      </c>
      <c r="D834" s="6" t="s">
        <v>29</v>
      </c>
      <c r="E834" s="5">
        <v>23</v>
      </c>
      <c r="F834" s="5" vm="544">
        <v>396.89</v>
      </c>
      <c r="G834" s="5">
        <f>StockTransactionsTable[[#This Row],[Shares No.]]*StockTransactionsTable[[#This Row],[Amount per Share]]</f>
        <v>9128.4699999999993</v>
      </c>
      <c r="H834" s="5">
        <v>3.9649813733506982</v>
      </c>
      <c r="I83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9132.4349813733497</v>
      </c>
      <c r="J834" s="19">
        <f>StockTransactionsTable[[#This Row],[Fee]]/StockTransactionsTable[[#This Row],[Total Amount]]</f>
        <v>4.3435333340096407E-4</v>
      </c>
      <c r="K834" s="5">
        <f>IF(StockTransactionsTable[[#This Row],[Transaction Type]]="Buy", StockTransactionsTable[[#This Row],[Total Amount with Fee]] / StockTransactionsTable[[#This Row],[Shares No.]],0)</f>
        <v>397.06239049449346</v>
      </c>
      <c r="L83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34" s="4">
        <f>YEAR(StockTransactionsTable[[#This Row],[Date]])</f>
        <v>2025</v>
      </c>
      <c r="N834" s="4">
        <f>MONTH(StockTransactionsTable[[#This Row],[Date]])</f>
        <v>3</v>
      </c>
    </row>
    <row r="835" spans="2:14">
      <c r="B835" s="3">
        <v>45723</v>
      </c>
      <c r="C835" s="6" t="s">
        <v>13</v>
      </c>
      <c r="D835" s="6" t="s">
        <v>30</v>
      </c>
      <c r="E835" s="5">
        <v>115</v>
      </c>
      <c r="F835" s="5">
        <v>0.43</v>
      </c>
      <c r="G835" s="5">
        <f>StockTransactionsTable[[#This Row],[Shares No.]]*StockTransactionsTable[[#This Row],[Amount per Share]]</f>
        <v>49.449999999999996</v>
      </c>
      <c r="H835" s="5">
        <v>0</v>
      </c>
      <c r="I83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49.449999999999996</v>
      </c>
      <c r="J835" s="19">
        <f>StockTransactionsTable[[#This Row],[Fee]]/StockTransactionsTable[[#This Row],[Total Amount]]</f>
        <v>0</v>
      </c>
      <c r="K835" s="5">
        <f>IF(StockTransactionsTable[[#This Row],[Transaction Type]]="Buy", StockTransactionsTable[[#This Row],[Total Amount with Fee]] / StockTransactionsTable[[#This Row],[Shares No.]],0)</f>
        <v>0</v>
      </c>
      <c r="L83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35" s="4">
        <f>YEAR(StockTransactionsTable[[#This Row],[Date]])</f>
        <v>2025</v>
      </c>
      <c r="N835" s="4">
        <f>MONTH(StockTransactionsTable[[#This Row],[Date]])</f>
        <v>3</v>
      </c>
    </row>
    <row r="836" spans="2:14">
      <c r="B836" s="3">
        <v>45726</v>
      </c>
      <c r="C836" s="6" t="s">
        <v>17</v>
      </c>
      <c r="D836" s="6" t="s">
        <v>30</v>
      </c>
      <c r="E836" s="5">
        <v>231</v>
      </c>
      <c r="F836" s="5">
        <v>1.67</v>
      </c>
      <c r="G836" s="5">
        <f>StockTransactionsTable[[#This Row],[Shares No.]]*StockTransactionsTable[[#This Row],[Amount per Share]]</f>
        <v>385.77</v>
      </c>
      <c r="H836" s="5">
        <v>0</v>
      </c>
      <c r="I83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385.77</v>
      </c>
      <c r="J836" s="19">
        <f>StockTransactionsTable[[#This Row],[Fee]]/StockTransactionsTable[[#This Row],[Total Amount]]</f>
        <v>0</v>
      </c>
      <c r="K836" s="5">
        <f>IF(StockTransactionsTable[[#This Row],[Transaction Type]]="Buy", StockTransactionsTable[[#This Row],[Total Amount with Fee]] / StockTransactionsTable[[#This Row],[Shares No.]],0)</f>
        <v>0</v>
      </c>
      <c r="L83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36" s="4">
        <f>YEAR(StockTransactionsTable[[#This Row],[Date]])</f>
        <v>2025</v>
      </c>
      <c r="N836" s="4">
        <f>MONTH(StockTransactionsTable[[#This Row],[Date]])</f>
        <v>3</v>
      </c>
    </row>
    <row r="837" spans="2:14">
      <c r="B837" s="3">
        <v>45726</v>
      </c>
      <c r="C837" s="6" t="s">
        <v>16</v>
      </c>
      <c r="D837" s="6" t="s">
        <v>30</v>
      </c>
      <c r="E837" s="5">
        <v>185</v>
      </c>
      <c r="F837" s="5">
        <v>0.99</v>
      </c>
      <c r="G837" s="5">
        <f>StockTransactionsTable[[#This Row],[Shares No.]]*StockTransactionsTable[[#This Row],[Amount per Share]]</f>
        <v>183.15</v>
      </c>
      <c r="H837" s="5">
        <v>0</v>
      </c>
      <c r="I83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183.15</v>
      </c>
      <c r="J837" s="19">
        <f>StockTransactionsTable[[#This Row],[Fee]]/StockTransactionsTable[[#This Row],[Total Amount]]</f>
        <v>0</v>
      </c>
      <c r="K837" s="5">
        <f>IF(StockTransactionsTable[[#This Row],[Transaction Type]]="Buy", StockTransactionsTable[[#This Row],[Total Amount with Fee]] / StockTransactionsTable[[#This Row],[Shares No.]],0)</f>
        <v>0</v>
      </c>
      <c r="L83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37" s="4">
        <f>YEAR(StockTransactionsTable[[#This Row],[Date]])</f>
        <v>2025</v>
      </c>
      <c r="N837" s="4">
        <f>MONTH(StockTransactionsTable[[#This Row],[Date]])</f>
        <v>3</v>
      </c>
    </row>
    <row r="838" spans="2:14">
      <c r="B838" s="3">
        <v>45728</v>
      </c>
      <c r="C838" s="6" t="s">
        <v>106</v>
      </c>
      <c r="D838" s="6" t="s">
        <v>30</v>
      </c>
      <c r="E838" s="5">
        <v>88</v>
      </c>
      <c r="F838" s="5">
        <v>0.68</v>
      </c>
      <c r="G838" s="5">
        <f>StockTransactionsTable[[#This Row],[Shares No.]]*StockTransactionsTable[[#This Row],[Amount per Share]]</f>
        <v>59.84</v>
      </c>
      <c r="H838" s="5">
        <v>0</v>
      </c>
      <c r="I83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59.84</v>
      </c>
      <c r="J838" s="19">
        <f>StockTransactionsTable[[#This Row],[Fee]]/StockTransactionsTable[[#This Row],[Total Amount]]</f>
        <v>0</v>
      </c>
      <c r="K838" s="5">
        <f>IF(StockTransactionsTable[[#This Row],[Transaction Type]]="Buy", StockTransactionsTable[[#This Row],[Total Amount with Fee]] / StockTransactionsTable[[#This Row],[Shares No.]],0)</f>
        <v>0</v>
      </c>
      <c r="L83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38" s="4">
        <f>YEAR(StockTransactionsTable[[#This Row],[Date]])</f>
        <v>2025</v>
      </c>
      <c r="N838" s="4">
        <f>MONTH(StockTransactionsTable[[#This Row],[Date]])</f>
        <v>3</v>
      </c>
    </row>
    <row r="839" spans="2:14">
      <c r="B839" s="3">
        <v>45729</v>
      </c>
      <c r="C839" s="6" t="s">
        <v>91</v>
      </c>
      <c r="D839" s="6" t="s">
        <v>30</v>
      </c>
      <c r="E839" s="5">
        <v>183</v>
      </c>
      <c r="F839" s="5">
        <v>0.83</v>
      </c>
      <c r="G839" s="5">
        <f>StockTransactionsTable[[#This Row],[Shares No.]]*StockTransactionsTable[[#This Row],[Amount per Share]]</f>
        <v>151.88999999999999</v>
      </c>
      <c r="H839" s="5">
        <v>0</v>
      </c>
      <c r="I83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151.88999999999999</v>
      </c>
      <c r="J839" s="19">
        <f>StockTransactionsTable[[#This Row],[Fee]]/StockTransactionsTable[[#This Row],[Total Amount]]</f>
        <v>0</v>
      </c>
      <c r="K839" s="5">
        <f>IF(StockTransactionsTable[[#This Row],[Transaction Type]]="Buy", StockTransactionsTable[[#This Row],[Total Amount with Fee]] / StockTransactionsTable[[#This Row],[Shares No.]],0)</f>
        <v>0</v>
      </c>
      <c r="L83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39" s="4">
        <f>YEAR(StockTransactionsTable[[#This Row],[Date]])</f>
        <v>2025</v>
      </c>
      <c r="N839" s="4">
        <f>MONTH(StockTransactionsTable[[#This Row],[Date]])</f>
        <v>3</v>
      </c>
    </row>
    <row r="840" spans="2:14">
      <c r="B840" s="3">
        <v>45730</v>
      </c>
      <c r="C840" s="6" t="s">
        <v>12</v>
      </c>
      <c r="D840" s="6" t="s">
        <v>30</v>
      </c>
      <c r="E840" s="5">
        <v>97</v>
      </c>
      <c r="F840" s="5">
        <v>0.26800000000000002</v>
      </c>
      <c r="G840" s="5">
        <f>StockTransactionsTable[[#This Row],[Shares No.]]*StockTransactionsTable[[#This Row],[Amount per Share]]</f>
        <v>25.996000000000002</v>
      </c>
      <c r="H840" s="5">
        <v>0</v>
      </c>
      <c r="I84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25.996000000000002</v>
      </c>
      <c r="J840" s="19">
        <f>StockTransactionsTable[[#This Row],[Fee]]/StockTransactionsTable[[#This Row],[Total Amount]]</f>
        <v>0</v>
      </c>
      <c r="K840" s="5">
        <f>IF(StockTransactionsTable[[#This Row],[Transaction Type]]="Buy", StockTransactionsTable[[#This Row],[Total Amount with Fee]] / StockTransactionsTable[[#This Row],[Shares No.]],0)</f>
        <v>0</v>
      </c>
      <c r="L84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40" s="4">
        <f>YEAR(StockTransactionsTable[[#This Row],[Date]])</f>
        <v>2025</v>
      </c>
      <c r="N840" s="4">
        <f>MONTH(StockTransactionsTable[[#This Row],[Date]])</f>
        <v>3</v>
      </c>
    </row>
    <row r="841" spans="2:14">
      <c r="B841" s="3">
        <v>45733</v>
      </c>
      <c r="C841" s="6" t="s">
        <v>14</v>
      </c>
      <c r="D841" s="6" t="s">
        <v>30</v>
      </c>
      <c r="E841" s="5">
        <v>63</v>
      </c>
      <c r="F841" s="5">
        <v>0.43120000000000003</v>
      </c>
      <c r="G841" s="5">
        <f>StockTransactionsTable[[#This Row],[Shares No.]]*StockTransactionsTable[[#This Row],[Amount per Share]]</f>
        <v>27.165600000000001</v>
      </c>
      <c r="H841" s="5">
        <v>0</v>
      </c>
      <c r="I84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27.165600000000001</v>
      </c>
      <c r="J841" s="19">
        <f>StockTransactionsTable[[#This Row],[Fee]]/StockTransactionsTable[[#This Row],[Total Amount]]</f>
        <v>0</v>
      </c>
      <c r="K841" s="5">
        <f>IF(StockTransactionsTable[[#This Row],[Transaction Type]]="Buy", StockTransactionsTable[[#This Row],[Total Amount with Fee]] / StockTransactionsTable[[#This Row],[Shares No.]],0)</f>
        <v>0</v>
      </c>
      <c r="L84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41" s="4">
        <f>YEAR(StockTransactionsTable[[#This Row],[Date]])</f>
        <v>2025</v>
      </c>
      <c r="N841" s="4">
        <f>MONTH(StockTransactionsTable[[#This Row],[Date]])</f>
        <v>3</v>
      </c>
    </row>
    <row r="842" spans="2:14">
      <c r="B842" s="3">
        <v>45733</v>
      </c>
      <c r="C842" s="6" t="s">
        <v>100</v>
      </c>
      <c r="D842" s="6" t="s">
        <v>30</v>
      </c>
      <c r="E842" s="5">
        <v>250</v>
      </c>
      <c r="F842" s="5">
        <v>1.0449999999999999</v>
      </c>
      <c r="G842" s="5">
        <f>StockTransactionsTable[[#This Row],[Shares No.]]*StockTransactionsTable[[#This Row],[Amount per Share]]</f>
        <v>261.25</v>
      </c>
      <c r="H842" s="5">
        <v>0</v>
      </c>
      <c r="I84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261.25</v>
      </c>
      <c r="J842" s="19">
        <f>StockTransactionsTable[[#This Row],[Fee]]/StockTransactionsTable[[#This Row],[Total Amount]]</f>
        <v>0</v>
      </c>
      <c r="K842" s="5">
        <f>IF(StockTransactionsTable[[#This Row],[Transaction Type]]="Buy", StockTransactionsTable[[#This Row],[Total Amount with Fee]] / StockTransactionsTable[[#This Row],[Shares No.]],0)</f>
        <v>0</v>
      </c>
      <c r="L84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42" s="4">
        <f>YEAR(StockTransactionsTable[[#This Row],[Date]])</f>
        <v>2025</v>
      </c>
      <c r="N842" s="4">
        <f>MONTH(StockTransactionsTable[[#This Row],[Date]])</f>
        <v>3</v>
      </c>
    </row>
    <row r="843" spans="2:14">
      <c r="B843" s="3">
        <v>45733</v>
      </c>
      <c r="C843" s="6" t="s">
        <v>88</v>
      </c>
      <c r="D843" s="6" t="s">
        <v>30</v>
      </c>
      <c r="E843" s="5">
        <v>95</v>
      </c>
      <c r="F843" s="5">
        <v>1.77</v>
      </c>
      <c r="G843" s="5">
        <f>StockTransactionsTable[[#This Row],[Shares No.]]*StockTransactionsTable[[#This Row],[Amount per Share]]</f>
        <v>168.15</v>
      </c>
      <c r="H843" s="5">
        <v>0</v>
      </c>
      <c r="I84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168.15</v>
      </c>
      <c r="J843" s="19">
        <f>StockTransactionsTable[[#This Row],[Fee]]/StockTransactionsTable[[#This Row],[Total Amount]]</f>
        <v>0</v>
      </c>
      <c r="K843" s="5">
        <f>IF(StockTransactionsTable[[#This Row],[Transaction Type]]="Buy", StockTransactionsTable[[#This Row],[Total Amount with Fee]] / StockTransactionsTable[[#This Row],[Shares No.]],0)</f>
        <v>0</v>
      </c>
      <c r="L84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43" s="4">
        <f>YEAR(StockTransactionsTable[[#This Row],[Date]])</f>
        <v>2025</v>
      </c>
      <c r="N843" s="4">
        <f>MONTH(StockTransactionsTable[[#This Row],[Date]])</f>
        <v>3</v>
      </c>
    </row>
    <row r="844" spans="2:14">
      <c r="B844" s="3">
        <v>45733</v>
      </c>
      <c r="C844" s="6" t="s">
        <v>98</v>
      </c>
      <c r="D844" s="6" t="s">
        <v>30</v>
      </c>
      <c r="E844" s="5">
        <v>388</v>
      </c>
      <c r="F844" s="5">
        <v>0.5665</v>
      </c>
      <c r="G844" s="5">
        <f>StockTransactionsTable[[#This Row],[Shares No.]]*StockTransactionsTable[[#This Row],[Amount per Share]]</f>
        <v>219.80199999999999</v>
      </c>
      <c r="H844" s="5">
        <v>0</v>
      </c>
      <c r="I84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219.80199999999999</v>
      </c>
      <c r="J844" s="19">
        <f>StockTransactionsTable[[#This Row],[Fee]]/StockTransactionsTable[[#This Row],[Total Amount]]</f>
        <v>0</v>
      </c>
      <c r="K844" s="5">
        <f>IF(StockTransactionsTable[[#This Row],[Transaction Type]]="Buy", StockTransactionsTable[[#This Row],[Total Amount with Fee]] / StockTransactionsTable[[#This Row],[Shares No.]],0)</f>
        <v>0</v>
      </c>
      <c r="L84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44" s="4">
        <f>YEAR(StockTransactionsTable[[#This Row],[Date]])</f>
        <v>2025</v>
      </c>
      <c r="N844" s="4">
        <f>MONTH(StockTransactionsTable[[#This Row],[Date]])</f>
        <v>3</v>
      </c>
    </row>
    <row r="845" spans="2:14">
      <c r="B845" s="3">
        <v>45743</v>
      </c>
      <c r="C845" s="6" t="s">
        <v>95</v>
      </c>
      <c r="D845" s="6" t="s">
        <v>30</v>
      </c>
      <c r="E845" s="5">
        <v>172</v>
      </c>
      <c r="F845" s="5">
        <v>2.2999999999999998</v>
      </c>
      <c r="G845" s="5">
        <f>StockTransactionsTable[[#This Row],[Shares No.]]*StockTransactionsTable[[#This Row],[Amount per Share]]</f>
        <v>395.59999999999997</v>
      </c>
      <c r="H845" s="5">
        <v>0</v>
      </c>
      <c r="I84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395.59999999999997</v>
      </c>
      <c r="J845" s="19">
        <f>StockTransactionsTable[[#This Row],[Fee]]/StockTransactionsTable[[#This Row],[Total Amount]]</f>
        <v>0</v>
      </c>
      <c r="K845" s="5">
        <f>IF(StockTransactionsTable[[#This Row],[Transaction Type]]="Buy", StockTransactionsTable[[#This Row],[Total Amount with Fee]] / StockTransactionsTable[[#This Row],[Shares No.]],0)</f>
        <v>0</v>
      </c>
      <c r="L84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45" s="4">
        <f>YEAR(StockTransactionsTable[[#This Row],[Date]])</f>
        <v>2025</v>
      </c>
      <c r="N845" s="4">
        <f>MONTH(StockTransactionsTable[[#This Row],[Date]])</f>
        <v>3</v>
      </c>
    </row>
    <row r="846" spans="2:14">
      <c r="B846" s="3">
        <v>45747</v>
      </c>
      <c r="C846" s="6" t="s">
        <v>18</v>
      </c>
      <c r="D846" s="6" t="s">
        <v>30</v>
      </c>
      <c r="E846" s="5">
        <v>43</v>
      </c>
      <c r="F846" s="5">
        <v>1.355</v>
      </c>
      <c r="G846" s="5">
        <f>StockTransactionsTable[[#This Row],[Shares No.]]*StockTransactionsTable[[#This Row],[Amount per Share]]</f>
        <v>58.265000000000001</v>
      </c>
      <c r="H846" s="5">
        <v>0</v>
      </c>
      <c r="I84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58.265000000000001</v>
      </c>
      <c r="J846" s="19">
        <f>StockTransactionsTable[[#This Row],[Fee]]/StockTransactionsTable[[#This Row],[Total Amount]]</f>
        <v>0</v>
      </c>
      <c r="K846" s="5">
        <f>IF(StockTransactionsTable[[#This Row],[Transaction Type]]="Buy", StockTransactionsTable[[#This Row],[Total Amount with Fee]] / StockTransactionsTable[[#This Row],[Shares No.]],0)</f>
        <v>0</v>
      </c>
      <c r="L84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46" s="4">
        <f>YEAR(StockTransactionsTable[[#This Row],[Date]])</f>
        <v>2025</v>
      </c>
      <c r="N846" s="4">
        <f>MONTH(StockTransactionsTable[[#This Row],[Date]])</f>
        <v>3</v>
      </c>
    </row>
    <row r="847" spans="2:14">
      <c r="B847" s="3">
        <v>45748</v>
      </c>
      <c r="C847" s="6" t="s">
        <v>23</v>
      </c>
      <c r="D847" s="6" t="s">
        <v>30</v>
      </c>
      <c r="E847" s="5">
        <v>117</v>
      </c>
      <c r="F847" s="5">
        <v>0.51</v>
      </c>
      <c r="G847" s="5">
        <f>StockTransactionsTable[[#This Row],[Shares No.]]*StockTransactionsTable[[#This Row],[Amount per Share]]</f>
        <v>59.67</v>
      </c>
      <c r="H847" s="5">
        <v>0</v>
      </c>
      <c r="I84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59.67</v>
      </c>
      <c r="J847" s="19">
        <f>StockTransactionsTable[[#This Row],[Fee]]/StockTransactionsTable[[#This Row],[Total Amount]]</f>
        <v>0</v>
      </c>
      <c r="K847" s="5">
        <f>IF(StockTransactionsTable[[#This Row],[Transaction Type]]="Buy", StockTransactionsTable[[#This Row],[Total Amount with Fee]] / StockTransactionsTable[[#This Row],[Shares No.]],0)</f>
        <v>0</v>
      </c>
      <c r="L84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47" s="4">
        <f>YEAR(StockTransactionsTable[[#This Row],[Date]])</f>
        <v>2025</v>
      </c>
      <c r="N847" s="4">
        <f>MONTH(StockTransactionsTable[[#This Row],[Date]])</f>
        <v>4</v>
      </c>
    </row>
    <row r="848" spans="2:14">
      <c r="B848" s="3">
        <v>45762</v>
      </c>
      <c r="C848" s="6" t="s">
        <v>12</v>
      </c>
      <c r="D848" s="6" t="s">
        <v>30</v>
      </c>
      <c r="E848" s="5">
        <v>97</v>
      </c>
      <c r="F848" s="5">
        <v>0.26850000000000002</v>
      </c>
      <c r="G848" s="5">
        <f>StockTransactionsTable[[#This Row],[Shares No.]]*StockTransactionsTable[[#This Row],[Amount per Share]]</f>
        <v>26.044500000000003</v>
      </c>
      <c r="H848" s="5">
        <v>0</v>
      </c>
      <c r="I84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26.044500000000003</v>
      </c>
      <c r="J848" s="19">
        <f>StockTransactionsTable[[#This Row],[Fee]]/StockTransactionsTable[[#This Row],[Total Amount]]</f>
        <v>0</v>
      </c>
      <c r="K848" s="5">
        <f>IF(StockTransactionsTable[[#This Row],[Transaction Type]]="Buy", StockTransactionsTable[[#This Row],[Total Amount with Fee]] / StockTransactionsTable[[#This Row],[Shares No.]],0)</f>
        <v>0</v>
      </c>
      <c r="L84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48" s="4">
        <f>YEAR(StockTransactionsTable[[#This Row],[Date]])</f>
        <v>2025</v>
      </c>
      <c r="N848" s="4">
        <f>MONTH(StockTransactionsTable[[#This Row],[Date]])</f>
        <v>4</v>
      </c>
    </row>
    <row r="849" spans="2:14">
      <c r="B849" s="3">
        <v>45764</v>
      </c>
      <c r="C849" s="6" t="s">
        <v>98</v>
      </c>
      <c r="D849" s="6" t="s">
        <v>29</v>
      </c>
      <c r="E849" s="5">
        <v>24</v>
      </c>
      <c r="F849" s="5" vm="545">
        <v>66.31</v>
      </c>
      <c r="G849" s="5">
        <f>StockTransactionsTable[[#This Row],[Shares No.]]*StockTransactionsTable[[#This Row],[Amount per Share]]</f>
        <v>1591.44</v>
      </c>
      <c r="H849" s="5">
        <v>0.78089634097904348</v>
      </c>
      <c r="I84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1592.2208963409792</v>
      </c>
      <c r="J849" s="19">
        <f>StockTransactionsTable[[#This Row],[Fee]]/StockTransactionsTable[[#This Row],[Total Amount]]</f>
        <v>4.9068537989433684E-4</v>
      </c>
      <c r="K849" s="5">
        <f>IF(StockTransactionsTable[[#This Row],[Transaction Type]]="Buy", StockTransactionsTable[[#This Row],[Total Amount with Fee]] / StockTransactionsTable[[#This Row],[Shares No.]],0)</f>
        <v>66.342537347540798</v>
      </c>
      <c r="L84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49" s="4">
        <f>YEAR(StockTransactionsTable[[#This Row],[Date]])</f>
        <v>2025</v>
      </c>
      <c r="N849" s="4">
        <f>MONTH(StockTransactionsTable[[#This Row],[Date]])</f>
        <v>4</v>
      </c>
    </row>
    <row r="850" spans="2:14">
      <c r="B850" s="3">
        <v>45777</v>
      </c>
      <c r="C850" s="6" t="s">
        <v>20</v>
      </c>
      <c r="D850" s="6" t="s">
        <v>30</v>
      </c>
      <c r="E850" s="5">
        <v>116</v>
      </c>
      <c r="F850" s="5">
        <v>1.4</v>
      </c>
      <c r="G850" s="5">
        <f>StockTransactionsTable[[#This Row],[Shares No.]]*StockTransactionsTable[[#This Row],[Amount per Share]]</f>
        <v>162.39999999999998</v>
      </c>
      <c r="H850" s="5">
        <v>0</v>
      </c>
      <c r="I85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162.39999999999998</v>
      </c>
      <c r="J850" s="19">
        <f>StockTransactionsTable[[#This Row],[Fee]]/StockTransactionsTable[[#This Row],[Total Amount]]</f>
        <v>0</v>
      </c>
      <c r="K850" s="5">
        <f>IF(StockTransactionsTable[[#This Row],[Transaction Type]]="Buy", StockTransactionsTable[[#This Row],[Total Amount with Fee]] / StockTransactionsTable[[#This Row],[Shares No.]],0)</f>
        <v>0</v>
      </c>
      <c r="L85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50" s="4">
        <f>YEAR(StockTransactionsTable[[#This Row],[Date]])</f>
        <v>2025</v>
      </c>
      <c r="N850" s="4">
        <f>MONTH(StockTransactionsTable[[#This Row],[Date]])</f>
        <v>4</v>
      </c>
    </row>
    <row r="851" spans="2:14">
      <c r="B851" s="3">
        <v>45778</v>
      </c>
      <c r="C851" s="6" t="s">
        <v>15</v>
      </c>
      <c r="D851" s="6" t="s">
        <v>30</v>
      </c>
      <c r="E851" s="5">
        <v>146</v>
      </c>
      <c r="F851" s="5">
        <v>0.27750000000000002</v>
      </c>
      <c r="G851" s="5">
        <f>StockTransactionsTable[[#This Row],[Shares No.]]*StockTransactionsTable[[#This Row],[Amount per Share]]</f>
        <v>40.515000000000001</v>
      </c>
      <c r="H851" s="5">
        <v>0</v>
      </c>
      <c r="I85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40.515000000000001</v>
      </c>
      <c r="J851" s="19">
        <f>StockTransactionsTable[[#This Row],[Fee]]/StockTransactionsTable[[#This Row],[Total Amount]]</f>
        <v>0</v>
      </c>
      <c r="K851" s="5">
        <f>IF(StockTransactionsTable[[#This Row],[Transaction Type]]="Buy", StockTransactionsTable[[#This Row],[Total Amount with Fee]] / StockTransactionsTable[[#This Row],[Shares No.]],0)</f>
        <v>0</v>
      </c>
      <c r="L85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51" s="4">
        <f>YEAR(StockTransactionsTable[[#This Row],[Date]])</f>
        <v>2025</v>
      </c>
      <c r="N851" s="4">
        <f>MONTH(StockTransactionsTable[[#This Row],[Date]])</f>
        <v>5</v>
      </c>
    </row>
    <row r="852" spans="2:14">
      <c r="B852" s="3">
        <v>45786</v>
      </c>
      <c r="C852" s="6" t="s">
        <v>19</v>
      </c>
      <c r="D852" s="6" t="s">
        <v>30</v>
      </c>
      <c r="E852" s="5">
        <v>86</v>
      </c>
      <c r="F852" s="5">
        <v>1.22</v>
      </c>
      <c r="G852" s="5">
        <f>StockTransactionsTable[[#This Row],[Shares No.]]*StockTransactionsTable[[#This Row],[Amount per Share]]</f>
        <v>104.92</v>
      </c>
      <c r="H852" s="5">
        <v>0</v>
      </c>
      <c r="I85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104.92</v>
      </c>
      <c r="J852" s="19">
        <f>StockTransactionsTable[[#This Row],[Fee]]/StockTransactionsTable[[#This Row],[Total Amount]]</f>
        <v>0</v>
      </c>
      <c r="K852" s="5">
        <f>IF(StockTransactionsTable[[#This Row],[Transaction Type]]="Buy", StockTransactionsTable[[#This Row],[Total Amount with Fee]] / StockTransactionsTable[[#This Row],[Shares No.]],0)</f>
        <v>0</v>
      </c>
      <c r="L85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52" s="4">
        <f>YEAR(StockTransactionsTable[[#This Row],[Date]])</f>
        <v>2025</v>
      </c>
      <c r="N852" s="4">
        <f>MONTH(StockTransactionsTable[[#This Row],[Date]])</f>
        <v>5</v>
      </c>
    </row>
    <row r="853" spans="2:14">
      <c r="B853" s="3">
        <v>45791</v>
      </c>
      <c r="C853" s="6" t="s">
        <v>91</v>
      </c>
      <c r="D853" s="6" t="s">
        <v>29</v>
      </c>
      <c r="E853" s="5">
        <v>16</v>
      </c>
      <c r="F853" s="5" vm="546">
        <v>452.94</v>
      </c>
      <c r="G853" s="5">
        <f>StockTransactionsTable[[#This Row],[Shares No.]]*StockTransactionsTable[[#This Row],[Amount per Share]]</f>
        <v>7247.04</v>
      </c>
      <c r="H853" s="5">
        <v>3.4753015442187594</v>
      </c>
      <c r="I85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7250.5153015442183</v>
      </c>
      <c r="J853" s="19">
        <f>StockTransactionsTable[[#This Row],[Fee]]/StockTransactionsTable[[#This Row],[Total Amount]]</f>
        <v>4.7954772489440647E-4</v>
      </c>
      <c r="K853" s="5">
        <f>IF(StockTransactionsTable[[#This Row],[Transaction Type]]="Buy", StockTransactionsTable[[#This Row],[Total Amount with Fee]] / StockTransactionsTable[[#This Row],[Shares No.]],0)</f>
        <v>453.15720634651365</v>
      </c>
      <c r="L85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53" s="4">
        <f>YEAR(StockTransactionsTable[[#This Row],[Date]])</f>
        <v>2025</v>
      </c>
      <c r="N853" s="4">
        <f>MONTH(StockTransactionsTable[[#This Row],[Date]])</f>
        <v>5</v>
      </c>
    </row>
    <row r="854" spans="2:14">
      <c r="B854" s="3">
        <v>45792</v>
      </c>
      <c r="C854" s="6" t="s">
        <v>86</v>
      </c>
      <c r="D854" s="6" t="s">
        <v>30</v>
      </c>
      <c r="E854" s="5">
        <v>152</v>
      </c>
      <c r="F854" s="5">
        <v>1.64</v>
      </c>
      <c r="G854" s="5">
        <f>StockTransactionsTable[[#This Row],[Shares No.]]*StockTransactionsTable[[#This Row],[Amount per Share]]</f>
        <v>249.27999999999997</v>
      </c>
      <c r="H854" s="5">
        <v>0</v>
      </c>
      <c r="I85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249.27999999999997</v>
      </c>
      <c r="J854" s="19">
        <f>StockTransactionsTable[[#This Row],[Fee]]/StockTransactionsTable[[#This Row],[Total Amount]]</f>
        <v>0</v>
      </c>
      <c r="K854" s="5">
        <f>IF(StockTransactionsTable[[#This Row],[Transaction Type]]="Buy", StockTransactionsTable[[#This Row],[Total Amount with Fee]] / StockTransactionsTable[[#This Row],[Shares No.]],0)</f>
        <v>0</v>
      </c>
      <c r="L85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54" s="4">
        <f>YEAR(StockTransactionsTable[[#This Row],[Date]])</f>
        <v>2025</v>
      </c>
      <c r="N854" s="4">
        <f>MONTH(StockTransactionsTable[[#This Row],[Date]])</f>
        <v>5</v>
      </c>
    </row>
    <row r="855" spans="2:14">
      <c r="B855" s="3">
        <v>45792</v>
      </c>
      <c r="C855" s="6" t="s">
        <v>12</v>
      </c>
      <c r="D855" s="6" t="s">
        <v>30</v>
      </c>
      <c r="E855" s="5">
        <v>97</v>
      </c>
      <c r="F855" s="5">
        <v>0.26850000000000002</v>
      </c>
      <c r="G855" s="5">
        <f>StockTransactionsTable[[#This Row],[Shares No.]]*StockTransactionsTable[[#This Row],[Amount per Share]]</f>
        <v>26.044500000000003</v>
      </c>
      <c r="H855" s="5">
        <v>0</v>
      </c>
      <c r="I85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26.044500000000003</v>
      </c>
      <c r="J855" s="19">
        <f>StockTransactionsTable[[#This Row],[Fee]]/StockTransactionsTable[[#This Row],[Total Amount]]</f>
        <v>0</v>
      </c>
      <c r="K855" s="5">
        <f>IF(StockTransactionsTable[[#This Row],[Transaction Type]]="Buy", StockTransactionsTable[[#This Row],[Total Amount with Fee]] / StockTransactionsTable[[#This Row],[Shares No.]],0)</f>
        <v>0</v>
      </c>
      <c r="L85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55" s="4">
        <f>YEAR(StockTransactionsTable[[#This Row],[Date]])</f>
        <v>2025</v>
      </c>
      <c r="N855" s="4">
        <f>MONTH(StockTransactionsTable[[#This Row],[Date]])</f>
        <v>5</v>
      </c>
    </row>
    <row r="856" spans="2:14">
      <c r="B856" s="3">
        <v>45792</v>
      </c>
      <c r="C856" s="6" t="s">
        <v>21</v>
      </c>
      <c r="D856" s="6" t="s">
        <v>30</v>
      </c>
      <c r="E856" s="5">
        <v>49</v>
      </c>
      <c r="F856" s="5">
        <v>1.0568</v>
      </c>
      <c r="G856" s="5">
        <f>StockTransactionsTable[[#This Row],[Shares No.]]*StockTransactionsTable[[#This Row],[Amount per Share]]</f>
        <v>51.783200000000001</v>
      </c>
      <c r="H856" s="5">
        <v>0</v>
      </c>
      <c r="I85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51.783200000000001</v>
      </c>
      <c r="J856" s="19">
        <f>StockTransactionsTable[[#This Row],[Fee]]/StockTransactionsTable[[#This Row],[Total Amount]]</f>
        <v>0</v>
      </c>
      <c r="K856" s="5">
        <f>IF(StockTransactionsTable[[#This Row],[Transaction Type]]="Buy", StockTransactionsTable[[#This Row],[Total Amount with Fee]] / StockTransactionsTable[[#This Row],[Shares No.]],0)</f>
        <v>0</v>
      </c>
      <c r="L85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56" s="4">
        <f>YEAR(StockTransactionsTable[[#This Row],[Date]])</f>
        <v>2025</v>
      </c>
      <c r="N856" s="4">
        <f>MONTH(StockTransactionsTable[[#This Row],[Date]])</f>
        <v>5</v>
      </c>
    </row>
    <row r="857" spans="2:14">
      <c r="B857" s="3">
        <v>45797</v>
      </c>
      <c r="C857" s="6" t="s">
        <v>22</v>
      </c>
      <c r="D857" s="6" t="s">
        <v>30</v>
      </c>
      <c r="E857" s="5">
        <v>119</v>
      </c>
      <c r="F857" s="5">
        <v>1.41</v>
      </c>
      <c r="G857" s="5">
        <f>StockTransactionsTable[[#This Row],[Shares No.]]*StockTransactionsTable[[#This Row],[Amount per Share]]</f>
        <v>167.79</v>
      </c>
      <c r="H857" s="5">
        <v>0</v>
      </c>
      <c r="I85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167.79</v>
      </c>
      <c r="J857" s="19">
        <f>StockTransactionsTable[[#This Row],[Fee]]/StockTransactionsTable[[#This Row],[Total Amount]]</f>
        <v>0</v>
      </c>
      <c r="K857" s="5">
        <f>IF(StockTransactionsTable[[#This Row],[Transaction Type]]="Buy", StockTransactionsTable[[#This Row],[Total Amount with Fee]] / StockTransactionsTable[[#This Row],[Shares No.]],0)</f>
        <v>0</v>
      </c>
      <c r="L85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57" s="4">
        <f>YEAR(StockTransactionsTable[[#This Row],[Date]])</f>
        <v>2025</v>
      </c>
      <c r="N857" s="4">
        <f>MONTH(StockTransactionsTable[[#This Row],[Date]])</f>
        <v>5</v>
      </c>
    </row>
    <row r="858" spans="2:14">
      <c r="B858" s="3">
        <v>45818</v>
      </c>
      <c r="C858" s="6" t="s">
        <v>17</v>
      </c>
      <c r="D858" s="6" t="s">
        <v>30</v>
      </c>
      <c r="E858" s="5">
        <v>231</v>
      </c>
      <c r="F858" s="5">
        <v>1.68</v>
      </c>
      <c r="G858" s="5">
        <f>StockTransactionsTable[[#This Row],[Shares No.]]*StockTransactionsTable[[#This Row],[Amount per Share]]</f>
        <v>388.08</v>
      </c>
      <c r="H858" s="5">
        <v>0</v>
      </c>
      <c r="I85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388.08</v>
      </c>
      <c r="J858" s="19">
        <f>StockTransactionsTable[[#This Row],[Fee]]/StockTransactionsTable[[#This Row],[Total Amount]]</f>
        <v>0</v>
      </c>
      <c r="K858" s="5">
        <f>IF(StockTransactionsTable[[#This Row],[Transaction Type]]="Buy", StockTransactionsTable[[#This Row],[Total Amount with Fee]] / StockTransactionsTable[[#This Row],[Shares No.]],0)</f>
        <v>0</v>
      </c>
      <c r="L85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58" s="4">
        <f>YEAR(StockTransactionsTable[[#This Row],[Date]])</f>
        <v>2025</v>
      </c>
      <c r="N858" s="4">
        <f>MONTH(StockTransactionsTable[[#This Row],[Date]])</f>
        <v>6</v>
      </c>
    </row>
    <row r="859" spans="2:14">
      <c r="B859" s="3">
        <v>45818</v>
      </c>
      <c r="C859" s="6" t="s">
        <v>84</v>
      </c>
      <c r="D859" s="6" t="s">
        <v>30</v>
      </c>
      <c r="E859" s="5">
        <v>51</v>
      </c>
      <c r="F859" s="5">
        <v>1.3</v>
      </c>
      <c r="G859" s="5">
        <f>StockTransactionsTable[[#This Row],[Shares No.]]*StockTransactionsTable[[#This Row],[Amount per Share]]</f>
        <v>66.3</v>
      </c>
      <c r="H859" s="5">
        <v>0</v>
      </c>
      <c r="I85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66.3</v>
      </c>
      <c r="J859" s="19">
        <f>StockTransactionsTable[[#This Row],[Fee]]/StockTransactionsTable[[#This Row],[Total Amount]]</f>
        <v>0</v>
      </c>
      <c r="K859" s="5">
        <f>IF(StockTransactionsTable[[#This Row],[Transaction Type]]="Buy", StockTransactionsTable[[#This Row],[Total Amount with Fee]] / StockTransactionsTable[[#This Row],[Shares No.]],0)</f>
        <v>0</v>
      </c>
      <c r="L85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59" s="4">
        <f>YEAR(StockTransactionsTable[[#This Row],[Date]])</f>
        <v>2025</v>
      </c>
      <c r="N859" s="4">
        <f>MONTH(StockTransactionsTable[[#This Row],[Date]])</f>
        <v>6</v>
      </c>
    </row>
    <row r="860" spans="2:14">
      <c r="B860" s="3">
        <v>45818</v>
      </c>
      <c r="C860" s="6" t="s">
        <v>16</v>
      </c>
      <c r="D860" s="6" t="s">
        <v>30</v>
      </c>
      <c r="E860" s="5">
        <v>185</v>
      </c>
      <c r="F860" s="5">
        <v>0.99</v>
      </c>
      <c r="G860" s="5">
        <f>StockTransactionsTable[[#This Row],[Shares No.]]*StockTransactionsTable[[#This Row],[Amount per Share]]</f>
        <v>183.15</v>
      </c>
      <c r="H860" s="5">
        <v>0</v>
      </c>
      <c r="I86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183.15</v>
      </c>
      <c r="J860" s="19">
        <f>StockTransactionsTable[[#This Row],[Fee]]/StockTransactionsTable[[#This Row],[Total Amount]]</f>
        <v>0</v>
      </c>
      <c r="K860" s="5">
        <f>IF(StockTransactionsTable[[#This Row],[Transaction Type]]="Buy", StockTransactionsTable[[#This Row],[Total Amount with Fee]] / StockTransactionsTable[[#This Row],[Shares No.]],0)</f>
        <v>0</v>
      </c>
      <c r="L86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60" s="4">
        <f>YEAR(StockTransactionsTable[[#This Row],[Date]])</f>
        <v>2025</v>
      </c>
      <c r="N860" s="4">
        <f>MONTH(StockTransactionsTable[[#This Row],[Date]])</f>
        <v>6</v>
      </c>
    </row>
    <row r="861" spans="2:14">
      <c r="B861" s="3">
        <v>45820</v>
      </c>
      <c r="C861" s="6" t="s">
        <v>91</v>
      </c>
      <c r="D861" s="6" t="s">
        <v>30</v>
      </c>
      <c r="E861" s="5">
        <v>222</v>
      </c>
      <c r="F861" s="5">
        <v>0.83</v>
      </c>
      <c r="G861" s="5">
        <f>StockTransactionsTable[[#This Row],[Shares No.]]*StockTransactionsTable[[#This Row],[Amount per Share]]</f>
        <v>184.26</v>
      </c>
      <c r="H861" s="5">
        <v>0</v>
      </c>
      <c r="I86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184.26</v>
      </c>
      <c r="J861" s="19">
        <f>StockTransactionsTable[[#This Row],[Fee]]/StockTransactionsTable[[#This Row],[Total Amount]]</f>
        <v>0</v>
      </c>
      <c r="K861" s="5">
        <f>IF(StockTransactionsTable[[#This Row],[Transaction Type]]="Buy", StockTransactionsTable[[#This Row],[Total Amount with Fee]] / StockTransactionsTable[[#This Row],[Shares No.]],0)</f>
        <v>0</v>
      </c>
      <c r="L86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61" s="4">
        <f>YEAR(StockTransactionsTable[[#This Row],[Date]])</f>
        <v>2025</v>
      </c>
      <c r="N861" s="4">
        <f>MONTH(StockTransactionsTable[[#This Row],[Date]])</f>
        <v>6</v>
      </c>
    </row>
    <row r="862" spans="2:14">
      <c r="B862" s="3">
        <v>45820</v>
      </c>
      <c r="C862" s="6" t="s">
        <v>106</v>
      </c>
      <c r="D862" s="6" t="s">
        <v>30</v>
      </c>
      <c r="E862" s="5">
        <v>88</v>
      </c>
      <c r="F862" s="5">
        <v>0.68</v>
      </c>
      <c r="G862" s="5">
        <f>StockTransactionsTable[[#This Row],[Shares No.]]*StockTransactionsTable[[#This Row],[Amount per Share]]</f>
        <v>59.84</v>
      </c>
      <c r="H862" s="5">
        <v>0</v>
      </c>
      <c r="I86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59.84</v>
      </c>
      <c r="J862" s="19">
        <f>StockTransactionsTable[[#This Row],[Fee]]/StockTransactionsTable[[#This Row],[Total Amount]]</f>
        <v>0</v>
      </c>
      <c r="K862" s="5">
        <f>IF(StockTransactionsTable[[#This Row],[Transaction Type]]="Buy", StockTransactionsTable[[#This Row],[Total Amount with Fee]] / StockTransactionsTable[[#This Row],[Shares No.]],0)</f>
        <v>0</v>
      </c>
      <c r="L86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62" s="4">
        <f>YEAR(StockTransactionsTable[[#This Row],[Date]])</f>
        <v>2025</v>
      </c>
      <c r="N862" s="4">
        <f>MONTH(StockTransactionsTable[[#This Row],[Date]])</f>
        <v>6</v>
      </c>
    </row>
    <row r="863" spans="2:14">
      <c r="B863" s="3">
        <v>45821</v>
      </c>
      <c r="C863" s="6" t="s">
        <v>12</v>
      </c>
      <c r="D863" s="6" t="s">
        <v>30</v>
      </c>
      <c r="E863" s="5">
        <v>97</v>
      </c>
      <c r="F863" s="5">
        <v>0.26850000000000002</v>
      </c>
      <c r="G863" s="5">
        <f>StockTransactionsTable[[#This Row],[Shares No.]]*StockTransactionsTable[[#This Row],[Amount per Share]]</f>
        <v>26.044500000000003</v>
      </c>
      <c r="H863" s="5">
        <v>0</v>
      </c>
      <c r="I86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26.044500000000003</v>
      </c>
      <c r="J863" s="19">
        <f>StockTransactionsTable[[#This Row],[Fee]]/StockTransactionsTable[[#This Row],[Total Amount]]</f>
        <v>0</v>
      </c>
      <c r="K863" s="5">
        <f>IF(StockTransactionsTable[[#This Row],[Transaction Type]]="Buy", StockTransactionsTable[[#This Row],[Total Amount with Fee]] / StockTransactionsTable[[#This Row],[Shares No.]],0)</f>
        <v>0</v>
      </c>
      <c r="L86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63" s="4">
        <f>YEAR(StockTransactionsTable[[#This Row],[Date]])</f>
        <v>2025</v>
      </c>
      <c r="N863" s="4">
        <f>MONTH(StockTransactionsTable[[#This Row],[Date]])</f>
        <v>6</v>
      </c>
    </row>
    <row r="864" spans="2:14">
      <c r="B864" s="3">
        <v>45821</v>
      </c>
      <c r="C864" s="6" t="s">
        <v>13</v>
      </c>
      <c r="D864" s="6" t="s">
        <v>30</v>
      </c>
      <c r="E864" s="5">
        <v>115</v>
      </c>
      <c r="F864" s="5">
        <v>0.43</v>
      </c>
      <c r="G864" s="5">
        <f>StockTransactionsTable[[#This Row],[Shares No.]]*StockTransactionsTable[[#This Row],[Amount per Share]]</f>
        <v>49.449999999999996</v>
      </c>
      <c r="H864" s="5">
        <v>0</v>
      </c>
      <c r="I86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49.449999999999996</v>
      </c>
      <c r="J864" s="19">
        <f>StockTransactionsTable[[#This Row],[Fee]]/StockTransactionsTable[[#This Row],[Total Amount]]</f>
        <v>0</v>
      </c>
      <c r="K864" s="5">
        <f>IF(StockTransactionsTable[[#This Row],[Transaction Type]]="Buy", StockTransactionsTable[[#This Row],[Total Amount with Fee]] / StockTransactionsTable[[#This Row],[Shares No.]],0)</f>
        <v>0</v>
      </c>
      <c r="L86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64" s="4">
        <f>YEAR(StockTransactionsTable[[#This Row],[Date]])</f>
        <v>2025</v>
      </c>
      <c r="N864" s="4">
        <f>MONTH(StockTransactionsTable[[#This Row],[Date]])</f>
        <v>6</v>
      </c>
    </row>
    <row r="865" spans="2:14">
      <c r="B865" s="3">
        <v>45824</v>
      </c>
      <c r="C865" s="6" t="s">
        <v>14</v>
      </c>
      <c r="D865" s="6" t="s">
        <v>30</v>
      </c>
      <c r="E865" s="5">
        <v>63</v>
      </c>
      <c r="F865" s="5">
        <v>0.43840000000000001</v>
      </c>
      <c r="G865" s="5">
        <f>StockTransactionsTable[[#This Row],[Shares No.]]*StockTransactionsTable[[#This Row],[Amount per Share]]</f>
        <v>27.619199999999999</v>
      </c>
      <c r="H865" s="5">
        <v>0</v>
      </c>
      <c r="I86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27.619199999999999</v>
      </c>
      <c r="J865" s="19">
        <f>StockTransactionsTable[[#This Row],[Fee]]/StockTransactionsTable[[#This Row],[Total Amount]]</f>
        <v>0</v>
      </c>
      <c r="K865" s="5">
        <f>IF(StockTransactionsTable[[#This Row],[Transaction Type]]="Buy", StockTransactionsTable[[#This Row],[Total Amount with Fee]] / StockTransactionsTable[[#This Row],[Shares No.]],0)</f>
        <v>0</v>
      </c>
      <c r="L86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65" s="4">
        <f>YEAR(StockTransactionsTable[[#This Row],[Date]])</f>
        <v>2025</v>
      </c>
      <c r="N865" s="4">
        <f>MONTH(StockTransactionsTable[[#This Row],[Date]])</f>
        <v>6</v>
      </c>
    </row>
    <row r="866" spans="2:14">
      <c r="B866" s="3">
        <v>45824</v>
      </c>
      <c r="C866" s="6" t="s">
        <v>100</v>
      </c>
      <c r="D866" s="6" t="s">
        <v>30</v>
      </c>
      <c r="E866" s="5">
        <v>250</v>
      </c>
      <c r="F866" s="5">
        <v>1.0449999999999999</v>
      </c>
      <c r="G866" s="5">
        <f>StockTransactionsTable[[#This Row],[Shares No.]]*StockTransactionsTable[[#This Row],[Amount per Share]]</f>
        <v>261.25</v>
      </c>
      <c r="H866" s="5">
        <v>0</v>
      </c>
      <c r="I86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261.25</v>
      </c>
      <c r="J866" s="19">
        <f>StockTransactionsTable[[#This Row],[Fee]]/StockTransactionsTable[[#This Row],[Total Amount]]</f>
        <v>0</v>
      </c>
      <c r="K866" s="5">
        <f>IF(StockTransactionsTable[[#This Row],[Transaction Type]]="Buy", StockTransactionsTable[[#This Row],[Total Amount with Fee]] / StockTransactionsTable[[#This Row],[Shares No.]],0)</f>
        <v>0</v>
      </c>
      <c r="L86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66" s="4">
        <f>YEAR(StockTransactionsTable[[#This Row],[Date]])</f>
        <v>2025</v>
      </c>
      <c r="N866" s="4">
        <f>MONTH(StockTransactionsTable[[#This Row],[Date]])</f>
        <v>6</v>
      </c>
    </row>
    <row r="867" spans="2:14">
      <c r="B867" s="3">
        <v>45824</v>
      </c>
      <c r="C867" s="6" t="s">
        <v>88</v>
      </c>
      <c r="D867" s="6" t="s">
        <v>30</v>
      </c>
      <c r="E867" s="5">
        <v>95</v>
      </c>
      <c r="F867" s="5">
        <v>1.77</v>
      </c>
      <c r="G867" s="5">
        <f>StockTransactionsTable[[#This Row],[Shares No.]]*StockTransactionsTable[[#This Row],[Amount per Share]]</f>
        <v>168.15</v>
      </c>
      <c r="H867" s="5">
        <v>0</v>
      </c>
      <c r="I86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168.15</v>
      </c>
      <c r="J867" s="19">
        <f>StockTransactionsTable[[#This Row],[Fee]]/StockTransactionsTable[[#This Row],[Total Amount]]</f>
        <v>0</v>
      </c>
      <c r="K867" s="5">
        <f>IF(StockTransactionsTable[[#This Row],[Transaction Type]]="Buy", StockTransactionsTable[[#This Row],[Total Amount with Fee]] / StockTransactionsTable[[#This Row],[Shares No.]],0)</f>
        <v>0</v>
      </c>
      <c r="L86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67" s="4">
        <f>YEAR(StockTransactionsTable[[#This Row],[Date]])</f>
        <v>2025</v>
      </c>
      <c r="N867" s="4">
        <f>MONTH(StockTransactionsTable[[#This Row],[Date]])</f>
        <v>6</v>
      </c>
    </row>
    <row r="868" spans="2:14">
      <c r="B868" s="3">
        <v>45824</v>
      </c>
      <c r="C868" s="6" t="s">
        <v>98</v>
      </c>
      <c r="D868" s="6" t="s">
        <v>30</v>
      </c>
      <c r="E868" s="5">
        <v>412</v>
      </c>
      <c r="F868" s="5">
        <v>0.5665</v>
      </c>
      <c r="G868" s="5">
        <f>StockTransactionsTable[[#This Row],[Shares No.]]*StockTransactionsTable[[#This Row],[Amount per Share]]</f>
        <v>233.398</v>
      </c>
      <c r="H868" s="5">
        <v>0</v>
      </c>
      <c r="I86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233.398</v>
      </c>
      <c r="J868" s="19">
        <f>StockTransactionsTable[[#This Row],[Fee]]/StockTransactionsTable[[#This Row],[Total Amount]]</f>
        <v>0</v>
      </c>
      <c r="K868" s="5">
        <f>IF(StockTransactionsTable[[#This Row],[Transaction Type]]="Buy", StockTransactionsTable[[#This Row],[Total Amount with Fee]] / StockTransactionsTable[[#This Row],[Shares No.]],0)</f>
        <v>0</v>
      </c>
      <c r="L86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68" s="4">
        <f>YEAR(StockTransactionsTable[[#This Row],[Date]])</f>
        <v>2025</v>
      </c>
      <c r="N868" s="4">
        <f>MONTH(StockTransactionsTable[[#This Row],[Date]])</f>
        <v>6</v>
      </c>
    </row>
    <row r="869" spans="2:14">
      <c r="B869" s="3">
        <v>45826</v>
      </c>
      <c r="C869" s="6" t="s">
        <v>95</v>
      </c>
      <c r="D869" s="6" t="s">
        <v>30</v>
      </c>
      <c r="E869" s="5">
        <v>172</v>
      </c>
      <c r="F869" s="5">
        <v>2.2999999999999998</v>
      </c>
      <c r="G869" s="5">
        <f>StockTransactionsTable[[#This Row],[Shares No.]]*StockTransactionsTable[[#This Row],[Amount per Share]]</f>
        <v>395.59999999999997</v>
      </c>
      <c r="H869" s="5">
        <v>0</v>
      </c>
      <c r="I86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395.59999999999997</v>
      </c>
      <c r="J869" s="19">
        <f>StockTransactionsTable[[#This Row],[Fee]]/StockTransactionsTable[[#This Row],[Total Amount]]</f>
        <v>0</v>
      </c>
      <c r="K869" s="5">
        <f>IF(StockTransactionsTable[[#This Row],[Transaction Type]]="Buy", StockTransactionsTable[[#This Row],[Total Amount with Fee]] / StockTransactionsTable[[#This Row],[Shares No.]],0)</f>
        <v>0</v>
      </c>
      <c r="L86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69" s="4">
        <f>YEAR(StockTransactionsTable[[#This Row],[Date]])</f>
        <v>2025</v>
      </c>
      <c r="N869" s="4">
        <f>MONTH(StockTransactionsTable[[#This Row],[Date]])</f>
        <v>6</v>
      </c>
    </row>
    <row r="870" spans="2:14">
      <c r="B870" s="3">
        <v>45831</v>
      </c>
      <c r="C870" s="6" t="s">
        <v>21</v>
      </c>
      <c r="D870" s="6" t="s">
        <v>29</v>
      </c>
      <c r="E870" s="5">
        <v>35</v>
      </c>
      <c r="F870" s="5" vm="547">
        <v>161.03</v>
      </c>
      <c r="G870" s="5">
        <f>StockTransactionsTable[[#This Row],[Shares No.]]*StockTransactionsTable[[#This Row],[Amount per Share]]</f>
        <v>5636.05</v>
      </c>
      <c r="H870" s="5">
        <v>2.585494646343427</v>
      </c>
      <c r="I87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5638.6354946463434</v>
      </c>
      <c r="J870" s="19">
        <f>StockTransactionsTable[[#This Row],[Fee]]/StockTransactionsTable[[#This Row],[Total Amount]]</f>
        <v>4.5874231888351361E-4</v>
      </c>
      <c r="K870" s="5">
        <f>IF(StockTransactionsTable[[#This Row],[Transaction Type]]="Buy", StockTransactionsTable[[#This Row],[Total Amount with Fee]] / StockTransactionsTable[[#This Row],[Shares No.]],0)</f>
        <v>161.10387127560981</v>
      </c>
      <c r="L87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70" s="4">
        <f>YEAR(StockTransactionsTable[[#This Row],[Date]])</f>
        <v>2025</v>
      </c>
      <c r="N870" s="4">
        <f>MONTH(StockTransactionsTable[[#This Row],[Date]])</f>
        <v>6</v>
      </c>
    </row>
    <row r="871" spans="2:14">
      <c r="B871" s="3">
        <v>45838</v>
      </c>
      <c r="C871" s="6" t="s">
        <v>18</v>
      </c>
      <c r="D871" s="6" t="s">
        <v>30</v>
      </c>
      <c r="E871" s="5">
        <v>43</v>
      </c>
      <c r="F871" s="5">
        <v>1.4225000000000001</v>
      </c>
      <c r="G871" s="5">
        <f>StockTransactionsTable[[#This Row],[Shares No.]]*StockTransactionsTable[[#This Row],[Amount per Share]]</f>
        <v>61.167500000000004</v>
      </c>
      <c r="H871" s="5">
        <v>0</v>
      </c>
      <c r="I87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61.167500000000004</v>
      </c>
      <c r="J871" s="19">
        <f>StockTransactionsTable[[#This Row],[Fee]]/StockTransactionsTable[[#This Row],[Total Amount]]</f>
        <v>0</v>
      </c>
      <c r="K871" s="5">
        <f>IF(StockTransactionsTable[[#This Row],[Transaction Type]]="Buy", StockTransactionsTable[[#This Row],[Total Amount with Fee]] / StockTransactionsTable[[#This Row],[Shares No.]],0)</f>
        <v>0</v>
      </c>
      <c r="L87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71" s="4">
        <f>YEAR(StockTransactionsTable[[#This Row],[Date]])</f>
        <v>2025</v>
      </c>
      <c r="N871" s="4">
        <f>MONTH(StockTransactionsTable[[#This Row],[Date]])</f>
        <v>6</v>
      </c>
    </row>
    <row r="872" spans="2:14">
      <c r="B872" s="3">
        <v>45839</v>
      </c>
      <c r="C872" s="6" t="s">
        <v>23</v>
      </c>
      <c r="D872" s="6" t="s">
        <v>30</v>
      </c>
      <c r="E872" s="5">
        <v>117</v>
      </c>
      <c r="F872" s="5">
        <v>0.51</v>
      </c>
      <c r="G872" s="5">
        <f>StockTransactionsTable[[#This Row],[Shares No.]]*StockTransactionsTable[[#This Row],[Amount per Share]]</f>
        <v>59.67</v>
      </c>
      <c r="H872" s="5">
        <v>0</v>
      </c>
      <c r="I87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59.67</v>
      </c>
      <c r="J872" s="19">
        <f>StockTransactionsTable[[#This Row],[Fee]]/StockTransactionsTable[[#This Row],[Total Amount]]</f>
        <v>0</v>
      </c>
      <c r="K872" s="5">
        <f>IF(StockTransactionsTable[[#This Row],[Transaction Type]]="Buy", StockTransactionsTable[[#This Row],[Total Amount with Fee]] / StockTransactionsTable[[#This Row],[Shares No.]],0)</f>
        <v>0</v>
      </c>
      <c r="L87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72" s="4">
        <f>YEAR(StockTransactionsTable[[#This Row],[Date]])</f>
        <v>2025</v>
      </c>
      <c r="N872" s="4">
        <f>MONTH(StockTransactionsTable[[#This Row],[Date]])</f>
        <v>7</v>
      </c>
    </row>
    <row r="873" spans="2:14">
      <c r="B873" s="3">
        <v>45853</v>
      </c>
      <c r="C873" s="6" t="s">
        <v>91</v>
      </c>
      <c r="D873" s="6" t="s">
        <v>31</v>
      </c>
      <c r="E873" s="5">
        <v>10</v>
      </c>
      <c r="F873" s="5" vm="548">
        <v>505.82</v>
      </c>
      <c r="G873" s="5">
        <f>StockTransactionsTable[[#This Row],[Shares No.]]*StockTransactionsTable[[#This Row],[Amount per Share]]</f>
        <v>5058.2</v>
      </c>
      <c r="H873" s="5">
        <v>2.0682827502303915</v>
      </c>
      <c r="I87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5056.1317172497693</v>
      </c>
      <c r="J873" s="19">
        <f>StockTransactionsTable[[#This Row],[Fee]]/StockTransactionsTable[[#This Row],[Total Amount]]</f>
        <v>4.088969890930354E-4</v>
      </c>
      <c r="K873" s="5">
        <f>IF(StockTransactionsTable[[#This Row],[Transaction Type]]="Buy", StockTransactionsTable[[#This Row],[Total Amount with Fee]] / StockTransactionsTable[[#This Row],[Shares No.]],0)</f>
        <v>0</v>
      </c>
      <c r="L873" s="5">
        <f>IF(StockTransactionsTable[[#This Row],[Transaction Type]]="Sell",
   (StockTransactionsTable[[#This Row],[Total Amount with Fee]]) - (StockTransactionsTable[[#This Row],[Shares No.]] * INDEX(StockTransactionsTable[Accumulated cost buy basis], MATCH(StockTransactionsTable[[#This Row],[Ticker]], StockTransactionsTable[Ticker], 0))),
   "")</f>
        <v>4498.9011507892656</v>
      </c>
      <c r="M873" s="4">
        <f>YEAR(StockTransactionsTable[[#This Row],[Date]])</f>
        <v>2025</v>
      </c>
      <c r="N873" s="4">
        <f>MONTH(StockTransactionsTable[[#This Row],[Date]])</f>
        <v>7</v>
      </c>
    </row>
    <row r="874" spans="2:14">
      <c r="B874" s="3">
        <v>45853</v>
      </c>
      <c r="C874" s="6" t="s">
        <v>12</v>
      </c>
      <c r="D874" s="6" t="s">
        <v>30</v>
      </c>
      <c r="E874" s="5">
        <v>97</v>
      </c>
      <c r="F874" s="5">
        <v>0.26900000000000002</v>
      </c>
      <c r="G874" s="5">
        <f>StockTransactionsTable[[#This Row],[Shares No.]]*StockTransactionsTable[[#This Row],[Amount per Share]]</f>
        <v>26.093</v>
      </c>
      <c r="H874" s="5">
        <v>0</v>
      </c>
      <c r="I87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26.093</v>
      </c>
      <c r="J874" s="19">
        <f>StockTransactionsTable[[#This Row],[Fee]]/StockTransactionsTable[[#This Row],[Total Amount]]</f>
        <v>0</v>
      </c>
      <c r="K874" s="5">
        <f>IF(StockTransactionsTable[[#This Row],[Transaction Type]]="Buy", StockTransactionsTable[[#This Row],[Total Amount with Fee]] / StockTransactionsTable[[#This Row],[Shares No.]],0)</f>
        <v>0</v>
      </c>
      <c r="L87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74" s="4">
        <f>YEAR(StockTransactionsTable[[#This Row],[Date]])</f>
        <v>2025</v>
      </c>
      <c r="N874" s="4">
        <f>MONTH(StockTransactionsTable[[#This Row],[Date]])</f>
        <v>7</v>
      </c>
    </row>
    <row r="875" spans="2:14">
      <c r="B875" s="3">
        <v>45869</v>
      </c>
      <c r="C875" s="6" t="s">
        <v>20</v>
      </c>
      <c r="D875" s="6" t="s">
        <v>30</v>
      </c>
      <c r="E875" s="5">
        <v>116</v>
      </c>
      <c r="F875" s="5">
        <v>1.4</v>
      </c>
      <c r="G875" s="5">
        <f>StockTransactionsTable[[#This Row],[Shares No.]]*StockTransactionsTable[[#This Row],[Amount per Share]]</f>
        <v>162.39999999999998</v>
      </c>
      <c r="H875" s="5">
        <v>0</v>
      </c>
      <c r="I87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162.39999999999998</v>
      </c>
      <c r="J875" s="19">
        <f>StockTransactionsTable[[#This Row],[Fee]]/StockTransactionsTable[[#This Row],[Total Amount]]</f>
        <v>0</v>
      </c>
      <c r="K875" s="5">
        <f>IF(StockTransactionsTable[[#This Row],[Transaction Type]]="Buy", StockTransactionsTable[[#This Row],[Total Amount with Fee]] / StockTransactionsTable[[#This Row],[Shares No.]],0)</f>
        <v>0</v>
      </c>
      <c r="L87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75" s="4">
        <f>YEAR(StockTransactionsTable[[#This Row],[Date]])</f>
        <v>2025</v>
      </c>
      <c r="N875" s="4">
        <f>MONTH(StockTransactionsTable[[#This Row],[Date]])</f>
        <v>7</v>
      </c>
    </row>
    <row r="876" spans="2:14">
      <c r="B876" s="3">
        <v>45870</v>
      </c>
      <c r="C876" s="6" t="s">
        <v>15</v>
      </c>
      <c r="D876" s="6" t="s">
        <v>30</v>
      </c>
      <c r="E876" s="5">
        <v>146</v>
      </c>
      <c r="F876" s="5">
        <v>0.27750000000000002</v>
      </c>
      <c r="G876" s="5">
        <f>StockTransactionsTable[[#This Row],[Shares No.]]*StockTransactionsTable[[#This Row],[Amount per Share]]</f>
        <v>40.515000000000001</v>
      </c>
      <c r="H876" s="5">
        <v>0</v>
      </c>
      <c r="I87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40.515000000000001</v>
      </c>
      <c r="J876" s="19">
        <f>StockTransactionsTable[[#This Row],[Fee]]/StockTransactionsTable[[#This Row],[Total Amount]]</f>
        <v>0</v>
      </c>
      <c r="K876" s="5">
        <f>IF(StockTransactionsTable[[#This Row],[Transaction Type]]="Buy", StockTransactionsTable[[#This Row],[Total Amount with Fee]] / StockTransactionsTable[[#This Row],[Shares No.]],0)</f>
        <v>0</v>
      </c>
      <c r="L87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76" s="4">
        <f>YEAR(StockTransactionsTable[[#This Row],[Date]])</f>
        <v>2025</v>
      </c>
      <c r="N876" s="4">
        <f>MONTH(StockTransactionsTable[[#This Row],[Date]])</f>
        <v>8</v>
      </c>
    </row>
    <row r="877" spans="2:14">
      <c r="B877" s="3">
        <v>45875</v>
      </c>
      <c r="C877" s="6" t="s">
        <v>84</v>
      </c>
      <c r="D877" s="6" t="s">
        <v>31</v>
      </c>
      <c r="E877" s="5">
        <v>5</v>
      </c>
      <c r="F877" s="5" vm="549">
        <v>170.59</v>
      </c>
      <c r="G877" s="5">
        <f>StockTransactionsTable[[#This Row],[Shares No.]]*StockTransactionsTable[[#This Row],[Amount per Share]]</f>
        <v>852.95</v>
      </c>
      <c r="H877" s="5">
        <v>0.40955977508542779</v>
      </c>
      <c r="I87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852.54044022491462</v>
      </c>
      <c r="J877" s="19">
        <f>StockTransactionsTable[[#This Row],[Fee]]/StockTransactionsTable[[#This Row],[Total Amount]]</f>
        <v>4.8016856214951379E-4</v>
      </c>
      <c r="K877" s="5">
        <f>IF(StockTransactionsTable[[#This Row],[Transaction Type]]="Buy", StockTransactionsTable[[#This Row],[Total Amount with Fee]] / StockTransactionsTable[[#This Row],[Shares No.]],0)</f>
        <v>0</v>
      </c>
      <c r="L877" s="5">
        <f>IF(StockTransactionsTable[[#This Row],[Transaction Type]]="Sell",
   (StockTransactionsTable[[#This Row],[Total Amount with Fee]]) - (StockTransactionsTable[[#This Row],[Shares No.]] * INDEX(StockTransactionsTable[Accumulated cost buy basis], MATCH(StockTransactionsTable[[#This Row],[Ticker]], StockTransactionsTable[Ticker], 0))),
   "")</f>
        <v>367.34401027878152</v>
      </c>
      <c r="M877" s="4">
        <f>YEAR(StockTransactionsTable[[#This Row],[Date]])</f>
        <v>2025</v>
      </c>
      <c r="N877" s="4">
        <f>MONTH(StockTransactionsTable[[#This Row],[Date]])</f>
        <v>8</v>
      </c>
    </row>
    <row r="878" spans="2:14">
      <c r="B878" s="3">
        <v>45884</v>
      </c>
      <c r="C878" s="6" t="s">
        <v>86</v>
      </c>
      <c r="D878" s="6" t="s">
        <v>30</v>
      </c>
      <c r="E878" s="5">
        <v>152</v>
      </c>
      <c r="F878" s="5">
        <v>1.64</v>
      </c>
      <c r="G878" s="5">
        <f>StockTransactionsTable[[#This Row],[Shares No.]]*StockTransactionsTable[[#This Row],[Amount per Share]]</f>
        <v>249.27999999999997</v>
      </c>
      <c r="H878" s="5">
        <v>0</v>
      </c>
      <c r="I87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249.27999999999997</v>
      </c>
      <c r="J878" s="19">
        <f>StockTransactionsTable[[#This Row],[Fee]]/StockTransactionsTable[[#This Row],[Total Amount]]</f>
        <v>0</v>
      </c>
      <c r="K878" s="5">
        <f>IF(StockTransactionsTable[[#This Row],[Transaction Type]]="Buy", StockTransactionsTable[[#This Row],[Total Amount with Fee]] / StockTransactionsTable[[#This Row],[Shares No.]],0)</f>
        <v>0</v>
      </c>
      <c r="L87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78" s="4">
        <f>YEAR(StockTransactionsTable[[#This Row],[Date]])</f>
        <v>2025</v>
      </c>
      <c r="N878" s="4">
        <f>MONTH(StockTransactionsTable[[#This Row],[Date]])</f>
        <v>8</v>
      </c>
    </row>
    <row r="879" spans="2:14">
      <c r="B879" s="3">
        <v>45884</v>
      </c>
      <c r="C879" s="6" t="s">
        <v>12</v>
      </c>
      <c r="D879" s="6" t="s">
        <v>30</v>
      </c>
      <c r="E879" s="5">
        <v>97</v>
      </c>
      <c r="F879" s="5">
        <v>0.26900000000000002</v>
      </c>
      <c r="G879" s="5">
        <f>StockTransactionsTable[[#This Row],[Shares No.]]*StockTransactionsTable[[#This Row],[Amount per Share]]</f>
        <v>26.093</v>
      </c>
      <c r="H879" s="5">
        <v>0</v>
      </c>
      <c r="I87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26.093</v>
      </c>
      <c r="J879" s="19">
        <f>StockTransactionsTable[[#This Row],[Fee]]/StockTransactionsTable[[#This Row],[Total Amount]]</f>
        <v>0</v>
      </c>
      <c r="K879" s="5">
        <f>IF(StockTransactionsTable[[#This Row],[Transaction Type]]="Buy", StockTransactionsTable[[#This Row],[Total Amount with Fee]] / StockTransactionsTable[[#This Row],[Shares No.]],0)</f>
        <v>0</v>
      </c>
      <c r="L87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79" s="4">
        <f>YEAR(StockTransactionsTable[[#This Row],[Date]])</f>
        <v>2025</v>
      </c>
      <c r="N879" s="4">
        <f>MONTH(StockTransactionsTable[[#This Row],[Date]])</f>
        <v>8</v>
      </c>
    </row>
    <row r="880" spans="2:14">
      <c r="B880" s="3">
        <v>45884</v>
      </c>
      <c r="C880" s="6" t="s">
        <v>21</v>
      </c>
      <c r="D880" s="6" t="s">
        <v>30</v>
      </c>
      <c r="E880" s="5">
        <v>84</v>
      </c>
      <c r="F880" s="5">
        <v>1.0568</v>
      </c>
      <c r="G880" s="5">
        <f>StockTransactionsTable[[#This Row],[Shares No.]]*StockTransactionsTable[[#This Row],[Amount per Share]]</f>
        <v>88.771199999999993</v>
      </c>
      <c r="H880" s="5">
        <v>0</v>
      </c>
      <c r="I88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88.771199999999993</v>
      </c>
      <c r="J880" s="19">
        <f>StockTransactionsTable[[#This Row],[Fee]]/StockTransactionsTable[[#This Row],[Total Amount]]</f>
        <v>0</v>
      </c>
      <c r="K880" s="5">
        <f>IF(StockTransactionsTable[[#This Row],[Transaction Type]]="Buy", StockTransactionsTable[[#This Row],[Total Amount with Fee]] / StockTransactionsTable[[#This Row],[Shares No.]],0)</f>
        <v>0</v>
      </c>
      <c r="L88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80" s="4">
        <f>YEAR(StockTransactionsTable[[#This Row],[Date]])</f>
        <v>2025</v>
      </c>
      <c r="N880" s="4">
        <f>MONTH(StockTransactionsTable[[#This Row],[Date]])</f>
        <v>8</v>
      </c>
    </row>
    <row r="881" spans="2:14">
      <c r="B881" s="3">
        <v>45889</v>
      </c>
      <c r="C881" s="6" t="s">
        <v>22</v>
      </c>
      <c r="D881" s="6" t="s">
        <v>30</v>
      </c>
      <c r="E881" s="5">
        <v>119</v>
      </c>
      <c r="F881" s="5">
        <v>1.51</v>
      </c>
      <c r="G881" s="5">
        <f>StockTransactionsTable[[#This Row],[Shares No.]]*StockTransactionsTable[[#This Row],[Amount per Share]]</f>
        <v>179.69</v>
      </c>
      <c r="H881" s="5">
        <v>0</v>
      </c>
      <c r="I88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179.69</v>
      </c>
      <c r="J881" s="19">
        <f>StockTransactionsTable[[#This Row],[Fee]]/StockTransactionsTable[[#This Row],[Total Amount]]</f>
        <v>0</v>
      </c>
      <c r="K881" s="5">
        <f>IF(StockTransactionsTable[[#This Row],[Transaction Type]]="Buy", StockTransactionsTable[[#This Row],[Total Amount with Fee]] / StockTransactionsTable[[#This Row],[Shares No.]],0)</f>
        <v>0</v>
      </c>
      <c r="L88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81" s="4">
        <f>YEAR(StockTransactionsTable[[#This Row],[Date]])</f>
        <v>2025</v>
      </c>
      <c r="N881" s="4">
        <f>MONTH(StockTransactionsTable[[#This Row],[Date]])</f>
        <v>8</v>
      </c>
    </row>
    <row r="882" spans="2:14">
      <c r="B882" s="3">
        <v>45895</v>
      </c>
      <c r="C882" s="6" t="s">
        <v>23</v>
      </c>
      <c r="D882" s="6" t="s">
        <v>31</v>
      </c>
      <c r="E882" s="5">
        <v>6</v>
      </c>
      <c r="F882" s="5" vm="550">
        <v>68.73</v>
      </c>
      <c r="G882" s="5">
        <f>StockTransactionsTable[[#This Row],[Shares No.]]*StockTransactionsTable[[#This Row],[Amount per Share]]</f>
        <v>412.38</v>
      </c>
      <c r="H882" s="5">
        <v>0.1722416278913966</v>
      </c>
      <c r="I88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412.20775837210857</v>
      </c>
      <c r="J882" s="19">
        <f>StockTransactionsTable[[#This Row],[Fee]]/StockTransactionsTable[[#This Row],[Total Amount]]</f>
        <v>4.1767696758183374E-4</v>
      </c>
      <c r="K882" s="5">
        <f>IF(StockTransactionsTable[[#This Row],[Transaction Type]]="Buy", StockTransactionsTable[[#This Row],[Total Amount with Fee]] / StockTransactionsTable[[#This Row],[Shares No.]],0)</f>
        <v>0</v>
      </c>
      <c r="L882" s="5">
        <f>IF(StockTransactionsTable[[#This Row],[Transaction Type]]="Sell",
   (StockTransactionsTable[[#This Row],[Total Amount with Fee]]) - (StockTransactionsTable[[#This Row],[Shares No.]] * INDEX(StockTransactionsTable[Accumulated cost buy basis], MATCH(StockTransactionsTable[[#This Row],[Ticker]], StockTransactionsTable[Ticker], 0))),
   "")</f>
        <v>148.1380975282442</v>
      </c>
      <c r="M882" s="4">
        <f>YEAR(StockTransactionsTable[[#This Row],[Date]])</f>
        <v>2025</v>
      </c>
      <c r="N882" s="4">
        <f>MONTH(StockTransactionsTable[[#This Row],[Date]])</f>
        <v>8</v>
      </c>
    </row>
    <row r="883" spans="2:14">
      <c r="B883" s="3">
        <v>45898</v>
      </c>
      <c r="C883" s="6" t="s">
        <v>19</v>
      </c>
      <c r="D883" s="6" t="s">
        <v>30</v>
      </c>
      <c r="E883" s="5">
        <v>86</v>
      </c>
      <c r="F883" s="5">
        <v>1.24</v>
      </c>
      <c r="G883" s="5">
        <f>StockTransactionsTable[[#This Row],[Shares No.]]*StockTransactionsTable[[#This Row],[Amount per Share]]</f>
        <v>106.64</v>
      </c>
      <c r="H883" s="5">
        <v>0</v>
      </c>
      <c r="I88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106.64</v>
      </c>
      <c r="J883" s="19">
        <f>StockTransactionsTable[[#This Row],[Fee]]/StockTransactionsTable[[#This Row],[Total Amount]]</f>
        <v>0</v>
      </c>
      <c r="K883" s="5">
        <f>IF(StockTransactionsTable[[#This Row],[Transaction Type]]="Buy", StockTransactionsTable[[#This Row],[Total Amount with Fee]] / StockTransactionsTable[[#This Row],[Shares No.]],0)</f>
        <v>0</v>
      </c>
      <c r="L88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83" s="4">
        <f>YEAR(StockTransactionsTable[[#This Row],[Date]])</f>
        <v>2025</v>
      </c>
      <c r="N883" s="4">
        <f>MONTH(StockTransactionsTable[[#This Row],[Date]])</f>
        <v>8</v>
      </c>
    </row>
    <row r="884" spans="2:14">
      <c r="B884" s="3">
        <v>45902</v>
      </c>
      <c r="C884" s="6" t="s">
        <v>13</v>
      </c>
      <c r="D884" s="6" t="s">
        <v>30</v>
      </c>
      <c r="E884" s="5">
        <v>115</v>
      </c>
      <c r="F884" s="5">
        <v>0.43</v>
      </c>
      <c r="G884" s="5">
        <f>StockTransactionsTable[[#This Row],[Shares No.]]*StockTransactionsTable[[#This Row],[Amount per Share]]</f>
        <v>49.449999999999996</v>
      </c>
      <c r="H884" s="5">
        <v>0</v>
      </c>
      <c r="I88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49.449999999999996</v>
      </c>
      <c r="J884" s="19">
        <f>StockTransactionsTable[[#This Row],[Fee]]/StockTransactionsTable[[#This Row],[Total Amount]]</f>
        <v>0</v>
      </c>
      <c r="K884" s="5">
        <f>IF(StockTransactionsTable[[#This Row],[Transaction Type]]="Buy", StockTransactionsTable[[#This Row],[Total Amount with Fee]] / StockTransactionsTable[[#This Row],[Shares No.]],0)</f>
        <v>0</v>
      </c>
      <c r="L88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84" s="4">
        <f>YEAR(StockTransactionsTable[[#This Row],[Date]])</f>
        <v>2025</v>
      </c>
      <c r="N884" s="4">
        <f>MONTH(StockTransactionsTable[[#This Row],[Date]])</f>
        <v>9</v>
      </c>
    </row>
    <row r="885" spans="2:14">
      <c r="B885" s="3">
        <v>45909</v>
      </c>
      <c r="C885" s="6" t="s">
        <v>84</v>
      </c>
      <c r="D885" s="6" t="s">
        <v>30</v>
      </c>
      <c r="E885" s="5">
        <v>46</v>
      </c>
      <c r="F885" s="5">
        <v>1.3</v>
      </c>
      <c r="G885" s="5">
        <f>StockTransactionsTable[[#This Row],[Shares No.]]*StockTransactionsTable[[#This Row],[Amount per Share]]</f>
        <v>59.800000000000004</v>
      </c>
      <c r="H885" s="5">
        <v>0</v>
      </c>
      <c r="I88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59.800000000000004</v>
      </c>
      <c r="J885" s="19">
        <f>StockTransactionsTable[[#This Row],[Fee]]/StockTransactionsTable[[#This Row],[Total Amount]]</f>
        <v>0</v>
      </c>
      <c r="K885" s="5">
        <f>IF(StockTransactionsTable[[#This Row],[Transaction Type]]="Buy", StockTransactionsTable[[#This Row],[Total Amount with Fee]] / StockTransactionsTable[[#This Row],[Shares No.]],0)</f>
        <v>0</v>
      </c>
      <c r="L88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85" s="4">
        <f>YEAR(StockTransactionsTable[[#This Row],[Date]])</f>
        <v>2025</v>
      </c>
      <c r="N885" s="4">
        <f>MONTH(StockTransactionsTable[[#This Row],[Date]])</f>
        <v>9</v>
      </c>
    </row>
    <row r="886" spans="2:14">
      <c r="B886" s="3">
        <v>45910</v>
      </c>
      <c r="C886" s="6" t="s">
        <v>17</v>
      </c>
      <c r="D886" s="6" t="s">
        <v>30</v>
      </c>
      <c r="E886" s="5">
        <v>231</v>
      </c>
      <c r="F886" s="5">
        <v>1.68</v>
      </c>
      <c r="G886" s="5">
        <f>StockTransactionsTable[[#This Row],[Shares No.]]*StockTransactionsTable[[#This Row],[Amount per Share]]</f>
        <v>388.08</v>
      </c>
      <c r="H886" s="5">
        <v>0</v>
      </c>
      <c r="I88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388.08</v>
      </c>
      <c r="J886" s="19">
        <f>StockTransactionsTable[[#This Row],[Fee]]/StockTransactionsTable[[#This Row],[Total Amount]]</f>
        <v>0</v>
      </c>
      <c r="K886" s="5">
        <f>IF(StockTransactionsTable[[#This Row],[Transaction Type]]="Buy", StockTransactionsTable[[#This Row],[Total Amount with Fee]] / StockTransactionsTable[[#This Row],[Shares No.]],0)</f>
        <v>0</v>
      </c>
      <c r="L88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86" s="4">
        <f>YEAR(StockTransactionsTable[[#This Row],[Date]])</f>
        <v>2025</v>
      </c>
      <c r="N886" s="4">
        <f>MONTH(StockTransactionsTable[[#This Row],[Date]])</f>
        <v>9</v>
      </c>
    </row>
    <row r="887" spans="2:14">
      <c r="B887" s="3">
        <v>45910</v>
      </c>
      <c r="C887" s="6" t="s">
        <v>16</v>
      </c>
      <c r="D887" s="6" t="s">
        <v>30</v>
      </c>
      <c r="E887" s="5">
        <v>185</v>
      </c>
      <c r="F887" s="5">
        <v>0.99</v>
      </c>
      <c r="G887" s="5">
        <f>StockTransactionsTable[[#This Row],[Shares No.]]*StockTransactionsTable[[#This Row],[Amount per Share]]</f>
        <v>183.15</v>
      </c>
      <c r="H887" s="5">
        <v>0</v>
      </c>
      <c r="I88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183.15</v>
      </c>
      <c r="J887" s="19">
        <f>StockTransactionsTable[[#This Row],[Fee]]/StockTransactionsTable[[#This Row],[Total Amount]]</f>
        <v>0</v>
      </c>
      <c r="K887" s="5">
        <f>IF(StockTransactionsTable[[#This Row],[Transaction Type]]="Buy", StockTransactionsTable[[#This Row],[Total Amount with Fee]] / StockTransactionsTable[[#This Row],[Shares No.]],0)</f>
        <v>0</v>
      </c>
      <c r="L88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87" s="4">
        <f>YEAR(StockTransactionsTable[[#This Row],[Date]])</f>
        <v>2025</v>
      </c>
      <c r="N887" s="4">
        <f>MONTH(StockTransactionsTable[[#This Row],[Date]])</f>
        <v>9</v>
      </c>
    </row>
    <row r="888" spans="2:14">
      <c r="B888" s="3">
        <v>45911</v>
      </c>
      <c r="C888" s="6" t="s">
        <v>91</v>
      </c>
      <c r="D888" s="6" t="s">
        <v>30</v>
      </c>
      <c r="E888" s="5">
        <v>212</v>
      </c>
      <c r="F888" s="5">
        <v>0.83</v>
      </c>
      <c r="G888" s="5">
        <f>StockTransactionsTable[[#This Row],[Shares No.]]*StockTransactionsTable[[#This Row],[Amount per Share]]</f>
        <v>175.95999999999998</v>
      </c>
      <c r="H888" s="5">
        <v>0</v>
      </c>
      <c r="I88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175.95999999999998</v>
      </c>
      <c r="J888" s="19">
        <f>StockTransactionsTable[[#This Row],[Fee]]/StockTransactionsTable[[#This Row],[Total Amount]]</f>
        <v>0</v>
      </c>
      <c r="K888" s="5">
        <f>IF(StockTransactionsTable[[#This Row],[Transaction Type]]="Buy", StockTransactionsTable[[#This Row],[Total Amount with Fee]] / StockTransactionsTable[[#This Row],[Shares No.]],0)</f>
        <v>0</v>
      </c>
      <c r="L88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88" s="4">
        <f>YEAR(StockTransactionsTable[[#This Row],[Date]])</f>
        <v>2025</v>
      </c>
      <c r="N888" s="4">
        <f>MONTH(StockTransactionsTable[[#This Row],[Date]])</f>
        <v>9</v>
      </c>
    </row>
    <row r="889" spans="2:14">
      <c r="B889" s="3">
        <v>45912</v>
      </c>
      <c r="C889" s="6" t="s">
        <v>106</v>
      </c>
      <c r="D889" s="6" t="s">
        <v>30</v>
      </c>
      <c r="E889" s="5">
        <v>88</v>
      </c>
      <c r="F889" s="5">
        <v>0.71</v>
      </c>
      <c r="G889" s="5">
        <f>StockTransactionsTable[[#This Row],[Shares No.]]*StockTransactionsTable[[#This Row],[Amount per Share]]</f>
        <v>62.48</v>
      </c>
      <c r="H889" s="5">
        <v>0</v>
      </c>
      <c r="I88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62.48</v>
      </c>
      <c r="J889" s="19">
        <f>StockTransactionsTable[[#This Row],[Fee]]/StockTransactionsTable[[#This Row],[Total Amount]]</f>
        <v>0</v>
      </c>
      <c r="K889" s="5">
        <f>IF(StockTransactionsTable[[#This Row],[Transaction Type]]="Buy", StockTransactionsTable[[#This Row],[Total Amount with Fee]] / StockTransactionsTable[[#This Row],[Shares No.]],0)</f>
        <v>0</v>
      </c>
      <c r="L88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89" s="4">
        <f>YEAR(StockTransactionsTable[[#This Row],[Date]])</f>
        <v>2025</v>
      </c>
      <c r="N889" s="4">
        <f>MONTH(StockTransactionsTable[[#This Row],[Date]])</f>
        <v>9</v>
      </c>
    </row>
    <row r="890" spans="2:14">
      <c r="B890" s="3">
        <v>45915</v>
      </c>
      <c r="C890" s="6" t="s">
        <v>98</v>
      </c>
      <c r="D890" s="6" t="s">
        <v>30</v>
      </c>
      <c r="E890" s="5">
        <v>412</v>
      </c>
      <c r="F890" s="5">
        <v>0.5665</v>
      </c>
      <c r="G890" s="5">
        <f>StockTransactionsTable[[#This Row],[Shares No.]]*StockTransactionsTable[[#This Row],[Amount per Share]]</f>
        <v>233.398</v>
      </c>
      <c r="H890" s="5">
        <v>0</v>
      </c>
      <c r="I89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233.398</v>
      </c>
      <c r="J890" s="19">
        <f>StockTransactionsTable[[#This Row],[Fee]]/StockTransactionsTable[[#This Row],[Total Amount]]</f>
        <v>0</v>
      </c>
      <c r="K890" s="5">
        <f>IF(StockTransactionsTable[[#This Row],[Transaction Type]]="Buy", StockTransactionsTable[[#This Row],[Total Amount with Fee]] / StockTransactionsTable[[#This Row],[Shares No.]],0)</f>
        <v>0</v>
      </c>
      <c r="L89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90" s="4">
        <f>YEAR(StockTransactionsTable[[#This Row],[Date]])</f>
        <v>2025</v>
      </c>
      <c r="N890" s="4">
        <f>MONTH(StockTransactionsTable[[#This Row],[Date]])</f>
        <v>9</v>
      </c>
    </row>
    <row r="891" spans="2:14">
      <c r="B891" s="3">
        <v>45915</v>
      </c>
      <c r="C891" s="6" t="s">
        <v>12</v>
      </c>
      <c r="D891" s="6" t="s">
        <v>30</v>
      </c>
      <c r="E891" s="5">
        <v>97</v>
      </c>
      <c r="F891" s="5">
        <v>0.26900000000000002</v>
      </c>
      <c r="G891" s="5">
        <f>StockTransactionsTable[[#This Row],[Shares No.]]*StockTransactionsTable[[#This Row],[Amount per Share]]</f>
        <v>26.093</v>
      </c>
      <c r="H891" s="5">
        <v>0</v>
      </c>
      <c r="I89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26.093</v>
      </c>
      <c r="J891" s="19">
        <f>StockTransactionsTable[[#This Row],[Fee]]/StockTransactionsTable[[#This Row],[Total Amount]]</f>
        <v>0</v>
      </c>
      <c r="K891" s="5">
        <f>IF(StockTransactionsTable[[#This Row],[Transaction Type]]="Buy", StockTransactionsTable[[#This Row],[Total Amount with Fee]] / StockTransactionsTable[[#This Row],[Shares No.]],0)</f>
        <v>0</v>
      </c>
      <c r="L89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91" s="4">
        <f>YEAR(StockTransactionsTable[[#This Row],[Date]])</f>
        <v>2025</v>
      </c>
      <c r="N891" s="4">
        <f>MONTH(StockTransactionsTable[[#This Row],[Date]])</f>
        <v>9</v>
      </c>
    </row>
    <row r="892" spans="2:14">
      <c r="B892" s="3">
        <v>45916</v>
      </c>
      <c r="C892" s="6" t="s">
        <v>14</v>
      </c>
      <c r="D892" s="6" t="s">
        <v>30</v>
      </c>
      <c r="E892" s="5">
        <v>63</v>
      </c>
      <c r="F892" s="5">
        <v>0.4456</v>
      </c>
      <c r="G892" s="5">
        <f>StockTransactionsTable[[#This Row],[Shares No.]]*StockTransactionsTable[[#This Row],[Amount per Share]]</f>
        <v>28.072800000000001</v>
      </c>
      <c r="H892" s="5">
        <v>0</v>
      </c>
      <c r="I89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28.072800000000001</v>
      </c>
      <c r="J892" s="19">
        <f>StockTransactionsTable[[#This Row],[Fee]]/StockTransactionsTable[[#This Row],[Total Amount]]</f>
        <v>0</v>
      </c>
      <c r="K892" s="5">
        <f>IF(StockTransactionsTable[[#This Row],[Transaction Type]]="Buy", StockTransactionsTable[[#This Row],[Total Amount with Fee]] / StockTransactionsTable[[#This Row],[Shares No.]],0)</f>
        <v>0</v>
      </c>
      <c r="L89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92" s="4">
        <f>YEAR(StockTransactionsTable[[#This Row],[Date]])</f>
        <v>2025</v>
      </c>
      <c r="N892" s="4">
        <f>MONTH(StockTransactionsTable[[#This Row],[Date]])</f>
        <v>9</v>
      </c>
    </row>
    <row r="893" spans="2:14">
      <c r="B893" s="3">
        <v>45916</v>
      </c>
      <c r="C893" s="6" t="s">
        <v>100</v>
      </c>
      <c r="D893" s="6" t="s">
        <v>30</v>
      </c>
      <c r="E893" s="5">
        <v>250</v>
      </c>
      <c r="F893" s="5">
        <v>1.0649999999999999</v>
      </c>
      <c r="G893" s="5">
        <f>StockTransactionsTable[[#This Row],[Shares No.]]*StockTransactionsTable[[#This Row],[Amount per Share]]</f>
        <v>266.25</v>
      </c>
      <c r="H893" s="5">
        <v>0</v>
      </c>
      <c r="I89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266.25</v>
      </c>
      <c r="J893" s="19">
        <f>StockTransactionsTable[[#This Row],[Fee]]/StockTransactionsTable[[#This Row],[Total Amount]]</f>
        <v>0</v>
      </c>
      <c r="K893" s="5">
        <f>IF(StockTransactionsTable[[#This Row],[Transaction Type]]="Buy", StockTransactionsTable[[#This Row],[Total Amount with Fee]] / StockTransactionsTable[[#This Row],[Shares No.]],0)</f>
        <v>0</v>
      </c>
      <c r="L89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93" s="4">
        <f>YEAR(StockTransactionsTable[[#This Row],[Date]])</f>
        <v>2025</v>
      </c>
      <c r="N893" s="4">
        <f>MONTH(StockTransactionsTable[[#This Row],[Date]])</f>
        <v>9</v>
      </c>
    </row>
    <row r="894" spans="2:14">
      <c r="B894" s="3">
        <v>45916</v>
      </c>
      <c r="C894" s="6" t="s">
        <v>88</v>
      </c>
      <c r="D894" s="6" t="s">
        <v>30</v>
      </c>
      <c r="E894" s="5">
        <v>95</v>
      </c>
      <c r="F894" s="5">
        <v>1.77</v>
      </c>
      <c r="G894" s="5">
        <f>StockTransactionsTable[[#This Row],[Shares No.]]*StockTransactionsTable[[#This Row],[Amount per Share]]</f>
        <v>168.15</v>
      </c>
      <c r="H894" s="5">
        <v>0</v>
      </c>
      <c r="I89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168.15</v>
      </c>
      <c r="J894" s="19">
        <f>StockTransactionsTable[[#This Row],[Fee]]/StockTransactionsTable[[#This Row],[Total Amount]]</f>
        <v>0</v>
      </c>
      <c r="K894" s="5">
        <f>IF(StockTransactionsTable[[#This Row],[Transaction Type]]="Buy", StockTransactionsTable[[#This Row],[Total Amount with Fee]] / StockTransactionsTable[[#This Row],[Shares No.]],0)</f>
        <v>0</v>
      </c>
      <c r="L89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94" s="4">
        <f>YEAR(StockTransactionsTable[[#This Row],[Date]])</f>
        <v>2025</v>
      </c>
      <c r="N894" s="4">
        <f>MONTH(StockTransactionsTable[[#This Row],[Date]])</f>
        <v>9</v>
      </c>
    </row>
    <row r="895" spans="2:14">
      <c r="B895" s="3">
        <v>45918</v>
      </c>
      <c r="C895" s="6" t="s">
        <v>95</v>
      </c>
      <c r="D895" s="6" t="s">
        <v>30</v>
      </c>
      <c r="E895" s="5">
        <v>172</v>
      </c>
      <c r="F895" s="5">
        <v>2.2999999999999998</v>
      </c>
      <c r="G895" s="5">
        <f>StockTransactionsTable[[#This Row],[Shares No.]]*StockTransactionsTable[[#This Row],[Amount per Share]]</f>
        <v>395.59999999999997</v>
      </c>
      <c r="H895" s="5">
        <v>0</v>
      </c>
      <c r="I89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395.59999999999997</v>
      </c>
      <c r="J895" s="19">
        <f>StockTransactionsTable[[#This Row],[Fee]]/StockTransactionsTable[[#This Row],[Total Amount]]</f>
        <v>0</v>
      </c>
      <c r="K895" s="5">
        <f>IF(StockTransactionsTable[[#This Row],[Transaction Type]]="Buy", StockTransactionsTable[[#This Row],[Total Amount with Fee]] / StockTransactionsTable[[#This Row],[Shares No.]],0)</f>
        <v>0</v>
      </c>
      <c r="L89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95" s="4">
        <f>YEAR(StockTransactionsTable[[#This Row],[Date]])</f>
        <v>2025</v>
      </c>
      <c r="N895" s="4">
        <f>MONTH(StockTransactionsTable[[#This Row],[Date]])</f>
        <v>9</v>
      </c>
    </row>
    <row r="896" spans="2:14">
      <c r="B896" s="3">
        <v>45930</v>
      </c>
      <c r="C896" s="6" t="s">
        <v>18</v>
      </c>
      <c r="D896" s="6" t="s">
        <v>30</v>
      </c>
      <c r="E896" s="5">
        <v>43</v>
      </c>
      <c r="F896" s="5">
        <v>1.4225000000000001</v>
      </c>
      <c r="G896" s="5">
        <f>StockTransactionsTable[[#This Row],[Shares No.]]*StockTransactionsTable[[#This Row],[Amount per Share]]</f>
        <v>61.167500000000004</v>
      </c>
      <c r="H896" s="5">
        <v>0</v>
      </c>
      <c r="I89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61.167500000000004</v>
      </c>
      <c r="J896" s="19">
        <f>StockTransactionsTable[[#This Row],[Fee]]/StockTransactionsTable[[#This Row],[Total Amount]]</f>
        <v>0</v>
      </c>
      <c r="K896" s="5">
        <f>IF(StockTransactionsTable[[#This Row],[Transaction Type]]="Buy", StockTransactionsTable[[#This Row],[Total Amount with Fee]] / StockTransactionsTable[[#This Row],[Shares No.]],0)</f>
        <v>0</v>
      </c>
      <c r="L89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96" s="4">
        <f>YEAR(StockTransactionsTable[[#This Row],[Date]])</f>
        <v>2025</v>
      </c>
      <c r="N896" s="4">
        <f>MONTH(StockTransactionsTable[[#This Row],[Date]])</f>
        <v>9</v>
      </c>
    </row>
    <row r="897" spans="2:14">
      <c r="B897" s="3">
        <v>45931</v>
      </c>
      <c r="C897" s="6" t="s">
        <v>23</v>
      </c>
      <c r="D897" s="6" t="s">
        <v>30</v>
      </c>
      <c r="E897" s="5">
        <v>111</v>
      </c>
      <c r="F897" s="5">
        <v>0.51</v>
      </c>
      <c r="G897" s="5">
        <f>StockTransactionsTable[[#This Row],[Shares No.]]*StockTransactionsTable[[#This Row],[Amount per Share]]</f>
        <v>56.61</v>
      </c>
      <c r="H897" s="5">
        <v>0</v>
      </c>
      <c r="I89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56.61</v>
      </c>
      <c r="J897" s="19">
        <f>StockTransactionsTable[[#This Row],[Fee]]/StockTransactionsTable[[#This Row],[Total Amount]]</f>
        <v>0</v>
      </c>
      <c r="K897" s="5">
        <f>IF(StockTransactionsTable[[#This Row],[Transaction Type]]="Buy", StockTransactionsTable[[#This Row],[Total Amount with Fee]] / StockTransactionsTable[[#This Row],[Shares No.]],0)</f>
        <v>0</v>
      </c>
      <c r="L89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97" s="4">
        <f>YEAR(StockTransactionsTable[[#This Row],[Date]])</f>
        <v>2025</v>
      </c>
      <c r="N897" s="4">
        <f>MONTH(StockTransactionsTable[[#This Row],[Date]])</f>
        <v>10</v>
      </c>
    </row>
    <row r="898" spans="2:14">
      <c r="B898" s="3">
        <v>45937</v>
      </c>
      <c r="C898" s="6" t="s">
        <v>106</v>
      </c>
      <c r="D898" s="6" t="s">
        <v>31</v>
      </c>
      <c r="E898" s="5">
        <v>9</v>
      </c>
      <c r="F898" s="5" vm="551">
        <v>101.7</v>
      </c>
      <c r="G898" s="5">
        <f>StockTransactionsTable[[#This Row],[Shares No.]]*StockTransactionsTable[[#This Row],[Amount per Share]]</f>
        <v>915.30000000000007</v>
      </c>
      <c r="H898" s="5">
        <v>0.43426388665394056</v>
      </c>
      <c r="I89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914.86573611334609</v>
      </c>
      <c r="J898" s="19">
        <f>StockTransactionsTable[[#This Row],[Fee]]/StockTransactionsTable[[#This Row],[Total Amount]]</f>
        <v>4.7444978329939968E-4</v>
      </c>
      <c r="K898" s="5">
        <f>IF(StockTransactionsTable[[#This Row],[Transaction Type]]="Buy", StockTransactionsTable[[#This Row],[Total Amount with Fee]] / StockTransactionsTable[[#This Row],[Shares No.]],0)</f>
        <v>0</v>
      </c>
      <c r="L898" s="5">
        <f>IF(StockTransactionsTable[[#This Row],[Transaction Type]]="Sell",
   (StockTransactionsTable[[#This Row],[Total Amount with Fee]]) - (StockTransactionsTable[[#This Row],[Shares No.]] * INDEX(StockTransactionsTable[Accumulated cost buy basis], MATCH(StockTransactionsTable[[#This Row],[Ticker]], StockTransactionsTable[Ticker], 0))),
   "")</f>
        <v>-27.552739030372436</v>
      </c>
      <c r="M898" s="4">
        <f>YEAR(StockTransactionsTable[[#This Row],[Date]])</f>
        <v>2025</v>
      </c>
      <c r="N898" s="4">
        <f>MONTH(StockTransactionsTable[[#This Row],[Date]])</f>
        <v>10</v>
      </c>
    </row>
    <row r="899" spans="2:14">
      <c r="B899" s="3">
        <v>45945</v>
      </c>
      <c r="C899" s="6" t="s">
        <v>12</v>
      </c>
      <c r="D899" s="6" t="s">
        <v>30</v>
      </c>
      <c r="E899" s="5">
        <v>97</v>
      </c>
      <c r="F899" s="5">
        <v>0.26950000000000002</v>
      </c>
      <c r="G899" s="5">
        <f>StockTransactionsTable[[#This Row],[Shares No.]]*StockTransactionsTable[[#This Row],[Amount per Share]]</f>
        <v>26.141500000000001</v>
      </c>
      <c r="H899" s="5">
        <v>0</v>
      </c>
      <c r="I89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26.141500000000001</v>
      </c>
      <c r="J899" s="19">
        <f>StockTransactionsTable[[#This Row],[Fee]]/StockTransactionsTable[[#This Row],[Total Amount]]</f>
        <v>0</v>
      </c>
      <c r="K899" s="5">
        <f>IF(StockTransactionsTable[[#This Row],[Transaction Type]]="Buy", StockTransactionsTable[[#This Row],[Total Amount with Fee]] / StockTransactionsTable[[#This Row],[Shares No.]],0)</f>
        <v>0</v>
      </c>
      <c r="L89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899" s="4">
        <f>YEAR(StockTransactionsTable[[#This Row],[Date]])</f>
        <v>2025</v>
      </c>
      <c r="N899" s="4">
        <f>MONTH(StockTransactionsTable[[#This Row],[Date]])</f>
        <v>10</v>
      </c>
    </row>
    <row r="900" spans="2:14">
      <c r="B900" s="3">
        <v>45961</v>
      </c>
      <c r="C900" s="6" t="s">
        <v>20</v>
      </c>
      <c r="D900" s="6" t="s">
        <v>30</v>
      </c>
      <c r="E900" s="5">
        <v>116</v>
      </c>
      <c r="F900" s="5">
        <v>1.5</v>
      </c>
      <c r="G900" s="5">
        <f>StockTransactionsTable[[#This Row],[Shares No.]]*StockTransactionsTable[[#This Row],[Amount per Share]]</f>
        <v>174</v>
      </c>
      <c r="H900" s="5">
        <v>0</v>
      </c>
      <c r="I90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174</v>
      </c>
      <c r="J900" s="19">
        <f>StockTransactionsTable[[#This Row],[Fee]]/StockTransactionsTable[[#This Row],[Total Amount]]</f>
        <v>0</v>
      </c>
      <c r="K900" s="5">
        <f>IF(StockTransactionsTable[[#This Row],[Transaction Type]]="Buy", StockTransactionsTable[[#This Row],[Total Amount with Fee]] / StockTransactionsTable[[#This Row],[Shares No.]],0)</f>
        <v>0</v>
      </c>
      <c r="L90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00" s="4">
        <f>YEAR(StockTransactionsTable[[#This Row],[Date]])</f>
        <v>2025</v>
      </c>
      <c r="N900" s="4">
        <f>MONTH(StockTransactionsTable[[#This Row],[Date]])</f>
        <v>10</v>
      </c>
    </row>
    <row r="901" spans="2:14">
      <c r="B901" s="3">
        <v>45964</v>
      </c>
      <c r="C901" s="6" t="s">
        <v>15</v>
      </c>
      <c r="D901" s="6" t="s">
        <v>30</v>
      </c>
      <c r="E901" s="5">
        <v>146</v>
      </c>
      <c r="F901" s="5">
        <v>0.27750000000000002</v>
      </c>
      <c r="G901" s="5">
        <f>StockTransactionsTable[[#This Row],[Shares No.]]*StockTransactionsTable[[#This Row],[Amount per Share]]</f>
        <v>40.515000000000001</v>
      </c>
      <c r="H901" s="5">
        <v>0</v>
      </c>
      <c r="I90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40.515000000000001</v>
      </c>
      <c r="J901" s="19">
        <f>StockTransactionsTable[[#This Row],[Fee]]/StockTransactionsTable[[#This Row],[Total Amount]]</f>
        <v>0</v>
      </c>
      <c r="K901" s="5">
        <f>IF(StockTransactionsTable[[#This Row],[Transaction Type]]="Buy", StockTransactionsTable[[#This Row],[Total Amount with Fee]] / StockTransactionsTable[[#This Row],[Shares No.]],0)</f>
        <v>0</v>
      </c>
      <c r="L90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01" s="4">
        <f>YEAR(StockTransactionsTable[[#This Row],[Date]])</f>
        <v>2025</v>
      </c>
      <c r="N901" s="4">
        <f>MONTH(StockTransactionsTable[[#This Row],[Date]])</f>
        <v>11</v>
      </c>
    </row>
    <row r="902" spans="2:14">
      <c r="B902" s="3">
        <v>45966</v>
      </c>
      <c r="C902" s="6" t="s">
        <v>13</v>
      </c>
      <c r="D902" s="6" t="s">
        <v>31</v>
      </c>
      <c r="E902" s="5">
        <v>9</v>
      </c>
      <c r="F902" s="5" vm="552">
        <v>24.61</v>
      </c>
      <c r="G902" s="5">
        <f>StockTransactionsTable[[#This Row],[Shares No.]]*StockTransactionsTable[[#This Row],[Amount per Share]]</f>
        <v>221.49</v>
      </c>
      <c r="H902" s="5">
        <v>0.10273185490601611</v>
      </c>
      <c r="I90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221.387268145094</v>
      </c>
      <c r="J902" s="19">
        <f>StockTransactionsTable[[#This Row],[Fee]]/StockTransactionsTable[[#This Row],[Total Amount]]</f>
        <v>4.6382163937882571E-4</v>
      </c>
      <c r="K902" s="5">
        <f>IF(StockTransactionsTable[[#This Row],[Transaction Type]]="Buy", StockTransactionsTable[[#This Row],[Total Amount with Fee]] / StockTransactionsTable[[#This Row],[Shares No.]],0)</f>
        <v>0</v>
      </c>
      <c r="L902" s="5">
        <f>IF(StockTransactionsTable[[#This Row],[Transaction Type]]="Sell",
   (StockTransactionsTable[[#This Row],[Total Amount with Fee]]) - (StockTransactionsTable[[#This Row],[Shares No.]] * INDEX(StockTransactionsTable[Accumulated cost buy basis], MATCH(StockTransactionsTable[[#This Row],[Ticker]], StockTransactionsTable[Ticker], 0))),
   "")</f>
        <v>-56.859208125624065</v>
      </c>
      <c r="M902" s="4">
        <f>YEAR(StockTransactionsTable[[#This Row],[Date]])</f>
        <v>2025</v>
      </c>
      <c r="N902" s="4">
        <f>MONTH(StockTransactionsTable[[#This Row],[Date]])</f>
        <v>11</v>
      </c>
    </row>
    <row r="903" spans="2:14">
      <c r="B903" s="3">
        <v>45967</v>
      </c>
      <c r="C903" s="6" t="s">
        <v>19</v>
      </c>
      <c r="D903" s="6" t="s">
        <v>30</v>
      </c>
      <c r="E903" s="5">
        <v>86</v>
      </c>
      <c r="F903" s="5">
        <v>1.24</v>
      </c>
      <c r="G903" s="5">
        <f>StockTransactionsTable[[#This Row],[Shares No.]]*StockTransactionsTable[[#This Row],[Amount per Share]]</f>
        <v>106.64</v>
      </c>
      <c r="H903" s="5">
        <v>0</v>
      </c>
      <c r="I90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106.64</v>
      </c>
      <c r="J903" s="19">
        <f>StockTransactionsTable[[#This Row],[Fee]]/StockTransactionsTable[[#This Row],[Total Amount]]</f>
        <v>0</v>
      </c>
      <c r="K903" s="5">
        <f>IF(StockTransactionsTable[[#This Row],[Transaction Type]]="Buy", StockTransactionsTable[[#This Row],[Total Amount with Fee]] / StockTransactionsTable[[#This Row],[Shares No.]],0)</f>
        <v>0</v>
      </c>
      <c r="L90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03" s="4">
        <f>YEAR(StockTransactionsTable[[#This Row],[Date]])</f>
        <v>2025</v>
      </c>
      <c r="N903" s="4">
        <f>MONTH(StockTransactionsTable[[#This Row],[Date]])</f>
        <v>11</v>
      </c>
    </row>
    <row r="904" spans="2:14">
      <c r="B904" s="3">
        <v>45975</v>
      </c>
      <c r="C904" s="6" t="s">
        <v>86</v>
      </c>
      <c r="D904" s="6" t="s">
        <v>30</v>
      </c>
      <c r="E904" s="5">
        <v>152</v>
      </c>
      <c r="F904" s="5">
        <v>1.64</v>
      </c>
      <c r="G904" s="5">
        <f>StockTransactionsTable[[#This Row],[Shares No.]]*StockTransactionsTable[[#This Row],[Amount per Share]]</f>
        <v>249.27999999999997</v>
      </c>
      <c r="H904" s="5">
        <v>0</v>
      </c>
      <c r="I90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249.27999999999997</v>
      </c>
      <c r="J904" s="19">
        <f>StockTransactionsTable[[#This Row],[Fee]]/StockTransactionsTable[[#This Row],[Total Amount]]</f>
        <v>0</v>
      </c>
      <c r="K904" s="5">
        <f>IF(StockTransactionsTable[[#This Row],[Transaction Type]]="Buy", StockTransactionsTable[[#This Row],[Total Amount with Fee]] / StockTransactionsTable[[#This Row],[Shares No.]],0)</f>
        <v>0</v>
      </c>
      <c r="L90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04" s="4">
        <f>YEAR(StockTransactionsTable[[#This Row],[Date]])</f>
        <v>2025</v>
      </c>
      <c r="N904" s="4">
        <f>MONTH(StockTransactionsTable[[#This Row],[Date]])</f>
        <v>11</v>
      </c>
    </row>
    <row r="905" spans="2:14">
      <c r="B905" s="3">
        <v>45975</v>
      </c>
      <c r="C905" s="6" t="s">
        <v>12</v>
      </c>
      <c r="D905" s="6" t="s">
        <v>30</v>
      </c>
      <c r="E905" s="5">
        <v>97</v>
      </c>
      <c r="F905" s="5">
        <v>0.26950000000000002</v>
      </c>
      <c r="G905" s="5">
        <f>StockTransactionsTable[[#This Row],[Shares No.]]*StockTransactionsTable[[#This Row],[Amount per Share]]</f>
        <v>26.141500000000001</v>
      </c>
      <c r="H905" s="5">
        <v>0</v>
      </c>
      <c r="I90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26.141500000000001</v>
      </c>
      <c r="J905" s="19">
        <f>StockTransactionsTable[[#This Row],[Fee]]/StockTransactionsTable[[#This Row],[Total Amount]]</f>
        <v>0</v>
      </c>
      <c r="K905" s="5">
        <f>IF(StockTransactionsTable[[#This Row],[Transaction Type]]="Buy", StockTransactionsTable[[#This Row],[Total Amount with Fee]] / StockTransactionsTable[[#This Row],[Shares No.]],0)</f>
        <v>0</v>
      </c>
      <c r="L90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05" s="4">
        <f>YEAR(StockTransactionsTable[[#This Row],[Date]])</f>
        <v>2025</v>
      </c>
      <c r="N905" s="4">
        <f>MONTH(StockTransactionsTable[[#This Row],[Date]])</f>
        <v>11</v>
      </c>
    </row>
    <row r="906" spans="2:14">
      <c r="B906" s="3">
        <v>45978</v>
      </c>
      <c r="C906" s="6" t="s">
        <v>21</v>
      </c>
      <c r="D906" s="6" t="s">
        <v>30</v>
      </c>
      <c r="E906" s="5">
        <v>84</v>
      </c>
      <c r="F906" s="5">
        <v>1.0568</v>
      </c>
      <c r="G906" s="5">
        <f>StockTransactionsTable[[#This Row],[Shares No.]]*StockTransactionsTable[[#This Row],[Amount per Share]]</f>
        <v>88.771199999999993</v>
      </c>
      <c r="H906" s="5">
        <v>0</v>
      </c>
      <c r="I90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88.771199999999993</v>
      </c>
      <c r="J906" s="19">
        <f>StockTransactionsTable[[#This Row],[Fee]]/StockTransactionsTable[[#This Row],[Total Amount]]</f>
        <v>0</v>
      </c>
      <c r="K906" s="5">
        <f>IF(StockTransactionsTable[[#This Row],[Transaction Type]]="Buy", StockTransactionsTable[[#This Row],[Total Amount with Fee]] / StockTransactionsTable[[#This Row],[Shares No.]],0)</f>
        <v>0</v>
      </c>
      <c r="L90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06" s="4">
        <f>YEAR(StockTransactionsTable[[#This Row],[Date]])</f>
        <v>2025</v>
      </c>
      <c r="N906" s="4">
        <f>MONTH(StockTransactionsTable[[#This Row],[Date]])</f>
        <v>11</v>
      </c>
    </row>
    <row r="907" spans="2:14">
      <c r="B907" s="3">
        <v>45981</v>
      </c>
      <c r="C907" s="6" t="s">
        <v>22</v>
      </c>
      <c r="D907" s="6" t="s">
        <v>30</v>
      </c>
      <c r="E907" s="5">
        <v>119</v>
      </c>
      <c r="F907" s="5">
        <v>1.51</v>
      </c>
      <c r="G907" s="5">
        <f>StockTransactionsTable[[#This Row],[Shares No.]]*StockTransactionsTable[[#This Row],[Amount per Share]]</f>
        <v>179.69</v>
      </c>
      <c r="H907" s="5">
        <v>0</v>
      </c>
      <c r="I90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179.69</v>
      </c>
      <c r="J907" s="19">
        <f>StockTransactionsTable[[#This Row],[Fee]]/StockTransactionsTable[[#This Row],[Total Amount]]</f>
        <v>0</v>
      </c>
      <c r="K907" s="5">
        <f>IF(StockTransactionsTable[[#This Row],[Transaction Type]]="Buy", StockTransactionsTable[[#This Row],[Total Amount with Fee]] / StockTransactionsTable[[#This Row],[Shares No.]],0)</f>
        <v>0</v>
      </c>
      <c r="L90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07" s="4">
        <f>YEAR(StockTransactionsTable[[#This Row],[Date]])</f>
        <v>2025</v>
      </c>
      <c r="N907" s="4">
        <f>MONTH(StockTransactionsTable[[#This Row],[Date]])</f>
        <v>11</v>
      </c>
    </row>
    <row r="908" spans="2:14">
      <c r="B908" s="3">
        <v>45992</v>
      </c>
      <c r="C908" s="6" t="s">
        <v>13</v>
      </c>
      <c r="D908" s="6" t="s">
        <v>30</v>
      </c>
      <c r="E908" s="5">
        <v>106</v>
      </c>
      <c r="F908" s="5">
        <v>0.43</v>
      </c>
      <c r="G908" s="5">
        <f>StockTransactionsTable[[#This Row],[Shares No.]]*StockTransactionsTable[[#This Row],[Amount per Share]]</f>
        <v>45.58</v>
      </c>
      <c r="H908" s="5">
        <v>0</v>
      </c>
      <c r="I90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45.58</v>
      </c>
      <c r="J908" s="19">
        <f>StockTransactionsTable[[#This Row],[Fee]]/StockTransactionsTable[[#This Row],[Total Amount]]</f>
        <v>0</v>
      </c>
      <c r="K908" s="5">
        <f>IF(StockTransactionsTable[[#This Row],[Transaction Type]]="Buy", StockTransactionsTable[[#This Row],[Total Amount with Fee]] / StockTransactionsTable[[#This Row],[Shares No.]],0)</f>
        <v>0</v>
      </c>
      <c r="L90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08" s="4">
        <f>YEAR(StockTransactionsTable[[#This Row],[Date]])</f>
        <v>2025</v>
      </c>
      <c r="N908" s="4">
        <f>MONTH(StockTransactionsTable[[#This Row],[Date]])</f>
        <v>12</v>
      </c>
    </row>
    <row r="909" spans="2:14">
      <c r="B909" s="3">
        <v>45995</v>
      </c>
      <c r="C909" s="6" t="s">
        <v>15</v>
      </c>
      <c r="D909" s="6" t="s">
        <v>31</v>
      </c>
      <c r="E909" s="5">
        <v>6</v>
      </c>
      <c r="F909" s="5" vm="553">
        <v>25.39</v>
      </c>
      <c r="G909" s="5">
        <f>StockTransactionsTable[[#This Row],[Shares No.]]*StockTransactionsTable[[#This Row],[Amount per Share]]</f>
        <v>152.34</v>
      </c>
      <c r="H909" s="5">
        <v>6.320336582592366E-2</v>
      </c>
      <c r="I90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152.27679663417408</v>
      </c>
      <c r="J909" s="19">
        <f>StockTransactionsTable[[#This Row],[Fee]]/StockTransactionsTable[[#This Row],[Total Amount]]</f>
        <v>4.1488358819695193E-4</v>
      </c>
      <c r="K909" s="5">
        <f>IF(StockTransactionsTable[[#This Row],[Transaction Type]]="Buy", StockTransactionsTable[[#This Row],[Total Amount with Fee]] / StockTransactionsTable[[#This Row],[Shares No.]],0)</f>
        <v>0</v>
      </c>
      <c r="L909" s="5">
        <f>IF(StockTransactionsTable[[#This Row],[Transaction Type]]="Sell",
   (StockTransactionsTable[[#This Row],[Total Amount with Fee]]) - (StockTransactionsTable[[#This Row],[Shares No.]] * INDEX(StockTransactionsTable[Accumulated cost buy basis], MATCH(StockTransactionsTable[[#This Row],[Ticker]], StockTransactionsTable[Ticker], 0))),
   "")</f>
        <v>-4.8871590563895779</v>
      </c>
      <c r="M909" s="4">
        <f>YEAR(StockTransactionsTable[[#This Row],[Date]])</f>
        <v>2025</v>
      </c>
      <c r="N909" s="4">
        <f>MONTH(StockTransactionsTable[[#This Row],[Date]])</f>
        <v>12</v>
      </c>
    </row>
    <row r="910" spans="2:14">
      <c r="B910" s="3">
        <v>46000</v>
      </c>
      <c r="C910" s="6" t="s">
        <v>84</v>
      </c>
      <c r="D910" s="6" t="s">
        <v>30</v>
      </c>
      <c r="E910" s="5">
        <v>46</v>
      </c>
      <c r="F910" s="5">
        <v>1.3</v>
      </c>
      <c r="G910" s="5">
        <f>StockTransactionsTable[[#This Row],[Shares No.]]*StockTransactionsTable[[#This Row],[Amount per Share]]</f>
        <v>59.800000000000004</v>
      </c>
      <c r="H910" s="5">
        <v>0</v>
      </c>
      <c r="I91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59.800000000000004</v>
      </c>
      <c r="J910" s="19">
        <f>StockTransactionsTable[[#This Row],[Fee]]/StockTransactionsTable[[#This Row],[Total Amount]]</f>
        <v>0</v>
      </c>
      <c r="K910" s="5">
        <f>IF(StockTransactionsTable[[#This Row],[Transaction Type]]="Buy", StockTransactionsTable[[#This Row],[Total Amount with Fee]] / StockTransactionsTable[[#This Row],[Shares No.]],0)</f>
        <v>0</v>
      </c>
      <c r="L91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10" s="4">
        <f>YEAR(StockTransactionsTable[[#This Row],[Date]])</f>
        <v>2025</v>
      </c>
      <c r="N910" s="4">
        <f>MONTH(StockTransactionsTable[[#This Row],[Date]])</f>
        <v>12</v>
      </c>
    </row>
    <row r="911" spans="2:14">
      <c r="B911" s="3">
        <v>46001</v>
      </c>
      <c r="C911" s="6" t="s">
        <v>17</v>
      </c>
      <c r="D911" s="6" t="s">
        <v>30</v>
      </c>
      <c r="E911" s="5">
        <v>231</v>
      </c>
      <c r="F911" s="5">
        <v>1.68</v>
      </c>
      <c r="G911" s="5">
        <f>StockTransactionsTable[[#This Row],[Shares No.]]*StockTransactionsTable[[#This Row],[Amount per Share]]</f>
        <v>388.08</v>
      </c>
      <c r="H911" s="5">
        <v>0</v>
      </c>
      <c r="I91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388.08</v>
      </c>
      <c r="J911" s="19">
        <f>StockTransactionsTable[[#This Row],[Fee]]/StockTransactionsTable[[#This Row],[Total Amount]]</f>
        <v>0</v>
      </c>
      <c r="K911" s="5">
        <f>IF(StockTransactionsTable[[#This Row],[Transaction Type]]="Buy", StockTransactionsTable[[#This Row],[Total Amount with Fee]] / StockTransactionsTable[[#This Row],[Shares No.]],0)</f>
        <v>0</v>
      </c>
      <c r="L91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11" s="4">
        <f>YEAR(StockTransactionsTable[[#This Row],[Date]])</f>
        <v>2025</v>
      </c>
      <c r="N911" s="4">
        <f>MONTH(StockTransactionsTable[[#This Row],[Date]])</f>
        <v>12</v>
      </c>
    </row>
    <row r="912" spans="2:14">
      <c r="B912" s="3">
        <v>46001</v>
      </c>
      <c r="C912" s="6" t="s">
        <v>16</v>
      </c>
      <c r="D912" s="6" t="s">
        <v>30</v>
      </c>
      <c r="E912" s="5">
        <v>185</v>
      </c>
      <c r="F912" s="5">
        <v>1.03</v>
      </c>
      <c r="G912" s="5">
        <f>StockTransactionsTable[[#This Row],[Shares No.]]*StockTransactionsTable[[#This Row],[Amount per Share]]</f>
        <v>190.55</v>
      </c>
      <c r="H912" s="5">
        <v>0</v>
      </c>
      <c r="I91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190.55</v>
      </c>
      <c r="J912" s="19">
        <f>StockTransactionsTable[[#This Row],[Fee]]/StockTransactionsTable[[#This Row],[Total Amount]]</f>
        <v>0</v>
      </c>
      <c r="K912" s="5">
        <f>IF(StockTransactionsTable[[#This Row],[Transaction Type]]="Buy", StockTransactionsTable[[#This Row],[Total Amount with Fee]] / StockTransactionsTable[[#This Row],[Shares No.]],0)</f>
        <v>0</v>
      </c>
      <c r="L91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12" s="4">
        <f>YEAR(StockTransactionsTable[[#This Row],[Date]])</f>
        <v>2025</v>
      </c>
      <c r="N912" s="4">
        <f>MONTH(StockTransactionsTable[[#This Row],[Date]])</f>
        <v>12</v>
      </c>
    </row>
    <row r="913" spans="2:14">
      <c r="B913" s="3">
        <v>46002</v>
      </c>
      <c r="C913" s="6" t="s">
        <v>91</v>
      </c>
      <c r="D913" s="6" t="s">
        <v>30</v>
      </c>
      <c r="E913" s="5">
        <v>212</v>
      </c>
      <c r="F913" s="5">
        <v>0.91</v>
      </c>
      <c r="G913" s="5">
        <f>StockTransactionsTable[[#This Row],[Shares No.]]*StockTransactionsTable[[#This Row],[Amount per Share]]</f>
        <v>192.92000000000002</v>
      </c>
      <c r="H913" s="5">
        <v>0</v>
      </c>
      <c r="I91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192.92000000000002</v>
      </c>
      <c r="J913" s="19">
        <f>StockTransactionsTable[[#This Row],[Fee]]/StockTransactionsTable[[#This Row],[Total Amount]]</f>
        <v>0</v>
      </c>
      <c r="K913" s="5">
        <f>IF(StockTransactionsTable[[#This Row],[Transaction Type]]="Buy", StockTransactionsTable[[#This Row],[Total Amount with Fee]] / StockTransactionsTable[[#This Row],[Shares No.]],0)</f>
        <v>0</v>
      </c>
      <c r="L91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13" s="4">
        <f>YEAR(StockTransactionsTable[[#This Row],[Date]])</f>
        <v>2025</v>
      </c>
      <c r="N913" s="4">
        <f>MONTH(StockTransactionsTable[[#This Row],[Date]])</f>
        <v>12</v>
      </c>
    </row>
    <row r="914" spans="2:14">
      <c r="B914" s="3">
        <v>46003</v>
      </c>
      <c r="C914" s="6" t="s">
        <v>106</v>
      </c>
      <c r="D914" s="6" t="s">
        <v>30</v>
      </c>
      <c r="E914" s="5">
        <v>79</v>
      </c>
      <c r="F914" s="5">
        <v>0.71</v>
      </c>
      <c r="G914" s="5">
        <f>StockTransactionsTable[[#This Row],[Shares No.]]*StockTransactionsTable[[#This Row],[Amount per Share]]</f>
        <v>56.089999999999996</v>
      </c>
      <c r="H914" s="5">
        <v>0</v>
      </c>
      <c r="I91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56.089999999999996</v>
      </c>
      <c r="J914" s="19">
        <f>StockTransactionsTable[[#This Row],[Fee]]/StockTransactionsTable[[#This Row],[Total Amount]]</f>
        <v>0</v>
      </c>
      <c r="K914" s="5">
        <f>IF(StockTransactionsTable[[#This Row],[Transaction Type]]="Buy", StockTransactionsTable[[#This Row],[Total Amount with Fee]] / StockTransactionsTable[[#This Row],[Shares No.]],0)</f>
        <v>0</v>
      </c>
      <c r="L91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14" s="4">
        <f>YEAR(StockTransactionsTable[[#This Row],[Date]])</f>
        <v>2025</v>
      </c>
      <c r="N914" s="4">
        <f>MONTH(StockTransactionsTable[[#This Row],[Date]])</f>
        <v>12</v>
      </c>
    </row>
    <row r="915" spans="2:14">
      <c r="B915" s="3">
        <v>46006</v>
      </c>
      <c r="C915" s="6" t="s">
        <v>14</v>
      </c>
      <c r="D915" s="6" t="s">
        <v>30</v>
      </c>
      <c r="E915" s="5">
        <v>63</v>
      </c>
      <c r="F915" s="5">
        <v>0.45279999999999998</v>
      </c>
      <c r="G915" s="5">
        <f>StockTransactionsTable[[#This Row],[Shares No.]]*StockTransactionsTable[[#This Row],[Amount per Share]]</f>
        <v>28.526399999999999</v>
      </c>
      <c r="H915" s="5">
        <v>0</v>
      </c>
      <c r="I91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28.526399999999999</v>
      </c>
      <c r="J915" s="19">
        <f>StockTransactionsTable[[#This Row],[Fee]]/StockTransactionsTable[[#This Row],[Total Amount]]</f>
        <v>0</v>
      </c>
      <c r="K915" s="5">
        <f>IF(StockTransactionsTable[[#This Row],[Transaction Type]]="Buy", StockTransactionsTable[[#This Row],[Total Amount with Fee]] / StockTransactionsTable[[#This Row],[Shares No.]],0)</f>
        <v>0</v>
      </c>
      <c r="L91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15" s="4">
        <f>YEAR(StockTransactionsTable[[#This Row],[Date]])</f>
        <v>2025</v>
      </c>
      <c r="N915" s="4">
        <f>MONTH(StockTransactionsTable[[#This Row],[Date]])</f>
        <v>12</v>
      </c>
    </row>
    <row r="916" spans="2:14">
      <c r="B916" s="3">
        <v>46006</v>
      </c>
      <c r="C916" s="6" t="s">
        <v>23</v>
      </c>
      <c r="D916" s="6" t="s">
        <v>30</v>
      </c>
      <c r="E916" s="5">
        <v>111</v>
      </c>
      <c r="F916" s="5">
        <v>0.51</v>
      </c>
      <c r="G916" s="5">
        <f>StockTransactionsTable[[#This Row],[Shares No.]]*StockTransactionsTable[[#This Row],[Amount per Share]]</f>
        <v>56.61</v>
      </c>
      <c r="H916" s="5">
        <v>0</v>
      </c>
      <c r="I91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56.61</v>
      </c>
      <c r="J916" s="19">
        <f>StockTransactionsTable[[#This Row],[Fee]]/StockTransactionsTable[[#This Row],[Total Amount]]</f>
        <v>0</v>
      </c>
      <c r="K916" s="5">
        <f>IF(StockTransactionsTable[[#This Row],[Transaction Type]]="Buy", StockTransactionsTable[[#This Row],[Total Amount with Fee]] / StockTransactionsTable[[#This Row],[Shares No.]],0)</f>
        <v>0</v>
      </c>
      <c r="L91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16" s="4">
        <f>YEAR(StockTransactionsTable[[#This Row],[Date]])</f>
        <v>2025</v>
      </c>
      <c r="N916" s="4">
        <f>MONTH(StockTransactionsTable[[#This Row],[Date]])</f>
        <v>12</v>
      </c>
    </row>
    <row r="917" spans="2:14">
      <c r="B917" s="3">
        <v>46006</v>
      </c>
      <c r="C917" s="6" t="s">
        <v>88</v>
      </c>
      <c r="D917" s="6" t="s">
        <v>30</v>
      </c>
      <c r="E917" s="5">
        <v>95</v>
      </c>
      <c r="F917" s="5">
        <v>1.86</v>
      </c>
      <c r="G917" s="5">
        <f>StockTransactionsTable[[#This Row],[Shares No.]]*StockTransactionsTable[[#This Row],[Amount per Share]]</f>
        <v>176.70000000000002</v>
      </c>
      <c r="H917" s="5">
        <v>0</v>
      </c>
      <c r="I91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176.70000000000002</v>
      </c>
      <c r="J917" s="19">
        <f>StockTransactionsTable[[#This Row],[Fee]]/StockTransactionsTable[[#This Row],[Total Amount]]</f>
        <v>0</v>
      </c>
      <c r="K917" s="5">
        <f>IF(StockTransactionsTable[[#This Row],[Transaction Type]]="Buy", StockTransactionsTable[[#This Row],[Total Amount with Fee]] / StockTransactionsTable[[#This Row],[Shares No.]],0)</f>
        <v>0</v>
      </c>
      <c r="L91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17" s="4">
        <f>YEAR(StockTransactionsTable[[#This Row],[Date]])</f>
        <v>2025</v>
      </c>
      <c r="N917" s="4">
        <f>MONTH(StockTransactionsTable[[#This Row],[Date]])</f>
        <v>12</v>
      </c>
    </row>
    <row r="918" spans="2:14">
      <c r="B918" s="3">
        <v>46006</v>
      </c>
      <c r="C918" s="6" t="s">
        <v>98</v>
      </c>
      <c r="D918" s="6" t="s">
        <v>30</v>
      </c>
      <c r="E918" s="5">
        <v>412</v>
      </c>
      <c r="F918" s="5">
        <v>0.5665</v>
      </c>
      <c r="G918" s="5">
        <f>StockTransactionsTable[[#This Row],[Shares No.]]*StockTransactionsTable[[#This Row],[Amount per Share]]</f>
        <v>233.398</v>
      </c>
      <c r="H918" s="5">
        <v>0</v>
      </c>
      <c r="I91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233.398</v>
      </c>
      <c r="J918" s="19">
        <f>StockTransactionsTable[[#This Row],[Fee]]/StockTransactionsTable[[#This Row],[Total Amount]]</f>
        <v>0</v>
      </c>
      <c r="K918" s="5">
        <f>IF(StockTransactionsTable[[#This Row],[Transaction Type]]="Buy", StockTransactionsTable[[#This Row],[Total Amount with Fee]] / StockTransactionsTable[[#This Row],[Shares No.]],0)</f>
        <v>0</v>
      </c>
      <c r="L91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18" s="4">
        <f>YEAR(StockTransactionsTable[[#This Row],[Date]])</f>
        <v>2025</v>
      </c>
      <c r="N918" s="4">
        <f>MONTH(StockTransactionsTable[[#This Row],[Date]])</f>
        <v>12</v>
      </c>
    </row>
    <row r="919" spans="2:14">
      <c r="B919" s="3">
        <v>46006</v>
      </c>
      <c r="C919" s="6" t="s">
        <v>12</v>
      </c>
      <c r="D919" s="6" t="s">
        <v>30</v>
      </c>
      <c r="E919" s="5">
        <v>97</v>
      </c>
      <c r="F919" s="5">
        <v>0.26950000000000002</v>
      </c>
      <c r="G919" s="5">
        <f>StockTransactionsTable[[#This Row],[Shares No.]]*StockTransactionsTable[[#This Row],[Amount per Share]]</f>
        <v>26.141500000000001</v>
      </c>
      <c r="H919" s="5">
        <v>0</v>
      </c>
      <c r="I91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26.141500000000001</v>
      </c>
      <c r="J919" s="19">
        <f>StockTransactionsTable[[#This Row],[Fee]]/StockTransactionsTable[[#This Row],[Total Amount]]</f>
        <v>0</v>
      </c>
      <c r="K919" s="5">
        <f>IF(StockTransactionsTable[[#This Row],[Transaction Type]]="Buy", StockTransactionsTable[[#This Row],[Total Amount with Fee]] / StockTransactionsTable[[#This Row],[Shares No.]],0)</f>
        <v>0</v>
      </c>
      <c r="L91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19" s="4">
        <f>YEAR(StockTransactionsTable[[#This Row],[Date]])</f>
        <v>2025</v>
      </c>
      <c r="N919" s="4">
        <f>MONTH(StockTransactionsTable[[#This Row],[Date]])</f>
        <v>12</v>
      </c>
    </row>
    <row r="920" spans="2:14">
      <c r="B920" s="3">
        <v>46007</v>
      </c>
      <c r="C920" s="6" t="s">
        <v>100</v>
      </c>
      <c r="D920" s="6" t="s">
        <v>30</v>
      </c>
      <c r="E920" s="5">
        <v>250</v>
      </c>
      <c r="F920" s="5">
        <v>1.0649999999999999</v>
      </c>
      <c r="G920" s="5">
        <f>StockTransactionsTable[[#This Row],[Shares No.]]*StockTransactionsTable[[#This Row],[Amount per Share]]</f>
        <v>266.25</v>
      </c>
      <c r="H920" s="5">
        <v>0</v>
      </c>
      <c r="I92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266.25</v>
      </c>
      <c r="J920" s="19">
        <f>StockTransactionsTable[[#This Row],[Fee]]/StockTransactionsTable[[#This Row],[Total Amount]]</f>
        <v>0</v>
      </c>
      <c r="K920" s="5">
        <f>IF(StockTransactionsTable[[#This Row],[Transaction Type]]="Buy", StockTransactionsTable[[#This Row],[Total Amount with Fee]] / StockTransactionsTable[[#This Row],[Shares No.]],0)</f>
        <v>0</v>
      </c>
      <c r="L92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20" s="4">
        <f>YEAR(StockTransactionsTable[[#This Row],[Date]])</f>
        <v>2025</v>
      </c>
      <c r="N920" s="4">
        <f>MONTH(StockTransactionsTable[[#This Row],[Date]])</f>
        <v>12</v>
      </c>
    </row>
    <row r="921" spans="2:14">
      <c r="B921" s="3">
        <v>46009</v>
      </c>
      <c r="C921" s="6" t="s">
        <v>95</v>
      </c>
      <c r="D921" s="6" t="s">
        <v>30</v>
      </c>
      <c r="E921" s="5">
        <v>172</v>
      </c>
      <c r="F921" s="5">
        <v>2.2999999999999998</v>
      </c>
      <c r="G921" s="5">
        <f>StockTransactionsTable[[#This Row],[Shares No.]]*StockTransactionsTable[[#This Row],[Amount per Share]]</f>
        <v>395.59999999999997</v>
      </c>
      <c r="H921" s="5">
        <v>0</v>
      </c>
      <c r="I92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395.59999999999997</v>
      </c>
      <c r="J921" s="19">
        <f>StockTransactionsTable[[#This Row],[Fee]]/StockTransactionsTable[[#This Row],[Total Amount]]</f>
        <v>0</v>
      </c>
      <c r="K921" s="5">
        <f>IF(StockTransactionsTable[[#This Row],[Transaction Type]]="Buy", StockTransactionsTable[[#This Row],[Total Amount with Fee]] / StockTransactionsTable[[#This Row],[Shares No.]],0)</f>
        <v>0</v>
      </c>
      <c r="L92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21" s="4">
        <f>YEAR(StockTransactionsTable[[#This Row],[Date]])</f>
        <v>2025</v>
      </c>
      <c r="N921" s="4">
        <f>MONTH(StockTransactionsTable[[#This Row],[Date]])</f>
        <v>12</v>
      </c>
    </row>
    <row r="922" spans="2:14">
      <c r="B922" s="3">
        <v>46022</v>
      </c>
      <c r="C922" s="6" t="s">
        <v>91</v>
      </c>
      <c r="D922" s="6" t="s">
        <v>31</v>
      </c>
      <c r="E922" s="5">
        <v>9</v>
      </c>
      <c r="F922" s="5" vm="554">
        <v>483.62</v>
      </c>
      <c r="G922" s="5">
        <f>StockTransactionsTable[[#This Row],[Shares No.]]*StockTransactionsTable[[#This Row],[Amount per Share]]</f>
        <v>4352.58</v>
      </c>
      <c r="H922" s="5">
        <v>2.1222002186405633</v>
      </c>
      <c r="I92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4350.4577997813594</v>
      </c>
      <c r="J922" s="19">
        <f>StockTransactionsTable[[#This Row],[Fee]]/StockTransactionsTable[[#This Row],[Total Amount]]</f>
        <v>4.8757293803688002E-4</v>
      </c>
      <c r="K922" s="5">
        <f>IF(StockTransactionsTable[[#This Row],[Transaction Type]]="Buy", StockTransactionsTable[[#This Row],[Total Amount with Fee]] / StockTransactionsTable[[#This Row],[Shares No.]],0)</f>
        <v>0</v>
      </c>
      <c r="L922" s="5">
        <f>IF(StockTransactionsTable[[#This Row],[Transaction Type]]="Sell",
   (StockTransactionsTable[[#This Row],[Total Amount with Fee]]) - (StockTransactionsTable[[#This Row],[Shares No.]] * INDEX(StockTransactionsTable[Accumulated cost buy basis], MATCH(StockTransactionsTable[[#This Row],[Ticker]], StockTransactionsTable[Ticker], 0))),
   "")</f>
        <v>3848.950289966906</v>
      </c>
      <c r="M922" s="4">
        <f>YEAR(StockTransactionsTable[[#This Row],[Date]])</f>
        <v>2025</v>
      </c>
      <c r="N922" s="4">
        <f>MONTH(StockTransactionsTable[[#This Row],[Date]])</f>
        <v>12</v>
      </c>
    </row>
    <row r="923" spans="2:14">
      <c r="B923" s="3">
        <v>46028</v>
      </c>
      <c r="C923" s="6" t="s">
        <v>18</v>
      </c>
      <c r="D923" s="6" t="s">
        <v>30</v>
      </c>
      <c r="E923" s="5">
        <v>43</v>
      </c>
      <c r="F923" s="5">
        <v>1.4225000000000001</v>
      </c>
      <c r="G923" s="5">
        <f>StockTransactionsTable[[#This Row],[Shares No.]]*StockTransactionsTable[[#This Row],[Amount per Share]]</f>
        <v>61.167500000000004</v>
      </c>
      <c r="H923" s="5">
        <v>0</v>
      </c>
      <c r="I92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61.167500000000004</v>
      </c>
      <c r="J923" s="19">
        <f>StockTransactionsTable[[#This Row],[Fee]]/StockTransactionsTable[[#This Row],[Total Amount]]</f>
        <v>0</v>
      </c>
      <c r="K923" s="5">
        <f>IF(StockTransactionsTable[[#This Row],[Transaction Type]]="Buy", StockTransactionsTable[[#This Row],[Total Amount with Fee]] / StockTransactionsTable[[#This Row],[Shares No.]],0)</f>
        <v>0</v>
      </c>
      <c r="L92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23" s="4">
        <f>YEAR(StockTransactionsTable[[#This Row],[Date]])</f>
        <v>2026</v>
      </c>
      <c r="N923" s="4">
        <f>MONTH(StockTransactionsTable[[#This Row],[Date]])</f>
        <v>1</v>
      </c>
    </row>
    <row r="924" spans="2:14">
      <c r="B924" s="3">
        <v>46037</v>
      </c>
      <c r="C924" s="6" t="s">
        <v>16</v>
      </c>
      <c r="D924" s="6" t="s">
        <v>31</v>
      </c>
      <c r="E924" s="5">
        <v>10</v>
      </c>
      <c r="F924" s="5" vm="555">
        <v>129.13</v>
      </c>
      <c r="G924" s="5">
        <f>StockTransactionsTable[[#This Row],[Shares No.]]*StockTransactionsTable[[#This Row],[Amount per Share]]</f>
        <v>1291.3</v>
      </c>
      <c r="H924" s="5">
        <v>0.62928150738871558</v>
      </c>
      <c r="I92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1290.6707184926113</v>
      </c>
      <c r="J924" s="19">
        <f>StockTransactionsTable[[#This Row],[Fee]]/StockTransactionsTable[[#This Row],[Total Amount]]</f>
        <v>4.8732402028089179E-4</v>
      </c>
      <c r="K924" s="5">
        <f>IF(StockTransactionsTable[[#This Row],[Transaction Type]]="Buy", StockTransactionsTable[[#This Row],[Total Amount with Fee]] / StockTransactionsTable[[#This Row],[Shares No.]],0)</f>
        <v>0</v>
      </c>
      <c r="L924" s="5">
        <f>IF(StockTransactionsTable[[#This Row],[Transaction Type]]="Sell",
   (StockTransactionsTable[[#This Row],[Total Amount with Fee]]) - (StockTransactionsTable[[#This Row],[Shares No.]] * INDEX(StockTransactionsTable[Accumulated cost buy basis], MATCH(StockTransactionsTable[[#This Row],[Ticker]], StockTransactionsTable[Ticker], 0))),
   "")</f>
        <v>478.11821598571123</v>
      </c>
      <c r="M924" s="4">
        <f>YEAR(StockTransactionsTable[[#This Row],[Date]])</f>
        <v>2026</v>
      </c>
      <c r="N924" s="4">
        <f>MONTH(StockTransactionsTable[[#This Row],[Date]])</f>
        <v>1</v>
      </c>
    </row>
    <row r="925" spans="2:14">
      <c r="B925" s="3">
        <v>46037</v>
      </c>
      <c r="C925" s="6" t="s">
        <v>12</v>
      </c>
      <c r="D925" s="6" t="s">
        <v>30</v>
      </c>
      <c r="E925" s="5">
        <v>97</v>
      </c>
      <c r="F925" s="5">
        <v>0.27</v>
      </c>
      <c r="G925" s="5">
        <f>StockTransactionsTable[[#This Row],[Shares No.]]*StockTransactionsTable[[#This Row],[Amount per Share]]</f>
        <v>26.19</v>
      </c>
      <c r="H925" s="5">
        <v>0</v>
      </c>
      <c r="I92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26.19</v>
      </c>
      <c r="J925" s="19">
        <f>StockTransactionsTable[[#This Row],[Fee]]/StockTransactionsTable[[#This Row],[Total Amount]]</f>
        <v>0</v>
      </c>
      <c r="K925" s="5">
        <f>IF(StockTransactionsTable[[#This Row],[Transaction Type]]="Buy", StockTransactionsTable[[#This Row],[Total Amount with Fee]] / StockTransactionsTable[[#This Row],[Shares No.]],0)</f>
        <v>0</v>
      </c>
      <c r="L92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25" s="4">
        <f>YEAR(StockTransactionsTable[[#This Row],[Date]])</f>
        <v>2026</v>
      </c>
      <c r="N925" s="4">
        <f>MONTH(StockTransactionsTable[[#This Row],[Date]])</f>
        <v>1</v>
      </c>
    </row>
    <row r="926" spans="2:14">
      <c r="B926" s="3">
        <v>46053</v>
      </c>
      <c r="C926" s="6" t="s">
        <v>20</v>
      </c>
      <c r="D926" s="6" t="s">
        <v>30</v>
      </c>
      <c r="E926" s="5">
        <v>116</v>
      </c>
      <c r="F926" s="5">
        <v>1.5</v>
      </c>
      <c r="G926" s="5">
        <f>StockTransactionsTable[[#This Row],[Shares No.]]*StockTransactionsTable[[#This Row],[Amount per Share]]</f>
        <v>174</v>
      </c>
      <c r="H926" s="5">
        <v>0</v>
      </c>
      <c r="I92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174</v>
      </c>
      <c r="J926" s="19">
        <f>StockTransactionsTable[[#This Row],[Fee]]/StockTransactionsTable[[#This Row],[Total Amount]]</f>
        <v>0</v>
      </c>
      <c r="K926" s="5">
        <f>IF(StockTransactionsTable[[#This Row],[Transaction Type]]="Buy", StockTransactionsTable[[#This Row],[Total Amount with Fee]] / StockTransactionsTable[[#This Row],[Shares No.]],0)</f>
        <v>0</v>
      </c>
      <c r="L92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26" s="4">
        <f>YEAR(StockTransactionsTable[[#This Row],[Date]])</f>
        <v>2026</v>
      </c>
      <c r="N926" s="4">
        <f>MONTH(StockTransactionsTable[[#This Row],[Date]])</f>
        <v>1</v>
      </c>
    </row>
    <row r="927" spans="2:14">
      <c r="B927" s="3">
        <v>46055</v>
      </c>
      <c r="C927" s="6" t="s">
        <v>15</v>
      </c>
      <c r="D927" s="6" t="s">
        <v>30</v>
      </c>
      <c r="E927" s="5">
        <v>140</v>
      </c>
      <c r="F927" s="5">
        <v>0.27750000000000002</v>
      </c>
      <c r="G927" s="5">
        <f>StockTransactionsTable[[#This Row],[Shares No.]]*StockTransactionsTable[[#This Row],[Amount per Share]]</f>
        <v>38.85</v>
      </c>
      <c r="H927" s="5">
        <v>0</v>
      </c>
      <c r="I92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38.85</v>
      </c>
      <c r="J927" s="19">
        <f>StockTransactionsTable[[#This Row],[Fee]]/StockTransactionsTable[[#This Row],[Total Amount]]</f>
        <v>0</v>
      </c>
      <c r="K927" s="5">
        <f>IF(StockTransactionsTable[[#This Row],[Transaction Type]]="Buy", StockTransactionsTable[[#This Row],[Total Amount with Fee]] / StockTransactionsTable[[#This Row],[Shares No.]],0)</f>
        <v>0</v>
      </c>
      <c r="L92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27" s="4">
        <f>YEAR(StockTransactionsTable[[#This Row],[Date]])</f>
        <v>2026</v>
      </c>
      <c r="N927" s="4">
        <f>MONTH(StockTransactionsTable[[#This Row],[Date]])</f>
        <v>2</v>
      </c>
    </row>
    <row r="928" spans="2:14">
      <c r="B928" s="3">
        <v>46066</v>
      </c>
      <c r="C928" s="6" t="s">
        <v>19</v>
      </c>
      <c r="D928" s="6" t="s">
        <v>30</v>
      </c>
      <c r="E928" s="5">
        <v>86</v>
      </c>
      <c r="F928" s="5">
        <v>1.24</v>
      </c>
      <c r="G928" s="5">
        <f>StockTransactionsTable[[#This Row],[Shares No.]]*StockTransactionsTable[[#This Row],[Amount per Share]]</f>
        <v>106.64</v>
      </c>
      <c r="H928" s="5">
        <v>0</v>
      </c>
      <c r="I92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106.64</v>
      </c>
      <c r="J928" s="19">
        <f>StockTransactionsTable[[#This Row],[Fee]]/StockTransactionsTable[[#This Row],[Total Amount]]</f>
        <v>0</v>
      </c>
      <c r="K928" s="5">
        <f>IF(StockTransactionsTable[[#This Row],[Transaction Type]]="Buy", StockTransactionsTable[[#This Row],[Total Amount with Fee]] / StockTransactionsTable[[#This Row],[Shares No.]],0)</f>
        <v>0</v>
      </c>
      <c r="L92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28" s="4">
        <f>YEAR(StockTransactionsTable[[#This Row],[Date]])</f>
        <v>2026</v>
      </c>
      <c r="N928" s="4">
        <f>MONTH(StockTransactionsTable[[#This Row],[Date]])</f>
        <v>2</v>
      </c>
    </row>
    <row r="929" spans="2:14">
      <c r="B929" s="3">
        <v>46066</v>
      </c>
      <c r="C929" s="6" t="s">
        <v>12</v>
      </c>
      <c r="D929" s="6" t="s">
        <v>30</v>
      </c>
      <c r="E929" s="5">
        <v>97</v>
      </c>
      <c r="F929" s="5">
        <v>0.27</v>
      </c>
      <c r="G929" s="5">
        <f>StockTransactionsTable[[#This Row],[Shares No.]]*StockTransactionsTable[[#This Row],[Amount per Share]]</f>
        <v>26.19</v>
      </c>
      <c r="H929" s="5">
        <v>0</v>
      </c>
      <c r="I92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26.19</v>
      </c>
      <c r="J929" s="19">
        <f>StockTransactionsTable[[#This Row],[Fee]]/StockTransactionsTable[[#This Row],[Total Amount]]</f>
        <v>0</v>
      </c>
      <c r="K929" s="5">
        <f>IF(StockTransactionsTable[[#This Row],[Transaction Type]]="Buy", StockTransactionsTable[[#This Row],[Total Amount with Fee]] / StockTransactionsTable[[#This Row],[Shares No.]],0)</f>
        <v>0</v>
      </c>
      <c r="L92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29" s="4">
        <f>YEAR(StockTransactionsTable[[#This Row],[Date]])</f>
        <v>2026</v>
      </c>
      <c r="N929" s="4">
        <f>MONTH(StockTransactionsTable[[#This Row],[Date]])</f>
        <v>2</v>
      </c>
    </row>
    <row r="930" spans="2:14">
      <c r="B930" s="3">
        <v>46070</v>
      </c>
      <c r="C930" s="6" t="s">
        <v>86</v>
      </c>
      <c r="D930" s="6" t="s">
        <v>30</v>
      </c>
      <c r="E930" s="5">
        <v>152</v>
      </c>
      <c r="F930" s="5">
        <v>1.73</v>
      </c>
      <c r="G930" s="5">
        <f>StockTransactionsTable[[#This Row],[Shares No.]]*StockTransactionsTable[[#This Row],[Amount per Share]]</f>
        <v>262.95999999999998</v>
      </c>
      <c r="H930" s="5">
        <v>0</v>
      </c>
      <c r="I93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262.95999999999998</v>
      </c>
      <c r="J930" s="19">
        <f>StockTransactionsTable[[#This Row],[Fee]]/StockTransactionsTable[[#This Row],[Total Amount]]</f>
        <v>0</v>
      </c>
      <c r="K930" s="5">
        <f>IF(StockTransactionsTable[[#This Row],[Transaction Type]]="Buy", StockTransactionsTable[[#This Row],[Total Amount with Fee]] / StockTransactionsTable[[#This Row],[Shares No.]],0)</f>
        <v>0</v>
      </c>
      <c r="L93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30" s="4">
        <f>YEAR(StockTransactionsTable[[#This Row],[Date]])</f>
        <v>2026</v>
      </c>
      <c r="N930" s="4">
        <f>MONTH(StockTransactionsTable[[#This Row],[Date]])</f>
        <v>2</v>
      </c>
    </row>
    <row r="931" spans="2:14">
      <c r="B931" s="3">
        <v>46070</v>
      </c>
      <c r="C931" s="6" t="s">
        <v>21</v>
      </c>
      <c r="D931" s="6" t="s">
        <v>30</v>
      </c>
      <c r="E931" s="5">
        <v>84</v>
      </c>
      <c r="F931" s="5">
        <v>1.0568</v>
      </c>
      <c r="G931" s="5">
        <f>StockTransactionsTable[[#This Row],[Shares No.]]*StockTransactionsTable[[#This Row],[Amount per Share]]</f>
        <v>88.771199999999993</v>
      </c>
      <c r="H931" s="5">
        <v>0</v>
      </c>
      <c r="I93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88.771199999999993</v>
      </c>
      <c r="J931" s="19">
        <f>StockTransactionsTable[[#This Row],[Fee]]/StockTransactionsTable[[#This Row],[Total Amount]]</f>
        <v>0</v>
      </c>
      <c r="K931" s="5">
        <f>IF(StockTransactionsTable[[#This Row],[Transaction Type]]="Buy", StockTransactionsTable[[#This Row],[Total Amount with Fee]] / StockTransactionsTable[[#This Row],[Shares No.]],0)</f>
        <v>0</v>
      </c>
      <c r="L93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31" s="4">
        <f>YEAR(StockTransactionsTable[[#This Row],[Date]])</f>
        <v>2026</v>
      </c>
      <c r="N931" s="4">
        <f>MONTH(StockTransactionsTable[[#This Row],[Date]])</f>
        <v>2</v>
      </c>
    </row>
    <row r="932" spans="2:14">
      <c r="B932" s="3">
        <v>46072</v>
      </c>
      <c r="C932" s="6" t="s">
        <v>22</v>
      </c>
      <c r="D932" s="6" t="s">
        <v>30</v>
      </c>
      <c r="E932" s="5">
        <v>119</v>
      </c>
      <c r="F932" s="5">
        <v>1.51</v>
      </c>
      <c r="G932" s="5">
        <f>StockTransactionsTable[[#This Row],[Shares No.]]*StockTransactionsTable[[#This Row],[Amount per Share]]</f>
        <v>179.69</v>
      </c>
      <c r="H932" s="5">
        <v>0</v>
      </c>
      <c r="I93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179.69</v>
      </c>
      <c r="J932" s="19">
        <f>StockTransactionsTable[[#This Row],[Fee]]/StockTransactionsTable[[#This Row],[Total Amount]]</f>
        <v>0</v>
      </c>
      <c r="K932" s="5">
        <f>IF(StockTransactionsTable[[#This Row],[Transaction Type]]="Buy", StockTransactionsTable[[#This Row],[Total Amount with Fee]] / StockTransactionsTable[[#This Row],[Shares No.]],0)</f>
        <v>0</v>
      </c>
      <c r="L93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32" s="4">
        <f>YEAR(StockTransactionsTable[[#This Row],[Date]])</f>
        <v>2026</v>
      </c>
      <c r="N932" s="4">
        <f>MONTH(StockTransactionsTable[[#This Row],[Date]])</f>
        <v>2</v>
      </c>
    </row>
    <row r="933" spans="2:14">
      <c r="B933" s="3">
        <v>46077</v>
      </c>
      <c r="C933" s="6" t="s">
        <v>16</v>
      </c>
      <c r="D933" s="6" t="s">
        <v>31</v>
      </c>
      <c r="E933" s="5">
        <v>7</v>
      </c>
      <c r="F933" s="5" vm="556">
        <v>149.26</v>
      </c>
      <c r="G933" s="5">
        <f>StockTransactionsTable[[#This Row],[Shares No.]]*StockTransactionsTable[[#This Row],[Amount per Share]]</f>
        <v>1044.82</v>
      </c>
      <c r="H933" s="5">
        <v>0.47310179071936037</v>
      </c>
      <c r="I93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1044.3468982092807</v>
      </c>
      <c r="J933" s="19">
        <f>StockTransactionsTable[[#This Row],[Fee]]/StockTransactionsTable[[#This Row],[Total Amount]]</f>
        <v>4.5280698179529528E-4</v>
      </c>
      <c r="K933" s="5">
        <f>IF(StockTransactionsTable[[#This Row],[Transaction Type]]="Buy", StockTransactionsTable[[#This Row],[Total Amount with Fee]] / StockTransactionsTable[[#This Row],[Shares No.]],0)</f>
        <v>0</v>
      </c>
      <c r="L933" s="5">
        <f>IF(StockTransactionsTable[[#This Row],[Transaction Type]]="Sell",
   (StockTransactionsTable[[#This Row],[Total Amount with Fee]]) - (StockTransactionsTable[[#This Row],[Shares No.]] * INDEX(StockTransactionsTable[Accumulated cost buy basis], MATCH(StockTransactionsTable[[#This Row],[Ticker]], StockTransactionsTable[Ticker], 0))),
   "")</f>
        <v>475.56014645445055</v>
      </c>
      <c r="M933" s="4">
        <f>YEAR(StockTransactionsTable[[#This Row],[Date]])</f>
        <v>2026</v>
      </c>
      <c r="N933" s="4">
        <f>MONTH(StockTransactionsTable[[#This Row],[Date]])</f>
        <v>2</v>
      </c>
    </row>
    <row r="934" spans="2:14">
      <c r="B934" s="3">
        <v>46087</v>
      </c>
      <c r="C934" s="6" t="s">
        <v>13</v>
      </c>
      <c r="D934" s="6" t="s">
        <v>30</v>
      </c>
      <c r="E934" s="5">
        <v>106</v>
      </c>
      <c r="F934" s="5">
        <v>0.43</v>
      </c>
      <c r="G934" s="5">
        <f>StockTransactionsTable[[#This Row],[Shares No.]]*StockTransactionsTable[[#This Row],[Amount per Share]]</f>
        <v>45.58</v>
      </c>
      <c r="H934" s="5">
        <v>0</v>
      </c>
      <c r="I93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45.58</v>
      </c>
      <c r="J934" s="19">
        <f>StockTransactionsTable[[#This Row],[Fee]]/StockTransactionsTable[[#This Row],[Total Amount]]</f>
        <v>0</v>
      </c>
      <c r="K934" s="5">
        <f>IF(StockTransactionsTable[[#This Row],[Transaction Type]]="Buy", StockTransactionsTable[[#This Row],[Total Amount with Fee]] / StockTransactionsTable[[#This Row],[Shares No.]],0)</f>
        <v>0</v>
      </c>
      <c r="L93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34" s="4">
        <f>YEAR(StockTransactionsTable[[#This Row],[Date]])</f>
        <v>2026</v>
      </c>
      <c r="N934" s="4">
        <f>MONTH(StockTransactionsTable[[#This Row],[Date]])</f>
        <v>3</v>
      </c>
    </row>
    <row r="935" spans="2:14">
      <c r="B935" s="3">
        <v>46091</v>
      </c>
      <c r="C935" s="6" t="s">
        <v>17</v>
      </c>
      <c r="D935" s="6" t="s">
        <v>30</v>
      </c>
      <c r="E935" s="5">
        <v>231</v>
      </c>
      <c r="F935" s="5">
        <v>1.68</v>
      </c>
      <c r="G935" s="5">
        <f>StockTransactionsTable[[#This Row],[Shares No.]]*StockTransactionsTable[[#This Row],[Amount per Share]]</f>
        <v>388.08</v>
      </c>
      <c r="H935" s="5">
        <v>0</v>
      </c>
      <c r="I93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388.08</v>
      </c>
      <c r="J935" s="19">
        <f>StockTransactionsTable[[#This Row],[Fee]]/StockTransactionsTable[[#This Row],[Total Amount]]</f>
        <v>0</v>
      </c>
      <c r="K935" s="5">
        <f>IF(StockTransactionsTable[[#This Row],[Transaction Type]]="Buy", StockTransactionsTable[[#This Row],[Total Amount with Fee]] / StockTransactionsTable[[#This Row],[Shares No.]],0)</f>
        <v>0</v>
      </c>
      <c r="L93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35" s="4">
        <f>YEAR(StockTransactionsTable[[#This Row],[Date]])</f>
        <v>2026</v>
      </c>
      <c r="N935" s="4">
        <f>MONTH(StockTransactionsTable[[#This Row],[Date]])</f>
        <v>3</v>
      </c>
    </row>
    <row r="936" spans="2:14">
      <c r="B936" s="3">
        <v>46091</v>
      </c>
      <c r="C936" s="6" t="s">
        <v>84</v>
      </c>
      <c r="D936" s="6" t="s">
        <v>30</v>
      </c>
      <c r="E936" s="5">
        <v>46</v>
      </c>
      <c r="F936" s="5">
        <v>1.3</v>
      </c>
      <c r="G936" s="5">
        <f>StockTransactionsTable[[#This Row],[Shares No.]]*StockTransactionsTable[[#This Row],[Amount per Share]]</f>
        <v>59.800000000000004</v>
      </c>
      <c r="H936" s="5">
        <v>0</v>
      </c>
      <c r="I93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59.800000000000004</v>
      </c>
      <c r="J936" s="19">
        <f>StockTransactionsTable[[#This Row],[Fee]]/StockTransactionsTable[[#This Row],[Total Amount]]</f>
        <v>0</v>
      </c>
      <c r="K936" s="5">
        <f>IF(StockTransactionsTable[[#This Row],[Transaction Type]]="Buy", StockTransactionsTable[[#This Row],[Total Amount with Fee]] / StockTransactionsTable[[#This Row],[Shares No.]],0)</f>
        <v>0</v>
      </c>
      <c r="L93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36" s="4">
        <f>YEAR(StockTransactionsTable[[#This Row],[Date]])</f>
        <v>2026</v>
      </c>
      <c r="N936" s="4">
        <f>MONTH(StockTransactionsTable[[#This Row],[Date]])</f>
        <v>3</v>
      </c>
    </row>
    <row r="937" spans="2:14">
      <c r="B937" s="3">
        <v>46091</v>
      </c>
      <c r="C937" s="6" t="s">
        <v>16</v>
      </c>
      <c r="D937" s="6" t="s">
        <v>30</v>
      </c>
      <c r="E937" s="5">
        <v>175</v>
      </c>
      <c r="F937" s="5">
        <v>1.03</v>
      </c>
      <c r="G937" s="5">
        <f>StockTransactionsTable[[#This Row],[Shares No.]]*StockTransactionsTable[[#This Row],[Amount per Share]]</f>
        <v>180.25</v>
      </c>
      <c r="H937" s="5">
        <v>0</v>
      </c>
      <c r="I93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180.25</v>
      </c>
      <c r="J937" s="19">
        <f>StockTransactionsTable[[#This Row],[Fee]]/StockTransactionsTable[[#This Row],[Total Amount]]</f>
        <v>0</v>
      </c>
      <c r="K937" s="5">
        <f>IF(StockTransactionsTable[[#This Row],[Transaction Type]]="Buy", StockTransactionsTable[[#This Row],[Total Amount with Fee]] / StockTransactionsTable[[#This Row],[Shares No.]],0)</f>
        <v>0</v>
      </c>
      <c r="L93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37" s="4">
        <f>YEAR(StockTransactionsTable[[#This Row],[Date]])</f>
        <v>2026</v>
      </c>
      <c r="N937" s="4">
        <f>MONTH(StockTransactionsTable[[#This Row],[Date]])</f>
        <v>3</v>
      </c>
    </row>
    <row r="938" spans="2:14">
      <c r="B938" s="3">
        <v>46093</v>
      </c>
      <c r="C938" s="6" t="s">
        <v>91</v>
      </c>
      <c r="D938" s="6" t="s">
        <v>30</v>
      </c>
      <c r="E938" s="5">
        <v>203</v>
      </c>
      <c r="F938" s="5">
        <v>0.91</v>
      </c>
      <c r="G938" s="5">
        <f>StockTransactionsTable[[#This Row],[Shares No.]]*StockTransactionsTable[[#This Row],[Amount per Share]]</f>
        <v>184.73000000000002</v>
      </c>
      <c r="H938" s="5">
        <v>0</v>
      </c>
      <c r="I93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184.73000000000002</v>
      </c>
      <c r="J938" s="19">
        <f>StockTransactionsTable[[#This Row],[Fee]]/StockTransactionsTable[[#This Row],[Total Amount]]</f>
        <v>0</v>
      </c>
      <c r="K938" s="5">
        <f>IF(StockTransactionsTable[[#This Row],[Transaction Type]]="Buy", StockTransactionsTable[[#This Row],[Total Amount with Fee]] / StockTransactionsTable[[#This Row],[Shares No.]],0)</f>
        <v>0</v>
      </c>
      <c r="L93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38" s="4">
        <f>YEAR(StockTransactionsTable[[#This Row],[Date]])</f>
        <v>2026</v>
      </c>
      <c r="N938" s="4">
        <f>MONTH(StockTransactionsTable[[#This Row],[Date]])</f>
        <v>3</v>
      </c>
    </row>
    <row r="939" spans="2:14">
      <c r="B939" s="3">
        <v>46093</v>
      </c>
      <c r="C939" s="6" t="s">
        <v>106</v>
      </c>
      <c r="D939" s="6" t="s">
        <v>30</v>
      </c>
      <c r="E939" s="5">
        <v>79</v>
      </c>
      <c r="F939" s="5">
        <v>0.71</v>
      </c>
      <c r="G939" s="5">
        <f>StockTransactionsTable[[#This Row],[Shares No.]]*StockTransactionsTable[[#This Row],[Amount per Share]]</f>
        <v>56.089999999999996</v>
      </c>
      <c r="H939" s="5">
        <v>0</v>
      </c>
      <c r="I93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56.089999999999996</v>
      </c>
      <c r="J939" s="19">
        <f>StockTransactionsTable[[#This Row],[Fee]]/StockTransactionsTable[[#This Row],[Total Amount]]</f>
        <v>0</v>
      </c>
      <c r="K939" s="5">
        <f>IF(StockTransactionsTable[[#This Row],[Transaction Type]]="Buy", StockTransactionsTable[[#This Row],[Total Amount with Fee]] / StockTransactionsTable[[#This Row],[Shares No.]],0)</f>
        <v>0</v>
      </c>
      <c r="L93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39" s="4">
        <f>YEAR(StockTransactionsTable[[#This Row],[Date]])</f>
        <v>2026</v>
      </c>
      <c r="N939" s="4">
        <f>MONTH(StockTransactionsTable[[#This Row],[Date]])</f>
        <v>3</v>
      </c>
    </row>
    <row r="940" spans="2:14">
      <c r="B940" s="3">
        <v>46094</v>
      </c>
      <c r="C940" s="6" t="s">
        <v>16</v>
      </c>
      <c r="D940" s="6" t="s">
        <v>31</v>
      </c>
      <c r="E940" s="5">
        <v>12</v>
      </c>
      <c r="F940" s="5" vm="557">
        <v>156.12</v>
      </c>
      <c r="G940" s="5">
        <f>StockTransactionsTable[[#This Row],[Shares No.]]*StockTransactionsTable[[#This Row],[Amount per Share]]</f>
        <v>1873.44</v>
      </c>
      <c r="H940" s="5">
        <v>0.85312198904149406</v>
      </c>
      <c r="I94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1872.5868780109586</v>
      </c>
      <c r="J940" s="19">
        <f>StockTransactionsTable[[#This Row],[Fee]]/StockTransactionsTable[[#This Row],[Total Amount]]</f>
        <v>4.553772680424748E-4</v>
      </c>
      <c r="K940" s="5">
        <f>IF(StockTransactionsTable[[#This Row],[Transaction Type]]="Buy", StockTransactionsTable[[#This Row],[Total Amount with Fee]] / StockTransactionsTable[[#This Row],[Shares No.]],0)</f>
        <v>0</v>
      </c>
      <c r="L940" s="5">
        <f>IF(StockTransactionsTable[[#This Row],[Transaction Type]]="Sell",
   (StockTransactionsTable[[#This Row],[Total Amount with Fee]]) - (StockTransactionsTable[[#This Row],[Shares No.]] * INDEX(StockTransactionsTable[Accumulated cost buy basis], MATCH(StockTransactionsTable[[#This Row],[Ticker]], StockTransactionsTable[Ticker], 0))),
   "")</f>
        <v>897.52387500267844</v>
      </c>
      <c r="M940" s="4">
        <f>YEAR(StockTransactionsTable[[#This Row],[Date]])</f>
        <v>2026</v>
      </c>
      <c r="N940" s="4">
        <f>MONTH(StockTransactionsTable[[#This Row],[Date]])</f>
        <v>3</v>
      </c>
    </row>
    <row r="941" spans="2:14">
      <c r="B941" s="3">
        <v>46094</v>
      </c>
      <c r="C941" s="6" t="s">
        <v>12</v>
      </c>
      <c r="D941" s="6" t="s">
        <v>30</v>
      </c>
      <c r="E941" s="5">
        <v>97</v>
      </c>
      <c r="F941" s="5">
        <v>0.27</v>
      </c>
      <c r="G941" s="5">
        <f>StockTransactionsTable[[#This Row],[Shares No.]]*StockTransactionsTable[[#This Row],[Amount per Share]]</f>
        <v>26.19</v>
      </c>
      <c r="H941" s="5">
        <v>0</v>
      </c>
      <c r="I94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26.19</v>
      </c>
      <c r="J941" s="19">
        <f>StockTransactionsTable[[#This Row],[Fee]]/StockTransactionsTable[[#This Row],[Total Amount]]</f>
        <v>0</v>
      </c>
      <c r="K941" s="5">
        <f>IF(StockTransactionsTable[[#This Row],[Transaction Type]]="Buy", StockTransactionsTable[[#This Row],[Total Amount with Fee]] / StockTransactionsTable[[#This Row],[Shares No.]],0)</f>
        <v>0</v>
      </c>
      <c r="L94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41" s="4">
        <f>YEAR(StockTransactionsTable[[#This Row],[Date]])</f>
        <v>2026</v>
      </c>
      <c r="N941" s="4">
        <f>MONTH(StockTransactionsTable[[#This Row],[Date]])</f>
        <v>3</v>
      </c>
    </row>
    <row r="942" spans="2:14">
      <c r="B942" s="3">
        <v>46097</v>
      </c>
      <c r="C942" s="6" t="s">
        <v>14</v>
      </c>
      <c r="D942" s="6" t="s">
        <v>30</v>
      </c>
      <c r="E942" s="5">
        <v>63</v>
      </c>
      <c r="F942" s="5">
        <v>0.4602</v>
      </c>
      <c r="G942" s="5">
        <f>StockTransactionsTable[[#This Row],[Shares No.]]*StockTransactionsTable[[#This Row],[Amount per Share]]</f>
        <v>28.992599999999999</v>
      </c>
      <c r="H942" s="5">
        <v>0</v>
      </c>
      <c r="I94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28.992599999999999</v>
      </c>
      <c r="J942" s="19">
        <f>StockTransactionsTable[[#This Row],[Fee]]/StockTransactionsTable[[#This Row],[Total Amount]]</f>
        <v>0</v>
      </c>
      <c r="K942" s="5">
        <f>IF(StockTransactionsTable[[#This Row],[Transaction Type]]="Buy", StockTransactionsTable[[#This Row],[Total Amount with Fee]] / StockTransactionsTable[[#This Row],[Shares No.]],0)</f>
        <v>0</v>
      </c>
      <c r="L94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42" s="4">
        <f>YEAR(StockTransactionsTable[[#This Row],[Date]])</f>
        <v>2026</v>
      </c>
      <c r="N942" s="4">
        <f>MONTH(StockTransactionsTable[[#This Row],[Date]])</f>
        <v>3</v>
      </c>
    </row>
    <row r="943" spans="2:14">
      <c r="B943" s="3">
        <v>46097</v>
      </c>
      <c r="C943" s="6" t="s">
        <v>100</v>
      </c>
      <c r="D943" s="6" t="s">
        <v>30</v>
      </c>
      <c r="E943" s="5">
        <v>250</v>
      </c>
      <c r="F943" s="5">
        <v>1.0649999999999999</v>
      </c>
      <c r="G943" s="5">
        <f>StockTransactionsTable[[#This Row],[Shares No.]]*StockTransactionsTable[[#This Row],[Amount per Share]]</f>
        <v>266.25</v>
      </c>
      <c r="H943" s="5">
        <v>0</v>
      </c>
      <c r="I94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266.25</v>
      </c>
      <c r="J943" s="19">
        <f>StockTransactionsTable[[#This Row],[Fee]]/StockTransactionsTable[[#This Row],[Total Amount]]</f>
        <v>0</v>
      </c>
      <c r="K943" s="5">
        <f>IF(StockTransactionsTable[[#This Row],[Transaction Type]]="Buy", StockTransactionsTable[[#This Row],[Total Amount with Fee]] / StockTransactionsTable[[#This Row],[Shares No.]],0)</f>
        <v>0</v>
      </c>
      <c r="L94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43" s="4">
        <f>YEAR(StockTransactionsTable[[#This Row],[Date]])</f>
        <v>2026</v>
      </c>
      <c r="N943" s="4">
        <f>MONTH(StockTransactionsTable[[#This Row],[Date]])</f>
        <v>3</v>
      </c>
    </row>
    <row r="944" spans="2:14">
      <c r="B944" s="3">
        <v>46097</v>
      </c>
      <c r="C944" s="6" t="s">
        <v>98</v>
      </c>
      <c r="D944" s="6" t="s">
        <v>30</v>
      </c>
      <c r="E944" s="5">
        <v>412</v>
      </c>
      <c r="F944" s="5">
        <v>0.62319999999999998</v>
      </c>
      <c r="G944" s="5">
        <f>StockTransactionsTable[[#This Row],[Shares No.]]*StockTransactionsTable[[#This Row],[Amount per Share]]</f>
        <v>256.75839999999999</v>
      </c>
      <c r="H944" s="5">
        <v>0</v>
      </c>
      <c r="I94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256.75839999999999</v>
      </c>
      <c r="J944" s="19">
        <f>StockTransactionsTable[[#This Row],[Fee]]/StockTransactionsTable[[#This Row],[Total Amount]]</f>
        <v>0</v>
      </c>
      <c r="K944" s="5">
        <f>IF(StockTransactionsTable[[#This Row],[Transaction Type]]="Buy", StockTransactionsTable[[#This Row],[Total Amount with Fee]] / StockTransactionsTable[[#This Row],[Shares No.]],0)</f>
        <v>0</v>
      </c>
      <c r="L94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44" s="4">
        <f>YEAR(StockTransactionsTable[[#This Row],[Date]])</f>
        <v>2026</v>
      </c>
      <c r="N944" s="4">
        <f>MONTH(StockTransactionsTable[[#This Row],[Date]])</f>
        <v>3</v>
      </c>
    </row>
    <row r="945" spans="2:14">
      <c r="B945" s="3">
        <v>46098</v>
      </c>
      <c r="C945" s="6" t="s">
        <v>88</v>
      </c>
      <c r="D945" s="6" t="s">
        <v>30</v>
      </c>
      <c r="E945" s="5">
        <v>95</v>
      </c>
      <c r="F945" s="5">
        <v>1.86</v>
      </c>
      <c r="G945" s="5">
        <f>StockTransactionsTable[[#This Row],[Shares No.]]*StockTransactionsTable[[#This Row],[Amount per Share]]</f>
        <v>176.70000000000002</v>
      </c>
      <c r="H945" s="5">
        <v>0</v>
      </c>
      <c r="I94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176.70000000000002</v>
      </c>
      <c r="J945" s="19">
        <f>StockTransactionsTable[[#This Row],[Fee]]/StockTransactionsTable[[#This Row],[Total Amount]]</f>
        <v>0</v>
      </c>
      <c r="K945" s="5">
        <f>IF(StockTransactionsTable[[#This Row],[Transaction Type]]="Buy", StockTransactionsTable[[#This Row],[Total Amount with Fee]] / StockTransactionsTable[[#This Row],[Shares No.]],0)</f>
        <v>0</v>
      </c>
      <c r="L94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45" s="4">
        <f>YEAR(StockTransactionsTable[[#This Row],[Date]])</f>
        <v>2026</v>
      </c>
      <c r="N945" s="4">
        <f>MONTH(StockTransactionsTable[[#This Row],[Date]])</f>
        <v>3</v>
      </c>
    </row>
    <row r="946" spans="2:14">
      <c r="B946" s="3">
        <v>46107</v>
      </c>
      <c r="C946" s="6" t="s">
        <v>95</v>
      </c>
      <c r="D946" s="6" t="s">
        <v>30</v>
      </c>
      <c r="E946" s="5">
        <v>172</v>
      </c>
      <c r="F946" s="5">
        <v>2.33</v>
      </c>
      <c r="G946" s="5">
        <f>StockTransactionsTable[[#This Row],[Shares No.]]*StockTransactionsTable[[#This Row],[Amount per Share]]</f>
        <v>400.76</v>
      </c>
      <c r="H946" s="5">
        <v>0</v>
      </c>
      <c r="I94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400.76</v>
      </c>
      <c r="J946" s="19">
        <f>StockTransactionsTable[[#This Row],[Fee]]/StockTransactionsTable[[#This Row],[Total Amount]]</f>
        <v>0</v>
      </c>
      <c r="K946" s="5">
        <f>IF(StockTransactionsTable[[#This Row],[Transaction Type]]="Buy", StockTransactionsTable[[#This Row],[Total Amount with Fee]] / StockTransactionsTable[[#This Row],[Shares No.]],0)</f>
        <v>0</v>
      </c>
      <c r="L94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46" s="4">
        <f>YEAR(StockTransactionsTable[[#This Row],[Date]])</f>
        <v>2026</v>
      </c>
      <c r="N946" s="4">
        <f>MONTH(StockTransactionsTable[[#This Row],[Date]])</f>
        <v>3</v>
      </c>
    </row>
    <row r="947" spans="2:14">
      <c r="B947" s="3">
        <v>46112</v>
      </c>
      <c r="C947" s="6" t="s">
        <v>18</v>
      </c>
      <c r="D947" s="6" t="s">
        <v>30</v>
      </c>
      <c r="E947" s="5">
        <v>43</v>
      </c>
      <c r="F947" s="5">
        <v>1.4225000000000001</v>
      </c>
      <c r="G947" s="5">
        <f>StockTransactionsTable[[#This Row],[Shares No.]]*StockTransactionsTable[[#This Row],[Amount per Share]]</f>
        <v>61.167500000000004</v>
      </c>
      <c r="H947" s="5">
        <v>0</v>
      </c>
      <c r="I94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61.167500000000004</v>
      </c>
      <c r="J947" s="19">
        <f>StockTransactionsTable[[#This Row],[Fee]]/StockTransactionsTable[[#This Row],[Total Amount]]</f>
        <v>0</v>
      </c>
      <c r="K947" s="5">
        <f>IF(StockTransactionsTable[[#This Row],[Transaction Type]]="Buy", StockTransactionsTable[[#This Row],[Total Amount with Fee]] / StockTransactionsTable[[#This Row],[Shares No.]],0)</f>
        <v>0</v>
      </c>
      <c r="L94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47" s="4">
        <f>YEAR(StockTransactionsTable[[#This Row],[Date]])</f>
        <v>2026</v>
      </c>
      <c r="N947" s="4">
        <f>MONTH(StockTransactionsTable[[#This Row],[Date]])</f>
        <v>3</v>
      </c>
    </row>
    <row r="948" spans="2:14">
      <c r="B948" s="3">
        <v>46113</v>
      </c>
      <c r="C948" s="6" t="s">
        <v>23</v>
      </c>
      <c r="D948" s="6" t="s">
        <v>30</v>
      </c>
      <c r="E948" s="5">
        <v>111</v>
      </c>
      <c r="F948" s="5">
        <v>0.53</v>
      </c>
      <c r="G948" s="5">
        <f>StockTransactionsTable[[#This Row],[Shares No.]]*StockTransactionsTable[[#This Row],[Amount per Share]]</f>
        <v>58.830000000000005</v>
      </c>
      <c r="H948" s="5">
        <v>0</v>
      </c>
      <c r="I94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58.830000000000005</v>
      </c>
      <c r="J948" s="19">
        <f>StockTransactionsTable[[#This Row],[Fee]]/StockTransactionsTable[[#This Row],[Total Amount]]</f>
        <v>0</v>
      </c>
      <c r="K948" s="5">
        <f>IF(StockTransactionsTable[[#This Row],[Transaction Type]]="Buy", StockTransactionsTable[[#This Row],[Total Amount with Fee]] / StockTransactionsTable[[#This Row],[Shares No.]],0)</f>
        <v>0</v>
      </c>
      <c r="L94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48" s="4">
        <f>YEAR(StockTransactionsTable[[#This Row],[Date]])</f>
        <v>2026</v>
      </c>
      <c r="N948" s="4">
        <f>MONTH(StockTransactionsTable[[#This Row],[Date]])</f>
        <v>4</v>
      </c>
    </row>
    <row r="949" spans="2:14">
      <c r="B949" s="3">
        <v>46127</v>
      </c>
      <c r="C949" s="6" t="s">
        <v>12</v>
      </c>
      <c r="D949" s="6" t="s">
        <v>30</v>
      </c>
      <c r="E949" s="5">
        <v>97</v>
      </c>
      <c r="F949" s="5">
        <v>0.27050000000000002</v>
      </c>
      <c r="G949" s="5">
        <f>StockTransactionsTable[[#This Row],[Shares No.]]*StockTransactionsTable[[#This Row],[Amount per Share]]</f>
        <v>26.238500000000002</v>
      </c>
      <c r="H949" s="5">
        <v>0</v>
      </c>
      <c r="I94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26.238500000000002</v>
      </c>
      <c r="J949" s="19">
        <f>StockTransactionsTable[[#This Row],[Fee]]/StockTransactionsTable[[#This Row],[Total Amount]]</f>
        <v>0</v>
      </c>
      <c r="K949" s="5">
        <f>IF(StockTransactionsTable[[#This Row],[Transaction Type]]="Buy", StockTransactionsTable[[#This Row],[Total Amount with Fee]] / StockTransactionsTable[[#This Row],[Shares No.]],0)</f>
        <v>0</v>
      </c>
      <c r="L94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49" s="4">
        <f>YEAR(StockTransactionsTable[[#This Row],[Date]])</f>
        <v>2026</v>
      </c>
      <c r="N949" s="4">
        <f>MONTH(StockTransactionsTable[[#This Row],[Date]])</f>
        <v>4</v>
      </c>
    </row>
    <row r="950" spans="2:14">
      <c r="B950" s="3">
        <v>46129</v>
      </c>
      <c r="C950" s="6" t="s">
        <v>95</v>
      </c>
      <c r="D950" s="6" t="s">
        <v>31</v>
      </c>
      <c r="E950" s="5">
        <v>15</v>
      </c>
      <c r="F950" s="5" vm="558">
        <v>349.4</v>
      </c>
      <c r="G950" s="5">
        <f>StockTransactionsTable[[#This Row],[Shares No.]]*StockTransactionsTable[[#This Row],[Amount per Share]]</f>
        <v>5241</v>
      </c>
      <c r="H950" s="5">
        <v>2.6130033078034911</v>
      </c>
      <c r="I95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5238.3869966921966</v>
      </c>
      <c r="J950" s="19">
        <f>StockTransactionsTable[[#This Row],[Fee]]/StockTransactionsTable[[#This Row],[Total Amount]]</f>
        <v>4.9856960652613837E-4</v>
      </c>
      <c r="K950" s="5">
        <f>IF(StockTransactionsTable[[#This Row],[Transaction Type]]="Buy", StockTransactionsTable[[#This Row],[Total Amount with Fee]] / StockTransactionsTable[[#This Row],[Shares No.]],0)</f>
        <v>0</v>
      </c>
      <c r="L950" s="5">
        <f>IF(StockTransactionsTable[[#This Row],[Transaction Type]]="Sell",
   (StockTransactionsTable[[#This Row],[Total Amount with Fee]]) - (StockTransactionsTable[[#This Row],[Shares No.]] * INDEX(StockTransactionsTable[Accumulated cost buy basis], MATCH(StockTransactionsTable[[#This Row],[Ticker]], StockTransactionsTable[Ticker], 0))),
   "")</f>
        <v>3544.8036677846731</v>
      </c>
      <c r="M950" s="4">
        <f>YEAR(StockTransactionsTable[[#This Row],[Date]])</f>
        <v>2026</v>
      </c>
      <c r="N950" s="4">
        <f>MONTH(StockTransactionsTable[[#This Row],[Date]])</f>
        <v>4</v>
      </c>
    </row>
    <row r="951" spans="2:14">
      <c r="B951" s="3">
        <v>46142</v>
      </c>
      <c r="C951" s="6" t="s">
        <v>20</v>
      </c>
      <c r="D951" s="6" t="s">
        <v>30</v>
      </c>
      <c r="E951" s="5">
        <v>116</v>
      </c>
      <c r="F951" s="5">
        <v>1.5</v>
      </c>
      <c r="G951" s="5">
        <f>StockTransactionsTable[[#This Row],[Shares No.]]*StockTransactionsTable[[#This Row],[Amount per Share]]</f>
        <v>174</v>
      </c>
      <c r="H951" s="5">
        <v>0</v>
      </c>
      <c r="I95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174</v>
      </c>
      <c r="J951" s="19">
        <f>StockTransactionsTable[[#This Row],[Fee]]/StockTransactionsTable[[#This Row],[Total Amount]]</f>
        <v>0</v>
      </c>
      <c r="K951" s="5">
        <f>IF(StockTransactionsTable[[#This Row],[Transaction Type]]="Buy", StockTransactionsTable[[#This Row],[Total Amount with Fee]] / StockTransactionsTable[[#This Row],[Shares No.]],0)</f>
        <v>0</v>
      </c>
      <c r="L95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51" s="4">
        <f>YEAR(StockTransactionsTable[[#This Row],[Date]])</f>
        <v>2026</v>
      </c>
      <c r="N951" s="4">
        <f>MONTH(StockTransactionsTable[[#This Row],[Date]])</f>
        <v>4</v>
      </c>
    </row>
    <row r="952" spans="2:14">
      <c r="B952" s="3">
        <v>46143</v>
      </c>
      <c r="C952" s="6" t="s">
        <v>15</v>
      </c>
      <c r="D952" s="6" t="s">
        <v>30</v>
      </c>
      <c r="E952" s="5">
        <v>140</v>
      </c>
      <c r="F952" s="5">
        <v>0.27750000000000002</v>
      </c>
      <c r="G952" s="5">
        <f>StockTransactionsTable[[#This Row],[Shares No.]]*StockTransactionsTable[[#This Row],[Amount per Share]]</f>
        <v>38.85</v>
      </c>
      <c r="H952" s="5">
        <v>0</v>
      </c>
      <c r="I95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38.85</v>
      </c>
      <c r="J952" s="19">
        <f>StockTransactionsTable[[#This Row],[Fee]]/StockTransactionsTable[[#This Row],[Total Amount]]</f>
        <v>0</v>
      </c>
      <c r="K952" s="5">
        <f>IF(StockTransactionsTable[[#This Row],[Transaction Type]]="Buy", StockTransactionsTable[[#This Row],[Total Amount with Fee]] / StockTransactionsTable[[#This Row],[Shares No.]],0)</f>
        <v>0</v>
      </c>
      <c r="L95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52" s="4">
        <f>YEAR(StockTransactionsTable[[#This Row],[Date]])</f>
        <v>2026</v>
      </c>
      <c r="N952" s="4">
        <f>MONTH(StockTransactionsTable[[#This Row],[Date]])</f>
        <v>5</v>
      </c>
    </row>
    <row r="953" spans="2:14">
      <c r="B953" s="3">
        <v>46150</v>
      </c>
      <c r="C953" s="6" t="s">
        <v>19</v>
      </c>
      <c r="D953" s="6" t="s">
        <v>30</v>
      </c>
      <c r="E953" s="5">
        <v>86</v>
      </c>
      <c r="F953" s="5">
        <v>1.24</v>
      </c>
      <c r="G953" s="5">
        <f>StockTransactionsTable[[#This Row],[Shares No.]]*StockTransactionsTable[[#This Row],[Amount per Share]]</f>
        <v>106.64</v>
      </c>
      <c r="H953" s="5">
        <v>0</v>
      </c>
      <c r="I95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106.64</v>
      </c>
      <c r="J953" s="19">
        <f>StockTransactionsTable[[#This Row],[Fee]]/StockTransactionsTable[[#This Row],[Total Amount]]</f>
        <v>0</v>
      </c>
      <c r="K953" s="5">
        <f>IF(StockTransactionsTable[[#This Row],[Transaction Type]]="Buy", StockTransactionsTable[[#This Row],[Total Amount with Fee]] / StockTransactionsTable[[#This Row],[Shares No.]],0)</f>
        <v>0</v>
      </c>
      <c r="L95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53" s="4">
        <f>YEAR(StockTransactionsTable[[#This Row],[Date]])</f>
        <v>2026</v>
      </c>
      <c r="N953" s="4">
        <f>MONTH(StockTransactionsTable[[#This Row],[Date]])</f>
        <v>5</v>
      </c>
    </row>
    <row r="954" spans="2:14">
      <c r="B954" s="3">
        <v>46157</v>
      </c>
      <c r="C954" s="6" t="s">
        <v>86</v>
      </c>
      <c r="D954" s="6" t="s">
        <v>30</v>
      </c>
      <c r="E954" s="5">
        <v>152</v>
      </c>
      <c r="F954" s="5">
        <v>1.73</v>
      </c>
      <c r="G954" s="5">
        <f>StockTransactionsTable[[#This Row],[Shares No.]]*StockTransactionsTable[[#This Row],[Amount per Share]]</f>
        <v>262.95999999999998</v>
      </c>
      <c r="H954" s="5">
        <v>0</v>
      </c>
      <c r="I95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262.95999999999998</v>
      </c>
      <c r="J954" s="19">
        <f>StockTransactionsTable[[#This Row],[Fee]]/StockTransactionsTable[[#This Row],[Total Amount]]</f>
        <v>0</v>
      </c>
      <c r="K954" s="5">
        <f>IF(StockTransactionsTable[[#This Row],[Transaction Type]]="Buy", StockTransactionsTable[[#This Row],[Total Amount with Fee]] / StockTransactionsTable[[#This Row],[Shares No.]],0)</f>
        <v>0</v>
      </c>
      <c r="L95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54" s="4">
        <f>YEAR(StockTransactionsTable[[#This Row],[Date]])</f>
        <v>2026</v>
      </c>
      <c r="N954" s="4">
        <f>MONTH(StockTransactionsTable[[#This Row],[Date]])</f>
        <v>5</v>
      </c>
    </row>
    <row r="955" spans="2:14">
      <c r="B955" s="3">
        <v>46157</v>
      </c>
      <c r="C955" s="6" t="s">
        <v>12</v>
      </c>
      <c r="D955" s="6" t="s">
        <v>30</v>
      </c>
      <c r="E955" s="5">
        <v>97</v>
      </c>
      <c r="F955" s="5">
        <v>0.27050000000000002</v>
      </c>
      <c r="G955" s="5">
        <f>StockTransactionsTable[[#This Row],[Shares No.]]*StockTransactionsTable[[#This Row],[Amount per Share]]</f>
        <v>26.238500000000002</v>
      </c>
      <c r="H955" s="5">
        <v>0</v>
      </c>
      <c r="I95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26.238500000000002</v>
      </c>
      <c r="J955" s="19">
        <f>StockTransactionsTable[[#This Row],[Fee]]/StockTransactionsTable[[#This Row],[Total Amount]]</f>
        <v>0</v>
      </c>
      <c r="K955" s="5">
        <f>IF(StockTransactionsTable[[#This Row],[Transaction Type]]="Buy", StockTransactionsTable[[#This Row],[Total Amount with Fee]] / StockTransactionsTable[[#This Row],[Shares No.]],0)</f>
        <v>0</v>
      </c>
      <c r="L95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55" s="4">
        <f>YEAR(StockTransactionsTable[[#This Row],[Date]])</f>
        <v>2026</v>
      </c>
      <c r="N955" s="4">
        <f>MONTH(StockTransactionsTable[[#This Row],[Date]])</f>
        <v>5</v>
      </c>
    </row>
    <row r="956" spans="2:14">
      <c r="B956" s="3">
        <v>46157</v>
      </c>
      <c r="C956" s="6" t="s">
        <v>21</v>
      </c>
      <c r="D956" s="6" t="s">
        <v>30</v>
      </c>
      <c r="E956" s="5">
        <v>84</v>
      </c>
      <c r="F956" s="5">
        <v>1.0885</v>
      </c>
      <c r="G956" s="5">
        <f>StockTransactionsTable[[#This Row],[Shares No.]]*StockTransactionsTable[[#This Row],[Amount per Share]]</f>
        <v>91.433999999999997</v>
      </c>
      <c r="H956" s="5">
        <v>0</v>
      </c>
      <c r="I95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91.433999999999997</v>
      </c>
      <c r="J956" s="19">
        <f>StockTransactionsTable[[#This Row],[Fee]]/StockTransactionsTable[[#This Row],[Total Amount]]</f>
        <v>0</v>
      </c>
      <c r="K956" s="5">
        <f>IF(StockTransactionsTable[[#This Row],[Transaction Type]]="Buy", StockTransactionsTable[[#This Row],[Total Amount with Fee]] / StockTransactionsTable[[#This Row],[Shares No.]],0)</f>
        <v>0</v>
      </c>
      <c r="L95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56" s="4">
        <f>YEAR(StockTransactionsTable[[#This Row],[Date]])</f>
        <v>2026</v>
      </c>
      <c r="N956" s="4">
        <f>MONTH(StockTransactionsTable[[#This Row],[Date]])</f>
        <v>5</v>
      </c>
    </row>
    <row r="957" spans="2:14">
      <c r="B957" s="3">
        <v>46161</v>
      </c>
      <c r="C957" s="6" t="s">
        <v>22</v>
      </c>
      <c r="D957" s="6" t="s">
        <v>30</v>
      </c>
      <c r="E957" s="5">
        <v>119</v>
      </c>
      <c r="F957" s="5">
        <v>1.51</v>
      </c>
      <c r="G957" s="5">
        <f>StockTransactionsTable[[#This Row],[Shares No.]]*StockTransactionsTable[[#This Row],[Amount per Share]]</f>
        <v>179.69</v>
      </c>
      <c r="H957" s="5">
        <v>0</v>
      </c>
      <c r="I95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179.69</v>
      </c>
      <c r="J957" s="19">
        <f>StockTransactionsTable[[#This Row],[Fee]]/StockTransactionsTable[[#This Row],[Total Amount]]</f>
        <v>0</v>
      </c>
      <c r="K957" s="5">
        <f>IF(StockTransactionsTable[[#This Row],[Transaction Type]]="Buy", StockTransactionsTable[[#This Row],[Total Amount with Fee]] / StockTransactionsTable[[#This Row],[Shares No.]],0)</f>
        <v>0</v>
      </c>
      <c r="L95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57" s="4">
        <f>YEAR(StockTransactionsTable[[#This Row],[Date]])</f>
        <v>2026</v>
      </c>
      <c r="N957" s="4">
        <f>MONTH(StockTransactionsTable[[#This Row],[Date]])</f>
        <v>5</v>
      </c>
    </row>
    <row r="958" spans="2:14">
      <c r="B958" s="3">
        <v>46182</v>
      </c>
      <c r="C958" s="6" t="s">
        <v>84</v>
      </c>
      <c r="D958" s="6" t="s">
        <v>30</v>
      </c>
      <c r="E958" s="5">
        <v>46</v>
      </c>
      <c r="F958" s="5">
        <v>1.34</v>
      </c>
      <c r="G958" s="5">
        <f>StockTransactionsTable[[#This Row],[Shares No.]]*StockTransactionsTable[[#This Row],[Amount per Share]]</f>
        <v>61.64</v>
      </c>
      <c r="H958" s="5">
        <v>0</v>
      </c>
      <c r="I95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61.64</v>
      </c>
      <c r="J958" s="19">
        <f>StockTransactionsTable[[#This Row],[Fee]]/StockTransactionsTable[[#This Row],[Total Amount]]</f>
        <v>0</v>
      </c>
      <c r="K958" s="5">
        <f>IF(StockTransactionsTable[[#This Row],[Transaction Type]]="Buy", StockTransactionsTable[[#This Row],[Total Amount with Fee]] / StockTransactionsTable[[#This Row],[Shares No.]],0)</f>
        <v>0</v>
      </c>
      <c r="L95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58" s="4">
        <f>YEAR(StockTransactionsTable[[#This Row],[Date]])</f>
        <v>2026</v>
      </c>
      <c r="N958" s="4">
        <f>MONTH(StockTransactionsTable[[#This Row],[Date]])</f>
        <v>6</v>
      </c>
    </row>
    <row r="959" spans="2:14">
      <c r="B959" s="3">
        <v>46183</v>
      </c>
      <c r="C959" s="6" t="s">
        <v>17</v>
      </c>
      <c r="D959" s="6" t="s">
        <v>30</v>
      </c>
      <c r="E959" s="5">
        <v>231</v>
      </c>
      <c r="F959" s="5">
        <v>1.69</v>
      </c>
      <c r="G959" s="5">
        <f>StockTransactionsTable[[#This Row],[Shares No.]]*StockTransactionsTable[[#This Row],[Amount per Share]]</f>
        <v>390.39</v>
      </c>
      <c r="H959" s="5">
        <v>0</v>
      </c>
      <c r="I95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390.39</v>
      </c>
      <c r="J959" s="19">
        <f>StockTransactionsTable[[#This Row],[Fee]]/StockTransactionsTable[[#This Row],[Total Amount]]</f>
        <v>0</v>
      </c>
      <c r="K959" s="5">
        <f>IF(StockTransactionsTable[[#This Row],[Transaction Type]]="Buy", StockTransactionsTable[[#This Row],[Total Amount with Fee]] / StockTransactionsTable[[#This Row],[Shares No.]],0)</f>
        <v>0</v>
      </c>
      <c r="L95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59" s="4">
        <f>YEAR(StockTransactionsTable[[#This Row],[Date]])</f>
        <v>2026</v>
      </c>
      <c r="N959" s="4">
        <f>MONTH(StockTransactionsTable[[#This Row],[Date]])</f>
        <v>6</v>
      </c>
    </row>
    <row r="960" spans="2:14">
      <c r="B960" s="3">
        <v>46183</v>
      </c>
      <c r="C960" s="6" t="s">
        <v>16</v>
      </c>
      <c r="D960" s="6" t="s">
        <v>30</v>
      </c>
      <c r="E960" s="5">
        <v>156</v>
      </c>
      <c r="F960" s="5">
        <v>1.03</v>
      </c>
      <c r="G960" s="5">
        <f>StockTransactionsTable[[#This Row],[Shares No.]]*StockTransactionsTable[[#This Row],[Amount per Share]]</f>
        <v>160.68</v>
      </c>
      <c r="H960" s="5">
        <v>0</v>
      </c>
      <c r="I96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160.68</v>
      </c>
      <c r="J960" s="19">
        <f>StockTransactionsTable[[#This Row],[Fee]]/StockTransactionsTable[[#This Row],[Total Amount]]</f>
        <v>0</v>
      </c>
      <c r="K960" s="5">
        <f>IF(StockTransactionsTable[[#This Row],[Transaction Type]]="Buy", StockTransactionsTable[[#This Row],[Total Amount with Fee]] / StockTransactionsTable[[#This Row],[Shares No.]],0)</f>
        <v>0</v>
      </c>
      <c r="L96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60" s="4">
        <f>YEAR(StockTransactionsTable[[#This Row],[Date]])</f>
        <v>2026</v>
      </c>
      <c r="N960" s="4">
        <f>MONTH(StockTransactionsTable[[#This Row],[Date]])</f>
        <v>6</v>
      </c>
    </row>
    <row r="961" spans="2:14">
      <c r="B961" s="3">
        <v>46184</v>
      </c>
      <c r="C961" s="6" t="s">
        <v>91</v>
      </c>
      <c r="D961" s="6" t="s">
        <v>30</v>
      </c>
      <c r="E961" s="5">
        <v>203</v>
      </c>
      <c r="F961" s="5">
        <v>0.91</v>
      </c>
      <c r="G961" s="5">
        <f>StockTransactionsTable[[#This Row],[Shares No.]]*StockTransactionsTable[[#This Row],[Amount per Share]]</f>
        <v>184.73000000000002</v>
      </c>
      <c r="H961" s="5">
        <v>0</v>
      </c>
      <c r="I96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184.73000000000002</v>
      </c>
      <c r="J961" s="19">
        <f>StockTransactionsTable[[#This Row],[Fee]]/StockTransactionsTable[[#This Row],[Total Amount]]</f>
        <v>0</v>
      </c>
      <c r="K961" s="5">
        <f>IF(StockTransactionsTable[[#This Row],[Transaction Type]]="Buy", StockTransactionsTable[[#This Row],[Total Amount with Fee]] / StockTransactionsTable[[#This Row],[Shares No.]],0)</f>
        <v>0</v>
      </c>
      <c r="L96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61" s="4">
        <f>YEAR(StockTransactionsTable[[#This Row],[Date]])</f>
        <v>2026</v>
      </c>
      <c r="N961" s="4">
        <f>MONTH(StockTransactionsTable[[#This Row],[Date]])</f>
        <v>6</v>
      </c>
    </row>
    <row r="962" spans="2:14">
      <c r="B962" s="3">
        <v>46185</v>
      </c>
      <c r="C962" s="6" t="s">
        <v>13</v>
      </c>
      <c r="D962" s="6" t="s">
        <v>30</v>
      </c>
      <c r="E962" s="5">
        <v>106</v>
      </c>
      <c r="F962" s="5">
        <v>0.43</v>
      </c>
      <c r="G962" s="5">
        <f>StockTransactionsTable[[#This Row],[Shares No.]]*StockTransactionsTable[[#This Row],[Amount per Share]]</f>
        <v>45.58</v>
      </c>
      <c r="H962" s="5">
        <v>0</v>
      </c>
      <c r="I96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45.58</v>
      </c>
      <c r="J962" s="19">
        <f>StockTransactionsTable[[#This Row],[Fee]]/StockTransactionsTable[[#This Row],[Total Amount]]</f>
        <v>0</v>
      </c>
      <c r="K962" s="5">
        <f>IF(StockTransactionsTable[[#This Row],[Transaction Type]]="Buy", StockTransactionsTable[[#This Row],[Total Amount with Fee]] / StockTransactionsTable[[#This Row],[Shares No.]],0)</f>
        <v>0</v>
      </c>
      <c r="L96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62" s="4">
        <f>YEAR(StockTransactionsTable[[#This Row],[Date]])</f>
        <v>2026</v>
      </c>
      <c r="N962" s="4">
        <f>MONTH(StockTransactionsTable[[#This Row],[Date]])</f>
        <v>6</v>
      </c>
    </row>
    <row r="963" spans="2:14">
      <c r="B963" s="3">
        <v>46185</v>
      </c>
      <c r="C963" s="6" t="s">
        <v>106</v>
      </c>
      <c r="D963" s="6" t="s">
        <v>30</v>
      </c>
      <c r="E963" s="5">
        <v>79</v>
      </c>
      <c r="F963" s="5">
        <v>0.71</v>
      </c>
      <c r="G963" s="5">
        <f>StockTransactionsTable[[#This Row],[Shares No.]]*StockTransactionsTable[[#This Row],[Amount per Share]]</f>
        <v>56.089999999999996</v>
      </c>
      <c r="H963" s="5">
        <v>0</v>
      </c>
      <c r="I96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56.089999999999996</v>
      </c>
      <c r="J963" s="19">
        <f>StockTransactionsTable[[#This Row],[Fee]]/StockTransactionsTable[[#This Row],[Total Amount]]</f>
        <v>0</v>
      </c>
      <c r="K963" s="5">
        <f>IF(StockTransactionsTable[[#This Row],[Transaction Type]]="Buy", StockTransactionsTable[[#This Row],[Total Amount with Fee]] / StockTransactionsTable[[#This Row],[Shares No.]],0)</f>
        <v>0</v>
      </c>
      <c r="L96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63" s="4">
        <f>YEAR(StockTransactionsTable[[#This Row],[Date]])</f>
        <v>2026</v>
      </c>
      <c r="N963" s="4">
        <f>MONTH(StockTransactionsTable[[#This Row],[Date]])</f>
        <v>6</v>
      </c>
    </row>
    <row r="964" spans="2:14">
      <c r="B964" s="3">
        <v>46188</v>
      </c>
      <c r="C964" s="6" t="s">
        <v>14</v>
      </c>
      <c r="D964" s="6" t="s">
        <v>30</v>
      </c>
      <c r="E964" s="5">
        <v>63</v>
      </c>
      <c r="F964" s="5">
        <v>0.46760000000000002</v>
      </c>
      <c r="G964" s="5">
        <f>StockTransactionsTable[[#This Row],[Shares No.]]*StockTransactionsTable[[#This Row],[Amount per Share]]</f>
        <v>29.4588</v>
      </c>
      <c r="H964" s="5">
        <v>0</v>
      </c>
      <c r="I96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29.4588</v>
      </c>
      <c r="J964" s="19">
        <f>StockTransactionsTable[[#This Row],[Fee]]/StockTransactionsTable[[#This Row],[Total Amount]]</f>
        <v>0</v>
      </c>
      <c r="K964" s="5">
        <f>IF(StockTransactionsTable[[#This Row],[Transaction Type]]="Buy", StockTransactionsTable[[#This Row],[Total Amount with Fee]] / StockTransactionsTable[[#This Row],[Shares No.]],0)</f>
        <v>0</v>
      </c>
      <c r="L96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64" s="4">
        <f>YEAR(StockTransactionsTable[[#This Row],[Date]])</f>
        <v>2026</v>
      </c>
      <c r="N964" s="4">
        <f>MONTH(StockTransactionsTable[[#This Row],[Date]])</f>
        <v>6</v>
      </c>
    </row>
    <row r="965" spans="2:14">
      <c r="B965" s="3">
        <v>46188</v>
      </c>
      <c r="C965" s="6" t="s">
        <v>98</v>
      </c>
      <c r="D965" s="6" t="s">
        <v>30</v>
      </c>
      <c r="E965" s="5">
        <v>412</v>
      </c>
      <c r="F965" s="5">
        <v>0.62319999999999998</v>
      </c>
      <c r="G965" s="5">
        <f>StockTransactionsTable[[#This Row],[Shares No.]]*StockTransactionsTable[[#This Row],[Amount per Share]]</f>
        <v>256.75839999999999</v>
      </c>
      <c r="H965" s="5">
        <v>0</v>
      </c>
      <c r="I96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256.75839999999999</v>
      </c>
      <c r="J965" s="19">
        <f>StockTransactionsTable[[#This Row],[Fee]]/StockTransactionsTable[[#This Row],[Total Amount]]</f>
        <v>0</v>
      </c>
      <c r="K965" s="5">
        <f>IF(StockTransactionsTable[[#This Row],[Transaction Type]]="Buy", StockTransactionsTable[[#This Row],[Total Amount with Fee]] / StockTransactionsTable[[#This Row],[Shares No.]],0)</f>
        <v>0</v>
      </c>
      <c r="L96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65" s="4">
        <f>YEAR(StockTransactionsTable[[#This Row],[Date]])</f>
        <v>2026</v>
      </c>
      <c r="N965" s="4">
        <f>MONTH(StockTransactionsTable[[#This Row],[Date]])</f>
        <v>6</v>
      </c>
    </row>
    <row r="966" spans="2:14">
      <c r="B966" s="3">
        <v>46188</v>
      </c>
      <c r="C966" s="6" t="s">
        <v>12</v>
      </c>
      <c r="D966" s="6" t="s">
        <v>30</v>
      </c>
      <c r="E966" s="5">
        <v>97</v>
      </c>
      <c r="F966" s="5">
        <v>0.27050000000000002</v>
      </c>
      <c r="G966" s="5">
        <f>StockTransactionsTable[[#This Row],[Shares No.]]*StockTransactionsTable[[#This Row],[Amount per Share]]</f>
        <v>26.238500000000002</v>
      </c>
      <c r="H966" s="5">
        <v>0</v>
      </c>
      <c r="I96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26.238500000000002</v>
      </c>
      <c r="J966" s="19">
        <f>StockTransactionsTable[[#This Row],[Fee]]/StockTransactionsTable[[#This Row],[Total Amount]]</f>
        <v>0</v>
      </c>
      <c r="K966" s="5">
        <f>IF(StockTransactionsTable[[#This Row],[Transaction Type]]="Buy", StockTransactionsTable[[#This Row],[Total Amount with Fee]] / StockTransactionsTable[[#This Row],[Shares No.]],0)</f>
        <v>0</v>
      </c>
      <c r="L96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66" s="4">
        <f>YEAR(StockTransactionsTable[[#This Row],[Date]])</f>
        <v>2026</v>
      </c>
      <c r="N966" s="4">
        <f>MONTH(StockTransactionsTable[[#This Row],[Date]])</f>
        <v>6</v>
      </c>
    </row>
    <row r="967" spans="2:14">
      <c r="B967" s="3">
        <v>46189</v>
      </c>
      <c r="C967" s="6" t="s">
        <v>100</v>
      </c>
      <c r="D967" s="6" t="s">
        <v>30</v>
      </c>
      <c r="E967" s="5">
        <v>250</v>
      </c>
      <c r="F967" s="5">
        <v>1.0649999999999999</v>
      </c>
      <c r="G967" s="5">
        <f>StockTransactionsTable[[#This Row],[Shares No.]]*StockTransactionsTable[[#This Row],[Amount per Share]]</f>
        <v>266.25</v>
      </c>
      <c r="H967" s="5">
        <v>0</v>
      </c>
      <c r="I96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266.25</v>
      </c>
      <c r="J967" s="19">
        <f>StockTransactionsTable[[#This Row],[Fee]]/StockTransactionsTable[[#This Row],[Total Amount]]</f>
        <v>0</v>
      </c>
      <c r="K967" s="5">
        <f>IF(StockTransactionsTable[[#This Row],[Transaction Type]]="Buy", StockTransactionsTable[[#This Row],[Total Amount with Fee]] / StockTransactionsTable[[#This Row],[Shares No.]],0)</f>
        <v>0</v>
      </c>
      <c r="L96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67" s="4">
        <f>YEAR(StockTransactionsTable[[#This Row],[Date]])</f>
        <v>2026</v>
      </c>
      <c r="N967" s="4">
        <f>MONTH(StockTransactionsTable[[#This Row],[Date]])</f>
        <v>6</v>
      </c>
    </row>
    <row r="968" spans="2:14">
      <c r="B968" s="3">
        <v>46189</v>
      </c>
      <c r="C968" s="6" t="s">
        <v>88</v>
      </c>
      <c r="D968" s="6" t="s">
        <v>30</v>
      </c>
      <c r="E968" s="5">
        <v>95</v>
      </c>
      <c r="F968" s="5">
        <v>1.86</v>
      </c>
      <c r="G968" s="5">
        <f>StockTransactionsTable[[#This Row],[Shares No.]]*StockTransactionsTable[[#This Row],[Amount per Share]]</f>
        <v>176.70000000000002</v>
      </c>
      <c r="H968" s="5">
        <v>0</v>
      </c>
      <c r="I96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176.70000000000002</v>
      </c>
      <c r="J968" s="19">
        <f>StockTransactionsTable[[#This Row],[Fee]]/StockTransactionsTable[[#This Row],[Total Amount]]</f>
        <v>0</v>
      </c>
      <c r="K968" s="5">
        <f>IF(StockTransactionsTable[[#This Row],[Transaction Type]]="Buy", StockTransactionsTable[[#This Row],[Total Amount with Fee]] / StockTransactionsTable[[#This Row],[Shares No.]],0)</f>
        <v>0</v>
      </c>
      <c r="L96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68" s="4">
        <f>YEAR(StockTransactionsTable[[#This Row],[Date]])</f>
        <v>2026</v>
      </c>
      <c r="N968" s="4">
        <f>MONTH(StockTransactionsTable[[#This Row],[Date]])</f>
        <v>6</v>
      </c>
    </row>
    <row r="969" spans="2:14">
      <c r="B969" s="3">
        <v>46191</v>
      </c>
      <c r="C969" s="6" t="s">
        <v>95</v>
      </c>
      <c r="D969" s="6" t="s">
        <v>30</v>
      </c>
      <c r="E969" s="5">
        <v>157</v>
      </c>
      <c r="F969" s="5">
        <v>2.33</v>
      </c>
      <c r="G969" s="5">
        <f>StockTransactionsTable[[#This Row],[Shares No.]]*StockTransactionsTable[[#This Row],[Amount per Share]]</f>
        <v>365.81</v>
      </c>
      <c r="H969" s="5">
        <v>0</v>
      </c>
      <c r="I96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365.81</v>
      </c>
      <c r="J969" s="19">
        <f>StockTransactionsTable[[#This Row],[Fee]]/StockTransactionsTable[[#This Row],[Total Amount]]</f>
        <v>0</v>
      </c>
      <c r="K969" s="5">
        <f>IF(StockTransactionsTable[[#This Row],[Transaction Type]]="Buy", StockTransactionsTable[[#This Row],[Total Amount with Fee]] / StockTransactionsTable[[#This Row],[Shares No.]],0)</f>
        <v>0</v>
      </c>
      <c r="L96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69" s="4">
        <f>YEAR(StockTransactionsTable[[#This Row],[Date]])</f>
        <v>2026</v>
      </c>
      <c r="N969" s="4">
        <f>MONTH(StockTransactionsTable[[#This Row],[Date]])</f>
        <v>6</v>
      </c>
    </row>
    <row r="970" spans="2:14">
      <c r="B970" s="3">
        <v>46203</v>
      </c>
      <c r="C970" s="6" t="s">
        <v>18</v>
      </c>
      <c r="D970" s="6" t="s">
        <v>30</v>
      </c>
      <c r="E970" s="5">
        <v>43</v>
      </c>
      <c r="F970" s="5">
        <v>1.48</v>
      </c>
      <c r="G970" s="5">
        <f>StockTransactionsTable[[#This Row],[Shares No.]]*StockTransactionsTable[[#This Row],[Amount per Share]]</f>
        <v>63.64</v>
      </c>
      <c r="H970" s="5">
        <v>0</v>
      </c>
      <c r="I97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63.64</v>
      </c>
      <c r="J970" s="19">
        <f>StockTransactionsTable[[#This Row],[Fee]]/StockTransactionsTable[[#This Row],[Total Amount]]</f>
        <v>0</v>
      </c>
      <c r="K970" s="5">
        <f>IF(StockTransactionsTable[[#This Row],[Transaction Type]]="Buy", StockTransactionsTable[[#This Row],[Total Amount with Fee]] / StockTransactionsTable[[#This Row],[Shares No.]],0)</f>
        <v>0</v>
      </c>
      <c r="L97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70" s="4">
        <f>YEAR(StockTransactionsTable[[#This Row],[Date]])</f>
        <v>2026</v>
      </c>
      <c r="N970" s="4">
        <f>MONTH(StockTransactionsTable[[#This Row],[Date]])</f>
        <v>6</v>
      </c>
    </row>
    <row r="971" spans="2:14">
      <c r="B971" s="3">
        <v>46204</v>
      </c>
      <c r="C971" s="6" t="s">
        <v>23</v>
      </c>
      <c r="D971" s="6" t="s">
        <v>30</v>
      </c>
      <c r="E971" s="5">
        <v>111</v>
      </c>
      <c r="F971" s="5">
        <v>0.53</v>
      </c>
      <c r="G971" s="5">
        <f>StockTransactionsTable[[#This Row],[Shares No.]]*StockTransactionsTable[[#This Row],[Amount per Share]]</f>
        <v>58.830000000000005</v>
      </c>
      <c r="H971" s="5">
        <v>0</v>
      </c>
      <c r="I97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58.830000000000005</v>
      </c>
      <c r="J971" s="19">
        <f>StockTransactionsTable[[#This Row],[Fee]]/StockTransactionsTable[[#This Row],[Total Amount]]</f>
        <v>0</v>
      </c>
      <c r="K971" s="5">
        <f>IF(StockTransactionsTable[[#This Row],[Transaction Type]]="Buy", StockTransactionsTable[[#This Row],[Total Amount with Fee]] / StockTransactionsTable[[#This Row],[Shares No.]],0)</f>
        <v>0</v>
      </c>
      <c r="L97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71" s="4">
        <f>YEAR(StockTransactionsTable[[#This Row],[Date]])</f>
        <v>2026</v>
      </c>
      <c r="N971" s="4">
        <f>MONTH(StockTransactionsTable[[#This Row],[Date]])</f>
        <v>7</v>
      </c>
    </row>
    <row r="972" spans="2:14">
      <c r="B972" s="3">
        <v>46218</v>
      </c>
      <c r="C972" s="6" t="s">
        <v>12</v>
      </c>
      <c r="D972" s="6" t="s">
        <v>30</v>
      </c>
      <c r="E972" s="5">
        <v>97</v>
      </c>
      <c r="F972" s="5">
        <v>0.27100000000000002</v>
      </c>
      <c r="G972" s="5">
        <f>StockTransactionsTable[[#This Row],[Shares No.]]*StockTransactionsTable[[#This Row],[Amount per Share]]</f>
        <v>26.287000000000003</v>
      </c>
      <c r="H972" s="5">
        <v>0</v>
      </c>
      <c r="I97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26.287000000000003</v>
      </c>
      <c r="J972" s="19">
        <f>StockTransactionsTable[[#This Row],[Fee]]/StockTransactionsTable[[#This Row],[Total Amount]]</f>
        <v>0</v>
      </c>
      <c r="K972" s="5">
        <f>IF(StockTransactionsTable[[#This Row],[Transaction Type]]="Buy", StockTransactionsTable[[#This Row],[Total Amount with Fee]] / StockTransactionsTable[[#This Row],[Shares No.]],0)</f>
        <v>0</v>
      </c>
      <c r="L97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72" s="4">
        <f>YEAR(StockTransactionsTable[[#This Row],[Date]])</f>
        <v>2026</v>
      </c>
      <c r="N972" s="4">
        <f>MONTH(StockTransactionsTable[[#This Row],[Date]])</f>
        <v>7</v>
      </c>
    </row>
    <row r="973" spans="2:14">
      <c r="B973" s="3">
        <v>46234</v>
      </c>
      <c r="C973" s="6" t="s">
        <v>20</v>
      </c>
      <c r="D973" s="6" t="s">
        <v>30</v>
      </c>
      <c r="E973" s="5">
        <v>116</v>
      </c>
      <c r="F973" s="5">
        <v>1.5</v>
      </c>
      <c r="G973" s="5">
        <f>StockTransactionsTable[[#This Row],[Shares No.]]*StockTransactionsTable[[#This Row],[Amount per Share]]</f>
        <v>174</v>
      </c>
      <c r="H973" s="5">
        <v>0</v>
      </c>
      <c r="I97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174</v>
      </c>
      <c r="J973" s="19">
        <f>StockTransactionsTable[[#This Row],[Fee]]/StockTransactionsTable[[#This Row],[Total Amount]]</f>
        <v>0</v>
      </c>
      <c r="K973" s="5">
        <f>IF(StockTransactionsTable[[#This Row],[Transaction Type]]="Buy", StockTransactionsTable[[#This Row],[Total Amount with Fee]] / StockTransactionsTable[[#This Row],[Shares No.]],0)</f>
        <v>0</v>
      </c>
      <c r="L97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73" s="4">
        <f>YEAR(StockTransactionsTable[[#This Row],[Date]])</f>
        <v>2026</v>
      </c>
      <c r="N973" s="4">
        <f>MONTH(StockTransactionsTable[[#This Row],[Date]])</f>
        <v>7</v>
      </c>
    </row>
    <row r="974" spans="2:14">
      <c r="B974" s="3">
        <v>46237</v>
      </c>
      <c r="C974" s="6" t="s">
        <v>15</v>
      </c>
      <c r="D974" s="6" t="s">
        <v>30</v>
      </c>
      <c r="E974" s="5">
        <v>140</v>
      </c>
      <c r="F974" s="5">
        <v>0.27750000000000002</v>
      </c>
      <c r="G974" s="5">
        <f>StockTransactionsTable[[#This Row],[Shares No.]]*StockTransactionsTable[[#This Row],[Amount per Share]]</f>
        <v>38.85</v>
      </c>
      <c r="H974" s="5">
        <v>0</v>
      </c>
      <c r="I97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38.85</v>
      </c>
      <c r="J974" s="19">
        <f>StockTransactionsTable[[#This Row],[Fee]]/StockTransactionsTable[[#This Row],[Total Amount]]</f>
        <v>0</v>
      </c>
      <c r="K974" s="5">
        <f>IF(StockTransactionsTable[[#This Row],[Transaction Type]]="Buy", StockTransactionsTable[[#This Row],[Total Amount with Fee]] / StockTransactionsTable[[#This Row],[Shares No.]],0)</f>
        <v>0</v>
      </c>
      <c r="L97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74" s="4">
        <f>YEAR(StockTransactionsTable[[#This Row],[Date]])</f>
        <v>2026</v>
      </c>
      <c r="N974" s="4">
        <f>MONTH(StockTransactionsTable[[#This Row],[Date]])</f>
        <v>8</v>
      </c>
    </row>
    <row r="975" spans="2:14">
      <c r="B975" s="3">
        <v>46248</v>
      </c>
      <c r="C975" s="6" t="s">
        <v>86</v>
      </c>
      <c r="D975" s="6" t="s">
        <v>30</v>
      </c>
      <c r="E975" s="5">
        <v>152</v>
      </c>
      <c r="F975" s="5">
        <v>1.73</v>
      </c>
      <c r="G975" s="5">
        <f>StockTransactionsTable[[#This Row],[Shares No.]]*StockTransactionsTable[[#This Row],[Amount per Share]]</f>
        <v>262.95999999999998</v>
      </c>
      <c r="H975" s="5">
        <v>0</v>
      </c>
      <c r="I97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262.95999999999998</v>
      </c>
      <c r="J975" s="19">
        <f>StockTransactionsTable[[#This Row],[Fee]]/StockTransactionsTable[[#This Row],[Total Amount]]</f>
        <v>0</v>
      </c>
      <c r="K975" s="5">
        <f>IF(StockTransactionsTable[[#This Row],[Transaction Type]]="Buy", StockTransactionsTable[[#This Row],[Total Amount with Fee]] / StockTransactionsTable[[#This Row],[Shares No.]],0)</f>
        <v>0</v>
      </c>
      <c r="L97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75" s="4">
        <f>YEAR(StockTransactionsTable[[#This Row],[Date]])</f>
        <v>2026</v>
      </c>
      <c r="N975" s="4">
        <f>MONTH(StockTransactionsTable[[#This Row],[Date]])</f>
        <v>8</v>
      </c>
    </row>
    <row r="976" spans="2:14">
      <c r="B976" s="3">
        <v>46248</v>
      </c>
      <c r="C976" s="6" t="s">
        <v>12</v>
      </c>
      <c r="D976" s="6" t="s">
        <v>30</v>
      </c>
      <c r="E976" s="5">
        <v>97</v>
      </c>
      <c r="F976" s="5">
        <v>0.27100000000000002</v>
      </c>
      <c r="G976" s="5">
        <f>StockTransactionsTable[[#This Row],[Shares No.]]*StockTransactionsTable[[#This Row],[Amount per Share]]</f>
        <v>26.287000000000003</v>
      </c>
      <c r="H976" s="5">
        <v>0</v>
      </c>
      <c r="I97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26.287000000000003</v>
      </c>
      <c r="J976" s="19">
        <f>StockTransactionsTable[[#This Row],[Fee]]/StockTransactionsTable[[#This Row],[Total Amount]]</f>
        <v>0</v>
      </c>
      <c r="K976" s="5">
        <f>IF(StockTransactionsTable[[#This Row],[Transaction Type]]="Buy", StockTransactionsTable[[#This Row],[Total Amount with Fee]] / StockTransactionsTable[[#This Row],[Shares No.]],0)</f>
        <v>0</v>
      </c>
      <c r="L97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76" s="4">
        <f>YEAR(StockTransactionsTable[[#This Row],[Date]])</f>
        <v>2026</v>
      </c>
      <c r="N976" s="4">
        <f>MONTH(StockTransactionsTable[[#This Row],[Date]])</f>
        <v>8</v>
      </c>
    </row>
    <row r="977" spans="2:14">
      <c r="B977" s="3">
        <v>46251</v>
      </c>
      <c r="C977" s="6" t="s">
        <v>21</v>
      </c>
      <c r="D977" s="6" t="s">
        <v>30</v>
      </c>
      <c r="E977" s="5">
        <v>84</v>
      </c>
      <c r="F977" s="5">
        <v>1.0885</v>
      </c>
      <c r="G977" s="5">
        <f>StockTransactionsTable[[#This Row],[Shares No.]]*StockTransactionsTable[[#This Row],[Amount per Share]]</f>
        <v>91.433999999999997</v>
      </c>
      <c r="H977" s="5">
        <v>0</v>
      </c>
      <c r="I97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91.433999999999997</v>
      </c>
      <c r="J977" s="19">
        <f>StockTransactionsTable[[#This Row],[Fee]]/StockTransactionsTable[[#This Row],[Total Amount]]</f>
        <v>0</v>
      </c>
      <c r="K977" s="5">
        <f>IF(StockTransactionsTable[[#This Row],[Transaction Type]]="Buy", StockTransactionsTable[[#This Row],[Total Amount with Fee]] / StockTransactionsTable[[#This Row],[Shares No.]],0)</f>
        <v>0</v>
      </c>
      <c r="L97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77" s="4">
        <f>YEAR(StockTransactionsTable[[#This Row],[Date]])</f>
        <v>2026</v>
      </c>
      <c r="N977" s="4">
        <f>MONTH(StockTransactionsTable[[#This Row],[Date]])</f>
        <v>8</v>
      </c>
    </row>
    <row r="978" spans="2:14">
      <c r="B978" s="3">
        <v>46253</v>
      </c>
      <c r="C978" s="6" t="s">
        <v>22</v>
      </c>
      <c r="D978" s="6" t="s">
        <v>30</v>
      </c>
      <c r="E978" s="5">
        <v>119</v>
      </c>
      <c r="F978" s="5">
        <v>1.63</v>
      </c>
      <c r="G978" s="5">
        <f>StockTransactionsTable[[#This Row],[Shares No.]]*StockTransactionsTable[[#This Row],[Amount per Share]]</f>
        <v>193.97</v>
      </c>
      <c r="H978" s="5">
        <v>0</v>
      </c>
      <c r="I97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193.97</v>
      </c>
      <c r="J978" s="19">
        <f>StockTransactionsTable[[#This Row],[Fee]]/StockTransactionsTable[[#This Row],[Total Amount]]</f>
        <v>0</v>
      </c>
      <c r="K978" s="5">
        <f>IF(StockTransactionsTable[[#This Row],[Transaction Type]]="Buy", StockTransactionsTable[[#This Row],[Total Amount with Fee]] / StockTransactionsTable[[#This Row],[Shares No.]],0)</f>
        <v>0</v>
      </c>
      <c r="L97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78" s="4">
        <f>YEAR(StockTransactionsTable[[#This Row],[Date]])</f>
        <v>2026</v>
      </c>
      <c r="N978" s="4">
        <f>MONTH(StockTransactionsTable[[#This Row],[Date]])</f>
        <v>8</v>
      </c>
    </row>
    <row r="979" spans="2:14">
      <c r="B979" s="3">
        <v>46262</v>
      </c>
      <c r="C979" s="6" t="s">
        <v>19</v>
      </c>
      <c r="D979" s="6" t="s">
        <v>30</v>
      </c>
      <c r="E979" s="5">
        <v>86</v>
      </c>
      <c r="F979" s="5">
        <v>1.25</v>
      </c>
      <c r="G979" s="5">
        <f>StockTransactionsTable[[#This Row],[Shares No.]]*StockTransactionsTable[[#This Row],[Amount per Share]]</f>
        <v>107.5</v>
      </c>
      <c r="H979" s="5">
        <v>0</v>
      </c>
      <c r="I97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107.5</v>
      </c>
      <c r="J979" s="19">
        <f>StockTransactionsTable[[#This Row],[Fee]]/StockTransactionsTable[[#This Row],[Total Amount]]</f>
        <v>0</v>
      </c>
      <c r="K979" s="5">
        <f>IF(StockTransactionsTable[[#This Row],[Transaction Type]]="Buy", StockTransactionsTable[[#This Row],[Total Amount with Fee]] / StockTransactionsTable[[#This Row],[Shares No.]],0)</f>
        <v>0</v>
      </c>
      <c r="L97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79" s="4">
        <f>YEAR(StockTransactionsTable[[#This Row],[Date]])</f>
        <v>2026</v>
      </c>
      <c r="N979" s="4">
        <f>MONTH(StockTransactionsTable[[#This Row],[Date]])</f>
        <v>8</v>
      </c>
    </row>
    <row r="980" spans="2:14">
      <c r="B980" s="3">
        <v>46266</v>
      </c>
      <c r="C980" s="6" t="s">
        <v>13</v>
      </c>
      <c r="D980" s="6" t="s">
        <v>30</v>
      </c>
      <c r="E980" s="5">
        <v>106</v>
      </c>
      <c r="F980" s="5">
        <v>0.43</v>
      </c>
      <c r="G980" s="5">
        <f>StockTransactionsTable[[#This Row],[Shares No.]]*StockTransactionsTable[[#This Row],[Amount per Share]]</f>
        <v>45.58</v>
      </c>
      <c r="H980" s="5">
        <v>0</v>
      </c>
      <c r="I98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45.58</v>
      </c>
      <c r="J980" s="19">
        <f>StockTransactionsTable[[#This Row],[Fee]]/StockTransactionsTable[[#This Row],[Total Amount]]</f>
        <v>0</v>
      </c>
      <c r="K980" s="5">
        <f>IF(StockTransactionsTable[[#This Row],[Transaction Type]]="Buy", StockTransactionsTable[[#This Row],[Total Amount with Fee]] / StockTransactionsTable[[#This Row],[Shares No.]],0)</f>
        <v>0</v>
      </c>
      <c r="L98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80" s="4">
        <f>YEAR(StockTransactionsTable[[#This Row],[Date]])</f>
        <v>2026</v>
      </c>
      <c r="N980" s="4">
        <f>MONTH(StockTransactionsTable[[#This Row],[Date]])</f>
        <v>9</v>
      </c>
    </row>
    <row r="981" spans="2:14">
      <c r="B981" s="3">
        <v>46273</v>
      </c>
      <c r="C981" s="6" t="s">
        <v>84</v>
      </c>
      <c r="D981" s="6" t="s">
        <v>30</v>
      </c>
      <c r="E981" s="5">
        <v>46</v>
      </c>
      <c r="F981" s="5">
        <v>1.34</v>
      </c>
      <c r="G981" s="5">
        <f>StockTransactionsTable[[#This Row],[Shares No.]]*StockTransactionsTable[[#This Row],[Amount per Share]]</f>
        <v>61.64</v>
      </c>
      <c r="H981" s="5">
        <v>0</v>
      </c>
      <c r="I98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61.64</v>
      </c>
      <c r="J981" s="19">
        <f>StockTransactionsTable[[#This Row],[Fee]]/StockTransactionsTable[[#This Row],[Total Amount]]</f>
        <v>0</v>
      </c>
      <c r="K981" s="5">
        <f>IF(StockTransactionsTable[[#This Row],[Transaction Type]]="Buy", StockTransactionsTable[[#This Row],[Total Amount with Fee]] / StockTransactionsTable[[#This Row],[Shares No.]],0)</f>
        <v>0</v>
      </c>
      <c r="L98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81" s="4">
        <f>YEAR(StockTransactionsTable[[#This Row],[Date]])</f>
        <v>2026</v>
      </c>
      <c r="N981" s="4">
        <f>MONTH(StockTransactionsTable[[#This Row],[Date]])</f>
        <v>9</v>
      </c>
    </row>
    <row r="982" spans="2:14">
      <c r="B982" s="3">
        <v>46275</v>
      </c>
      <c r="C982" s="6" t="s">
        <v>17</v>
      </c>
      <c r="D982" s="6" t="s">
        <v>30</v>
      </c>
      <c r="E982" s="5">
        <v>231</v>
      </c>
      <c r="F982" s="5">
        <v>1.69</v>
      </c>
      <c r="G982" s="5">
        <f>StockTransactionsTable[[#This Row],[Shares No.]]*StockTransactionsTable[[#This Row],[Amount per Share]]</f>
        <v>390.39</v>
      </c>
      <c r="H982" s="5">
        <v>0</v>
      </c>
      <c r="I98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390.39</v>
      </c>
      <c r="J982" s="19">
        <f>StockTransactionsTable[[#This Row],[Fee]]/StockTransactionsTable[[#This Row],[Total Amount]]</f>
        <v>0</v>
      </c>
      <c r="K982" s="5">
        <f>IF(StockTransactionsTable[[#This Row],[Transaction Type]]="Buy", StockTransactionsTable[[#This Row],[Total Amount with Fee]] / StockTransactionsTable[[#This Row],[Shares No.]],0)</f>
        <v>0</v>
      </c>
      <c r="L98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82" s="4">
        <f>YEAR(StockTransactionsTable[[#This Row],[Date]])</f>
        <v>2026</v>
      </c>
      <c r="N982" s="4">
        <f>MONTH(StockTransactionsTable[[#This Row],[Date]])</f>
        <v>9</v>
      </c>
    </row>
    <row r="983" spans="2:14">
      <c r="B983" s="3">
        <v>46275</v>
      </c>
      <c r="C983" s="6" t="s">
        <v>91</v>
      </c>
      <c r="D983" s="6" t="s">
        <v>30</v>
      </c>
      <c r="E983" s="5">
        <v>203</v>
      </c>
      <c r="F983" s="5">
        <v>0.91</v>
      </c>
      <c r="G983" s="5">
        <f>StockTransactionsTable[[#This Row],[Shares No.]]*StockTransactionsTable[[#This Row],[Amount per Share]]</f>
        <v>184.73000000000002</v>
      </c>
      <c r="H983" s="5">
        <v>0</v>
      </c>
      <c r="I98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184.73000000000002</v>
      </c>
      <c r="J983" s="19">
        <f>StockTransactionsTable[[#This Row],[Fee]]/StockTransactionsTable[[#This Row],[Total Amount]]</f>
        <v>0</v>
      </c>
      <c r="K983" s="5">
        <f>IF(StockTransactionsTable[[#This Row],[Transaction Type]]="Buy", StockTransactionsTable[[#This Row],[Total Amount with Fee]] / StockTransactionsTable[[#This Row],[Shares No.]],0)</f>
        <v>0</v>
      </c>
      <c r="L98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83" s="4">
        <f>YEAR(StockTransactionsTable[[#This Row],[Date]])</f>
        <v>2026</v>
      </c>
      <c r="N983" s="4">
        <f>MONTH(StockTransactionsTable[[#This Row],[Date]])</f>
        <v>9</v>
      </c>
    </row>
    <row r="984" spans="2:14">
      <c r="B984" s="3">
        <v>46275</v>
      </c>
      <c r="C984" s="6" t="s">
        <v>16</v>
      </c>
      <c r="D984" s="6" t="s">
        <v>30</v>
      </c>
      <c r="E984" s="5">
        <v>156</v>
      </c>
      <c r="F984" s="5">
        <v>1.03</v>
      </c>
      <c r="G984" s="5">
        <f>StockTransactionsTable[[#This Row],[Shares No.]]*StockTransactionsTable[[#This Row],[Amount per Share]]</f>
        <v>160.68</v>
      </c>
      <c r="H984" s="5">
        <v>0</v>
      </c>
      <c r="I984"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160.68</v>
      </c>
      <c r="J984" s="19">
        <f>StockTransactionsTable[[#This Row],[Fee]]/StockTransactionsTable[[#This Row],[Total Amount]]</f>
        <v>0</v>
      </c>
      <c r="K984" s="5">
        <f>IF(StockTransactionsTable[[#This Row],[Transaction Type]]="Buy", StockTransactionsTable[[#This Row],[Total Amount with Fee]] / StockTransactionsTable[[#This Row],[Shares No.]],0)</f>
        <v>0</v>
      </c>
      <c r="L984"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84" s="4">
        <f>YEAR(StockTransactionsTable[[#This Row],[Date]])</f>
        <v>2026</v>
      </c>
      <c r="N984" s="4">
        <f>MONTH(StockTransactionsTable[[#This Row],[Date]])</f>
        <v>9</v>
      </c>
    </row>
    <row r="985" spans="2:14">
      <c r="B985" s="3">
        <v>46276</v>
      </c>
      <c r="C985" s="6" t="s">
        <v>106</v>
      </c>
      <c r="D985" s="6" t="s">
        <v>30</v>
      </c>
      <c r="E985" s="5">
        <v>79</v>
      </c>
      <c r="F985" s="5">
        <v>0.74</v>
      </c>
      <c r="G985" s="5">
        <f>StockTransactionsTable[[#This Row],[Shares No.]]*StockTransactionsTable[[#This Row],[Amount per Share]]</f>
        <v>58.46</v>
      </c>
      <c r="H985" s="5">
        <v>0</v>
      </c>
      <c r="I985"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58.46</v>
      </c>
      <c r="J985" s="19">
        <f>StockTransactionsTable[[#This Row],[Fee]]/StockTransactionsTable[[#This Row],[Total Amount]]</f>
        <v>0</v>
      </c>
      <c r="K985" s="5">
        <f>IF(StockTransactionsTable[[#This Row],[Transaction Type]]="Buy", StockTransactionsTable[[#This Row],[Total Amount with Fee]] / StockTransactionsTable[[#This Row],[Shares No.]],0)</f>
        <v>0</v>
      </c>
      <c r="L985"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85" s="4">
        <f>YEAR(StockTransactionsTable[[#This Row],[Date]])</f>
        <v>2026</v>
      </c>
      <c r="N985" s="4">
        <f>MONTH(StockTransactionsTable[[#This Row],[Date]])</f>
        <v>9</v>
      </c>
    </row>
    <row r="986" spans="2:14">
      <c r="B986" s="3">
        <v>46280</v>
      </c>
      <c r="C986" s="6" t="s">
        <v>14</v>
      </c>
      <c r="D986" s="6" t="s">
        <v>30</v>
      </c>
      <c r="E986" s="5">
        <v>63</v>
      </c>
      <c r="F986" s="5">
        <v>0.47499999999999998</v>
      </c>
      <c r="G986" s="5">
        <f>StockTransactionsTable[[#This Row],[Shares No.]]*StockTransactionsTable[[#This Row],[Amount per Share]]</f>
        <v>29.924999999999997</v>
      </c>
      <c r="H986" s="5">
        <v>0</v>
      </c>
      <c r="I986"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29.924999999999997</v>
      </c>
      <c r="J986" s="19">
        <f>StockTransactionsTable[[#This Row],[Fee]]/StockTransactionsTable[[#This Row],[Total Amount]]</f>
        <v>0</v>
      </c>
      <c r="K986" s="5">
        <f>IF(StockTransactionsTable[[#This Row],[Transaction Type]]="Buy", StockTransactionsTable[[#This Row],[Total Amount with Fee]] / StockTransactionsTable[[#This Row],[Shares No.]],0)</f>
        <v>0</v>
      </c>
      <c r="L986"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86" s="4">
        <f>YEAR(StockTransactionsTable[[#This Row],[Date]])</f>
        <v>2026</v>
      </c>
      <c r="N986" s="4">
        <f>MONTH(StockTransactionsTable[[#This Row],[Date]])</f>
        <v>9</v>
      </c>
    </row>
    <row r="987" spans="2:14">
      <c r="B987" s="3">
        <v>46280</v>
      </c>
      <c r="C987" s="6" t="s">
        <v>98</v>
      </c>
      <c r="D987" s="6" t="s">
        <v>30</v>
      </c>
      <c r="E987" s="5">
        <v>412</v>
      </c>
      <c r="F987" s="5">
        <v>0.62319999999999998</v>
      </c>
      <c r="G987" s="5">
        <f>StockTransactionsTable[[#This Row],[Shares No.]]*StockTransactionsTable[[#This Row],[Amount per Share]]</f>
        <v>256.75839999999999</v>
      </c>
      <c r="H987" s="5">
        <v>0</v>
      </c>
      <c r="I987"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256.75839999999999</v>
      </c>
      <c r="J987" s="19">
        <f>StockTransactionsTable[[#This Row],[Fee]]/StockTransactionsTable[[#This Row],[Total Amount]]</f>
        <v>0</v>
      </c>
      <c r="K987" s="5">
        <f>IF(StockTransactionsTable[[#This Row],[Transaction Type]]="Buy", StockTransactionsTable[[#This Row],[Total Amount with Fee]] / StockTransactionsTable[[#This Row],[Shares No.]],0)</f>
        <v>0</v>
      </c>
      <c r="L987"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87" s="4">
        <f>YEAR(StockTransactionsTable[[#This Row],[Date]])</f>
        <v>2026</v>
      </c>
      <c r="N987" s="4">
        <f>MONTH(StockTransactionsTable[[#This Row],[Date]])</f>
        <v>9</v>
      </c>
    </row>
    <row r="988" spans="2:14">
      <c r="B988" s="3">
        <v>46280</v>
      </c>
      <c r="C988" s="6" t="s">
        <v>12</v>
      </c>
      <c r="D988" s="6" t="s">
        <v>30</v>
      </c>
      <c r="E988" s="5">
        <v>97</v>
      </c>
      <c r="F988" s="5">
        <v>0.27100000000000002</v>
      </c>
      <c r="G988" s="5">
        <f>StockTransactionsTable[[#This Row],[Shares No.]]*StockTransactionsTable[[#This Row],[Amount per Share]]</f>
        <v>26.287000000000003</v>
      </c>
      <c r="H988" s="5">
        <v>0</v>
      </c>
      <c r="I988"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26.287000000000003</v>
      </c>
      <c r="J988" s="19">
        <f>StockTransactionsTable[[#This Row],[Fee]]/StockTransactionsTable[[#This Row],[Total Amount]]</f>
        <v>0</v>
      </c>
      <c r="K988" s="5">
        <f>IF(StockTransactionsTable[[#This Row],[Transaction Type]]="Buy", StockTransactionsTable[[#This Row],[Total Amount with Fee]] / StockTransactionsTable[[#This Row],[Shares No.]],0)</f>
        <v>0</v>
      </c>
      <c r="L988"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88" s="4">
        <f>YEAR(StockTransactionsTable[[#This Row],[Date]])</f>
        <v>2026</v>
      </c>
      <c r="N988" s="4">
        <f>MONTH(StockTransactionsTable[[#This Row],[Date]])</f>
        <v>9</v>
      </c>
    </row>
    <row r="989" spans="2:14">
      <c r="B989" s="3">
        <v>46281</v>
      </c>
      <c r="C989" s="6" t="s">
        <v>100</v>
      </c>
      <c r="D989" s="6" t="s">
        <v>30</v>
      </c>
      <c r="E989" s="5">
        <v>250</v>
      </c>
      <c r="F989" s="5">
        <v>1.085</v>
      </c>
      <c r="G989" s="5">
        <f>StockTransactionsTable[[#This Row],[Shares No.]]*StockTransactionsTable[[#This Row],[Amount per Share]]</f>
        <v>271.25</v>
      </c>
      <c r="H989" s="5">
        <v>0</v>
      </c>
      <c r="I989"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271.25</v>
      </c>
      <c r="J989" s="19">
        <f>StockTransactionsTable[[#This Row],[Fee]]/StockTransactionsTable[[#This Row],[Total Amount]]</f>
        <v>0</v>
      </c>
      <c r="K989" s="5">
        <f>IF(StockTransactionsTable[[#This Row],[Transaction Type]]="Buy", StockTransactionsTable[[#This Row],[Total Amount with Fee]] / StockTransactionsTable[[#This Row],[Shares No.]],0)</f>
        <v>0</v>
      </c>
      <c r="L989"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89" s="4">
        <f>YEAR(StockTransactionsTable[[#This Row],[Date]])</f>
        <v>2026</v>
      </c>
      <c r="N989" s="4">
        <f>MONTH(StockTransactionsTable[[#This Row],[Date]])</f>
        <v>9</v>
      </c>
    </row>
    <row r="990" spans="2:14">
      <c r="B990" s="3">
        <v>46281</v>
      </c>
      <c r="C990" s="6" t="s">
        <v>88</v>
      </c>
      <c r="D990" s="6" t="s">
        <v>30</v>
      </c>
      <c r="E990" s="5">
        <v>95</v>
      </c>
      <c r="F990" s="5">
        <v>1.86</v>
      </c>
      <c r="G990" s="5">
        <f>StockTransactionsTable[[#This Row],[Shares No.]]*StockTransactionsTable[[#This Row],[Amount per Share]]</f>
        <v>176.70000000000002</v>
      </c>
      <c r="H990" s="5">
        <v>0</v>
      </c>
      <c r="I990"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176.70000000000002</v>
      </c>
      <c r="J990" s="19">
        <f>StockTransactionsTable[[#This Row],[Fee]]/StockTransactionsTable[[#This Row],[Total Amount]]</f>
        <v>0</v>
      </c>
      <c r="K990" s="5">
        <f>IF(StockTransactionsTable[[#This Row],[Transaction Type]]="Buy", StockTransactionsTable[[#This Row],[Total Amount with Fee]] / StockTransactionsTable[[#This Row],[Shares No.]],0)</f>
        <v>0</v>
      </c>
      <c r="L990"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90" s="4">
        <f>YEAR(StockTransactionsTable[[#This Row],[Date]])</f>
        <v>2026</v>
      </c>
      <c r="N990" s="4">
        <f>MONTH(StockTransactionsTable[[#This Row],[Date]])</f>
        <v>9</v>
      </c>
    </row>
    <row r="991" spans="2:14">
      <c r="B991" s="3">
        <v>46282</v>
      </c>
      <c r="C991" s="6" t="s">
        <v>95</v>
      </c>
      <c r="D991" s="6" t="s">
        <v>30</v>
      </c>
      <c r="E991" s="5">
        <v>157</v>
      </c>
      <c r="F991" s="5">
        <v>2.33</v>
      </c>
      <c r="G991" s="5">
        <f>StockTransactionsTable[[#This Row],[Shares No.]]*StockTransactionsTable[[#This Row],[Amount per Share]]</f>
        <v>365.81</v>
      </c>
      <c r="H991" s="5">
        <v>0</v>
      </c>
      <c r="I991"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365.81</v>
      </c>
      <c r="J991" s="19">
        <f>StockTransactionsTable[[#This Row],[Fee]]/StockTransactionsTable[[#This Row],[Total Amount]]</f>
        <v>0</v>
      </c>
      <c r="K991" s="5">
        <f>IF(StockTransactionsTable[[#This Row],[Transaction Type]]="Buy", StockTransactionsTable[[#This Row],[Total Amount with Fee]] / StockTransactionsTable[[#This Row],[Shares No.]],0)</f>
        <v>0</v>
      </c>
      <c r="L991"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91" s="4">
        <f>YEAR(StockTransactionsTable[[#This Row],[Date]])</f>
        <v>2026</v>
      </c>
      <c r="N991" s="4">
        <f>MONTH(StockTransactionsTable[[#This Row],[Date]])</f>
        <v>9</v>
      </c>
    </row>
    <row r="992" spans="2:14">
      <c r="B992" s="3">
        <v>46295</v>
      </c>
      <c r="C992" s="6" t="s">
        <v>18</v>
      </c>
      <c r="D992" s="6" t="s">
        <v>30</v>
      </c>
      <c r="E992" s="5">
        <v>43</v>
      </c>
      <c r="F992" s="5">
        <v>1.48</v>
      </c>
      <c r="G992" s="5">
        <f>StockTransactionsTable[[#This Row],[Shares No.]]*StockTransactionsTable[[#This Row],[Amount per Share]]</f>
        <v>63.64</v>
      </c>
      <c r="H992" s="5">
        <v>0</v>
      </c>
      <c r="I992"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63.64</v>
      </c>
      <c r="J992" s="19">
        <f>StockTransactionsTable[[#This Row],[Fee]]/StockTransactionsTable[[#This Row],[Total Amount]]</f>
        <v>0</v>
      </c>
      <c r="K992" s="5">
        <f>IF(StockTransactionsTable[[#This Row],[Transaction Type]]="Buy", StockTransactionsTable[[#This Row],[Total Amount with Fee]] / StockTransactionsTable[[#This Row],[Shares No.]],0)</f>
        <v>0</v>
      </c>
      <c r="L992"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92" s="4">
        <f>YEAR(StockTransactionsTable[[#This Row],[Date]])</f>
        <v>2026</v>
      </c>
      <c r="N992" s="4">
        <f>MONTH(StockTransactionsTable[[#This Row],[Date]])</f>
        <v>9</v>
      </c>
    </row>
    <row r="993" spans="2:14">
      <c r="B993" s="3">
        <v>46296</v>
      </c>
      <c r="C993" s="6" t="s">
        <v>23</v>
      </c>
      <c r="D993" s="6" t="s">
        <v>30</v>
      </c>
      <c r="E993" s="5">
        <v>111</v>
      </c>
      <c r="F993" s="5">
        <v>0.53</v>
      </c>
      <c r="G993" s="5">
        <f>StockTransactionsTable[[#This Row],[Shares No.]]*StockTransactionsTable[[#This Row],[Amount per Share]]</f>
        <v>58.830000000000005</v>
      </c>
      <c r="H993" s="5">
        <v>0</v>
      </c>
      <c r="I993" s="5">
        <f>IF(StockTransactionsTable[[#This Row],[Transaction Type]]="Buy",StockTransactionsTable[[#This Row],[Total Amount]]+StockTransactionsTable[[#This Row],[Fee]],IF(OR(StockTransactionsTable[[#This Row],[Transaction Type]]="Sell",StockTransactionsTable[[#This Row],[Transaction Type]]="Dividend"),StockTransactionsTable[[#This Row],[Total Amount]]-StockTransactionsTable[[#This Row],[Fee]]))</f>
        <v>58.830000000000005</v>
      </c>
      <c r="J993" s="19">
        <f>StockTransactionsTable[[#This Row],[Fee]]/StockTransactionsTable[[#This Row],[Total Amount]]</f>
        <v>0</v>
      </c>
      <c r="K993" s="5">
        <f>IF(StockTransactionsTable[[#This Row],[Transaction Type]]="Buy", StockTransactionsTable[[#This Row],[Total Amount with Fee]] / StockTransactionsTable[[#This Row],[Shares No.]],0)</f>
        <v>0</v>
      </c>
      <c r="L993" s="5" t="str">
        <f>IF(StockTransactionsTable[[#This Row],[Transaction Type]]="Sell",
   (StockTransactionsTable[[#This Row],[Total Amount with Fee]]) - (StockTransactionsTable[[#This Row],[Shares No.]] * INDEX(StockTransactionsTable[Accumulated cost buy basis], MATCH(StockTransactionsTable[[#This Row],[Ticker]], StockTransactionsTable[Ticker], 0))),
   "")</f>
        <v/>
      </c>
      <c r="M993" s="4">
        <f>YEAR(StockTransactionsTable[[#This Row],[Date]])</f>
        <v>2026</v>
      </c>
      <c r="N993" s="4">
        <f>MONTH(StockTransactionsTable[[#This Row],[Date]])</f>
        <v>10</v>
      </c>
    </row>
  </sheetData>
  <conditionalFormatting sqref="B5:N993">
    <cfRule type="expression" dxfId="2" priority="11">
      <formula>$D5="Sell"</formula>
    </cfRule>
    <cfRule type="expression" dxfId="1" priority="12">
      <formula>$D5="Buy"</formula>
    </cfRule>
  </conditionalFormatting>
  <dataValidations count="2">
    <dataValidation type="list" allowBlank="1" showInputMessage="1" showErrorMessage="1" sqref="C5:C993" xr:uid="{57B12C76-9654-4A68-BB07-E1D1C09911FC}">
      <formula1>INDIRECT("CompanyDetailsList[Company Ticker]")</formula1>
    </dataValidation>
    <dataValidation type="list" allowBlank="1" showInputMessage="1" showErrorMessage="1" sqref="D5:D993" xr:uid="{FDC03808-EEC7-4B02-846E-2F82B120F559}">
      <formula1>"Buy, Sell, Dividend"</formula1>
    </dataValidation>
  </dataValidations>
  <hyperlinks>
    <hyperlink ref="A2" location="Menu!A1" display="☰ Menu" xr:uid="{5A16D9AD-276D-4D8E-8F32-E76BC7FF6B92}"/>
  </hyperlink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0FDBE-CF21-4268-9329-8E7A06A7CDF5}">
  <dimension ref="A2:N2350"/>
  <sheetViews>
    <sheetView showGridLines="0" tabSelected="1" zoomScaleNormal="100" workbookViewId="0">
      <selection activeCell="G2221" sqref="G2221"/>
    </sheetView>
  </sheetViews>
  <sheetFormatPr defaultRowHeight="15"/>
  <cols>
    <col min="1" max="1" width="8.7109375" bestFit="1" customWidth="1"/>
    <col min="2" max="2" width="10.7109375" bestFit="1" customWidth="1"/>
    <col min="3" max="3" width="12.85546875" bestFit="1" customWidth="1"/>
    <col min="4" max="4" width="64.42578125" bestFit="1" customWidth="1"/>
    <col min="5" max="5" width="11.42578125" bestFit="1" customWidth="1"/>
    <col min="6" max="6" width="11.7109375" bestFit="1" customWidth="1"/>
    <col min="7" max="7" width="13.7109375" bestFit="1" customWidth="1"/>
    <col min="8" max="9" width="12.28515625" bestFit="1" customWidth="1"/>
    <col min="10" max="10" width="12.7109375" bestFit="1" customWidth="1"/>
    <col min="11" max="11" width="12.5703125" bestFit="1" customWidth="1"/>
    <col min="12" max="12" width="13.42578125" bestFit="1" customWidth="1"/>
    <col min="13" max="13" width="13.5703125" bestFit="1" customWidth="1"/>
    <col min="14" max="14" width="12.5703125" bestFit="1" customWidth="1"/>
  </cols>
  <sheetData>
    <row r="2" spans="1:14" s="25" customFormat="1">
      <c r="A2" s="30" t="s">
        <v>115</v>
      </c>
      <c r="B2" s="31" t="s">
        <v>109</v>
      </c>
    </row>
    <row r="3" spans="1:14">
      <c r="B3" s="28"/>
    </row>
    <row r="4" spans="1:14" ht="45">
      <c r="B4" s="11" t="s">
        <v>0</v>
      </c>
      <c r="C4" s="11" t="s">
        <v>9</v>
      </c>
      <c r="D4" s="11" t="s">
        <v>45</v>
      </c>
      <c r="E4" s="11" t="s">
        <v>46</v>
      </c>
      <c r="F4" s="11" t="s">
        <v>47</v>
      </c>
      <c r="G4" s="11" t="s">
        <v>68</v>
      </c>
      <c r="H4" s="11" t="s">
        <v>48</v>
      </c>
      <c r="I4" s="11" t="s">
        <v>49</v>
      </c>
      <c r="J4" s="11" t="s">
        <v>39</v>
      </c>
      <c r="K4" s="11" t="s">
        <v>54</v>
      </c>
      <c r="L4" s="11" t="s">
        <v>55</v>
      </c>
      <c r="M4" s="11" t="s">
        <v>72</v>
      </c>
      <c r="N4" s="11" t="s">
        <v>71</v>
      </c>
    </row>
    <row r="5" spans="1:14">
      <c r="B5" s="15">
        <v>42094</v>
      </c>
      <c r="C5" s="34" t="s">
        <v>22</v>
      </c>
      <c r="D5" s="34" t="e" vm="10">
        <f>_xlfn.XLOOKUP(HistoricalStockProgress[[#This Row],[Company Ticker]],CompanyDetailsList[Company Ticker],CompanyDetailsList[Official Name],,0)</f>
        <v>#VALUE!</v>
      </c>
      <c r="E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22</v>
      </c>
      <c r="F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1793.9720224225266</v>
      </c>
      <c r="G5" s="17">
        <f>IFERROR(HistoricalStockProgress[[#This Row],[Cost of Shares]]/HistoricalStockProgress[[#This Row],[No. of Shares]],0)</f>
        <v>81.544182837387567</v>
      </c>
      <c r="H5" s="16" vm="559">
        <v>80.03</v>
      </c>
      <c r="I5" s="16">
        <f>IF(HistoricalStockProgress[[#This Row],[No. of Shares]]&lt;&gt;0,HistoricalStockProgress[[#This Row],[Price of Shares]]*HistoricalStockProgress[[#This Row],[No. of Shares]],0)</f>
        <v>1760.66</v>
      </c>
      <c r="J5" s="16">
        <f>IF(HistoricalStockProgress[[#This Row],[No. of Shares]]&lt;&gt;0,HistoricalStockProgress[[#This Row],[Price of Shares]]-HistoricalStockProgress[[#This Row],[Cost of Shares]]/HistoricalStockProgress[[#This Row],[No. of Shares]],0)</f>
        <v>-1.5141828373875654</v>
      </c>
      <c r="K5" s="17">
        <f>IF(HistoricalStockProgress[[#This Row],[Total Price of Shares]]&lt;&gt;0,HistoricalStockProgress[[#This Row],[Total Price of Shares]]-HistoricalStockProgress[[#This Row],[Cost of Shares]],0)</f>
        <v>-33.312022422526525</v>
      </c>
      <c r="L5" s="34" t="b" cm="1">
        <f t="array" ref="L5">IFERROR(IF(HistoricalStockProgress[[#This Row],[Price of Shares]]="",_xlfn.STOCKHISTORY(HistoricalStockProgress[[#This Row],[Full Company Name]],HistoricalStockProgress[[#This Row],[Date]],,2,0,1)),0)</f>
        <v>0</v>
      </c>
      <c r="M5" s="34">
        <f>YEAR(HistoricalStockProgress[[#This Row],[Date]])</f>
        <v>2015</v>
      </c>
      <c r="N5" s="34">
        <f>MONTH(HistoricalStockProgress[[#This Row],[Date]])</f>
        <v>3</v>
      </c>
    </row>
    <row r="6" spans="1:14">
      <c r="B6" s="15">
        <v>42094</v>
      </c>
      <c r="C6" s="34" t="s">
        <v>100</v>
      </c>
      <c r="D6" s="34" t="e" vm="16">
        <f>_xlfn.XLOOKUP(HistoricalStockProgress[[#This Row],[Company Ticker]],CompanyDetailsList[Company Ticker],CompanyDetailsList[Official Name],,0)</f>
        <v>#VALUE!</v>
      </c>
      <c r="E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6" s="17">
        <f>IFERROR(HistoricalStockProgress[[#This Row],[Cost of Shares]]/HistoricalStockProgress[[#This Row],[No. of Shares]],0)</f>
        <v>84.509035134678101</v>
      </c>
      <c r="H6" s="16" vm="560">
        <v>76.78</v>
      </c>
      <c r="I6" s="16">
        <f>IF(HistoricalStockProgress[[#This Row],[No. of Shares]]&lt;&gt;0,HistoricalStockProgress[[#This Row],[Price of Shares]]*HistoricalStockProgress[[#This Row],[No. of Shares]],0)</f>
        <v>2533.7400000000002</v>
      </c>
      <c r="J6" s="16">
        <f>IF(HistoricalStockProgress[[#This Row],[No. of Shares]]&lt;&gt;0,HistoricalStockProgress[[#This Row],[Price of Shares]]-HistoricalStockProgress[[#This Row],[Cost of Shares]]/HistoricalStockProgress[[#This Row],[No. of Shares]],0)</f>
        <v>-7.7290351346780994</v>
      </c>
      <c r="K6" s="17">
        <f>IF(HistoricalStockProgress[[#This Row],[Total Price of Shares]]&lt;&gt;0,HistoricalStockProgress[[#This Row],[Total Price of Shares]]-HistoricalStockProgress[[#This Row],[Cost of Shares]],0)</f>
        <v>-255.058159444377</v>
      </c>
      <c r="L6" s="34" t="b" cm="1">
        <f t="array" ref="L6">IFERROR(IF(HistoricalStockProgress[[#This Row],[Price of Shares]]="",_xlfn.STOCKHISTORY(HistoricalStockProgress[[#This Row],[Full Company Name]],HistoricalStockProgress[[#This Row],[Date]],,2,0,1)),0)</f>
        <v>0</v>
      </c>
      <c r="M6" s="34">
        <f>YEAR(HistoricalStockProgress[[#This Row],[Date]])</f>
        <v>2015</v>
      </c>
      <c r="N6" s="34">
        <f>MONTH(HistoricalStockProgress[[#This Row],[Date]])</f>
        <v>3</v>
      </c>
    </row>
    <row r="7" spans="1:14">
      <c r="B7" s="15">
        <v>42094</v>
      </c>
      <c r="C7" s="34" t="s">
        <v>13</v>
      </c>
      <c r="D7" s="34" t="e" vm="18">
        <f>_xlfn.XLOOKUP(HistoricalStockProgress[[#This Row],[Company Ticker]],CompanyDetailsList[Company Ticker],CompanyDetailsList[Official Name],,0)</f>
        <v>#VALUE!</v>
      </c>
      <c r="E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7" s="17">
        <f>IFERROR(HistoricalStockProgress[[#This Row],[Cost of Shares]]/HistoricalStockProgress[[#This Row],[No. of Shares]],0)</f>
        <v>30.916275141190898</v>
      </c>
      <c r="H7" s="16" vm="561">
        <v>32.979199999999999</v>
      </c>
      <c r="I7" s="16">
        <f>IF(HistoricalStockProgress[[#This Row],[No. of Shares]]&lt;&gt;0,HistoricalStockProgress[[#This Row],[Price of Shares]]*HistoricalStockProgress[[#This Row],[No. of Shares]],0)</f>
        <v>362.77119999999996</v>
      </c>
      <c r="J7" s="16">
        <f>IF(HistoricalStockProgress[[#This Row],[No. of Shares]]&lt;&gt;0,HistoricalStockProgress[[#This Row],[Price of Shares]]-HistoricalStockProgress[[#This Row],[Cost of Shares]]/HistoricalStockProgress[[#This Row],[No. of Shares]],0)</f>
        <v>2.0629248588091009</v>
      </c>
      <c r="K7" s="17">
        <f>IF(HistoricalStockProgress[[#This Row],[Total Price of Shares]]&lt;&gt;0,HistoricalStockProgress[[#This Row],[Total Price of Shares]]-HistoricalStockProgress[[#This Row],[Cost of Shares]],0)</f>
        <v>22.692173446900085</v>
      </c>
      <c r="L7" s="34" t="b" cm="1">
        <f t="array" ref="L7">IFERROR(IF(HistoricalStockProgress[[#This Row],[Price of Shares]]="",_xlfn.STOCKHISTORY(HistoricalStockProgress[[#This Row],[Full Company Name]],HistoricalStockProgress[[#This Row],[Date]],,2,0,1)),0)</f>
        <v>0</v>
      </c>
      <c r="M7" s="34">
        <f>YEAR(HistoricalStockProgress[[#This Row],[Date]])</f>
        <v>2015</v>
      </c>
      <c r="N7" s="34">
        <f>MONTH(HistoricalStockProgress[[#This Row],[Date]])</f>
        <v>3</v>
      </c>
    </row>
    <row r="8" spans="1:14">
      <c r="B8" s="15">
        <v>42124</v>
      </c>
      <c r="C8" s="34" t="s">
        <v>22</v>
      </c>
      <c r="D8" s="34" t="e" vm="10">
        <f>_xlfn.XLOOKUP(HistoricalStockProgress[[#This Row],[Company Ticker]],CompanyDetailsList[Company Ticker],CompanyDetailsList[Official Name],,0)</f>
        <v>#VALUE!</v>
      </c>
      <c r="E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22</v>
      </c>
      <c r="F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1793.9720224225266</v>
      </c>
      <c r="G8" s="17">
        <f>IFERROR(HistoricalStockProgress[[#This Row],[Cost of Shares]]/HistoricalStockProgress[[#This Row],[No. of Shares]],0)</f>
        <v>81.544182837387567</v>
      </c>
      <c r="H8" s="16" vm="562">
        <v>86.88</v>
      </c>
      <c r="I8" s="16">
        <f>IF(HistoricalStockProgress[[#This Row],[No. of Shares]]&lt;&gt;0,HistoricalStockProgress[[#This Row],[Price of Shares]]*HistoricalStockProgress[[#This Row],[No. of Shares]],0)</f>
        <v>1911.36</v>
      </c>
      <c r="J8" s="16">
        <f>IF(HistoricalStockProgress[[#This Row],[No. of Shares]]&lt;&gt;0,HistoricalStockProgress[[#This Row],[Price of Shares]]-HistoricalStockProgress[[#This Row],[Cost of Shares]]/HistoricalStockProgress[[#This Row],[No. of Shares]],0)</f>
        <v>5.3358171626124289</v>
      </c>
      <c r="K8" s="17">
        <f>IF(HistoricalStockProgress[[#This Row],[Total Price of Shares]]&lt;&gt;0,HistoricalStockProgress[[#This Row],[Total Price of Shares]]-HistoricalStockProgress[[#This Row],[Cost of Shares]],0)</f>
        <v>117.38797757747329</v>
      </c>
      <c r="L8" s="34" t="b" cm="1">
        <f t="array" ref="L8">IFERROR(IF(HistoricalStockProgress[[#This Row],[Price of Shares]]="",_xlfn.STOCKHISTORY(HistoricalStockProgress[[#This Row],[Full Company Name]],HistoricalStockProgress[[#This Row],[Date]],,2,0,1)),0)</f>
        <v>0</v>
      </c>
      <c r="M8" s="34">
        <f>YEAR(HistoricalStockProgress[[#This Row],[Date]])</f>
        <v>2015</v>
      </c>
      <c r="N8" s="34">
        <f>MONTH(HistoricalStockProgress[[#This Row],[Date]])</f>
        <v>4</v>
      </c>
    </row>
    <row r="9" spans="1:14">
      <c r="B9" s="15">
        <v>42124</v>
      </c>
      <c r="C9" s="34" t="s">
        <v>95</v>
      </c>
      <c r="D9" s="34" t="e" vm="13">
        <f>_xlfn.XLOOKUP(HistoricalStockProgress[[#This Row],[Company Ticker]],CompanyDetailsList[Company Ticker],CompanyDetailsList[Official Name],,0)</f>
        <v>#VALUE!</v>
      </c>
      <c r="E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9" s="17">
        <f>IFERROR(HistoricalStockProgress[[#This Row],[Cost of Shares]]/HistoricalStockProgress[[#This Row],[No. of Shares]],0)</f>
        <v>112.90555526050157</v>
      </c>
      <c r="H9" s="16" vm="563">
        <v>106.98</v>
      </c>
      <c r="I9" s="16">
        <f>IF(HistoricalStockProgress[[#This Row],[No. of Shares]]&lt;&gt;0,HistoricalStockProgress[[#This Row],[Price of Shares]]*HistoricalStockProgress[[#This Row],[No. of Shares]],0)</f>
        <v>1283.76</v>
      </c>
      <c r="J9" s="16">
        <f>IF(HistoricalStockProgress[[#This Row],[No. of Shares]]&lt;&gt;0,HistoricalStockProgress[[#This Row],[Price of Shares]]-HistoricalStockProgress[[#This Row],[Cost of Shares]]/HistoricalStockProgress[[#This Row],[No. of Shares]],0)</f>
        <v>-5.925555260501568</v>
      </c>
      <c r="K9" s="17">
        <f>IF(HistoricalStockProgress[[#This Row],[Total Price of Shares]]&lt;&gt;0,HistoricalStockProgress[[#This Row],[Total Price of Shares]]-HistoricalStockProgress[[#This Row],[Cost of Shares]],0)</f>
        <v>-71.10666312601893</v>
      </c>
      <c r="L9" s="34" t="b" cm="1">
        <f t="array" ref="L9">IFERROR(IF(HistoricalStockProgress[[#This Row],[Price of Shares]]="",_xlfn.STOCKHISTORY(HistoricalStockProgress[[#This Row],[Full Company Name]],HistoricalStockProgress[[#This Row],[Date]],,2,0,1)),0)</f>
        <v>0</v>
      </c>
      <c r="M9" s="34">
        <f>YEAR(HistoricalStockProgress[[#This Row],[Date]])</f>
        <v>2015</v>
      </c>
      <c r="N9" s="34">
        <f>MONTH(HistoricalStockProgress[[#This Row],[Date]])</f>
        <v>4</v>
      </c>
    </row>
    <row r="10" spans="1:14">
      <c r="B10" s="15">
        <v>42124</v>
      </c>
      <c r="C10" s="34" t="s">
        <v>100</v>
      </c>
      <c r="D10" s="34" t="e" vm="16">
        <f>_xlfn.XLOOKUP(HistoricalStockProgress[[#This Row],[Company Ticker]],CompanyDetailsList[Company Ticker],CompanyDetailsList[Official Name],,0)</f>
        <v>#VALUE!</v>
      </c>
      <c r="E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10" s="17">
        <f>IFERROR(HistoricalStockProgress[[#This Row],[Cost of Shares]]/HistoricalStockProgress[[#This Row],[No. of Shares]],0)</f>
        <v>84.509035134678101</v>
      </c>
      <c r="H10" s="16" vm="564">
        <v>77.569999999999993</v>
      </c>
      <c r="I10" s="16">
        <f>IF(HistoricalStockProgress[[#This Row],[No. of Shares]]&lt;&gt;0,HistoricalStockProgress[[#This Row],[Price of Shares]]*HistoricalStockProgress[[#This Row],[No. of Shares]],0)</f>
        <v>2559.81</v>
      </c>
      <c r="J10" s="16">
        <f>IF(HistoricalStockProgress[[#This Row],[No. of Shares]]&lt;&gt;0,HistoricalStockProgress[[#This Row],[Price of Shares]]-HistoricalStockProgress[[#This Row],[Cost of Shares]]/HistoricalStockProgress[[#This Row],[No. of Shares]],0)</f>
        <v>-6.9390351346781074</v>
      </c>
      <c r="K10" s="17">
        <f>IF(HistoricalStockProgress[[#This Row],[Total Price of Shares]]&lt;&gt;0,HistoricalStockProgress[[#This Row],[Total Price of Shares]]-HistoricalStockProgress[[#This Row],[Cost of Shares]],0)</f>
        <v>-228.98815944437729</v>
      </c>
      <c r="L10" s="34" t="b" cm="1">
        <f t="array" ref="L10">IFERROR(IF(HistoricalStockProgress[[#This Row],[Price of Shares]]="",_xlfn.STOCKHISTORY(HistoricalStockProgress[[#This Row],[Full Company Name]],HistoricalStockProgress[[#This Row],[Date]],,2,0,1)),0)</f>
        <v>0</v>
      </c>
      <c r="M10" s="34">
        <f>YEAR(HistoricalStockProgress[[#This Row],[Date]])</f>
        <v>2015</v>
      </c>
      <c r="N10" s="34">
        <f>MONTH(HistoricalStockProgress[[#This Row],[Date]])</f>
        <v>4</v>
      </c>
    </row>
    <row r="11" spans="1:14">
      <c r="B11" s="15">
        <v>42124</v>
      </c>
      <c r="C11" s="34" t="s">
        <v>13</v>
      </c>
      <c r="D11" s="34" t="e" vm="18">
        <f>_xlfn.XLOOKUP(HistoricalStockProgress[[#This Row],[Company Ticker]],CompanyDetailsList[Company Ticker],CompanyDetailsList[Official Name],,0)</f>
        <v>#VALUE!</v>
      </c>
      <c r="E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11" s="17">
        <f>IFERROR(HistoricalStockProgress[[#This Row],[Cost of Shares]]/HistoricalStockProgress[[#This Row],[No. of Shares]],0)</f>
        <v>30.916275141190898</v>
      </c>
      <c r="H11" s="16" vm="565">
        <v>32.163899999999998</v>
      </c>
      <c r="I11" s="16">
        <f>IF(HistoricalStockProgress[[#This Row],[No. of Shares]]&lt;&gt;0,HistoricalStockProgress[[#This Row],[Price of Shares]]*HistoricalStockProgress[[#This Row],[No. of Shares]],0)</f>
        <v>353.80289999999997</v>
      </c>
      <c r="J11" s="16">
        <f>IF(HistoricalStockProgress[[#This Row],[No. of Shares]]&lt;&gt;0,HistoricalStockProgress[[#This Row],[Price of Shares]]-HistoricalStockProgress[[#This Row],[Cost of Shares]]/HistoricalStockProgress[[#This Row],[No. of Shares]],0)</f>
        <v>1.2476248588091003</v>
      </c>
      <c r="K11" s="17">
        <f>IF(HistoricalStockProgress[[#This Row],[Total Price of Shares]]&lt;&gt;0,HistoricalStockProgress[[#This Row],[Total Price of Shares]]-HistoricalStockProgress[[#This Row],[Cost of Shares]],0)</f>
        <v>13.723873446900086</v>
      </c>
      <c r="L11" s="34" t="b" cm="1">
        <f t="array" ref="L11">IFERROR(IF(HistoricalStockProgress[[#This Row],[Price of Shares]]="",_xlfn.STOCKHISTORY(HistoricalStockProgress[[#This Row],[Full Company Name]],HistoricalStockProgress[[#This Row],[Date]],,2,0,1)),0)</f>
        <v>0</v>
      </c>
      <c r="M11" s="34">
        <f>YEAR(HistoricalStockProgress[[#This Row],[Date]])</f>
        <v>2015</v>
      </c>
      <c r="N11" s="34">
        <f>MONTH(HistoricalStockProgress[[#This Row],[Date]])</f>
        <v>4</v>
      </c>
    </row>
    <row r="12" spans="1:14">
      <c r="B12" s="15">
        <v>42155</v>
      </c>
      <c r="C12" s="34" t="s">
        <v>22</v>
      </c>
      <c r="D12" s="34" t="e" vm="10">
        <f>_xlfn.XLOOKUP(HistoricalStockProgress[[#This Row],[Company Ticker]],CompanyDetailsList[Company Ticker],CompanyDetailsList[Official Name],,0)</f>
        <v>#VALUE!</v>
      </c>
      <c r="E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22</v>
      </c>
      <c r="F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1793.9720224225266</v>
      </c>
      <c r="G12" s="17">
        <f>IFERROR(HistoricalStockProgress[[#This Row],[Cost of Shares]]/HistoricalStockProgress[[#This Row],[No. of Shares]],0)</f>
        <v>81.544182837387567</v>
      </c>
      <c r="H12" s="16" vm="566">
        <v>85.32</v>
      </c>
      <c r="I12" s="16">
        <f>IF(HistoricalStockProgress[[#This Row],[No. of Shares]]&lt;&gt;0,HistoricalStockProgress[[#This Row],[Price of Shares]]*HistoricalStockProgress[[#This Row],[No. of Shares]],0)</f>
        <v>1877.04</v>
      </c>
      <c r="J12" s="16">
        <f>IF(HistoricalStockProgress[[#This Row],[No. of Shares]]&lt;&gt;0,HistoricalStockProgress[[#This Row],[Price of Shares]]-HistoricalStockProgress[[#This Row],[Cost of Shares]]/HistoricalStockProgress[[#This Row],[No. of Shares]],0)</f>
        <v>3.7758171626124266</v>
      </c>
      <c r="K12" s="17">
        <f>IF(HistoricalStockProgress[[#This Row],[Total Price of Shares]]&lt;&gt;0,HistoricalStockProgress[[#This Row],[Total Price of Shares]]-HistoricalStockProgress[[#This Row],[Cost of Shares]],0)</f>
        <v>83.067977577473357</v>
      </c>
      <c r="L12" s="34" t="b" cm="1">
        <f t="array" ref="L12">IFERROR(IF(HistoricalStockProgress[[#This Row],[Price of Shares]]="",_xlfn.STOCKHISTORY(HistoricalStockProgress[[#This Row],[Full Company Name]],HistoricalStockProgress[[#This Row],[Date]],,2,0,1)),0)</f>
        <v>0</v>
      </c>
      <c r="M12" s="34">
        <f>YEAR(HistoricalStockProgress[[#This Row],[Date]])</f>
        <v>2015</v>
      </c>
      <c r="N12" s="34">
        <f>MONTH(HistoricalStockProgress[[#This Row],[Date]])</f>
        <v>5</v>
      </c>
    </row>
    <row r="13" spans="1:14">
      <c r="B13" s="15">
        <v>42155</v>
      </c>
      <c r="C13" s="34" t="s">
        <v>95</v>
      </c>
      <c r="D13" s="34" t="e" vm="13">
        <f>_xlfn.XLOOKUP(HistoricalStockProgress[[#This Row],[Company Ticker]],CompanyDetailsList[Company Ticker],CompanyDetailsList[Official Name],,0)</f>
        <v>#VALUE!</v>
      </c>
      <c r="E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13" s="17">
        <f>IFERROR(HistoricalStockProgress[[#This Row],[Cost of Shares]]/HistoricalStockProgress[[#This Row],[No. of Shares]],0)</f>
        <v>112.90555526050157</v>
      </c>
      <c r="H13" s="16" vm="567">
        <v>111.42</v>
      </c>
      <c r="I13" s="16">
        <f>IF(HistoricalStockProgress[[#This Row],[No. of Shares]]&lt;&gt;0,HistoricalStockProgress[[#This Row],[Price of Shares]]*HistoricalStockProgress[[#This Row],[No. of Shares]],0)</f>
        <v>1337.04</v>
      </c>
      <c r="J13" s="16">
        <f>IF(HistoricalStockProgress[[#This Row],[No. of Shares]]&lt;&gt;0,HistoricalStockProgress[[#This Row],[Price of Shares]]-HistoricalStockProgress[[#This Row],[Cost of Shares]]/HistoricalStockProgress[[#This Row],[No. of Shares]],0)</f>
        <v>-1.4855552605015703</v>
      </c>
      <c r="K13" s="17">
        <f>IF(HistoricalStockProgress[[#This Row],[Total Price of Shares]]&lt;&gt;0,HistoricalStockProgress[[#This Row],[Total Price of Shares]]-HistoricalStockProgress[[#This Row],[Cost of Shares]],0)</f>
        <v>-17.826663126018957</v>
      </c>
      <c r="L13" s="34" t="b" cm="1">
        <f t="array" ref="L13">IFERROR(IF(HistoricalStockProgress[[#This Row],[Price of Shares]]="",_xlfn.STOCKHISTORY(HistoricalStockProgress[[#This Row],[Full Company Name]],HistoricalStockProgress[[#This Row],[Date]],,2,0,1)),0)</f>
        <v>0</v>
      </c>
      <c r="M13" s="34">
        <f>YEAR(HistoricalStockProgress[[#This Row],[Date]])</f>
        <v>2015</v>
      </c>
      <c r="N13" s="34">
        <f>MONTH(HistoricalStockProgress[[#This Row],[Date]])</f>
        <v>5</v>
      </c>
    </row>
    <row r="14" spans="1:14">
      <c r="B14" s="15">
        <v>42155</v>
      </c>
      <c r="C14" s="34" t="s">
        <v>100</v>
      </c>
      <c r="D14" s="34" t="e" vm="16">
        <f>_xlfn.XLOOKUP(HistoricalStockProgress[[#This Row],[Company Ticker]],CompanyDetailsList[Company Ticker],CompanyDetailsList[Official Name],,0)</f>
        <v>#VALUE!</v>
      </c>
      <c r="E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14" s="17">
        <f>IFERROR(HistoricalStockProgress[[#This Row],[Cost of Shares]]/HistoricalStockProgress[[#This Row],[No. of Shares]],0)</f>
        <v>84.509035134678101</v>
      </c>
      <c r="H14" s="16" vm="568">
        <v>75.73</v>
      </c>
      <c r="I14" s="16">
        <f>IF(HistoricalStockProgress[[#This Row],[No. of Shares]]&lt;&gt;0,HistoricalStockProgress[[#This Row],[Price of Shares]]*HistoricalStockProgress[[#This Row],[No. of Shares]],0)</f>
        <v>2499.09</v>
      </c>
      <c r="J14" s="16">
        <f>IF(HistoricalStockProgress[[#This Row],[No. of Shares]]&lt;&gt;0,HistoricalStockProgress[[#This Row],[Price of Shares]]-HistoricalStockProgress[[#This Row],[Cost of Shares]]/HistoricalStockProgress[[#This Row],[No. of Shares]],0)</f>
        <v>-8.7790351346780966</v>
      </c>
      <c r="K14" s="17">
        <f>IF(HistoricalStockProgress[[#This Row],[Total Price of Shares]]&lt;&gt;0,HistoricalStockProgress[[#This Row],[Total Price of Shares]]-HistoricalStockProgress[[#This Row],[Cost of Shares]],0)</f>
        <v>-289.70815944437709</v>
      </c>
      <c r="L14" s="34" t="b" cm="1">
        <f t="array" ref="L14">IFERROR(IF(HistoricalStockProgress[[#This Row],[Price of Shares]]="",_xlfn.STOCKHISTORY(HistoricalStockProgress[[#This Row],[Full Company Name]],HistoricalStockProgress[[#This Row],[Date]],,2,0,1)),0)</f>
        <v>0</v>
      </c>
      <c r="M14" s="34">
        <f>YEAR(HistoricalStockProgress[[#This Row],[Date]])</f>
        <v>2015</v>
      </c>
      <c r="N14" s="34">
        <f>MONTH(HistoricalStockProgress[[#This Row],[Date]])</f>
        <v>5</v>
      </c>
    </row>
    <row r="15" spans="1:14">
      <c r="B15" s="15">
        <v>42155</v>
      </c>
      <c r="C15" s="34" t="s">
        <v>15</v>
      </c>
      <c r="D15" s="34" t="e" vm="17">
        <f>_xlfn.XLOOKUP(HistoricalStockProgress[[#This Row],[Company Ticker]],CompanyDetailsList[Company Ticker],CompanyDetailsList[Official Name],,0)</f>
        <v>#VALUE!</v>
      </c>
      <c r="E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759.62578583772438</v>
      </c>
      <c r="G15" s="17">
        <f>IFERROR(HistoricalStockProgress[[#This Row],[Cost of Shares]]/HistoricalStockProgress[[#This Row],[No. of Shares]],0)</f>
        <v>26.193992615093943</v>
      </c>
      <c r="H15" s="16" vm="569">
        <v>26.0839</v>
      </c>
      <c r="I15" s="16">
        <f>IF(HistoricalStockProgress[[#This Row],[No. of Shares]]&lt;&gt;0,HistoricalStockProgress[[#This Row],[Price of Shares]]*HistoricalStockProgress[[#This Row],[No. of Shares]],0)</f>
        <v>756.43309999999997</v>
      </c>
      <c r="J15" s="16">
        <f>IF(HistoricalStockProgress[[#This Row],[No. of Shares]]&lt;&gt;0,HistoricalStockProgress[[#This Row],[Price of Shares]]-HistoricalStockProgress[[#This Row],[Cost of Shares]]/HistoricalStockProgress[[#This Row],[No. of Shares]],0)</f>
        <v>-0.11009261509394364</v>
      </c>
      <c r="K15" s="17">
        <f>IF(HistoricalStockProgress[[#This Row],[Total Price of Shares]]&lt;&gt;0,HistoricalStockProgress[[#This Row],[Total Price of Shares]]-HistoricalStockProgress[[#This Row],[Cost of Shares]],0)</f>
        <v>-3.1926858377244116</v>
      </c>
      <c r="L15" s="34" t="b" cm="1">
        <f t="array" ref="L15">IFERROR(IF(HistoricalStockProgress[[#This Row],[Price of Shares]]="",_xlfn.STOCKHISTORY(HistoricalStockProgress[[#This Row],[Full Company Name]],HistoricalStockProgress[[#This Row],[Date]],,2,0,1)),0)</f>
        <v>0</v>
      </c>
      <c r="M15" s="34">
        <f>YEAR(HistoricalStockProgress[[#This Row],[Date]])</f>
        <v>2015</v>
      </c>
      <c r="N15" s="34">
        <f>MONTH(HistoricalStockProgress[[#This Row],[Date]])</f>
        <v>5</v>
      </c>
    </row>
    <row r="16" spans="1:14">
      <c r="B16" s="15">
        <v>42155</v>
      </c>
      <c r="C16" s="34" t="s">
        <v>13</v>
      </c>
      <c r="D16" s="34" t="e" vm="18">
        <f>_xlfn.XLOOKUP(HistoricalStockProgress[[#This Row],[Company Ticker]],CompanyDetailsList[Company Ticker],CompanyDetailsList[Official Name],,0)</f>
        <v>#VALUE!</v>
      </c>
      <c r="E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16" s="17">
        <f>IFERROR(HistoricalStockProgress[[#This Row],[Cost of Shares]]/HistoricalStockProgress[[#This Row],[No. of Shares]],0)</f>
        <v>30.916275141190898</v>
      </c>
      <c r="H16" s="16" vm="570">
        <v>32.941299999999998</v>
      </c>
      <c r="I16" s="16">
        <f>IF(HistoricalStockProgress[[#This Row],[No. of Shares]]&lt;&gt;0,HistoricalStockProgress[[#This Row],[Price of Shares]]*HistoricalStockProgress[[#This Row],[No. of Shares]],0)</f>
        <v>362.35429999999997</v>
      </c>
      <c r="J16" s="16">
        <f>IF(HistoricalStockProgress[[#This Row],[No. of Shares]]&lt;&gt;0,HistoricalStockProgress[[#This Row],[Price of Shares]]-HistoricalStockProgress[[#This Row],[Cost of Shares]]/HistoricalStockProgress[[#This Row],[No. of Shares]],0)</f>
        <v>2.0250248588091004</v>
      </c>
      <c r="K16" s="17">
        <f>IF(HistoricalStockProgress[[#This Row],[Total Price of Shares]]&lt;&gt;0,HistoricalStockProgress[[#This Row],[Total Price of Shares]]-HistoricalStockProgress[[#This Row],[Cost of Shares]],0)</f>
        <v>22.275273446900087</v>
      </c>
      <c r="L16" s="34" t="b" cm="1">
        <f t="array" ref="L16">IFERROR(IF(HistoricalStockProgress[[#This Row],[Price of Shares]]="",_xlfn.STOCKHISTORY(HistoricalStockProgress[[#This Row],[Full Company Name]],HistoricalStockProgress[[#This Row],[Date]],,2,0,1)),0)</f>
        <v>0</v>
      </c>
      <c r="M16" s="34">
        <f>YEAR(HistoricalStockProgress[[#This Row],[Date]])</f>
        <v>2015</v>
      </c>
      <c r="N16" s="34">
        <f>MONTH(HistoricalStockProgress[[#This Row],[Date]])</f>
        <v>5</v>
      </c>
    </row>
    <row r="17" spans="2:14">
      <c r="B17" s="15">
        <v>42185</v>
      </c>
      <c r="C17" s="34" t="s">
        <v>22</v>
      </c>
      <c r="D17" s="34" t="e" vm="10">
        <f>_xlfn.XLOOKUP(HistoricalStockProgress[[#This Row],[Company Ticker]],CompanyDetailsList[Company Ticker],CompanyDetailsList[Official Name],,0)</f>
        <v>#VALUE!</v>
      </c>
      <c r="E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22</v>
      </c>
      <c r="F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1793.9720224225266</v>
      </c>
      <c r="G17" s="17">
        <f>IFERROR(HistoricalStockProgress[[#This Row],[Cost of Shares]]/HistoricalStockProgress[[#This Row],[No. of Shares]],0)</f>
        <v>81.544182837387567</v>
      </c>
      <c r="H17" s="16" vm="571">
        <v>84.82</v>
      </c>
      <c r="I17" s="16">
        <f>IF(HistoricalStockProgress[[#This Row],[No. of Shares]]&lt;&gt;0,HistoricalStockProgress[[#This Row],[Price of Shares]]*HistoricalStockProgress[[#This Row],[No. of Shares]],0)</f>
        <v>1866.04</v>
      </c>
      <c r="J17" s="16">
        <f>IF(HistoricalStockProgress[[#This Row],[No. of Shares]]&lt;&gt;0,HistoricalStockProgress[[#This Row],[Price of Shares]]-HistoricalStockProgress[[#This Row],[Cost of Shares]]/HistoricalStockProgress[[#This Row],[No. of Shares]],0)</f>
        <v>3.2758171626124266</v>
      </c>
      <c r="K17" s="17">
        <f>IF(HistoricalStockProgress[[#This Row],[Total Price of Shares]]&lt;&gt;0,HistoricalStockProgress[[#This Row],[Total Price of Shares]]-HistoricalStockProgress[[#This Row],[Cost of Shares]],0)</f>
        <v>72.067977577473357</v>
      </c>
      <c r="L17" s="34" t="b" cm="1">
        <f t="array" ref="L17">IFERROR(IF(HistoricalStockProgress[[#This Row],[Price of Shares]]="",_xlfn.STOCKHISTORY(HistoricalStockProgress[[#This Row],[Full Company Name]],HistoricalStockProgress[[#This Row],[Date]],,2,0,1)),0)</f>
        <v>0</v>
      </c>
      <c r="M17" s="34">
        <f>YEAR(HistoricalStockProgress[[#This Row],[Date]])</f>
        <v>2015</v>
      </c>
      <c r="N17" s="34">
        <f>MONTH(HistoricalStockProgress[[#This Row],[Date]])</f>
        <v>6</v>
      </c>
    </row>
    <row r="18" spans="2:14">
      <c r="B18" s="15">
        <v>42185</v>
      </c>
      <c r="C18" s="34" t="s">
        <v>95</v>
      </c>
      <c r="D18" s="34" t="e" vm="13">
        <f>_xlfn.XLOOKUP(HistoricalStockProgress[[#This Row],[Company Ticker]],CompanyDetailsList[Company Ticker],CompanyDetailsList[Official Name],,0)</f>
        <v>#VALUE!</v>
      </c>
      <c r="E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18" s="17">
        <f>IFERROR(HistoricalStockProgress[[#This Row],[Cost of Shares]]/HistoricalStockProgress[[#This Row],[No. of Shares]],0)</f>
        <v>112.90555526050157</v>
      </c>
      <c r="H18" s="16" vm="572">
        <v>111.13</v>
      </c>
      <c r="I18" s="16">
        <f>IF(HistoricalStockProgress[[#This Row],[No. of Shares]]&lt;&gt;0,HistoricalStockProgress[[#This Row],[Price of Shares]]*HistoricalStockProgress[[#This Row],[No. of Shares]],0)</f>
        <v>1333.56</v>
      </c>
      <c r="J18" s="16">
        <f>IF(HistoricalStockProgress[[#This Row],[No. of Shares]]&lt;&gt;0,HistoricalStockProgress[[#This Row],[Price of Shares]]-HistoricalStockProgress[[#This Row],[Cost of Shares]]/HistoricalStockProgress[[#This Row],[No. of Shares]],0)</f>
        <v>-1.7755552605015765</v>
      </c>
      <c r="K18" s="17">
        <f>IF(HistoricalStockProgress[[#This Row],[Total Price of Shares]]&lt;&gt;0,HistoricalStockProgress[[#This Row],[Total Price of Shares]]-HistoricalStockProgress[[#This Row],[Cost of Shares]],0)</f>
        <v>-21.306663126018975</v>
      </c>
      <c r="L18" s="34" t="b" cm="1">
        <f t="array" ref="L18">IFERROR(IF(HistoricalStockProgress[[#This Row],[Price of Shares]]="",_xlfn.STOCKHISTORY(HistoricalStockProgress[[#This Row],[Full Company Name]],HistoricalStockProgress[[#This Row],[Date]],,2,0,1)),0)</f>
        <v>0</v>
      </c>
      <c r="M18" s="34">
        <f>YEAR(HistoricalStockProgress[[#This Row],[Date]])</f>
        <v>2015</v>
      </c>
      <c r="N18" s="34">
        <f>MONTH(HistoricalStockProgress[[#This Row],[Date]])</f>
        <v>6</v>
      </c>
    </row>
    <row r="19" spans="2:14">
      <c r="B19" s="15">
        <v>42185</v>
      </c>
      <c r="C19" s="34" t="s">
        <v>100</v>
      </c>
      <c r="D19" s="34" t="e" vm="16">
        <f>_xlfn.XLOOKUP(HistoricalStockProgress[[#This Row],[Company Ticker]],CompanyDetailsList[Company Ticker],CompanyDetailsList[Official Name],,0)</f>
        <v>#VALUE!</v>
      </c>
      <c r="E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19" s="17">
        <f>IFERROR(HistoricalStockProgress[[#This Row],[Cost of Shares]]/HistoricalStockProgress[[#This Row],[No. of Shares]],0)</f>
        <v>84.509035134678101</v>
      </c>
      <c r="H19" s="16" vm="573">
        <v>70.62</v>
      </c>
      <c r="I19" s="16">
        <f>IF(HistoricalStockProgress[[#This Row],[No. of Shares]]&lt;&gt;0,HistoricalStockProgress[[#This Row],[Price of Shares]]*HistoricalStockProgress[[#This Row],[No. of Shares]],0)</f>
        <v>2330.46</v>
      </c>
      <c r="J19" s="16">
        <f>IF(HistoricalStockProgress[[#This Row],[No. of Shares]]&lt;&gt;0,HistoricalStockProgress[[#This Row],[Price of Shares]]-HistoricalStockProgress[[#This Row],[Cost of Shares]]/HistoricalStockProgress[[#This Row],[No. of Shares]],0)</f>
        <v>-13.889035134678096</v>
      </c>
      <c r="K19" s="17">
        <f>IF(HistoricalStockProgress[[#This Row],[Total Price of Shares]]&lt;&gt;0,HistoricalStockProgress[[#This Row],[Total Price of Shares]]-HistoricalStockProgress[[#This Row],[Cost of Shares]],0)</f>
        <v>-458.3381594443772</v>
      </c>
      <c r="L19" s="34" t="b" cm="1">
        <f t="array" ref="L19">IFERROR(IF(HistoricalStockProgress[[#This Row],[Price of Shares]]="",_xlfn.STOCKHISTORY(HistoricalStockProgress[[#This Row],[Full Company Name]],HistoricalStockProgress[[#This Row],[Date]],,2,0,1)),0)</f>
        <v>0</v>
      </c>
      <c r="M19" s="34">
        <f>YEAR(HistoricalStockProgress[[#This Row],[Date]])</f>
        <v>2015</v>
      </c>
      <c r="N19" s="34">
        <f>MONTH(HistoricalStockProgress[[#This Row],[Date]])</f>
        <v>6</v>
      </c>
    </row>
    <row r="20" spans="2:14">
      <c r="B20" s="15">
        <v>42185</v>
      </c>
      <c r="C20" s="34" t="s">
        <v>15</v>
      </c>
      <c r="D20" s="34" t="e" vm="17">
        <f>_xlfn.XLOOKUP(HistoricalStockProgress[[#This Row],[Company Ticker]],CompanyDetailsList[Company Ticker],CompanyDetailsList[Official Name],,0)</f>
        <v>#VALUE!</v>
      </c>
      <c r="E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759.62578583772438</v>
      </c>
      <c r="G20" s="17">
        <f>IFERROR(HistoricalStockProgress[[#This Row],[Cost of Shares]]/HistoricalStockProgress[[#This Row],[No. of Shares]],0)</f>
        <v>26.193992615093943</v>
      </c>
      <c r="H20" s="16" vm="574">
        <v>26.824000000000002</v>
      </c>
      <c r="I20" s="16">
        <f>IF(HistoricalStockProgress[[#This Row],[No. of Shares]]&lt;&gt;0,HistoricalStockProgress[[#This Row],[Price of Shares]]*HistoricalStockProgress[[#This Row],[No. of Shares]],0)</f>
        <v>777.89600000000007</v>
      </c>
      <c r="J20" s="16">
        <f>IF(HistoricalStockProgress[[#This Row],[No. of Shares]]&lt;&gt;0,HistoricalStockProgress[[#This Row],[Price of Shares]]-HistoricalStockProgress[[#This Row],[Cost of Shares]]/HistoricalStockProgress[[#This Row],[No. of Shares]],0)</f>
        <v>0.63000738490605812</v>
      </c>
      <c r="K20" s="17">
        <f>IF(HistoricalStockProgress[[#This Row],[Total Price of Shares]]&lt;&gt;0,HistoricalStockProgress[[#This Row],[Total Price of Shares]]-HistoricalStockProgress[[#This Row],[Cost of Shares]],0)</f>
        <v>18.270214162275693</v>
      </c>
      <c r="L20" s="34" t="b" cm="1">
        <f t="array" ref="L20">IFERROR(IF(HistoricalStockProgress[[#This Row],[Price of Shares]]="",_xlfn.STOCKHISTORY(HistoricalStockProgress[[#This Row],[Full Company Name]],HistoricalStockProgress[[#This Row],[Date]],,2,0,1)),0)</f>
        <v>0</v>
      </c>
      <c r="M20" s="34">
        <f>YEAR(HistoricalStockProgress[[#This Row],[Date]])</f>
        <v>2015</v>
      </c>
      <c r="N20" s="34">
        <f>MONTH(HistoricalStockProgress[[#This Row],[Date]])</f>
        <v>6</v>
      </c>
    </row>
    <row r="21" spans="2:14">
      <c r="B21" s="15">
        <v>42185</v>
      </c>
      <c r="C21" s="34" t="s">
        <v>13</v>
      </c>
      <c r="D21" s="34" t="e" vm="18">
        <f>_xlfn.XLOOKUP(HistoricalStockProgress[[#This Row],[Company Ticker]],CompanyDetailsList[Company Ticker],CompanyDetailsList[Official Name],,0)</f>
        <v>#VALUE!</v>
      </c>
      <c r="E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21" s="17">
        <f>IFERROR(HistoricalStockProgress[[#This Row],[Cost of Shares]]/HistoricalStockProgress[[#This Row],[No. of Shares]],0)</f>
        <v>30.916275141190898</v>
      </c>
      <c r="H21" s="16" vm="575">
        <v>31.784800000000001</v>
      </c>
      <c r="I21" s="16">
        <f>IF(HistoricalStockProgress[[#This Row],[No. of Shares]]&lt;&gt;0,HistoricalStockProgress[[#This Row],[Price of Shares]]*HistoricalStockProgress[[#This Row],[No. of Shares]],0)</f>
        <v>349.63280000000003</v>
      </c>
      <c r="J21" s="16">
        <f>IF(HistoricalStockProgress[[#This Row],[No. of Shares]]&lt;&gt;0,HistoricalStockProgress[[#This Row],[Price of Shares]]-HistoricalStockProgress[[#This Row],[Cost of Shares]]/HistoricalStockProgress[[#This Row],[No. of Shares]],0)</f>
        <v>0.8685248588091028</v>
      </c>
      <c r="K21" s="17">
        <f>IF(HistoricalStockProgress[[#This Row],[Total Price of Shares]]&lt;&gt;0,HistoricalStockProgress[[#This Row],[Total Price of Shares]]-HistoricalStockProgress[[#This Row],[Cost of Shares]],0)</f>
        <v>9.5537734469001521</v>
      </c>
      <c r="L21" s="34" t="b" cm="1">
        <f t="array" ref="L21">IFERROR(IF(HistoricalStockProgress[[#This Row],[Price of Shares]]="",_xlfn.STOCKHISTORY(HistoricalStockProgress[[#This Row],[Full Company Name]],HistoricalStockProgress[[#This Row],[Date]],,2,0,1)),0)</f>
        <v>0</v>
      </c>
      <c r="M21" s="34">
        <f>YEAR(HistoricalStockProgress[[#This Row],[Date]])</f>
        <v>2015</v>
      </c>
      <c r="N21" s="34">
        <f>MONTH(HistoricalStockProgress[[#This Row],[Date]])</f>
        <v>6</v>
      </c>
    </row>
    <row r="22" spans="2:14">
      <c r="B22" s="15">
        <v>42216</v>
      </c>
      <c r="C22" s="34" t="s">
        <v>22</v>
      </c>
      <c r="D22" s="34" t="e" vm="10">
        <f>_xlfn.XLOOKUP(HistoricalStockProgress[[#This Row],[Company Ticker]],CompanyDetailsList[Company Ticker],CompanyDetailsList[Official Name],,0)</f>
        <v>#VALUE!</v>
      </c>
      <c r="E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22</v>
      </c>
      <c r="F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1793.9720224225266</v>
      </c>
      <c r="G22" s="17">
        <f>IFERROR(HistoricalStockProgress[[#This Row],[Cost of Shares]]/HistoricalStockProgress[[#This Row],[No. of Shares]],0)</f>
        <v>81.544182837387567</v>
      </c>
      <c r="H22" s="16" vm="576">
        <v>78.63</v>
      </c>
      <c r="I22" s="16">
        <f>IF(HistoricalStockProgress[[#This Row],[No. of Shares]]&lt;&gt;0,HistoricalStockProgress[[#This Row],[Price of Shares]]*HistoricalStockProgress[[#This Row],[No. of Shares]],0)</f>
        <v>1729.86</v>
      </c>
      <c r="J22" s="16">
        <f>IF(HistoricalStockProgress[[#This Row],[No. of Shares]]&lt;&gt;0,HistoricalStockProgress[[#This Row],[Price of Shares]]-HistoricalStockProgress[[#This Row],[Cost of Shares]]/HistoricalStockProgress[[#This Row],[No. of Shares]],0)</f>
        <v>-2.9141828373875711</v>
      </c>
      <c r="K22" s="17">
        <f>IF(HistoricalStockProgress[[#This Row],[Total Price of Shares]]&lt;&gt;0,HistoricalStockProgress[[#This Row],[Total Price of Shares]]-HistoricalStockProgress[[#This Row],[Cost of Shares]],0)</f>
        <v>-64.112022422526707</v>
      </c>
      <c r="L22" s="34" t="b" cm="1">
        <f t="array" ref="L22">IFERROR(IF(HistoricalStockProgress[[#This Row],[Price of Shares]]="",_xlfn.STOCKHISTORY(HistoricalStockProgress[[#This Row],[Full Company Name]],HistoricalStockProgress[[#This Row],[Date]],,2,0,1)),0)</f>
        <v>0</v>
      </c>
      <c r="M22" s="34">
        <f>YEAR(HistoricalStockProgress[[#This Row],[Date]])</f>
        <v>2015</v>
      </c>
      <c r="N22" s="34">
        <f>MONTH(HistoricalStockProgress[[#This Row],[Date]])</f>
        <v>7</v>
      </c>
    </row>
    <row r="23" spans="2:14">
      <c r="B23" s="15">
        <v>42216</v>
      </c>
      <c r="C23" s="34" t="s">
        <v>95</v>
      </c>
      <c r="D23" s="34" t="e" vm="13">
        <f>_xlfn.XLOOKUP(HistoricalStockProgress[[#This Row],[Company Ticker]],CompanyDetailsList[Company Ticker],CompanyDetailsList[Official Name],,0)</f>
        <v>#VALUE!</v>
      </c>
      <c r="E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23" s="17">
        <f>IFERROR(HistoricalStockProgress[[#This Row],[Cost of Shares]]/HistoricalStockProgress[[#This Row],[No. of Shares]],0)</f>
        <v>112.90555526050157</v>
      </c>
      <c r="H23" s="16" vm="577">
        <v>117.03</v>
      </c>
      <c r="I23" s="16">
        <f>IF(HistoricalStockProgress[[#This Row],[No. of Shares]]&lt;&gt;0,HistoricalStockProgress[[#This Row],[Price of Shares]]*HistoricalStockProgress[[#This Row],[No. of Shares]],0)</f>
        <v>1404.3600000000001</v>
      </c>
      <c r="J23" s="16">
        <f>IF(HistoricalStockProgress[[#This Row],[No. of Shares]]&lt;&gt;0,HistoricalStockProgress[[#This Row],[Price of Shares]]-HistoricalStockProgress[[#This Row],[Cost of Shares]]/HistoricalStockProgress[[#This Row],[No. of Shares]],0)</f>
        <v>4.1244447394984292</v>
      </c>
      <c r="K23" s="17">
        <f>IF(HistoricalStockProgress[[#This Row],[Total Price of Shares]]&lt;&gt;0,HistoricalStockProgress[[#This Row],[Total Price of Shares]]-HistoricalStockProgress[[#This Row],[Cost of Shares]],0)</f>
        <v>49.493336873981207</v>
      </c>
      <c r="L23" s="34" t="b" cm="1">
        <f t="array" ref="L23">IFERROR(IF(HistoricalStockProgress[[#This Row],[Price of Shares]]="",_xlfn.STOCKHISTORY(HistoricalStockProgress[[#This Row],[Full Company Name]],HistoricalStockProgress[[#This Row],[Date]],,2,0,1)),0)</f>
        <v>0</v>
      </c>
      <c r="M23" s="34">
        <f>YEAR(HistoricalStockProgress[[#This Row],[Date]])</f>
        <v>2015</v>
      </c>
      <c r="N23" s="34">
        <f>MONTH(HistoricalStockProgress[[#This Row],[Date]])</f>
        <v>7</v>
      </c>
    </row>
    <row r="24" spans="2:14">
      <c r="B24" s="15">
        <v>42216</v>
      </c>
      <c r="C24" s="34" t="s">
        <v>100</v>
      </c>
      <c r="D24" s="34" t="e" vm="16">
        <f>_xlfn.XLOOKUP(HistoricalStockProgress[[#This Row],[Company Ticker]],CompanyDetailsList[Company Ticker],CompanyDetailsList[Official Name],,0)</f>
        <v>#VALUE!</v>
      </c>
      <c r="E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24" s="17">
        <f>IFERROR(HistoricalStockProgress[[#This Row],[Cost of Shares]]/HistoricalStockProgress[[#This Row],[No. of Shares]],0)</f>
        <v>84.509035134678101</v>
      </c>
      <c r="H24" s="16" vm="578">
        <v>74.22</v>
      </c>
      <c r="I24" s="16">
        <f>IF(HistoricalStockProgress[[#This Row],[No. of Shares]]&lt;&gt;0,HistoricalStockProgress[[#This Row],[Price of Shares]]*HistoricalStockProgress[[#This Row],[No. of Shares]],0)</f>
        <v>2449.2599999999998</v>
      </c>
      <c r="J24" s="16">
        <f>IF(HistoricalStockProgress[[#This Row],[No. of Shares]]&lt;&gt;0,HistoricalStockProgress[[#This Row],[Price of Shares]]-HistoricalStockProgress[[#This Row],[Cost of Shares]]/HistoricalStockProgress[[#This Row],[No. of Shares]],0)</f>
        <v>-10.289035134678102</v>
      </c>
      <c r="K24" s="17">
        <f>IF(HistoricalStockProgress[[#This Row],[Total Price of Shares]]&lt;&gt;0,HistoricalStockProgress[[#This Row],[Total Price of Shares]]-HistoricalStockProgress[[#This Row],[Cost of Shares]],0)</f>
        <v>-339.53815944437747</v>
      </c>
      <c r="L24" s="34" t="b" cm="1">
        <f t="array" ref="L24">IFERROR(IF(HistoricalStockProgress[[#This Row],[Price of Shares]]="",_xlfn.STOCKHISTORY(HistoricalStockProgress[[#This Row],[Full Company Name]],HistoricalStockProgress[[#This Row],[Date]],,2,0,1)),0)</f>
        <v>0</v>
      </c>
      <c r="M24" s="34">
        <f>YEAR(HistoricalStockProgress[[#This Row],[Date]])</f>
        <v>2015</v>
      </c>
      <c r="N24" s="34">
        <f>MONTH(HistoricalStockProgress[[#This Row],[Date]])</f>
        <v>7</v>
      </c>
    </row>
    <row r="25" spans="2:14">
      <c r="B25" s="15">
        <v>42216</v>
      </c>
      <c r="C25" s="34" t="s">
        <v>15</v>
      </c>
      <c r="D25" s="34" t="e" vm="17">
        <f>_xlfn.XLOOKUP(HistoricalStockProgress[[#This Row],[Company Ticker]],CompanyDetailsList[Company Ticker],CompanyDetailsList[Official Name],,0)</f>
        <v>#VALUE!</v>
      </c>
      <c r="E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39</v>
      </c>
      <c r="F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1028.6578017248146</v>
      </c>
      <c r="G25" s="17">
        <f>IFERROR(HistoricalStockProgress[[#This Row],[Cost of Shares]]/HistoricalStockProgress[[#This Row],[No. of Shares]],0)</f>
        <v>26.37584106986704</v>
      </c>
      <c r="H25" s="16" vm="579">
        <v>26.234999999999999</v>
      </c>
      <c r="I25" s="16">
        <f>IF(HistoricalStockProgress[[#This Row],[No. of Shares]]&lt;&gt;0,HistoricalStockProgress[[#This Row],[Price of Shares]]*HistoricalStockProgress[[#This Row],[No. of Shares]],0)</f>
        <v>1023.165</v>
      </c>
      <c r="J25" s="16">
        <f>IF(HistoricalStockProgress[[#This Row],[No. of Shares]]&lt;&gt;0,HistoricalStockProgress[[#This Row],[Price of Shares]]-HistoricalStockProgress[[#This Row],[Cost of Shares]]/HistoricalStockProgress[[#This Row],[No. of Shares]],0)</f>
        <v>-0.14084106986704015</v>
      </c>
      <c r="K25" s="17">
        <f>IF(HistoricalStockProgress[[#This Row],[Total Price of Shares]]&lt;&gt;0,HistoricalStockProgress[[#This Row],[Total Price of Shares]]-HistoricalStockProgress[[#This Row],[Cost of Shares]],0)</f>
        <v>-5.4928017248146261</v>
      </c>
      <c r="L25" s="34" t="b" cm="1">
        <f t="array" ref="L25">IFERROR(IF(HistoricalStockProgress[[#This Row],[Price of Shares]]="",_xlfn.STOCKHISTORY(HistoricalStockProgress[[#This Row],[Full Company Name]],HistoricalStockProgress[[#This Row],[Date]],,2,0,1)),0)</f>
        <v>0</v>
      </c>
      <c r="M25" s="34">
        <f>YEAR(HistoricalStockProgress[[#This Row],[Date]])</f>
        <v>2015</v>
      </c>
      <c r="N25" s="34">
        <f>MONTH(HistoricalStockProgress[[#This Row],[Date]])</f>
        <v>7</v>
      </c>
    </row>
    <row r="26" spans="2:14">
      <c r="B26" s="15">
        <v>42216</v>
      </c>
      <c r="C26" s="34" t="s">
        <v>13</v>
      </c>
      <c r="D26" s="34" t="e" vm="18">
        <f>_xlfn.XLOOKUP(HistoricalStockProgress[[#This Row],[Company Ticker]],CompanyDetailsList[Company Ticker],CompanyDetailsList[Official Name],,0)</f>
        <v>#VALUE!</v>
      </c>
      <c r="E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26" s="17">
        <f>IFERROR(HistoricalStockProgress[[#This Row],[Cost of Shares]]/HistoricalStockProgress[[#This Row],[No. of Shares]],0)</f>
        <v>30.916275141190898</v>
      </c>
      <c r="H26" s="16" vm="580">
        <v>34.183100000000003</v>
      </c>
      <c r="I26" s="16">
        <f>IF(HistoricalStockProgress[[#This Row],[No. of Shares]]&lt;&gt;0,HistoricalStockProgress[[#This Row],[Price of Shares]]*HistoricalStockProgress[[#This Row],[No. of Shares]],0)</f>
        <v>376.01410000000004</v>
      </c>
      <c r="J26" s="16">
        <f>IF(HistoricalStockProgress[[#This Row],[No. of Shares]]&lt;&gt;0,HistoricalStockProgress[[#This Row],[Price of Shares]]-HistoricalStockProgress[[#This Row],[Cost of Shares]]/HistoricalStockProgress[[#This Row],[No. of Shares]],0)</f>
        <v>3.2668248588091053</v>
      </c>
      <c r="K26" s="17">
        <f>IF(HistoricalStockProgress[[#This Row],[Total Price of Shares]]&lt;&gt;0,HistoricalStockProgress[[#This Row],[Total Price of Shares]]-HistoricalStockProgress[[#This Row],[Cost of Shares]],0)</f>
        <v>35.935073446900162</v>
      </c>
      <c r="L26" s="34" t="b" cm="1">
        <f t="array" ref="L26">IFERROR(IF(HistoricalStockProgress[[#This Row],[Price of Shares]]="",_xlfn.STOCKHISTORY(HistoricalStockProgress[[#This Row],[Full Company Name]],HistoricalStockProgress[[#This Row],[Date]],,2,0,1)),0)</f>
        <v>0</v>
      </c>
      <c r="M26" s="34">
        <f>YEAR(HistoricalStockProgress[[#This Row],[Date]])</f>
        <v>2015</v>
      </c>
      <c r="N26" s="34">
        <f>MONTH(HistoricalStockProgress[[#This Row],[Date]])</f>
        <v>7</v>
      </c>
    </row>
    <row r="27" spans="2:14">
      <c r="B27" s="15">
        <v>42247</v>
      </c>
      <c r="C27" s="34" t="s">
        <v>22</v>
      </c>
      <c r="D27" s="34" t="e" vm="10">
        <f>_xlfn.XLOOKUP(HistoricalStockProgress[[#This Row],[Company Ticker]],CompanyDetailsList[Company Ticker],CompanyDetailsList[Official Name],,0)</f>
        <v>#VALUE!</v>
      </c>
      <c r="E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22</v>
      </c>
      <c r="F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1793.9720224225266</v>
      </c>
      <c r="G27" s="17">
        <f>IFERROR(HistoricalStockProgress[[#This Row],[Cost of Shares]]/HistoricalStockProgress[[#This Row],[No. of Shares]],0)</f>
        <v>81.544182837387567</v>
      </c>
      <c r="H27" s="16" vm="581">
        <v>76.44</v>
      </c>
      <c r="I27" s="16">
        <f>IF(HistoricalStockProgress[[#This Row],[No. of Shares]]&lt;&gt;0,HistoricalStockProgress[[#This Row],[Price of Shares]]*HistoricalStockProgress[[#This Row],[No. of Shares]],0)</f>
        <v>1681.6799999999998</v>
      </c>
      <c r="J27" s="16">
        <f>IF(HistoricalStockProgress[[#This Row],[No. of Shares]]&lt;&gt;0,HistoricalStockProgress[[#This Row],[Price of Shares]]-HistoricalStockProgress[[#This Row],[Cost of Shares]]/HistoricalStockProgress[[#This Row],[No. of Shares]],0)</f>
        <v>-5.1041828373875688</v>
      </c>
      <c r="K27" s="17">
        <f>IF(HistoricalStockProgress[[#This Row],[Total Price of Shares]]&lt;&gt;0,HistoricalStockProgress[[#This Row],[Total Price of Shares]]-HistoricalStockProgress[[#This Row],[Cost of Shares]],0)</f>
        <v>-112.29202242252677</v>
      </c>
      <c r="L27" s="34" t="b" cm="1">
        <f t="array" ref="L27">IFERROR(IF(HistoricalStockProgress[[#This Row],[Price of Shares]]="",_xlfn.STOCKHISTORY(HistoricalStockProgress[[#This Row],[Full Company Name]],HistoricalStockProgress[[#This Row],[Date]],,2,0,1)),0)</f>
        <v>0</v>
      </c>
      <c r="M27" s="34">
        <f>YEAR(HistoricalStockProgress[[#This Row],[Date]])</f>
        <v>2015</v>
      </c>
      <c r="N27" s="34">
        <f>MONTH(HistoricalStockProgress[[#This Row],[Date]])</f>
        <v>8</v>
      </c>
    </row>
    <row r="28" spans="2:14">
      <c r="B28" s="15">
        <v>42247</v>
      </c>
      <c r="C28" s="34" t="s">
        <v>95</v>
      </c>
      <c r="D28" s="34" t="e" vm="13">
        <f>_xlfn.XLOOKUP(HistoricalStockProgress[[#This Row],[Company Ticker]],CompanyDetailsList[Company Ticker],CompanyDetailsList[Official Name],,0)</f>
        <v>#VALUE!</v>
      </c>
      <c r="E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28" s="17">
        <f>IFERROR(HistoricalStockProgress[[#This Row],[Cost of Shares]]/HistoricalStockProgress[[#This Row],[No. of Shares]],0)</f>
        <v>112.90555526050157</v>
      </c>
      <c r="H28" s="16" vm="582">
        <v>116.46</v>
      </c>
      <c r="I28" s="16">
        <f>IF(HistoricalStockProgress[[#This Row],[No. of Shares]]&lt;&gt;0,HistoricalStockProgress[[#This Row],[Price of Shares]]*HistoricalStockProgress[[#This Row],[No. of Shares]],0)</f>
        <v>1397.52</v>
      </c>
      <c r="J28" s="16">
        <f>IF(HistoricalStockProgress[[#This Row],[No. of Shares]]&lt;&gt;0,HistoricalStockProgress[[#This Row],[Price of Shares]]-HistoricalStockProgress[[#This Row],[Cost of Shares]]/HistoricalStockProgress[[#This Row],[No. of Shares]],0)</f>
        <v>3.5544447394984218</v>
      </c>
      <c r="K28" s="17">
        <f>IF(HistoricalStockProgress[[#This Row],[Total Price of Shares]]&lt;&gt;0,HistoricalStockProgress[[#This Row],[Total Price of Shares]]-HistoricalStockProgress[[#This Row],[Cost of Shares]],0)</f>
        <v>42.653336873981061</v>
      </c>
      <c r="L28" s="34" t="b" cm="1">
        <f t="array" ref="L28">IFERROR(IF(HistoricalStockProgress[[#This Row],[Price of Shares]]="",_xlfn.STOCKHISTORY(HistoricalStockProgress[[#This Row],[Full Company Name]],HistoricalStockProgress[[#This Row],[Date]],,2,0,1)),0)</f>
        <v>0</v>
      </c>
      <c r="M28" s="34">
        <f>YEAR(HistoricalStockProgress[[#This Row],[Date]])</f>
        <v>2015</v>
      </c>
      <c r="N28" s="34">
        <f>MONTH(HistoricalStockProgress[[#This Row],[Date]])</f>
        <v>8</v>
      </c>
    </row>
    <row r="29" spans="2:14">
      <c r="B29" s="15">
        <v>42247</v>
      </c>
      <c r="C29" s="34" t="s">
        <v>100</v>
      </c>
      <c r="D29" s="34" t="e" vm="16">
        <f>_xlfn.XLOOKUP(HistoricalStockProgress[[#This Row],[Company Ticker]],CompanyDetailsList[Company Ticker],CompanyDetailsList[Official Name],,0)</f>
        <v>#VALUE!</v>
      </c>
      <c r="E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29" s="17">
        <f>IFERROR(HistoricalStockProgress[[#This Row],[Cost of Shares]]/HistoricalStockProgress[[#This Row],[No. of Shares]],0)</f>
        <v>84.509035134678101</v>
      </c>
      <c r="H29" s="16" vm="583">
        <v>70.91</v>
      </c>
      <c r="I29" s="16">
        <f>IF(HistoricalStockProgress[[#This Row],[No. of Shares]]&lt;&gt;0,HistoricalStockProgress[[#This Row],[Price of Shares]]*HistoricalStockProgress[[#This Row],[No. of Shares]],0)</f>
        <v>2340.0299999999997</v>
      </c>
      <c r="J29" s="16">
        <f>IF(HistoricalStockProgress[[#This Row],[No. of Shares]]&lt;&gt;0,HistoricalStockProgress[[#This Row],[Price of Shares]]-HistoricalStockProgress[[#This Row],[Cost of Shares]]/HistoricalStockProgress[[#This Row],[No. of Shares]],0)</f>
        <v>-13.599035134678104</v>
      </c>
      <c r="K29" s="17">
        <f>IF(HistoricalStockProgress[[#This Row],[Total Price of Shares]]&lt;&gt;0,HistoricalStockProgress[[#This Row],[Total Price of Shares]]-HistoricalStockProgress[[#This Row],[Cost of Shares]],0)</f>
        <v>-448.76815944437749</v>
      </c>
      <c r="L29" s="34" t="b" cm="1">
        <f t="array" ref="L29">IFERROR(IF(HistoricalStockProgress[[#This Row],[Price of Shares]]="",_xlfn.STOCKHISTORY(HistoricalStockProgress[[#This Row],[Full Company Name]],HistoricalStockProgress[[#This Row],[Date]],,2,0,1)),0)</f>
        <v>0</v>
      </c>
      <c r="M29" s="34">
        <f>YEAR(HistoricalStockProgress[[#This Row],[Date]])</f>
        <v>2015</v>
      </c>
      <c r="N29" s="34">
        <f>MONTH(HistoricalStockProgress[[#This Row],[Date]])</f>
        <v>8</v>
      </c>
    </row>
    <row r="30" spans="2:14">
      <c r="B30" s="15">
        <v>42247</v>
      </c>
      <c r="C30" s="34" t="s">
        <v>15</v>
      </c>
      <c r="D30" s="34" t="e" vm="17">
        <f>_xlfn.XLOOKUP(HistoricalStockProgress[[#This Row],[Company Ticker]],CompanyDetailsList[Company Ticker],CompanyDetailsList[Official Name],,0)</f>
        <v>#VALUE!</v>
      </c>
      <c r="E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39</v>
      </c>
      <c r="F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1028.6578017248146</v>
      </c>
      <c r="G30" s="17">
        <f>IFERROR(HistoricalStockProgress[[#This Row],[Cost of Shares]]/HistoricalStockProgress[[#This Row],[No. of Shares]],0)</f>
        <v>26.37584106986704</v>
      </c>
      <c r="H30" s="16" vm="584">
        <v>25.071999999999999</v>
      </c>
      <c r="I30" s="16">
        <f>IF(HistoricalStockProgress[[#This Row],[No. of Shares]]&lt;&gt;0,HistoricalStockProgress[[#This Row],[Price of Shares]]*HistoricalStockProgress[[#This Row],[No. of Shares]],0)</f>
        <v>977.80799999999999</v>
      </c>
      <c r="J30" s="16">
        <f>IF(HistoricalStockProgress[[#This Row],[No. of Shares]]&lt;&gt;0,HistoricalStockProgress[[#This Row],[Price of Shares]]-HistoricalStockProgress[[#This Row],[Cost of Shares]]/HistoricalStockProgress[[#This Row],[No. of Shares]],0)</f>
        <v>-1.3038410698670404</v>
      </c>
      <c r="K30" s="17">
        <f>IF(HistoricalStockProgress[[#This Row],[Total Price of Shares]]&lt;&gt;0,HistoricalStockProgress[[#This Row],[Total Price of Shares]]-HistoricalStockProgress[[#This Row],[Cost of Shares]],0)</f>
        <v>-50.849801724814597</v>
      </c>
      <c r="L30" s="34" t="b" cm="1">
        <f t="array" ref="L30">IFERROR(IF(HistoricalStockProgress[[#This Row],[Price of Shares]]="",_xlfn.STOCKHISTORY(HistoricalStockProgress[[#This Row],[Full Company Name]],HistoricalStockProgress[[#This Row],[Date]],,2,0,1)),0)</f>
        <v>0</v>
      </c>
      <c r="M30" s="34">
        <f>YEAR(HistoricalStockProgress[[#This Row],[Date]])</f>
        <v>2015</v>
      </c>
      <c r="N30" s="34">
        <f>MONTH(HistoricalStockProgress[[#This Row],[Date]])</f>
        <v>8</v>
      </c>
    </row>
    <row r="31" spans="2:14">
      <c r="B31" s="15">
        <v>42247</v>
      </c>
      <c r="C31" s="34" t="s">
        <v>13</v>
      </c>
      <c r="D31" s="34" t="e" vm="18">
        <f>_xlfn.XLOOKUP(HistoricalStockProgress[[#This Row],[Company Ticker]],CompanyDetailsList[Company Ticker],CompanyDetailsList[Official Name],,0)</f>
        <v>#VALUE!</v>
      </c>
      <c r="E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31" s="17">
        <f>IFERROR(HistoricalStockProgress[[#This Row],[Cost of Shares]]/HistoricalStockProgress[[#This Row],[No. of Shares]],0)</f>
        <v>30.916275141190898</v>
      </c>
      <c r="H31" s="16" vm="585">
        <v>30.542899999999999</v>
      </c>
      <c r="I31" s="16">
        <f>IF(HistoricalStockProgress[[#This Row],[No. of Shares]]&lt;&gt;0,HistoricalStockProgress[[#This Row],[Price of Shares]]*HistoricalStockProgress[[#This Row],[No. of Shares]],0)</f>
        <v>335.97190000000001</v>
      </c>
      <c r="J31" s="16">
        <f>IF(HistoricalStockProgress[[#This Row],[No. of Shares]]&lt;&gt;0,HistoricalStockProgress[[#This Row],[Price of Shares]]-HistoricalStockProgress[[#This Row],[Cost of Shares]]/HistoricalStockProgress[[#This Row],[No. of Shares]],0)</f>
        <v>-0.37337514119089832</v>
      </c>
      <c r="K31" s="17">
        <f>IF(HistoricalStockProgress[[#This Row],[Total Price of Shares]]&lt;&gt;0,HistoricalStockProgress[[#This Row],[Total Price of Shares]]-HistoricalStockProgress[[#This Row],[Cost of Shares]],0)</f>
        <v>-4.1071265530998744</v>
      </c>
      <c r="L31" s="34" t="b" cm="1">
        <f t="array" ref="L31">IFERROR(IF(HistoricalStockProgress[[#This Row],[Price of Shares]]="",_xlfn.STOCKHISTORY(HistoricalStockProgress[[#This Row],[Full Company Name]],HistoricalStockProgress[[#This Row],[Date]],,2,0,1)),0)</f>
        <v>0</v>
      </c>
      <c r="M31" s="34">
        <f>YEAR(HistoricalStockProgress[[#This Row],[Date]])</f>
        <v>2015</v>
      </c>
      <c r="N31" s="34">
        <f>MONTH(HistoricalStockProgress[[#This Row],[Date]])</f>
        <v>8</v>
      </c>
    </row>
    <row r="32" spans="2:14">
      <c r="B32" s="15">
        <v>42247</v>
      </c>
      <c r="C32" s="34" t="s">
        <v>20</v>
      </c>
      <c r="D32" s="34" t="e" vm="19">
        <f>_xlfn.XLOOKUP(HistoricalStockProgress[[#This Row],[Company Ticker]],CompanyDetailsList[Company Ticker],CompanyDetailsList[Official Name],,0)</f>
        <v>#VALUE!</v>
      </c>
      <c r="E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16</v>
      </c>
      <c r="F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1089.6459884973885</v>
      </c>
      <c r="G32" s="17">
        <f>IFERROR(HistoricalStockProgress[[#This Row],[Cost of Shares]]/HistoricalStockProgress[[#This Row],[No. of Shares]],0)</f>
        <v>68.102874281086784</v>
      </c>
      <c r="H32" s="16" vm="586">
        <v>64.099999999999994</v>
      </c>
      <c r="I32" s="16">
        <f>IF(HistoricalStockProgress[[#This Row],[No. of Shares]]&lt;&gt;0,HistoricalStockProgress[[#This Row],[Price of Shares]]*HistoricalStockProgress[[#This Row],[No. of Shares]],0)</f>
        <v>1025.5999999999999</v>
      </c>
      <c r="J32" s="16">
        <f>IF(HistoricalStockProgress[[#This Row],[No. of Shares]]&lt;&gt;0,HistoricalStockProgress[[#This Row],[Price of Shares]]-HistoricalStockProgress[[#This Row],[Cost of Shares]]/HistoricalStockProgress[[#This Row],[No. of Shares]],0)</f>
        <v>-4.0028742810867897</v>
      </c>
      <c r="K32" s="17">
        <f>IF(HistoricalStockProgress[[#This Row],[Total Price of Shares]]&lt;&gt;0,HistoricalStockProgress[[#This Row],[Total Price of Shares]]-HistoricalStockProgress[[#This Row],[Cost of Shares]],0)</f>
        <v>-64.045988497388635</v>
      </c>
      <c r="L32" s="34" t="b" cm="1">
        <f t="array" ref="L32">IFERROR(IF(HistoricalStockProgress[[#This Row],[Price of Shares]]="",_xlfn.STOCKHISTORY(HistoricalStockProgress[[#This Row],[Full Company Name]],HistoricalStockProgress[[#This Row],[Date]],,2,0,1)),0)</f>
        <v>0</v>
      </c>
      <c r="M32" s="34">
        <f>YEAR(HistoricalStockProgress[[#This Row],[Date]])</f>
        <v>2015</v>
      </c>
      <c r="N32" s="34">
        <f>MONTH(HistoricalStockProgress[[#This Row],[Date]])</f>
        <v>8</v>
      </c>
    </row>
    <row r="33" spans="2:14">
      <c r="B33" s="15">
        <v>42277</v>
      </c>
      <c r="C33" s="34" t="s">
        <v>86</v>
      </c>
      <c r="D33" s="34" t="e" vm="8">
        <f>_xlfn.XLOOKUP(HistoricalStockProgress[[#This Row],[Company Ticker]],CompanyDetailsList[Company Ticker],CompanyDetailsList[Official Name],,0)</f>
        <v>#VALUE!</v>
      </c>
      <c r="E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v>
      </c>
      <c r="F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894.13820748177</v>
      </c>
      <c r="G33" s="17">
        <f>IFERROR(HistoricalStockProgress[[#This Row],[Cost of Shares]]/HistoricalStockProgress[[#This Row],[No. of Shares]],0)</f>
        <v>59.609213832118002</v>
      </c>
      <c r="H33" s="16" vm="587">
        <v>54.41</v>
      </c>
      <c r="I33" s="16">
        <f>IF(HistoricalStockProgress[[#This Row],[No. of Shares]]&lt;&gt;0,HistoricalStockProgress[[#This Row],[Price of Shares]]*HistoricalStockProgress[[#This Row],[No. of Shares]],0)</f>
        <v>816.15</v>
      </c>
      <c r="J33" s="16">
        <f>IF(HistoricalStockProgress[[#This Row],[No. of Shares]]&lt;&gt;0,HistoricalStockProgress[[#This Row],[Price of Shares]]-HistoricalStockProgress[[#This Row],[Cost of Shares]]/HistoricalStockProgress[[#This Row],[No. of Shares]],0)</f>
        <v>-5.199213832118005</v>
      </c>
      <c r="K33" s="17">
        <f>IF(HistoricalStockProgress[[#This Row],[Total Price of Shares]]&lt;&gt;0,HistoricalStockProgress[[#This Row],[Total Price of Shares]]-HistoricalStockProgress[[#This Row],[Cost of Shares]],0)</f>
        <v>-77.988207481770019</v>
      </c>
      <c r="L33" s="34" t="b" cm="1">
        <f t="array" ref="L33">IFERROR(IF(HistoricalStockProgress[[#This Row],[Price of Shares]]="",_xlfn.STOCKHISTORY(HistoricalStockProgress[[#This Row],[Full Company Name]],HistoricalStockProgress[[#This Row],[Date]],,2,0,1)),0)</f>
        <v>0</v>
      </c>
      <c r="M33" s="34">
        <f>YEAR(HistoricalStockProgress[[#This Row],[Date]])</f>
        <v>2015</v>
      </c>
      <c r="N33" s="34">
        <f>MONTH(HistoricalStockProgress[[#This Row],[Date]])</f>
        <v>9</v>
      </c>
    </row>
    <row r="34" spans="2:14">
      <c r="B34" s="15">
        <v>42277</v>
      </c>
      <c r="C34" s="34" t="s">
        <v>22</v>
      </c>
      <c r="D34" s="34" t="e" vm="10">
        <f>_xlfn.XLOOKUP(HistoricalStockProgress[[#This Row],[Company Ticker]],CompanyDetailsList[Company Ticker],CompanyDetailsList[Official Name],,0)</f>
        <v>#VALUE!</v>
      </c>
      <c r="E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22</v>
      </c>
      <c r="F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1793.9720224225266</v>
      </c>
      <c r="G34" s="17">
        <f>IFERROR(HistoricalStockProgress[[#This Row],[Cost of Shares]]/HistoricalStockProgress[[#This Row],[No. of Shares]],0)</f>
        <v>81.544182837387567</v>
      </c>
      <c r="H34" s="16" vm="588">
        <v>65.36</v>
      </c>
      <c r="I34" s="16">
        <f>IF(HistoricalStockProgress[[#This Row],[No. of Shares]]&lt;&gt;0,HistoricalStockProgress[[#This Row],[Price of Shares]]*HistoricalStockProgress[[#This Row],[No. of Shares]],0)</f>
        <v>1437.92</v>
      </c>
      <c r="J34" s="16">
        <f>IF(HistoricalStockProgress[[#This Row],[No. of Shares]]&lt;&gt;0,HistoricalStockProgress[[#This Row],[Price of Shares]]-HistoricalStockProgress[[#This Row],[Cost of Shares]]/HistoricalStockProgress[[#This Row],[No. of Shares]],0)</f>
        <v>-16.184182837387567</v>
      </c>
      <c r="K34" s="17">
        <f>IF(HistoricalStockProgress[[#This Row],[Total Price of Shares]]&lt;&gt;0,HistoricalStockProgress[[#This Row],[Total Price of Shares]]-HistoricalStockProgress[[#This Row],[Cost of Shares]],0)</f>
        <v>-356.05202242252653</v>
      </c>
      <c r="L34" s="34" t="b" cm="1">
        <f t="array" ref="L34">IFERROR(IF(HistoricalStockProgress[[#This Row],[Price of Shares]]="",_xlfn.STOCKHISTORY(HistoricalStockProgress[[#This Row],[Full Company Name]],HistoricalStockProgress[[#This Row],[Date]],,2,0,1)),0)</f>
        <v>0</v>
      </c>
      <c r="M34" s="34">
        <f>YEAR(HistoricalStockProgress[[#This Row],[Date]])</f>
        <v>2015</v>
      </c>
      <c r="N34" s="34">
        <f>MONTH(HistoricalStockProgress[[#This Row],[Date]])</f>
        <v>9</v>
      </c>
    </row>
    <row r="35" spans="2:14">
      <c r="B35" s="15">
        <v>42277</v>
      </c>
      <c r="C35" s="34" t="s">
        <v>95</v>
      </c>
      <c r="D35" s="34" t="e" vm="13">
        <f>_xlfn.XLOOKUP(HistoricalStockProgress[[#This Row],[Company Ticker]],CompanyDetailsList[Company Ticker],CompanyDetailsList[Official Name],,0)</f>
        <v>#VALUE!</v>
      </c>
      <c r="E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35" s="17">
        <f>IFERROR(HistoricalStockProgress[[#This Row],[Cost of Shares]]/HistoricalStockProgress[[#This Row],[No. of Shares]],0)</f>
        <v>112.90555526050157</v>
      </c>
      <c r="H35" s="16" vm="589">
        <v>115.49</v>
      </c>
      <c r="I35" s="16">
        <f>IF(HistoricalStockProgress[[#This Row],[No. of Shares]]&lt;&gt;0,HistoricalStockProgress[[#This Row],[Price of Shares]]*HistoricalStockProgress[[#This Row],[No. of Shares]],0)</f>
        <v>1385.8799999999999</v>
      </c>
      <c r="J35" s="16">
        <f>IF(HistoricalStockProgress[[#This Row],[No. of Shares]]&lt;&gt;0,HistoricalStockProgress[[#This Row],[Price of Shares]]-HistoricalStockProgress[[#This Row],[Cost of Shares]]/HistoricalStockProgress[[#This Row],[No. of Shares]],0)</f>
        <v>2.5844447394984229</v>
      </c>
      <c r="K35" s="17">
        <f>IF(HistoricalStockProgress[[#This Row],[Total Price of Shares]]&lt;&gt;0,HistoricalStockProgress[[#This Row],[Total Price of Shares]]-HistoricalStockProgress[[#This Row],[Cost of Shares]],0)</f>
        <v>31.013336873980961</v>
      </c>
      <c r="L35" s="34" t="b" cm="1">
        <f t="array" ref="L35">IFERROR(IF(HistoricalStockProgress[[#This Row],[Price of Shares]]="",_xlfn.STOCKHISTORY(HistoricalStockProgress[[#This Row],[Full Company Name]],HistoricalStockProgress[[#This Row],[Date]],,2,0,1)),0)</f>
        <v>0</v>
      </c>
      <c r="M35" s="34">
        <f>YEAR(HistoricalStockProgress[[#This Row],[Date]])</f>
        <v>2015</v>
      </c>
      <c r="N35" s="34">
        <f>MONTH(HistoricalStockProgress[[#This Row],[Date]])</f>
        <v>9</v>
      </c>
    </row>
    <row r="36" spans="2:14">
      <c r="B36" s="15">
        <v>42277</v>
      </c>
      <c r="C36" s="34" t="s">
        <v>100</v>
      </c>
      <c r="D36" s="34" t="e" vm="16">
        <f>_xlfn.XLOOKUP(HistoricalStockProgress[[#This Row],[Company Ticker]],CompanyDetailsList[Company Ticker],CompanyDetailsList[Official Name],,0)</f>
        <v>#VALUE!</v>
      </c>
      <c r="E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36" s="17">
        <f>IFERROR(HistoricalStockProgress[[#This Row],[Cost of Shares]]/HistoricalStockProgress[[#This Row],[No. of Shares]],0)</f>
        <v>84.509035134678101</v>
      </c>
      <c r="H36" s="16" vm="590">
        <v>71.94</v>
      </c>
      <c r="I36" s="16">
        <f>IF(HistoricalStockProgress[[#This Row],[No. of Shares]]&lt;&gt;0,HistoricalStockProgress[[#This Row],[Price of Shares]]*HistoricalStockProgress[[#This Row],[No. of Shares]],0)</f>
        <v>2374.02</v>
      </c>
      <c r="J36" s="16">
        <f>IF(HistoricalStockProgress[[#This Row],[No. of Shares]]&lt;&gt;0,HistoricalStockProgress[[#This Row],[Price of Shares]]-HistoricalStockProgress[[#This Row],[Cost of Shares]]/HistoricalStockProgress[[#This Row],[No. of Shares]],0)</f>
        <v>-12.569035134678103</v>
      </c>
      <c r="K36" s="17">
        <f>IF(HistoricalStockProgress[[#This Row],[Total Price of Shares]]&lt;&gt;0,HistoricalStockProgress[[#This Row],[Total Price of Shares]]-HistoricalStockProgress[[#This Row],[Cost of Shares]],0)</f>
        <v>-414.77815944437725</v>
      </c>
      <c r="L36" s="34" t="b" cm="1">
        <f t="array" ref="L36">IFERROR(IF(HistoricalStockProgress[[#This Row],[Price of Shares]]="",_xlfn.STOCKHISTORY(HistoricalStockProgress[[#This Row],[Full Company Name]],HistoricalStockProgress[[#This Row],[Date]],,2,0,1)),0)</f>
        <v>0</v>
      </c>
      <c r="M36" s="34">
        <f>YEAR(HistoricalStockProgress[[#This Row],[Date]])</f>
        <v>2015</v>
      </c>
      <c r="N36" s="34">
        <f>MONTH(HistoricalStockProgress[[#This Row],[Date]])</f>
        <v>9</v>
      </c>
    </row>
    <row r="37" spans="2:14">
      <c r="B37" s="15">
        <v>42277</v>
      </c>
      <c r="C37" s="34" t="s">
        <v>15</v>
      </c>
      <c r="D37" s="34" t="e" vm="17">
        <f>_xlfn.XLOOKUP(HistoricalStockProgress[[#This Row],[Company Ticker]],CompanyDetailsList[Company Ticker],CompanyDetailsList[Official Name],,0)</f>
        <v>#VALUE!</v>
      </c>
      <c r="E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39</v>
      </c>
      <c r="F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1028.6578017248146</v>
      </c>
      <c r="G37" s="17">
        <f>IFERROR(HistoricalStockProgress[[#This Row],[Cost of Shares]]/HistoricalStockProgress[[#This Row],[No. of Shares]],0)</f>
        <v>26.37584106986704</v>
      </c>
      <c r="H37" s="16" vm="591">
        <v>24.6038</v>
      </c>
      <c r="I37" s="16">
        <f>IF(HistoricalStockProgress[[#This Row],[No. of Shares]]&lt;&gt;0,HistoricalStockProgress[[#This Row],[Price of Shares]]*HistoricalStockProgress[[#This Row],[No. of Shares]],0)</f>
        <v>959.54819999999995</v>
      </c>
      <c r="J37" s="16">
        <f>IF(HistoricalStockProgress[[#This Row],[No. of Shares]]&lt;&gt;0,HistoricalStockProgress[[#This Row],[Price of Shares]]-HistoricalStockProgress[[#This Row],[Cost of Shares]]/HistoricalStockProgress[[#This Row],[No. of Shares]],0)</f>
        <v>-1.7720410698670399</v>
      </c>
      <c r="K37" s="17">
        <f>IF(HistoricalStockProgress[[#This Row],[Total Price of Shares]]&lt;&gt;0,HistoricalStockProgress[[#This Row],[Total Price of Shares]]-HistoricalStockProgress[[#This Row],[Cost of Shares]],0)</f>
        <v>-69.109601724814638</v>
      </c>
      <c r="L37" s="34" t="b" cm="1">
        <f t="array" ref="L37">IFERROR(IF(HistoricalStockProgress[[#This Row],[Price of Shares]]="",_xlfn.STOCKHISTORY(HistoricalStockProgress[[#This Row],[Full Company Name]],HistoricalStockProgress[[#This Row],[Date]],,2,0,1)),0)</f>
        <v>0</v>
      </c>
      <c r="M37" s="34">
        <f>YEAR(HistoricalStockProgress[[#This Row],[Date]])</f>
        <v>2015</v>
      </c>
      <c r="N37" s="34">
        <f>MONTH(HistoricalStockProgress[[#This Row],[Date]])</f>
        <v>9</v>
      </c>
    </row>
    <row r="38" spans="2:14">
      <c r="B38" s="15">
        <v>42277</v>
      </c>
      <c r="C38" s="34" t="s">
        <v>13</v>
      </c>
      <c r="D38" s="34" t="e" vm="18">
        <f>_xlfn.XLOOKUP(HistoricalStockProgress[[#This Row],[Company Ticker]],CompanyDetailsList[Company Ticker],CompanyDetailsList[Official Name],,0)</f>
        <v>#VALUE!</v>
      </c>
      <c r="E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38" s="17">
        <f>IFERROR(HistoricalStockProgress[[#This Row],[Cost of Shares]]/HistoricalStockProgress[[#This Row],[No. of Shares]],0)</f>
        <v>30.916275141190898</v>
      </c>
      <c r="H38" s="16" vm="592">
        <v>29.775099999999998</v>
      </c>
      <c r="I38" s="16">
        <f>IF(HistoricalStockProgress[[#This Row],[No. of Shares]]&lt;&gt;0,HistoricalStockProgress[[#This Row],[Price of Shares]]*HistoricalStockProgress[[#This Row],[No. of Shares]],0)</f>
        <v>327.52609999999999</v>
      </c>
      <c r="J38" s="16">
        <f>IF(HistoricalStockProgress[[#This Row],[No. of Shares]]&lt;&gt;0,HistoricalStockProgress[[#This Row],[Price of Shares]]-HistoricalStockProgress[[#This Row],[Cost of Shares]]/HistoricalStockProgress[[#This Row],[No. of Shares]],0)</f>
        <v>-1.1411751411908995</v>
      </c>
      <c r="K38" s="17">
        <f>IF(HistoricalStockProgress[[#This Row],[Total Price of Shares]]&lt;&gt;0,HistoricalStockProgress[[#This Row],[Total Price of Shares]]-HistoricalStockProgress[[#This Row],[Cost of Shares]],0)</f>
        <v>-12.552926553099894</v>
      </c>
      <c r="L38" s="34" t="b" cm="1">
        <f t="array" ref="L38">IFERROR(IF(HistoricalStockProgress[[#This Row],[Price of Shares]]="",_xlfn.STOCKHISTORY(HistoricalStockProgress[[#This Row],[Full Company Name]],HistoricalStockProgress[[#This Row],[Date]],,2,0,1)),0)</f>
        <v>0</v>
      </c>
      <c r="M38" s="34">
        <f>YEAR(HistoricalStockProgress[[#This Row],[Date]])</f>
        <v>2015</v>
      </c>
      <c r="N38" s="34">
        <f>MONTH(HistoricalStockProgress[[#This Row],[Date]])</f>
        <v>9</v>
      </c>
    </row>
    <row r="39" spans="2:14">
      <c r="B39" s="15">
        <v>42277</v>
      </c>
      <c r="C39" s="34" t="s">
        <v>20</v>
      </c>
      <c r="D39" s="34" t="e" vm="19">
        <f>_xlfn.XLOOKUP(HistoricalStockProgress[[#This Row],[Company Ticker]],CompanyDetailsList[Company Ticker],CompanyDetailsList[Official Name],,0)</f>
        <v>#VALUE!</v>
      </c>
      <c r="E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16</v>
      </c>
      <c r="F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1089.6459884973885</v>
      </c>
      <c r="G39" s="17">
        <f>IFERROR(HistoricalStockProgress[[#This Row],[Cost of Shares]]/HistoricalStockProgress[[#This Row],[No. of Shares]],0)</f>
        <v>68.102874281086784</v>
      </c>
      <c r="H39" s="16" vm="593">
        <v>60.97</v>
      </c>
      <c r="I39" s="16">
        <f>IF(HistoricalStockProgress[[#This Row],[No. of Shares]]&lt;&gt;0,HistoricalStockProgress[[#This Row],[Price of Shares]]*HistoricalStockProgress[[#This Row],[No. of Shares]],0)</f>
        <v>975.52</v>
      </c>
      <c r="J39" s="16">
        <f>IF(HistoricalStockProgress[[#This Row],[No. of Shares]]&lt;&gt;0,HistoricalStockProgress[[#This Row],[Price of Shares]]-HistoricalStockProgress[[#This Row],[Cost of Shares]]/HistoricalStockProgress[[#This Row],[No. of Shares]],0)</f>
        <v>-7.1328742810867851</v>
      </c>
      <c r="K39" s="17">
        <f>IF(HistoricalStockProgress[[#This Row],[Total Price of Shares]]&lt;&gt;0,HistoricalStockProgress[[#This Row],[Total Price of Shares]]-HistoricalStockProgress[[#This Row],[Cost of Shares]],0)</f>
        <v>-114.12598849738856</v>
      </c>
      <c r="L39" s="34" t="b" cm="1">
        <f t="array" ref="L39">IFERROR(IF(HistoricalStockProgress[[#This Row],[Price of Shares]]="",_xlfn.STOCKHISTORY(HistoricalStockProgress[[#This Row],[Full Company Name]],HistoricalStockProgress[[#This Row],[Date]],,2,0,1)),0)</f>
        <v>0</v>
      </c>
      <c r="M39" s="34">
        <f>YEAR(HistoricalStockProgress[[#This Row],[Date]])</f>
        <v>2015</v>
      </c>
      <c r="N39" s="34">
        <f>MONTH(HistoricalStockProgress[[#This Row],[Date]])</f>
        <v>9</v>
      </c>
    </row>
    <row r="40" spans="2:14">
      <c r="B40" s="15">
        <v>42308</v>
      </c>
      <c r="C40" s="34" t="s">
        <v>86</v>
      </c>
      <c r="D40" s="34" t="e" vm="8">
        <f>_xlfn.XLOOKUP(HistoricalStockProgress[[#This Row],[Company Ticker]],CompanyDetailsList[Company Ticker],CompanyDetailsList[Official Name],,0)</f>
        <v>#VALUE!</v>
      </c>
      <c r="E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v>
      </c>
      <c r="F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894.13820748177</v>
      </c>
      <c r="G40" s="17">
        <f>IFERROR(HistoricalStockProgress[[#This Row],[Cost of Shares]]/HistoricalStockProgress[[#This Row],[No. of Shares]],0)</f>
        <v>59.609213832118002</v>
      </c>
      <c r="H40" s="16" vm="594">
        <v>59.55</v>
      </c>
      <c r="I40" s="16">
        <f>IF(HistoricalStockProgress[[#This Row],[No. of Shares]]&lt;&gt;0,HistoricalStockProgress[[#This Row],[Price of Shares]]*HistoricalStockProgress[[#This Row],[No. of Shares]],0)</f>
        <v>893.25</v>
      </c>
      <c r="J40" s="16">
        <f>IF(HistoricalStockProgress[[#This Row],[No. of Shares]]&lt;&gt;0,HistoricalStockProgress[[#This Row],[Price of Shares]]-HistoricalStockProgress[[#This Row],[Cost of Shares]]/HistoricalStockProgress[[#This Row],[No. of Shares]],0)</f>
        <v>-5.9213832118004461E-2</v>
      </c>
      <c r="K40" s="17">
        <f>IF(HistoricalStockProgress[[#This Row],[Total Price of Shares]]&lt;&gt;0,HistoricalStockProgress[[#This Row],[Total Price of Shares]]-HistoricalStockProgress[[#This Row],[Cost of Shares]],0)</f>
        <v>-0.88820748176999587</v>
      </c>
      <c r="L40" s="34" t="b" cm="1">
        <f t="array" ref="L40">IFERROR(IF(HistoricalStockProgress[[#This Row],[Price of Shares]]="",_xlfn.STOCKHISTORY(HistoricalStockProgress[[#This Row],[Full Company Name]],HistoricalStockProgress[[#This Row],[Date]],,2,0,1)),0)</f>
        <v>0</v>
      </c>
      <c r="M40" s="34">
        <f>YEAR(HistoricalStockProgress[[#This Row],[Date]])</f>
        <v>2015</v>
      </c>
      <c r="N40" s="34">
        <f>MONTH(HistoricalStockProgress[[#This Row],[Date]])</f>
        <v>10</v>
      </c>
    </row>
    <row r="41" spans="2:14">
      <c r="B41" s="15">
        <v>42308</v>
      </c>
      <c r="C41" s="34" t="s">
        <v>22</v>
      </c>
      <c r="D41" s="34" t="e" vm="10">
        <f>_xlfn.XLOOKUP(HistoricalStockProgress[[#This Row],[Company Ticker]],CompanyDetailsList[Company Ticker],CompanyDetailsList[Official Name],,0)</f>
        <v>#VALUE!</v>
      </c>
      <c r="E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22</v>
      </c>
      <c r="F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1793.9720224225266</v>
      </c>
      <c r="G41" s="17">
        <f>IFERROR(HistoricalStockProgress[[#This Row],[Cost of Shares]]/HistoricalStockProgress[[#This Row],[No. of Shares]],0)</f>
        <v>81.544182837387567</v>
      </c>
      <c r="H41" s="16" vm="595">
        <v>72.989999999999995</v>
      </c>
      <c r="I41" s="16">
        <f>IF(HistoricalStockProgress[[#This Row],[No. of Shares]]&lt;&gt;0,HistoricalStockProgress[[#This Row],[Price of Shares]]*HistoricalStockProgress[[#This Row],[No. of Shares]],0)</f>
        <v>1605.78</v>
      </c>
      <c r="J41" s="16">
        <f>IF(HistoricalStockProgress[[#This Row],[No. of Shares]]&lt;&gt;0,HistoricalStockProgress[[#This Row],[Price of Shares]]-HistoricalStockProgress[[#This Row],[Cost of Shares]]/HistoricalStockProgress[[#This Row],[No. of Shares]],0)</f>
        <v>-8.5541828373875717</v>
      </c>
      <c r="K41" s="17">
        <f>IF(HistoricalStockProgress[[#This Row],[Total Price of Shares]]&lt;&gt;0,HistoricalStockProgress[[#This Row],[Total Price of Shares]]-HistoricalStockProgress[[#This Row],[Cost of Shares]],0)</f>
        <v>-188.19202242252663</v>
      </c>
      <c r="L41" s="34" t="b" cm="1">
        <f t="array" ref="L41">IFERROR(IF(HistoricalStockProgress[[#This Row],[Price of Shares]]="",_xlfn.STOCKHISTORY(HistoricalStockProgress[[#This Row],[Full Company Name]],HistoricalStockProgress[[#This Row],[Date]],,2,0,1)),0)</f>
        <v>0</v>
      </c>
      <c r="M41" s="34">
        <f>YEAR(HistoricalStockProgress[[#This Row],[Date]])</f>
        <v>2015</v>
      </c>
      <c r="N41" s="34">
        <f>MONTH(HistoricalStockProgress[[#This Row],[Date]])</f>
        <v>10</v>
      </c>
    </row>
    <row r="42" spans="2:14">
      <c r="B42" s="15">
        <v>42308</v>
      </c>
      <c r="C42" s="34" t="s">
        <v>16</v>
      </c>
      <c r="D42" s="34" t="e" vm="12">
        <f>_xlfn.XLOOKUP(HistoricalStockProgress[[#This Row],[Company Ticker]],CompanyDetailsList[Company Ticker],CompanyDetailsList[Official Name],,0)</f>
        <v>#VALUE!</v>
      </c>
      <c r="E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893.80775275759015</v>
      </c>
      <c r="G42" s="17">
        <f>IFERROR(HistoricalStockProgress[[#This Row],[Cost of Shares]]/HistoricalStockProgress[[#This Row],[No. of Shares]],0)</f>
        <v>81.255250250690011</v>
      </c>
      <c r="H42" s="16" vm="596">
        <v>82.74</v>
      </c>
      <c r="I42" s="16">
        <f>IF(HistoricalStockProgress[[#This Row],[No. of Shares]]&lt;&gt;0,HistoricalStockProgress[[#This Row],[Price of Shares]]*HistoricalStockProgress[[#This Row],[No. of Shares]],0)</f>
        <v>910.14</v>
      </c>
      <c r="J42" s="16">
        <f>IF(HistoricalStockProgress[[#This Row],[No. of Shares]]&lt;&gt;0,HistoricalStockProgress[[#This Row],[Price of Shares]]-HistoricalStockProgress[[#This Row],[Cost of Shares]]/HistoricalStockProgress[[#This Row],[No. of Shares]],0)</f>
        <v>1.4847497493099837</v>
      </c>
      <c r="K42" s="17">
        <f>IF(HistoricalStockProgress[[#This Row],[Total Price of Shares]]&lt;&gt;0,HistoricalStockProgress[[#This Row],[Total Price of Shares]]-HistoricalStockProgress[[#This Row],[Cost of Shares]],0)</f>
        <v>16.332247242409835</v>
      </c>
      <c r="L42" s="34" t="b" cm="1">
        <f t="array" ref="L42">IFERROR(IF(HistoricalStockProgress[[#This Row],[Price of Shares]]="",_xlfn.STOCKHISTORY(HistoricalStockProgress[[#This Row],[Full Company Name]],HistoricalStockProgress[[#This Row],[Date]],,2,0,1)),0)</f>
        <v>0</v>
      </c>
      <c r="M42" s="34">
        <f>YEAR(HistoricalStockProgress[[#This Row],[Date]])</f>
        <v>2015</v>
      </c>
      <c r="N42" s="34">
        <f>MONTH(HistoricalStockProgress[[#This Row],[Date]])</f>
        <v>10</v>
      </c>
    </row>
    <row r="43" spans="2:14">
      <c r="B43" s="15">
        <v>42308</v>
      </c>
      <c r="C43" s="34" t="s">
        <v>95</v>
      </c>
      <c r="D43" s="34" t="e" vm="13">
        <f>_xlfn.XLOOKUP(HistoricalStockProgress[[#This Row],[Company Ticker]],CompanyDetailsList[Company Ticker],CompanyDetailsList[Official Name],,0)</f>
        <v>#VALUE!</v>
      </c>
      <c r="E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43" s="17">
        <f>IFERROR(HistoricalStockProgress[[#This Row],[Cost of Shares]]/HistoricalStockProgress[[#This Row],[No. of Shares]],0)</f>
        <v>112.90555526050157</v>
      </c>
      <c r="H43" s="16" vm="597">
        <v>123.64</v>
      </c>
      <c r="I43" s="16">
        <f>IF(HistoricalStockProgress[[#This Row],[No. of Shares]]&lt;&gt;0,HistoricalStockProgress[[#This Row],[Price of Shares]]*HistoricalStockProgress[[#This Row],[No. of Shares]],0)</f>
        <v>1483.68</v>
      </c>
      <c r="J43" s="16">
        <f>IF(HistoricalStockProgress[[#This Row],[No. of Shares]]&lt;&gt;0,HistoricalStockProgress[[#This Row],[Price of Shares]]-HistoricalStockProgress[[#This Row],[Cost of Shares]]/HistoricalStockProgress[[#This Row],[No. of Shares]],0)</f>
        <v>10.734444739498429</v>
      </c>
      <c r="K43" s="17">
        <f>IF(HistoricalStockProgress[[#This Row],[Total Price of Shares]]&lt;&gt;0,HistoricalStockProgress[[#This Row],[Total Price of Shares]]-HistoricalStockProgress[[#This Row],[Cost of Shares]],0)</f>
        <v>128.81333687398114</v>
      </c>
      <c r="L43" s="34" t="b" cm="1">
        <f t="array" ref="L43">IFERROR(IF(HistoricalStockProgress[[#This Row],[Price of Shares]]="",_xlfn.STOCKHISTORY(HistoricalStockProgress[[#This Row],[Full Company Name]],HistoricalStockProgress[[#This Row],[Date]],,2,0,1)),0)</f>
        <v>0</v>
      </c>
      <c r="M43" s="34">
        <f>YEAR(HistoricalStockProgress[[#This Row],[Date]])</f>
        <v>2015</v>
      </c>
      <c r="N43" s="34">
        <f>MONTH(HistoricalStockProgress[[#This Row],[Date]])</f>
        <v>10</v>
      </c>
    </row>
    <row r="44" spans="2:14">
      <c r="B44" s="15">
        <v>42308</v>
      </c>
      <c r="C44" s="34" t="s">
        <v>100</v>
      </c>
      <c r="D44" s="34" t="e" vm="16">
        <f>_xlfn.XLOOKUP(HistoricalStockProgress[[#This Row],[Company Ticker]],CompanyDetailsList[Company Ticker],CompanyDetailsList[Official Name],,0)</f>
        <v>#VALUE!</v>
      </c>
      <c r="E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44" s="17">
        <f>IFERROR(HistoricalStockProgress[[#This Row],[Cost of Shares]]/HistoricalStockProgress[[#This Row],[No. of Shares]],0)</f>
        <v>84.509035134678101</v>
      </c>
      <c r="H44" s="16" vm="598">
        <v>71.47</v>
      </c>
      <c r="I44" s="16">
        <f>IF(HistoricalStockProgress[[#This Row],[No. of Shares]]&lt;&gt;0,HistoricalStockProgress[[#This Row],[Price of Shares]]*HistoricalStockProgress[[#This Row],[No. of Shares]],0)</f>
        <v>2358.5099999999998</v>
      </c>
      <c r="J44" s="16">
        <f>IF(HistoricalStockProgress[[#This Row],[No. of Shares]]&lt;&gt;0,HistoricalStockProgress[[#This Row],[Price of Shares]]-HistoricalStockProgress[[#This Row],[Cost of Shares]]/HistoricalStockProgress[[#This Row],[No. of Shares]],0)</f>
        <v>-13.039035134678102</v>
      </c>
      <c r="K44" s="17">
        <f>IF(HistoricalStockProgress[[#This Row],[Total Price of Shares]]&lt;&gt;0,HistoricalStockProgress[[#This Row],[Total Price of Shares]]-HistoricalStockProgress[[#This Row],[Cost of Shares]],0)</f>
        <v>-430.28815944437747</v>
      </c>
      <c r="L44" s="34" t="b" cm="1">
        <f t="array" ref="L44">IFERROR(IF(HistoricalStockProgress[[#This Row],[Price of Shares]]="",_xlfn.STOCKHISTORY(HistoricalStockProgress[[#This Row],[Full Company Name]],HistoricalStockProgress[[#This Row],[Date]],,2,0,1)),0)</f>
        <v>0</v>
      </c>
      <c r="M44" s="34">
        <f>YEAR(HistoricalStockProgress[[#This Row],[Date]])</f>
        <v>2015</v>
      </c>
      <c r="N44" s="34">
        <f>MONTH(HistoricalStockProgress[[#This Row],[Date]])</f>
        <v>10</v>
      </c>
    </row>
    <row r="45" spans="2:14">
      <c r="B45" s="15">
        <v>42308</v>
      </c>
      <c r="C45" s="34" t="s">
        <v>15</v>
      </c>
      <c r="D45" s="34" t="e" vm="17">
        <f>_xlfn.XLOOKUP(HistoricalStockProgress[[#This Row],[Company Ticker]],CompanyDetailsList[Company Ticker],CompanyDetailsList[Official Name],,0)</f>
        <v>#VALUE!</v>
      </c>
      <c r="E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39</v>
      </c>
      <c r="F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1028.6578017248146</v>
      </c>
      <c r="G45" s="17">
        <f>IFERROR(HistoricalStockProgress[[#This Row],[Cost of Shares]]/HistoricalStockProgress[[#This Row],[No. of Shares]],0)</f>
        <v>26.37584106986704</v>
      </c>
      <c r="H45" s="16" vm="599">
        <v>25.306100000000001</v>
      </c>
      <c r="I45" s="16">
        <f>IF(HistoricalStockProgress[[#This Row],[No. of Shares]]&lt;&gt;0,HistoricalStockProgress[[#This Row],[Price of Shares]]*HistoricalStockProgress[[#This Row],[No. of Shares]],0)</f>
        <v>986.93790000000001</v>
      </c>
      <c r="J45" s="16">
        <f>IF(HistoricalStockProgress[[#This Row],[No. of Shares]]&lt;&gt;0,HistoricalStockProgress[[#This Row],[Price of Shares]]-HistoricalStockProgress[[#This Row],[Cost of Shares]]/HistoricalStockProgress[[#This Row],[No. of Shares]],0)</f>
        <v>-1.0697410698670389</v>
      </c>
      <c r="K45" s="17">
        <f>IF(HistoricalStockProgress[[#This Row],[Total Price of Shares]]&lt;&gt;0,HistoricalStockProgress[[#This Row],[Total Price of Shares]]-HistoricalStockProgress[[#This Row],[Cost of Shares]],0)</f>
        <v>-41.719901724814576</v>
      </c>
      <c r="L45" s="34" t="b" cm="1">
        <f t="array" ref="L45">IFERROR(IF(HistoricalStockProgress[[#This Row],[Price of Shares]]="",_xlfn.STOCKHISTORY(HistoricalStockProgress[[#This Row],[Full Company Name]],HistoricalStockProgress[[#This Row],[Date]],,2,0,1)),0)</f>
        <v>0</v>
      </c>
      <c r="M45" s="34">
        <f>YEAR(HistoricalStockProgress[[#This Row],[Date]])</f>
        <v>2015</v>
      </c>
      <c r="N45" s="34">
        <f>MONTH(HistoricalStockProgress[[#This Row],[Date]])</f>
        <v>10</v>
      </c>
    </row>
    <row r="46" spans="2:14">
      <c r="B46" s="15">
        <v>42308</v>
      </c>
      <c r="C46" s="34" t="s">
        <v>13</v>
      </c>
      <c r="D46" s="34" t="e" vm="18">
        <f>_xlfn.XLOOKUP(HistoricalStockProgress[[#This Row],[Company Ticker]],CompanyDetailsList[Company Ticker],CompanyDetailsList[Official Name],,0)</f>
        <v>#VALUE!</v>
      </c>
      <c r="E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46" s="17">
        <f>IFERROR(HistoricalStockProgress[[#This Row],[Cost of Shares]]/HistoricalStockProgress[[#This Row],[No. of Shares]],0)</f>
        <v>30.916275141190898</v>
      </c>
      <c r="H46" s="16" vm="600">
        <v>32.059699999999999</v>
      </c>
      <c r="I46" s="16">
        <f>IF(HistoricalStockProgress[[#This Row],[No. of Shares]]&lt;&gt;0,HistoricalStockProgress[[#This Row],[Price of Shares]]*HistoricalStockProgress[[#This Row],[No. of Shares]],0)</f>
        <v>352.6567</v>
      </c>
      <c r="J46" s="16">
        <f>IF(HistoricalStockProgress[[#This Row],[No. of Shares]]&lt;&gt;0,HistoricalStockProgress[[#This Row],[Price of Shares]]-HistoricalStockProgress[[#This Row],[Cost of Shares]]/HistoricalStockProgress[[#This Row],[No. of Shares]],0)</f>
        <v>1.1434248588091016</v>
      </c>
      <c r="K46" s="17">
        <f>IF(HistoricalStockProgress[[#This Row],[Total Price of Shares]]&lt;&gt;0,HistoricalStockProgress[[#This Row],[Total Price of Shares]]-HistoricalStockProgress[[#This Row],[Cost of Shares]],0)</f>
        <v>12.577673446900121</v>
      </c>
      <c r="L46" s="34" t="b" cm="1">
        <f t="array" ref="L46">IFERROR(IF(HistoricalStockProgress[[#This Row],[Price of Shares]]="",_xlfn.STOCKHISTORY(HistoricalStockProgress[[#This Row],[Full Company Name]],HistoricalStockProgress[[#This Row],[Date]],,2,0,1)),0)</f>
        <v>0</v>
      </c>
      <c r="M46" s="34">
        <f>YEAR(HistoricalStockProgress[[#This Row],[Date]])</f>
        <v>2015</v>
      </c>
      <c r="N46" s="34">
        <f>MONTH(HistoricalStockProgress[[#This Row],[Date]])</f>
        <v>10</v>
      </c>
    </row>
    <row r="47" spans="2:14">
      <c r="B47" s="15">
        <v>42308</v>
      </c>
      <c r="C47" s="34" t="s">
        <v>20</v>
      </c>
      <c r="D47" s="34" t="e" vm="19">
        <f>_xlfn.XLOOKUP(HistoricalStockProgress[[#This Row],[Company Ticker]],CompanyDetailsList[Company Ticker],CompanyDetailsList[Official Name],,0)</f>
        <v>#VALUE!</v>
      </c>
      <c r="E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16</v>
      </c>
      <c r="F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1089.6459884973885</v>
      </c>
      <c r="G47" s="17">
        <f>IFERROR(HistoricalStockProgress[[#This Row],[Cost of Shares]]/HistoricalStockProgress[[#This Row],[No. of Shares]],0)</f>
        <v>68.102874281086784</v>
      </c>
      <c r="H47" s="16" vm="601">
        <v>64.25</v>
      </c>
      <c r="I47" s="16">
        <f>IF(HistoricalStockProgress[[#This Row],[No. of Shares]]&lt;&gt;0,HistoricalStockProgress[[#This Row],[Price of Shares]]*HistoricalStockProgress[[#This Row],[No. of Shares]],0)</f>
        <v>1028</v>
      </c>
      <c r="J47" s="16">
        <f>IF(HistoricalStockProgress[[#This Row],[No. of Shares]]&lt;&gt;0,HistoricalStockProgress[[#This Row],[Price of Shares]]-HistoricalStockProgress[[#This Row],[Cost of Shares]]/HistoricalStockProgress[[#This Row],[No. of Shares]],0)</f>
        <v>-3.852874281086784</v>
      </c>
      <c r="K47" s="17">
        <f>IF(HistoricalStockProgress[[#This Row],[Total Price of Shares]]&lt;&gt;0,HistoricalStockProgress[[#This Row],[Total Price of Shares]]-HistoricalStockProgress[[#This Row],[Cost of Shares]],0)</f>
        <v>-61.645988497388544</v>
      </c>
      <c r="L47" s="34" t="b" cm="1">
        <f t="array" ref="L47">IFERROR(IF(HistoricalStockProgress[[#This Row],[Price of Shares]]="",_xlfn.STOCKHISTORY(HistoricalStockProgress[[#This Row],[Full Company Name]],HistoricalStockProgress[[#This Row],[Date]],,2,0,1)),0)</f>
        <v>0</v>
      </c>
      <c r="M47" s="34">
        <f>YEAR(HistoricalStockProgress[[#This Row],[Date]])</f>
        <v>2015</v>
      </c>
      <c r="N47" s="34">
        <f>MONTH(HistoricalStockProgress[[#This Row],[Date]])</f>
        <v>10</v>
      </c>
    </row>
    <row r="48" spans="2:14">
      <c r="B48" s="15">
        <v>42338</v>
      </c>
      <c r="C48" s="34" t="s">
        <v>86</v>
      </c>
      <c r="D48" s="34" t="e" vm="8">
        <f>_xlfn.XLOOKUP(HistoricalStockProgress[[#This Row],[Company Ticker]],CompanyDetailsList[Company Ticker],CompanyDetailsList[Official Name],,0)</f>
        <v>#VALUE!</v>
      </c>
      <c r="E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v>
      </c>
      <c r="F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894.13820748177</v>
      </c>
      <c r="G48" s="17">
        <f>IFERROR(HistoricalStockProgress[[#This Row],[Cost of Shares]]/HistoricalStockProgress[[#This Row],[No. of Shares]],0)</f>
        <v>59.609213832118002</v>
      </c>
      <c r="H48" s="16" vm="602">
        <v>58.15</v>
      </c>
      <c r="I48" s="16">
        <f>IF(HistoricalStockProgress[[#This Row],[No. of Shares]]&lt;&gt;0,HistoricalStockProgress[[#This Row],[Price of Shares]]*HistoricalStockProgress[[#This Row],[No. of Shares]],0)</f>
        <v>872.25</v>
      </c>
      <c r="J48" s="16">
        <f>IF(HistoricalStockProgress[[#This Row],[No. of Shares]]&lt;&gt;0,HistoricalStockProgress[[#This Row],[Price of Shares]]-HistoricalStockProgress[[#This Row],[Cost of Shares]]/HistoricalStockProgress[[#This Row],[No. of Shares]],0)</f>
        <v>-1.459213832118003</v>
      </c>
      <c r="K48" s="17">
        <f>IF(HistoricalStockProgress[[#This Row],[Total Price of Shares]]&lt;&gt;0,HistoricalStockProgress[[#This Row],[Total Price of Shares]]-HistoricalStockProgress[[#This Row],[Cost of Shares]],0)</f>
        <v>-21.888207481769996</v>
      </c>
      <c r="L48" s="34" t="b" cm="1">
        <f t="array" ref="L48">IFERROR(IF(HistoricalStockProgress[[#This Row],[Price of Shares]]="",_xlfn.STOCKHISTORY(HistoricalStockProgress[[#This Row],[Full Company Name]],HistoricalStockProgress[[#This Row],[Date]],,2,0,1)),0)</f>
        <v>0</v>
      </c>
      <c r="M48" s="34">
        <f>YEAR(HistoricalStockProgress[[#This Row],[Date]])</f>
        <v>2015</v>
      </c>
      <c r="N48" s="34">
        <f>MONTH(HistoricalStockProgress[[#This Row],[Date]])</f>
        <v>11</v>
      </c>
    </row>
    <row r="49" spans="2:14">
      <c r="B49" s="15">
        <v>42338</v>
      </c>
      <c r="C49" s="34" t="s">
        <v>22</v>
      </c>
      <c r="D49" s="34" t="e" vm="10">
        <f>_xlfn.XLOOKUP(HistoricalStockProgress[[#This Row],[Company Ticker]],CompanyDetailsList[Company Ticker],CompanyDetailsList[Official Name],,0)</f>
        <v>#VALUE!</v>
      </c>
      <c r="E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22</v>
      </c>
      <c r="F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1793.9720224225266</v>
      </c>
      <c r="G49" s="17">
        <f>IFERROR(HistoricalStockProgress[[#This Row],[Cost of Shares]]/HistoricalStockProgress[[#This Row],[No. of Shares]],0)</f>
        <v>81.544182837387567</v>
      </c>
      <c r="H49" s="16" vm="603">
        <v>72.650000000000006</v>
      </c>
      <c r="I49" s="16">
        <f>IF(HistoricalStockProgress[[#This Row],[No. of Shares]]&lt;&gt;0,HistoricalStockProgress[[#This Row],[Price of Shares]]*HistoricalStockProgress[[#This Row],[No. of Shares]],0)</f>
        <v>1598.3000000000002</v>
      </c>
      <c r="J49" s="16">
        <f>IF(HistoricalStockProgress[[#This Row],[No. of Shares]]&lt;&gt;0,HistoricalStockProgress[[#This Row],[Price of Shares]]-HistoricalStockProgress[[#This Row],[Cost of Shares]]/HistoricalStockProgress[[#This Row],[No. of Shares]],0)</f>
        <v>-8.8941828373875609</v>
      </c>
      <c r="K49" s="17">
        <f>IF(HistoricalStockProgress[[#This Row],[Total Price of Shares]]&lt;&gt;0,HistoricalStockProgress[[#This Row],[Total Price of Shares]]-HistoricalStockProgress[[#This Row],[Cost of Shares]],0)</f>
        <v>-195.67202242252642</v>
      </c>
      <c r="L49" s="34" t="b" cm="1">
        <f t="array" ref="L49">IFERROR(IF(HistoricalStockProgress[[#This Row],[Price of Shares]]="",_xlfn.STOCKHISTORY(HistoricalStockProgress[[#This Row],[Full Company Name]],HistoricalStockProgress[[#This Row],[Date]],,2,0,1)),0)</f>
        <v>0</v>
      </c>
      <c r="M49" s="34">
        <f>YEAR(HistoricalStockProgress[[#This Row],[Date]])</f>
        <v>2015</v>
      </c>
      <c r="N49" s="34">
        <f>MONTH(HistoricalStockProgress[[#This Row],[Date]])</f>
        <v>11</v>
      </c>
    </row>
    <row r="50" spans="2:14">
      <c r="B50" s="15">
        <v>42338</v>
      </c>
      <c r="C50" s="34" t="s">
        <v>16</v>
      </c>
      <c r="D50" s="34" t="e" vm="12">
        <f>_xlfn.XLOOKUP(HistoricalStockProgress[[#This Row],[Company Ticker]],CompanyDetailsList[Company Ticker],CompanyDetailsList[Official Name],,0)</f>
        <v>#VALUE!</v>
      </c>
      <c r="E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893.80775275759015</v>
      </c>
      <c r="G50" s="17">
        <f>IFERROR(HistoricalStockProgress[[#This Row],[Cost of Shares]]/HistoricalStockProgress[[#This Row],[No. of Shares]],0)</f>
        <v>81.255250250690011</v>
      </c>
      <c r="H50" s="16" vm="604">
        <v>81.66</v>
      </c>
      <c r="I50" s="16">
        <f>IF(HistoricalStockProgress[[#This Row],[No. of Shares]]&lt;&gt;0,HistoricalStockProgress[[#This Row],[Price of Shares]]*HistoricalStockProgress[[#This Row],[No. of Shares]],0)</f>
        <v>898.26</v>
      </c>
      <c r="J50" s="16">
        <f>IF(HistoricalStockProgress[[#This Row],[No. of Shares]]&lt;&gt;0,HistoricalStockProgress[[#This Row],[Price of Shares]]-HistoricalStockProgress[[#This Row],[Cost of Shares]]/HistoricalStockProgress[[#This Row],[No. of Shares]],0)</f>
        <v>0.40474974930998542</v>
      </c>
      <c r="K50" s="17">
        <f>IF(HistoricalStockProgress[[#This Row],[Total Price of Shares]]&lt;&gt;0,HistoricalStockProgress[[#This Row],[Total Price of Shares]]-HistoricalStockProgress[[#This Row],[Cost of Shares]],0)</f>
        <v>4.4522472424098396</v>
      </c>
      <c r="L50" s="34" t="b" cm="1">
        <f t="array" ref="L50">IFERROR(IF(HistoricalStockProgress[[#This Row],[Price of Shares]]="",_xlfn.STOCKHISTORY(HistoricalStockProgress[[#This Row],[Full Company Name]],HistoricalStockProgress[[#This Row],[Date]],,2,0,1)),0)</f>
        <v>0</v>
      </c>
      <c r="M50" s="34">
        <f>YEAR(HistoricalStockProgress[[#This Row],[Date]])</f>
        <v>2015</v>
      </c>
      <c r="N50" s="34">
        <f>MONTH(HistoricalStockProgress[[#This Row],[Date]])</f>
        <v>11</v>
      </c>
    </row>
    <row r="51" spans="2:14">
      <c r="B51" s="15">
        <v>42338</v>
      </c>
      <c r="C51" s="34" t="s">
        <v>95</v>
      </c>
      <c r="D51" s="34" t="e" vm="13">
        <f>_xlfn.XLOOKUP(HistoricalStockProgress[[#This Row],[Company Ticker]],CompanyDetailsList[Company Ticker],CompanyDetailsList[Official Name],,0)</f>
        <v>#VALUE!</v>
      </c>
      <c r="E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51" s="17">
        <f>IFERROR(HistoricalStockProgress[[#This Row],[Cost of Shares]]/HistoricalStockProgress[[#This Row],[No. of Shares]],0)</f>
        <v>112.90555526050157</v>
      </c>
      <c r="H51" s="16" vm="605">
        <v>133.88</v>
      </c>
      <c r="I51" s="16">
        <f>IF(HistoricalStockProgress[[#This Row],[No. of Shares]]&lt;&gt;0,HistoricalStockProgress[[#This Row],[Price of Shares]]*HistoricalStockProgress[[#This Row],[No. of Shares]],0)</f>
        <v>1606.56</v>
      </c>
      <c r="J51" s="16">
        <f>IF(HistoricalStockProgress[[#This Row],[No. of Shares]]&lt;&gt;0,HistoricalStockProgress[[#This Row],[Price of Shares]]-HistoricalStockProgress[[#This Row],[Cost of Shares]]/HistoricalStockProgress[[#This Row],[No. of Shares]],0)</f>
        <v>20.974444739498423</v>
      </c>
      <c r="K51" s="17">
        <f>IF(HistoricalStockProgress[[#This Row],[Total Price of Shares]]&lt;&gt;0,HistoricalStockProgress[[#This Row],[Total Price of Shares]]-HistoricalStockProgress[[#This Row],[Cost of Shares]],0)</f>
        <v>251.69333687398102</v>
      </c>
      <c r="L51" s="34" t="b" cm="1">
        <f t="array" ref="L51">IFERROR(IF(HistoricalStockProgress[[#This Row],[Price of Shares]]="",_xlfn.STOCKHISTORY(HistoricalStockProgress[[#This Row],[Full Company Name]],HistoricalStockProgress[[#This Row],[Date]],,2,0,1)),0)</f>
        <v>0</v>
      </c>
      <c r="M51" s="34">
        <f>YEAR(HistoricalStockProgress[[#This Row],[Date]])</f>
        <v>2015</v>
      </c>
      <c r="N51" s="34">
        <f>MONTH(HistoricalStockProgress[[#This Row],[Date]])</f>
        <v>11</v>
      </c>
    </row>
    <row r="52" spans="2:14">
      <c r="B52" s="15">
        <v>42338</v>
      </c>
      <c r="C52" s="34" t="s">
        <v>100</v>
      </c>
      <c r="D52" s="34" t="e" vm="16">
        <f>_xlfn.XLOOKUP(HistoricalStockProgress[[#This Row],[Company Ticker]],CompanyDetailsList[Company Ticker],CompanyDetailsList[Official Name],,0)</f>
        <v>#VALUE!</v>
      </c>
      <c r="E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52" s="17">
        <f>IFERROR(HistoricalStockProgress[[#This Row],[Cost of Shares]]/HistoricalStockProgress[[#This Row],[No. of Shares]],0)</f>
        <v>84.509035134678101</v>
      </c>
      <c r="H52" s="16" vm="606">
        <v>67.760000000000005</v>
      </c>
      <c r="I52" s="16">
        <f>IF(HistoricalStockProgress[[#This Row],[No. of Shares]]&lt;&gt;0,HistoricalStockProgress[[#This Row],[Price of Shares]]*HistoricalStockProgress[[#This Row],[No. of Shares]],0)</f>
        <v>2236.0800000000004</v>
      </c>
      <c r="J52" s="16">
        <f>IF(HistoricalStockProgress[[#This Row],[No. of Shares]]&lt;&gt;0,HistoricalStockProgress[[#This Row],[Price of Shares]]-HistoricalStockProgress[[#This Row],[Cost of Shares]]/HistoricalStockProgress[[#This Row],[No. of Shares]],0)</f>
        <v>-16.749035134678095</v>
      </c>
      <c r="K52" s="17">
        <f>IF(HistoricalStockProgress[[#This Row],[Total Price of Shares]]&lt;&gt;0,HistoricalStockProgress[[#This Row],[Total Price of Shares]]-HistoricalStockProgress[[#This Row],[Cost of Shares]],0)</f>
        <v>-552.71815944437685</v>
      </c>
      <c r="L52" s="34" t="b" cm="1">
        <f t="array" ref="L52">IFERROR(IF(HistoricalStockProgress[[#This Row],[Price of Shares]]="",_xlfn.STOCKHISTORY(HistoricalStockProgress[[#This Row],[Full Company Name]],HistoricalStockProgress[[#This Row],[Date]],,2,0,1)),0)</f>
        <v>0</v>
      </c>
      <c r="M52" s="34">
        <f>YEAR(HistoricalStockProgress[[#This Row],[Date]])</f>
        <v>2015</v>
      </c>
      <c r="N52" s="34">
        <f>MONTH(HistoricalStockProgress[[#This Row],[Date]])</f>
        <v>11</v>
      </c>
    </row>
    <row r="53" spans="2:14">
      <c r="B53" s="15">
        <v>42338</v>
      </c>
      <c r="C53" s="34" t="s">
        <v>15</v>
      </c>
      <c r="D53" s="34" t="e" vm="17">
        <f>_xlfn.XLOOKUP(HistoricalStockProgress[[#This Row],[Company Ticker]],CompanyDetailsList[Company Ticker],CompanyDetailsList[Official Name],,0)</f>
        <v>#VALUE!</v>
      </c>
      <c r="E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1660.4683328246847</v>
      </c>
      <c r="G53" s="17">
        <f>IFERROR(HistoricalStockProgress[[#This Row],[Cost of Shares]]/HistoricalStockProgress[[#This Row],[No. of Shares]],0)</f>
        <v>25.944817700385698</v>
      </c>
      <c r="H53" s="16" vm="607">
        <v>25.4269</v>
      </c>
      <c r="I53" s="16">
        <f>IF(HistoricalStockProgress[[#This Row],[No. of Shares]]&lt;&gt;0,HistoricalStockProgress[[#This Row],[Price of Shares]]*HistoricalStockProgress[[#This Row],[No. of Shares]],0)</f>
        <v>1627.3216</v>
      </c>
      <c r="J53" s="16">
        <f>IF(HistoricalStockProgress[[#This Row],[No. of Shares]]&lt;&gt;0,HistoricalStockProgress[[#This Row],[Price of Shares]]-HistoricalStockProgress[[#This Row],[Cost of Shares]]/HistoricalStockProgress[[#This Row],[No. of Shares]],0)</f>
        <v>-0.51791770038569851</v>
      </c>
      <c r="K53" s="17">
        <f>IF(HistoricalStockProgress[[#This Row],[Total Price of Shares]]&lt;&gt;0,HistoricalStockProgress[[#This Row],[Total Price of Shares]]-HistoricalStockProgress[[#This Row],[Cost of Shares]],0)</f>
        <v>-33.146732824684705</v>
      </c>
      <c r="L53" s="34" t="b" cm="1">
        <f t="array" ref="L53">IFERROR(IF(HistoricalStockProgress[[#This Row],[Price of Shares]]="",_xlfn.STOCKHISTORY(HistoricalStockProgress[[#This Row],[Full Company Name]],HistoricalStockProgress[[#This Row],[Date]],,2,0,1)),0)</f>
        <v>0</v>
      </c>
      <c r="M53" s="34">
        <f>YEAR(HistoricalStockProgress[[#This Row],[Date]])</f>
        <v>2015</v>
      </c>
      <c r="N53" s="34">
        <f>MONTH(HistoricalStockProgress[[#This Row],[Date]])</f>
        <v>11</v>
      </c>
    </row>
    <row r="54" spans="2:14">
      <c r="B54" s="15">
        <v>42338</v>
      </c>
      <c r="C54" s="34" t="s">
        <v>13</v>
      </c>
      <c r="D54" s="34" t="e" vm="18">
        <f>_xlfn.XLOOKUP(HistoricalStockProgress[[#This Row],[Company Ticker]],CompanyDetailsList[Company Ticker],CompanyDetailsList[Official Name],,0)</f>
        <v>#VALUE!</v>
      </c>
      <c r="E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54" s="17">
        <f>IFERROR(HistoricalStockProgress[[#This Row],[Cost of Shares]]/HistoricalStockProgress[[#This Row],[No. of Shares]],0)</f>
        <v>30.916275141190898</v>
      </c>
      <c r="H54" s="16" vm="608">
        <v>31.064299999999999</v>
      </c>
      <c r="I54" s="16">
        <f>IF(HistoricalStockProgress[[#This Row],[No. of Shares]]&lt;&gt;0,HistoricalStockProgress[[#This Row],[Price of Shares]]*HistoricalStockProgress[[#This Row],[No. of Shares]],0)</f>
        <v>341.70729999999998</v>
      </c>
      <c r="J54" s="16">
        <f>IF(HistoricalStockProgress[[#This Row],[No. of Shares]]&lt;&gt;0,HistoricalStockProgress[[#This Row],[Price of Shares]]-HistoricalStockProgress[[#This Row],[Cost of Shares]]/HistoricalStockProgress[[#This Row],[No. of Shares]],0)</f>
        <v>0.14802485880910154</v>
      </c>
      <c r="K54" s="17">
        <f>IF(HistoricalStockProgress[[#This Row],[Total Price of Shares]]&lt;&gt;0,HistoricalStockProgress[[#This Row],[Total Price of Shares]]-HistoricalStockProgress[[#This Row],[Cost of Shares]],0)</f>
        <v>1.6282734469000957</v>
      </c>
      <c r="L54" s="34" t="b" cm="1">
        <f t="array" ref="L54">IFERROR(IF(HistoricalStockProgress[[#This Row],[Price of Shares]]="",_xlfn.STOCKHISTORY(HistoricalStockProgress[[#This Row],[Full Company Name]],HistoricalStockProgress[[#This Row],[Date]],,2,0,1)),0)</f>
        <v>0</v>
      </c>
      <c r="M54" s="34">
        <f>YEAR(HistoricalStockProgress[[#This Row],[Date]])</f>
        <v>2015</v>
      </c>
      <c r="N54" s="34">
        <f>MONTH(HistoricalStockProgress[[#This Row],[Date]])</f>
        <v>11</v>
      </c>
    </row>
    <row r="55" spans="2:14">
      <c r="B55" s="15">
        <v>42338</v>
      </c>
      <c r="C55" s="34" t="s">
        <v>20</v>
      </c>
      <c r="D55" s="34" t="e" vm="19">
        <f>_xlfn.XLOOKUP(HistoricalStockProgress[[#This Row],[Company Ticker]],CompanyDetailsList[Company Ticker],CompanyDetailsList[Official Name],,0)</f>
        <v>#VALUE!</v>
      </c>
      <c r="E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16</v>
      </c>
      <c r="F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1089.6459884973885</v>
      </c>
      <c r="G55" s="17">
        <f>IFERROR(HistoricalStockProgress[[#This Row],[Cost of Shares]]/HistoricalStockProgress[[#This Row],[No. of Shares]],0)</f>
        <v>68.102874281086784</v>
      </c>
      <c r="H55" s="16" vm="609">
        <v>66.680000000000007</v>
      </c>
      <c r="I55" s="16">
        <f>IF(HistoricalStockProgress[[#This Row],[No. of Shares]]&lt;&gt;0,HistoricalStockProgress[[#This Row],[Price of Shares]]*HistoricalStockProgress[[#This Row],[No. of Shares]],0)</f>
        <v>1066.8800000000001</v>
      </c>
      <c r="J55" s="16">
        <f>IF(HistoricalStockProgress[[#This Row],[No. of Shares]]&lt;&gt;0,HistoricalStockProgress[[#This Row],[Price of Shares]]-HistoricalStockProgress[[#This Row],[Cost of Shares]]/HistoricalStockProgress[[#This Row],[No. of Shares]],0)</f>
        <v>-1.4228742810867772</v>
      </c>
      <c r="K55" s="17">
        <f>IF(HistoricalStockProgress[[#This Row],[Total Price of Shares]]&lt;&gt;0,HistoricalStockProgress[[#This Row],[Total Price of Shares]]-HistoricalStockProgress[[#This Row],[Cost of Shares]],0)</f>
        <v>-22.765988497388435</v>
      </c>
      <c r="L55" s="34" t="b" cm="1">
        <f t="array" ref="L55">IFERROR(IF(HistoricalStockProgress[[#This Row],[Price of Shares]]="",_xlfn.STOCKHISTORY(HistoricalStockProgress[[#This Row],[Full Company Name]],HistoricalStockProgress[[#This Row],[Date]],,2,0,1)),0)</f>
        <v>0</v>
      </c>
      <c r="M55" s="34">
        <f>YEAR(HistoricalStockProgress[[#This Row],[Date]])</f>
        <v>2015</v>
      </c>
      <c r="N55" s="34">
        <f>MONTH(HistoricalStockProgress[[#This Row],[Date]])</f>
        <v>11</v>
      </c>
    </row>
    <row r="56" spans="2:14">
      <c r="B56" s="15">
        <v>42369</v>
      </c>
      <c r="C56" s="34" t="s">
        <v>86</v>
      </c>
      <c r="D56" s="34" t="e" vm="8">
        <f>_xlfn.XLOOKUP(HistoricalStockProgress[[#This Row],[Company Ticker]],CompanyDetailsList[Company Ticker],CompanyDetailsList[Official Name],,0)</f>
        <v>#VALUE!</v>
      </c>
      <c r="E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v>
      </c>
      <c r="F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894.13820748177</v>
      </c>
      <c r="G56" s="17">
        <f>IFERROR(HistoricalStockProgress[[#This Row],[Cost of Shares]]/HistoricalStockProgress[[#This Row],[No. of Shares]],0)</f>
        <v>59.609213832118002</v>
      </c>
      <c r="H56" s="16" vm="610">
        <v>59.24</v>
      </c>
      <c r="I56" s="16">
        <f>IF(HistoricalStockProgress[[#This Row],[No. of Shares]]&lt;&gt;0,HistoricalStockProgress[[#This Row],[Price of Shares]]*HistoricalStockProgress[[#This Row],[No. of Shares]],0)</f>
        <v>888.6</v>
      </c>
      <c r="J56" s="16">
        <f>IF(HistoricalStockProgress[[#This Row],[No. of Shares]]&lt;&gt;0,HistoricalStockProgress[[#This Row],[Price of Shares]]-HistoricalStockProgress[[#This Row],[Cost of Shares]]/HistoricalStockProgress[[#This Row],[No. of Shares]],0)</f>
        <v>-0.36921383211799963</v>
      </c>
      <c r="K56" s="17">
        <f>IF(HistoricalStockProgress[[#This Row],[Total Price of Shares]]&lt;&gt;0,HistoricalStockProgress[[#This Row],[Total Price of Shares]]-HistoricalStockProgress[[#This Row],[Cost of Shares]],0)</f>
        <v>-5.5382074817699731</v>
      </c>
      <c r="L56" s="34" t="b" cm="1">
        <f t="array" ref="L56">IFERROR(IF(HistoricalStockProgress[[#This Row],[Price of Shares]]="",_xlfn.STOCKHISTORY(HistoricalStockProgress[[#This Row],[Full Company Name]],HistoricalStockProgress[[#This Row],[Date]],,2,0,1)),0)</f>
        <v>0</v>
      </c>
      <c r="M56" s="34">
        <f>YEAR(HistoricalStockProgress[[#This Row],[Date]])</f>
        <v>2015</v>
      </c>
      <c r="N56" s="34">
        <f>MONTH(HistoricalStockProgress[[#This Row],[Date]])</f>
        <v>12</v>
      </c>
    </row>
    <row r="57" spans="2:14">
      <c r="B57" s="15">
        <v>42369</v>
      </c>
      <c r="C57" s="34" t="s">
        <v>22</v>
      </c>
      <c r="D57" s="34" t="e" vm="10">
        <f>_xlfn.XLOOKUP(HistoricalStockProgress[[#This Row],[Company Ticker]],CompanyDetailsList[Company Ticker],CompanyDetailsList[Official Name],,0)</f>
        <v>#VALUE!</v>
      </c>
      <c r="E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22</v>
      </c>
      <c r="F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1793.9720224225266</v>
      </c>
      <c r="G57" s="17">
        <f>IFERROR(HistoricalStockProgress[[#This Row],[Cost of Shares]]/HistoricalStockProgress[[#This Row],[No. of Shares]],0)</f>
        <v>81.544182837387567</v>
      </c>
      <c r="H57" s="16" vm="611">
        <v>67.959999999999994</v>
      </c>
      <c r="I57" s="16">
        <f>IF(HistoricalStockProgress[[#This Row],[No. of Shares]]&lt;&gt;0,HistoricalStockProgress[[#This Row],[Price of Shares]]*HistoricalStockProgress[[#This Row],[No. of Shares]],0)</f>
        <v>1495.12</v>
      </c>
      <c r="J57" s="16">
        <f>IF(HistoricalStockProgress[[#This Row],[No. of Shares]]&lt;&gt;0,HistoricalStockProgress[[#This Row],[Price of Shares]]-HistoricalStockProgress[[#This Row],[Cost of Shares]]/HistoricalStockProgress[[#This Row],[No. of Shares]],0)</f>
        <v>-13.584182837387573</v>
      </c>
      <c r="K57" s="17">
        <f>IF(HistoricalStockProgress[[#This Row],[Total Price of Shares]]&lt;&gt;0,HistoricalStockProgress[[#This Row],[Total Price of Shares]]-HistoricalStockProgress[[#This Row],[Cost of Shares]],0)</f>
        <v>-298.85202242252672</v>
      </c>
      <c r="L57" s="34" t="b" cm="1">
        <f t="array" ref="L57">IFERROR(IF(HistoricalStockProgress[[#This Row],[Price of Shares]]="",_xlfn.STOCKHISTORY(HistoricalStockProgress[[#This Row],[Full Company Name]],HistoricalStockProgress[[#This Row],[Date]],,2,0,1)),0)</f>
        <v>0</v>
      </c>
      <c r="M57" s="34">
        <f>YEAR(HistoricalStockProgress[[#This Row],[Date]])</f>
        <v>2015</v>
      </c>
      <c r="N57" s="34">
        <f>MONTH(HistoricalStockProgress[[#This Row],[Date]])</f>
        <v>12</v>
      </c>
    </row>
    <row r="58" spans="2:14">
      <c r="B58" s="15">
        <v>42369</v>
      </c>
      <c r="C58" s="34" t="s">
        <v>91</v>
      </c>
      <c r="D58" s="34" t="e" vm="11">
        <f>_xlfn.XLOOKUP(HistoricalStockProgress[[#This Row],[Company Ticker]],CompanyDetailsList[Company Ticker],CompanyDetailsList[Official Name],,0)</f>
        <v>#VALUE!</v>
      </c>
      <c r="E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21</v>
      </c>
      <c r="F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1170.1841895670582</v>
      </c>
      <c r="G58" s="17">
        <f>IFERROR(HistoricalStockProgress[[#This Row],[Cost of Shares]]/HistoricalStockProgress[[#This Row],[No. of Shares]],0)</f>
        <v>55.723056646050388</v>
      </c>
      <c r="H58" s="16" vm="612">
        <v>55.48</v>
      </c>
      <c r="I58" s="16">
        <f>IF(HistoricalStockProgress[[#This Row],[No. of Shares]]&lt;&gt;0,HistoricalStockProgress[[#This Row],[Price of Shares]]*HistoricalStockProgress[[#This Row],[No. of Shares]],0)</f>
        <v>1165.08</v>
      </c>
      <c r="J58" s="16">
        <f>IF(HistoricalStockProgress[[#This Row],[No. of Shares]]&lt;&gt;0,HistoricalStockProgress[[#This Row],[Price of Shares]]-HistoricalStockProgress[[#This Row],[Cost of Shares]]/HistoricalStockProgress[[#This Row],[No. of Shares]],0)</f>
        <v>-0.24305664605039112</v>
      </c>
      <c r="K58" s="17">
        <f>IF(HistoricalStockProgress[[#This Row],[Total Price of Shares]]&lt;&gt;0,HistoricalStockProgress[[#This Row],[Total Price of Shares]]-HistoricalStockProgress[[#This Row],[Cost of Shares]],0)</f>
        <v>-5.1041895670582562</v>
      </c>
      <c r="L58" s="34" t="b" cm="1">
        <f t="array" ref="L58">IFERROR(IF(HistoricalStockProgress[[#This Row],[Price of Shares]]="",_xlfn.STOCKHISTORY(HistoricalStockProgress[[#This Row],[Full Company Name]],HistoricalStockProgress[[#This Row],[Date]],,2,0,1)),0)</f>
        <v>0</v>
      </c>
      <c r="M58" s="34">
        <f>YEAR(HistoricalStockProgress[[#This Row],[Date]])</f>
        <v>2015</v>
      </c>
      <c r="N58" s="34">
        <f>MONTH(HistoricalStockProgress[[#This Row],[Date]])</f>
        <v>12</v>
      </c>
    </row>
    <row r="59" spans="2:14">
      <c r="B59" s="15">
        <v>42369</v>
      </c>
      <c r="C59" s="34" t="s">
        <v>16</v>
      </c>
      <c r="D59" s="34" t="e" vm="12">
        <f>_xlfn.XLOOKUP(HistoricalStockProgress[[#This Row],[Company Ticker]],CompanyDetailsList[Company Ticker],CompanyDetailsList[Official Name],,0)</f>
        <v>#VALUE!</v>
      </c>
      <c r="E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893.80775275759015</v>
      </c>
      <c r="G59" s="17">
        <f>IFERROR(HistoricalStockProgress[[#This Row],[Cost of Shares]]/HistoricalStockProgress[[#This Row],[No. of Shares]],0)</f>
        <v>81.255250250690011</v>
      </c>
      <c r="H59" s="16" vm="613">
        <v>77.95</v>
      </c>
      <c r="I59" s="16">
        <f>IF(HistoricalStockProgress[[#This Row],[No. of Shares]]&lt;&gt;0,HistoricalStockProgress[[#This Row],[Price of Shares]]*HistoricalStockProgress[[#This Row],[No. of Shares]],0)</f>
        <v>857.45</v>
      </c>
      <c r="J59" s="16">
        <f>IF(HistoricalStockProgress[[#This Row],[No. of Shares]]&lt;&gt;0,HistoricalStockProgress[[#This Row],[Price of Shares]]-HistoricalStockProgress[[#This Row],[Cost of Shares]]/HistoricalStockProgress[[#This Row],[No. of Shares]],0)</f>
        <v>-3.3052502506900083</v>
      </c>
      <c r="K59" s="17">
        <f>IF(HistoricalStockProgress[[#This Row],[Total Price of Shares]]&lt;&gt;0,HistoricalStockProgress[[#This Row],[Total Price of Shares]]-HistoricalStockProgress[[#This Row],[Cost of Shares]],0)</f>
        <v>-36.357752757590106</v>
      </c>
      <c r="L59" s="34" t="b" cm="1">
        <f t="array" ref="L59">IFERROR(IF(HistoricalStockProgress[[#This Row],[Price of Shares]]="",_xlfn.STOCKHISTORY(HistoricalStockProgress[[#This Row],[Full Company Name]],HistoricalStockProgress[[#This Row],[Date]],,2,0,1)),0)</f>
        <v>0</v>
      </c>
      <c r="M59" s="34">
        <f>YEAR(HistoricalStockProgress[[#This Row],[Date]])</f>
        <v>2015</v>
      </c>
      <c r="N59" s="34">
        <f>MONTH(HistoricalStockProgress[[#This Row],[Date]])</f>
        <v>12</v>
      </c>
    </row>
    <row r="60" spans="2:14">
      <c r="B60" s="15">
        <v>42369</v>
      </c>
      <c r="C60" s="34" t="s">
        <v>95</v>
      </c>
      <c r="D60" s="34" t="e" vm="13">
        <f>_xlfn.XLOOKUP(HistoricalStockProgress[[#This Row],[Company Ticker]],CompanyDetailsList[Company Ticker],CompanyDetailsList[Official Name],,0)</f>
        <v>#VALUE!</v>
      </c>
      <c r="E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60" s="17">
        <f>IFERROR(HistoricalStockProgress[[#This Row],[Cost of Shares]]/HistoricalStockProgress[[#This Row],[No. of Shares]],0)</f>
        <v>112.90555526050157</v>
      </c>
      <c r="H60" s="16" vm="614">
        <v>132.25</v>
      </c>
      <c r="I60" s="16">
        <f>IF(HistoricalStockProgress[[#This Row],[No. of Shares]]&lt;&gt;0,HistoricalStockProgress[[#This Row],[Price of Shares]]*HistoricalStockProgress[[#This Row],[No. of Shares]],0)</f>
        <v>1587</v>
      </c>
      <c r="J60" s="16">
        <f>IF(HistoricalStockProgress[[#This Row],[No. of Shares]]&lt;&gt;0,HistoricalStockProgress[[#This Row],[Price of Shares]]-HistoricalStockProgress[[#This Row],[Cost of Shares]]/HistoricalStockProgress[[#This Row],[No. of Shares]],0)</f>
        <v>19.344444739498428</v>
      </c>
      <c r="K60" s="17">
        <f>IF(HistoricalStockProgress[[#This Row],[Total Price of Shares]]&lt;&gt;0,HistoricalStockProgress[[#This Row],[Total Price of Shares]]-HistoricalStockProgress[[#This Row],[Cost of Shares]],0)</f>
        <v>232.13333687398108</v>
      </c>
      <c r="L60" s="34" t="b" cm="1">
        <f t="array" ref="L60">IFERROR(IF(HistoricalStockProgress[[#This Row],[Price of Shares]]="",_xlfn.STOCKHISTORY(HistoricalStockProgress[[#This Row],[Full Company Name]],HistoricalStockProgress[[#This Row],[Date]],,2,0,1)),0)</f>
        <v>0</v>
      </c>
      <c r="M60" s="34">
        <f>YEAR(HistoricalStockProgress[[#This Row],[Date]])</f>
        <v>2015</v>
      </c>
      <c r="N60" s="34">
        <f>MONTH(HistoricalStockProgress[[#This Row],[Date]])</f>
        <v>12</v>
      </c>
    </row>
    <row r="61" spans="2:14">
      <c r="B61" s="15">
        <v>42369</v>
      </c>
      <c r="C61" s="34" t="s">
        <v>100</v>
      </c>
      <c r="D61" s="34" t="e" vm="16">
        <f>_xlfn.XLOOKUP(HistoricalStockProgress[[#This Row],[Company Ticker]],CompanyDetailsList[Company Ticker],CompanyDetailsList[Official Name],,0)</f>
        <v>#VALUE!</v>
      </c>
      <c r="E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61" s="17">
        <f>IFERROR(HistoricalStockProgress[[#This Row],[Cost of Shares]]/HistoricalStockProgress[[#This Row],[No. of Shares]],0)</f>
        <v>84.509035134678101</v>
      </c>
      <c r="H61" s="16" vm="615">
        <v>71.39</v>
      </c>
      <c r="I61" s="16">
        <f>IF(HistoricalStockProgress[[#This Row],[No. of Shares]]&lt;&gt;0,HistoricalStockProgress[[#This Row],[Price of Shares]]*HistoricalStockProgress[[#This Row],[No. of Shares]],0)</f>
        <v>2355.87</v>
      </c>
      <c r="J61" s="16">
        <f>IF(HistoricalStockProgress[[#This Row],[No. of Shares]]&lt;&gt;0,HistoricalStockProgress[[#This Row],[Price of Shares]]-HistoricalStockProgress[[#This Row],[Cost of Shares]]/HistoricalStockProgress[[#This Row],[No. of Shares]],0)</f>
        <v>-13.1190351346781</v>
      </c>
      <c r="K61" s="17">
        <f>IF(HistoricalStockProgress[[#This Row],[Total Price of Shares]]&lt;&gt;0,HistoricalStockProgress[[#This Row],[Total Price of Shares]]-HistoricalStockProgress[[#This Row],[Cost of Shares]],0)</f>
        <v>-432.92815944437734</v>
      </c>
      <c r="L61" s="34" t="b" cm="1">
        <f t="array" ref="L61">IFERROR(IF(HistoricalStockProgress[[#This Row],[Price of Shares]]="",_xlfn.STOCKHISTORY(HistoricalStockProgress[[#This Row],[Full Company Name]],HistoricalStockProgress[[#This Row],[Date]],,2,0,1)),0)</f>
        <v>0</v>
      </c>
      <c r="M61" s="34">
        <f>YEAR(HistoricalStockProgress[[#This Row],[Date]])</f>
        <v>2015</v>
      </c>
      <c r="N61" s="34">
        <f>MONTH(HistoricalStockProgress[[#This Row],[Date]])</f>
        <v>12</v>
      </c>
    </row>
    <row r="62" spans="2:14">
      <c r="B62" s="15">
        <v>42369</v>
      </c>
      <c r="C62" s="34" t="s">
        <v>15</v>
      </c>
      <c r="D62" s="34" t="e" vm="17">
        <f>_xlfn.XLOOKUP(HistoricalStockProgress[[#This Row],[Company Ticker]],CompanyDetailsList[Company Ticker],CompanyDetailsList[Official Name],,0)</f>
        <v>#VALUE!</v>
      </c>
      <c r="E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1660.4683328246847</v>
      </c>
      <c r="G62" s="17">
        <f>IFERROR(HistoricalStockProgress[[#This Row],[Cost of Shares]]/HistoricalStockProgress[[#This Row],[No. of Shares]],0)</f>
        <v>25.944817700385698</v>
      </c>
      <c r="H62" s="16" vm="616">
        <v>25.985700000000001</v>
      </c>
      <c r="I62" s="16">
        <f>IF(HistoricalStockProgress[[#This Row],[No. of Shares]]&lt;&gt;0,HistoricalStockProgress[[#This Row],[Price of Shares]]*HistoricalStockProgress[[#This Row],[No. of Shares]],0)</f>
        <v>1663.0848000000001</v>
      </c>
      <c r="J62" s="16">
        <f>IF(HistoricalStockProgress[[#This Row],[No. of Shares]]&lt;&gt;0,HistoricalStockProgress[[#This Row],[Price of Shares]]-HistoricalStockProgress[[#This Row],[Cost of Shares]]/HistoricalStockProgress[[#This Row],[No. of Shares]],0)</f>
        <v>4.0882299614303008E-2</v>
      </c>
      <c r="K62" s="17">
        <f>IF(HistoricalStockProgress[[#This Row],[Total Price of Shares]]&lt;&gt;0,HistoricalStockProgress[[#This Row],[Total Price of Shares]]-HistoricalStockProgress[[#This Row],[Cost of Shares]],0)</f>
        <v>2.6164671753153925</v>
      </c>
      <c r="L62" s="34" t="b" cm="1">
        <f t="array" ref="L62">IFERROR(IF(HistoricalStockProgress[[#This Row],[Price of Shares]]="",_xlfn.STOCKHISTORY(HistoricalStockProgress[[#This Row],[Full Company Name]],HistoricalStockProgress[[#This Row],[Date]],,2,0,1)),0)</f>
        <v>0</v>
      </c>
      <c r="M62" s="34">
        <f>YEAR(HistoricalStockProgress[[#This Row],[Date]])</f>
        <v>2015</v>
      </c>
      <c r="N62" s="34">
        <f>MONTH(HistoricalStockProgress[[#This Row],[Date]])</f>
        <v>12</v>
      </c>
    </row>
    <row r="63" spans="2:14">
      <c r="B63" s="15">
        <v>42369</v>
      </c>
      <c r="C63" s="34" t="s">
        <v>13</v>
      </c>
      <c r="D63" s="34" t="e" vm="18">
        <f>_xlfn.XLOOKUP(HistoricalStockProgress[[#This Row],[Company Ticker]],CompanyDetailsList[Company Ticker],CompanyDetailsList[Official Name],,0)</f>
        <v>#VALUE!</v>
      </c>
      <c r="E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63" s="17">
        <f>IFERROR(HistoricalStockProgress[[#This Row],[Cost of Shares]]/HistoricalStockProgress[[#This Row],[No. of Shares]],0)</f>
        <v>30.916275141190898</v>
      </c>
      <c r="H63" s="16" vm="617">
        <v>30.599799999999998</v>
      </c>
      <c r="I63" s="16">
        <f>IF(HistoricalStockProgress[[#This Row],[No. of Shares]]&lt;&gt;0,HistoricalStockProgress[[#This Row],[Price of Shares]]*HistoricalStockProgress[[#This Row],[No. of Shares]],0)</f>
        <v>336.59780000000001</v>
      </c>
      <c r="J63" s="16">
        <f>IF(HistoricalStockProgress[[#This Row],[No. of Shares]]&lt;&gt;0,HistoricalStockProgress[[#This Row],[Price of Shares]]-HistoricalStockProgress[[#This Row],[Cost of Shares]]/HistoricalStockProgress[[#This Row],[No. of Shares]],0)</f>
        <v>-0.31647514119089948</v>
      </c>
      <c r="K63" s="17">
        <f>IF(HistoricalStockProgress[[#This Row],[Total Price of Shares]]&lt;&gt;0,HistoricalStockProgress[[#This Row],[Total Price of Shares]]-HistoricalStockProgress[[#This Row],[Cost of Shares]],0)</f>
        <v>-3.4812265530998729</v>
      </c>
      <c r="L63" s="34" t="b" cm="1">
        <f t="array" ref="L63">IFERROR(IF(HistoricalStockProgress[[#This Row],[Price of Shares]]="",_xlfn.STOCKHISTORY(HistoricalStockProgress[[#This Row],[Full Company Name]],HistoricalStockProgress[[#This Row],[Date]],,2,0,1)),0)</f>
        <v>0</v>
      </c>
      <c r="M63" s="34">
        <f>YEAR(HistoricalStockProgress[[#This Row],[Date]])</f>
        <v>2015</v>
      </c>
      <c r="N63" s="34">
        <f>MONTH(HistoricalStockProgress[[#This Row],[Date]])</f>
        <v>12</v>
      </c>
    </row>
    <row r="64" spans="2:14">
      <c r="B64" s="15">
        <v>42369</v>
      </c>
      <c r="C64" s="34" t="s">
        <v>20</v>
      </c>
      <c r="D64" s="34" t="e" vm="19">
        <f>_xlfn.XLOOKUP(HistoricalStockProgress[[#This Row],[Company Ticker]],CompanyDetailsList[Company Ticker],CompanyDetailsList[Official Name],,0)</f>
        <v>#VALUE!</v>
      </c>
      <c r="E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16</v>
      </c>
      <c r="F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1089.6459884973885</v>
      </c>
      <c r="G64" s="17">
        <f>IFERROR(HistoricalStockProgress[[#This Row],[Cost of Shares]]/HistoricalStockProgress[[#This Row],[No. of Shares]],0)</f>
        <v>68.102874281086784</v>
      </c>
      <c r="H64" s="16" vm="618">
        <v>66.03</v>
      </c>
      <c r="I64" s="16">
        <f>IF(HistoricalStockProgress[[#This Row],[No. of Shares]]&lt;&gt;0,HistoricalStockProgress[[#This Row],[Price of Shares]]*HistoricalStockProgress[[#This Row],[No. of Shares]],0)</f>
        <v>1056.48</v>
      </c>
      <c r="J64" s="16">
        <f>IF(HistoricalStockProgress[[#This Row],[No. of Shares]]&lt;&gt;0,HistoricalStockProgress[[#This Row],[Price of Shares]]-HistoricalStockProgress[[#This Row],[Cost of Shares]]/HistoricalStockProgress[[#This Row],[No. of Shares]],0)</f>
        <v>-2.0728742810867828</v>
      </c>
      <c r="K64" s="17">
        <f>IF(HistoricalStockProgress[[#This Row],[Total Price of Shares]]&lt;&gt;0,HistoricalStockProgress[[#This Row],[Total Price of Shares]]-HistoricalStockProgress[[#This Row],[Cost of Shares]],0)</f>
        <v>-33.165988497388526</v>
      </c>
      <c r="L64" s="34" t="b" cm="1">
        <f t="array" ref="L64">IFERROR(IF(HistoricalStockProgress[[#This Row],[Price of Shares]]="",_xlfn.STOCKHISTORY(HistoricalStockProgress[[#This Row],[Full Company Name]],HistoricalStockProgress[[#This Row],[Date]],,2,0,1)),0)</f>
        <v>0</v>
      </c>
      <c r="M64" s="34">
        <f>YEAR(HistoricalStockProgress[[#This Row],[Date]])</f>
        <v>2015</v>
      </c>
      <c r="N64" s="34">
        <f>MONTH(HistoricalStockProgress[[#This Row],[Date]])</f>
        <v>12</v>
      </c>
    </row>
    <row r="65" spans="2:14">
      <c r="B65" s="15">
        <v>42400</v>
      </c>
      <c r="C65" s="34" t="s">
        <v>84</v>
      </c>
      <c r="D65" s="34" t="e" vm="7">
        <f>_xlfn.XLOOKUP(HistoricalStockProgress[[#This Row],[Company Ticker]],CompanyDetailsList[Company Ticker],CompanyDetailsList[Official Name],,0)</f>
        <v>#VALUE!</v>
      </c>
      <c r="E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3396.3750096229314</v>
      </c>
      <c r="G65" s="17">
        <f>IFERROR(HistoricalStockProgress[[#This Row],[Cost of Shares]]/HistoricalStockProgress[[#This Row],[No. of Shares]],0)</f>
        <v>97.039285989226613</v>
      </c>
      <c r="H65" s="16" vm="619">
        <v>104.44</v>
      </c>
      <c r="I65" s="16">
        <f>IF(HistoricalStockProgress[[#This Row],[No. of Shares]]&lt;&gt;0,HistoricalStockProgress[[#This Row],[Price of Shares]]*HistoricalStockProgress[[#This Row],[No. of Shares]],0)</f>
        <v>3655.4</v>
      </c>
      <c r="J65" s="16">
        <f>IF(HistoricalStockProgress[[#This Row],[No. of Shares]]&lt;&gt;0,HistoricalStockProgress[[#This Row],[Price of Shares]]-HistoricalStockProgress[[#This Row],[Cost of Shares]]/HistoricalStockProgress[[#This Row],[No. of Shares]],0)</f>
        <v>7.4007140107733846</v>
      </c>
      <c r="K65" s="17">
        <f>IF(HistoricalStockProgress[[#This Row],[Total Price of Shares]]&lt;&gt;0,HistoricalStockProgress[[#This Row],[Total Price of Shares]]-HistoricalStockProgress[[#This Row],[Cost of Shares]],0)</f>
        <v>259.02499037706866</v>
      </c>
      <c r="L65" s="34" t="b" cm="1">
        <f t="array" ref="L65">IFERROR(IF(HistoricalStockProgress[[#This Row],[Price of Shares]]="",_xlfn.STOCKHISTORY(HistoricalStockProgress[[#This Row],[Full Company Name]],HistoricalStockProgress[[#This Row],[Date]],,2,0,1)),0)</f>
        <v>0</v>
      </c>
      <c r="M65" s="34">
        <f>YEAR(HistoricalStockProgress[[#This Row],[Date]])</f>
        <v>2016</v>
      </c>
      <c r="N65" s="34">
        <f>MONTH(HistoricalStockProgress[[#This Row],[Date]])</f>
        <v>1</v>
      </c>
    </row>
    <row r="66" spans="2:14">
      <c r="B66" s="15">
        <v>42400</v>
      </c>
      <c r="C66" s="34" t="s">
        <v>86</v>
      </c>
      <c r="D66" s="34" t="e" vm="8">
        <f>_xlfn.XLOOKUP(HistoricalStockProgress[[#This Row],[Company Ticker]],CompanyDetailsList[Company Ticker],CompanyDetailsList[Official Name],,0)</f>
        <v>#VALUE!</v>
      </c>
      <c r="E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v>
      </c>
      <c r="F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894.13820748177</v>
      </c>
      <c r="G66" s="17">
        <f>IFERROR(HistoricalStockProgress[[#This Row],[Cost of Shares]]/HistoricalStockProgress[[#This Row],[No. of Shares]],0)</f>
        <v>59.609213832118002</v>
      </c>
      <c r="H66" s="16" vm="620">
        <v>54.9</v>
      </c>
      <c r="I66" s="16">
        <f>IF(HistoricalStockProgress[[#This Row],[No. of Shares]]&lt;&gt;0,HistoricalStockProgress[[#This Row],[Price of Shares]]*HistoricalStockProgress[[#This Row],[No. of Shares]],0)</f>
        <v>823.5</v>
      </c>
      <c r="J66" s="16">
        <f>IF(HistoricalStockProgress[[#This Row],[No. of Shares]]&lt;&gt;0,HistoricalStockProgress[[#This Row],[Price of Shares]]-HistoricalStockProgress[[#This Row],[Cost of Shares]]/HistoricalStockProgress[[#This Row],[No. of Shares]],0)</f>
        <v>-4.709213832118003</v>
      </c>
      <c r="K66" s="17">
        <f>IF(HistoricalStockProgress[[#This Row],[Total Price of Shares]]&lt;&gt;0,HistoricalStockProgress[[#This Row],[Total Price of Shares]]-HistoricalStockProgress[[#This Row],[Cost of Shares]],0)</f>
        <v>-70.638207481769996</v>
      </c>
      <c r="L66" s="34" t="b" cm="1">
        <f t="array" ref="L66">IFERROR(IF(HistoricalStockProgress[[#This Row],[Price of Shares]]="",_xlfn.STOCKHISTORY(HistoricalStockProgress[[#This Row],[Full Company Name]],HistoricalStockProgress[[#This Row],[Date]],,2,0,1)),0)</f>
        <v>0</v>
      </c>
      <c r="M66" s="34">
        <f>YEAR(HistoricalStockProgress[[#This Row],[Date]])</f>
        <v>2016</v>
      </c>
      <c r="N66" s="34">
        <f>MONTH(HistoricalStockProgress[[#This Row],[Date]])</f>
        <v>1</v>
      </c>
    </row>
    <row r="67" spans="2:14">
      <c r="B67" s="15">
        <v>42400</v>
      </c>
      <c r="C67" s="34" t="s">
        <v>22</v>
      </c>
      <c r="D67" s="34" t="e" vm="10">
        <f>_xlfn.XLOOKUP(HistoricalStockProgress[[#This Row],[Company Ticker]],CompanyDetailsList[Company Ticker],CompanyDetailsList[Official Name],,0)</f>
        <v>#VALUE!</v>
      </c>
      <c r="E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22</v>
      </c>
      <c r="F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1793.9720224225266</v>
      </c>
      <c r="G67" s="17">
        <f>IFERROR(HistoricalStockProgress[[#This Row],[Cost of Shares]]/HistoricalStockProgress[[#This Row],[No. of Shares]],0)</f>
        <v>81.544182837387567</v>
      </c>
      <c r="H67" s="16" vm="621">
        <v>62.24</v>
      </c>
      <c r="I67" s="16">
        <f>IF(HistoricalStockProgress[[#This Row],[No. of Shares]]&lt;&gt;0,HistoricalStockProgress[[#This Row],[Price of Shares]]*HistoricalStockProgress[[#This Row],[No. of Shares]],0)</f>
        <v>1369.28</v>
      </c>
      <c r="J67" s="16">
        <f>IF(HistoricalStockProgress[[#This Row],[No. of Shares]]&lt;&gt;0,HistoricalStockProgress[[#This Row],[Price of Shares]]-HistoricalStockProgress[[#This Row],[Cost of Shares]]/HistoricalStockProgress[[#This Row],[No. of Shares]],0)</f>
        <v>-19.304182837387565</v>
      </c>
      <c r="K67" s="17">
        <f>IF(HistoricalStockProgress[[#This Row],[Total Price of Shares]]&lt;&gt;0,HistoricalStockProgress[[#This Row],[Total Price of Shares]]-HistoricalStockProgress[[#This Row],[Cost of Shares]],0)</f>
        <v>-424.69202242252663</v>
      </c>
      <c r="L67" s="34" t="b" cm="1">
        <f t="array" ref="L67">IFERROR(IF(HistoricalStockProgress[[#This Row],[Price of Shares]]="",_xlfn.STOCKHISTORY(HistoricalStockProgress[[#This Row],[Full Company Name]],HistoricalStockProgress[[#This Row],[Date]],,2,0,1)),0)</f>
        <v>0</v>
      </c>
      <c r="M67" s="34">
        <f>YEAR(HistoricalStockProgress[[#This Row],[Date]])</f>
        <v>2016</v>
      </c>
      <c r="N67" s="34">
        <f>MONTH(HistoricalStockProgress[[#This Row],[Date]])</f>
        <v>1</v>
      </c>
    </row>
    <row r="68" spans="2:14">
      <c r="B68" s="15">
        <v>42400</v>
      </c>
      <c r="C68" s="34" t="s">
        <v>91</v>
      </c>
      <c r="D68" s="34" t="e" vm="11">
        <f>_xlfn.XLOOKUP(HistoricalStockProgress[[#This Row],[Company Ticker]],CompanyDetailsList[Company Ticker],CompanyDetailsList[Official Name],,0)</f>
        <v>#VALUE!</v>
      </c>
      <c r="E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21</v>
      </c>
      <c r="F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1170.1841895670582</v>
      </c>
      <c r="G68" s="17">
        <f>IFERROR(HistoricalStockProgress[[#This Row],[Cost of Shares]]/HistoricalStockProgress[[#This Row],[No. of Shares]],0)</f>
        <v>55.723056646050388</v>
      </c>
      <c r="H68" s="16" vm="622">
        <v>55.09</v>
      </c>
      <c r="I68" s="16">
        <f>IF(HistoricalStockProgress[[#This Row],[No. of Shares]]&lt;&gt;0,HistoricalStockProgress[[#This Row],[Price of Shares]]*HistoricalStockProgress[[#This Row],[No. of Shares]],0)</f>
        <v>1156.8900000000001</v>
      </c>
      <c r="J68" s="16">
        <f>IF(HistoricalStockProgress[[#This Row],[No. of Shares]]&lt;&gt;0,HistoricalStockProgress[[#This Row],[Price of Shares]]-HistoricalStockProgress[[#This Row],[Cost of Shares]]/HistoricalStockProgress[[#This Row],[No. of Shares]],0)</f>
        <v>-0.63305664605038459</v>
      </c>
      <c r="K68" s="17">
        <f>IF(HistoricalStockProgress[[#This Row],[Total Price of Shares]]&lt;&gt;0,HistoricalStockProgress[[#This Row],[Total Price of Shares]]-HistoricalStockProgress[[#This Row],[Cost of Shares]],0)</f>
        <v>-13.294189567058083</v>
      </c>
      <c r="L68" s="34" t="b" cm="1">
        <f t="array" ref="L68">IFERROR(IF(HistoricalStockProgress[[#This Row],[Price of Shares]]="",_xlfn.STOCKHISTORY(HistoricalStockProgress[[#This Row],[Full Company Name]],HistoricalStockProgress[[#This Row],[Date]],,2,0,1)),0)</f>
        <v>0</v>
      </c>
      <c r="M68" s="34">
        <f>YEAR(HistoricalStockProgress[[#This Row],[Date]])</f>
        <v>2016</v>
      </c>
      <c r="N68" s="34">
        <f>MONTH(HistoricalStockProgress[[#This Row],[Date]])</f>
        <v>1</v>
      </c>
    </row>
    <row r="69" spans="2:14">
      <c r="B69" s="15">
        <v>42400</v>
      </c>
      <c r="C69" s="34" t="s">
        <v>16</v>
      </c>
      <c r="D69" s="34" t="e" vm="12">
        <f>_xlfn.XLOOKUP(HistoricalStockProgress[[#This Row],[Company Ticker]],CompanyDetailsList[Company Ticker],CompanyDetailsList[Official Name],,0)</f>
        <v>#VALUE!</v>
      </c>
      <c r="E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893.80775275759015</v>
      </c>
      <c r="G69" s="17">
        <f>IFERROR(HistoricalStockProgress[[#This Row],[Cost of Shares]]/HistoricalStockProgress[[#This Row],[No. of Shares]],0)</f>
        <v>81.255250250690011</v>
      </c>
      <c r="H69" s="16" vm="623">
        <v>77.849999999999994</v>
      </c>
      <c r="I69" s="16">
        <f>IF(HistoricalStockProgress[[#This Row],[No. of Shares]]&lt;&gt;0,HistoricalStockProgress[[#This Row],[Price of Shares]]*HistoricalStockProgress[[#This Row],[No. of Shares]],0)</f>
        <v>856.34999999999991</v>
      </c>
      <c r="J69" s="16">
        <f>IF(HistoricalStockProgress[[#This Row],[No. of Shares]]&lt;&gt;0,HistoricalStockProgress[[#This Row],[Price of Shares]]-HistoricalStockProgress[[#This Row],[Cost of Shares]]/HistoricalStockProgress[[#This Row],[No. of Shares]],0)</f>
        <v>-3.4052502506900169</v>
      </c>
      <c r="K69" s="17">
        <f>IF(HistoricalStockProgress[[#This Row],[Total Price of Shares]]&lt;&gt;0,HistoricalStockProgress[[#This Row],[Total Price of Shares]]-HistoricalStockProgress[[#This Row],[Cost of Shares]],0)</f>
        <v>-37.457752757590242</v>
      </c>
      <c r="L69" s="34" t="b" cm="1">
        <f t="array" ref="L69">IFERROR(IF(HistoricalStockProgress[[#This Row],[Price of Shares]]="",_xlfn.STOCKHISTORY(HistoricalStockProgress[[#This Row],[Full Company Name]],HistoricalStockProgress[[#This Row],[Date]],,2,0,1)),0)</f>
        <v>0</v>
      </c>
      <c r="M69" s="34">
        <f>YEAR(HistoricalStockProgress[[#This Row],[Date]])</f>
        <v>2016</v>
      </c>
      <c r="N69" s="34">
        <f>MONTH(HistoricalStockProgress[[#This Row],[Date]])</f>
        <v>1</v>
      </c>
    </row>
    <row r="70" spans="2:14">
      <c r="B70" s="15">
        <v>42400</v>
      </c>
      <c r="C70" s="34" t="s">
        <v>95</v>
      </c>
      <c r="D70" s="34" t="e" vm="13">
        <f>_xlfn.XLOOKUP(HistoricalStockProgress[[#This Row],[Company Ticker]],CompanyDetailsList[Company Ticker],CompanyDetailsList[Official Name],,0)</f>
        <v>#VALUE!</v>
      </c>
      <c r="E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70" s="17">
        <f>IFERROR(HistoricalStockProgress[[#This Row],[Cost of Shares]]/HistoricalStockProgress[[#This Row],[No. of Shares]],0)</f>
        <v>112.90555526050157</v>
      </c>
      <c r="H70" s="16" vm="624">
        <v>125.76</v>
      </c>
      <c r="I70" s="16">
        <f>IF(HistoricalStockProgress[[#This Row],[No. of Shares]]&lt;&gt;0,HistoricalStockProgress[[#This Row],[Price of Shares]]*HistoricalStockProgress[[#This Row],[No. of Shares]],0)</f>
        <v>1509.1200000000001</v>
      </c>
      <c r="J70" s="16">
        <f>IF(HistoricalStockProgress[[#This Row],[No. of Shares]]&lt;&gt;0,HistoricalStockProgress[[#This Row],[Price of Shares]]-HistoricalStockProgress[[#This Row],[Cost of Shares]]/HistoricalStockProgress[[#This Row],[No. of Shares]],0)</f>
        <v>12.854444739498433</v>
      </c>
      <c r="K70" s="17">
        <f>IF(HistoricalStockProgress[[#This Row],[Total Price of Shares]]&lt;&gt;0,HistoricalStockProgress[[#This Row],[Total Price of Shares]]-HistoricalStockProgress[[#This Row],[Cost of Shares]],0)</f>
        <v>154.2533368739812</v>
      </c>
      <c r="L70" s="34" t="b" cm="1">
        <f t="array" ref="L70">IFERROR(IF(HistoricalStockProgress[[#This Row],[Price of Shares]]="",_xlfn.STOCKHISTORY(HistoricalStockProgress[[#This Row],[Full Company Name]],HistoricalStockProgress[[#This Row],[Date]],,2,0,1)),0)</f>
        <v>0</v>
      </c>
      <c r="M70" s="34">
        <f>YEAR(HistoricalStockProgress[[#This Row],[Date]])</f>
        <v>2016</v>
      </c>
      <c r="N70" s="34">
        <f>MONTH(HistoricalStockProgress[[#This Row],[Date]])</f>
        <v>1</v>
      </c>
    </row>
    <row r="71" spans="2:14">
      <c r="B71" s="15">
        <v>42400</v>
      </c>
      <c r="C71" s="34" t="s">
        <v>100</v>
      </c>
      <c r="D71" s="34" t="e" vm="16">
        <f>_xlfn.XLOOKUP(HistoricalStockProgress[[#This Row],[Company Ticker]],CompanyDetailsList[Company Ticker],CompanyDetailsList[Official Name],,0)</f>
        <v>#VALUE!</v>
      </c>
      <c r="E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71" s="17">
        <f>IFERROR(HistoricalStockProgress[[#This Row],[Cost of Shares]]/HistoricalStockProgress[[#This Row],[No. of Shares]],0)</f>
        <v>84.509035134678101</v>
      </c>
      <c r="H71" s="16" vm="625">
        <v>75.3</v>
      </c>
      <c r="I71" s="16">
        <f>IF(HistoricalStockProgress[[#This Row],[No. of Shares]]&lt;&gt;0,HistoricalStockProgress[[#This Row],[Price of Shares]]*HistoricalStockProgress[[#This Row],[No. of Shares]],0)</f>
        <v>2484.9</v>
      </c>
      <c r="J71" s="16">
        <f>IF(HistoricalStockProgress[[#This Row],[No. of Shares]]&lt;&gt;0,HistoricalStockProgress[[#This Row],[Price of Shares]]-HistoricalStockProgress[[#This Row],[Cost of Shares]]/HistoricalStockProgress[[#This Row],[No. of Shares]],0)</f>
        <v>-9.2090351346781034</v>
      </c>
      <c r="K71" s="17">
        <f>IF(HistoricalStockProgress[[#This Row],[Total Price of Shares]]&lt;&gt;0,HistoricalStockProgress[[#This Row],[Total Price of Shares]]-HistoricalStockProgress[[#This Row],[Cost of Shares]],0)</f>
        <v>-303.89815944437714</v>
      </c>
      <c r="L71" s="34" t="b" cm="1">
        <f t="array" ref="L71">IFERROR(IF(HistoricalStockProgress[[#This Row],[Price of Shares]]="",_xlfn.STOCKHISTORY(HistoricalStockProgress[[#This Row],[Full Company Name]],HistoricalStockProgress[[#This Row],[Date]],,2,0,1)),0)</f>
        <v>0</v>
      </c>
      <c r="M71" s="34">
        <f>YEAR(HistoricalStockProgress[[#This Row],[Date]])</f>
        <v>2016</v>
      </c>
      <c r="N71" s="34">
        <f>MONTH(HistoricalStockProgress[[#This Row],[Date]])</f>
        <v>1</v>
      </c>
    </row>
    <row r="72" spans="2:14">
      <c r="B72" s="15">
        <v>42400</v>
      </c>
      <c r="C72" s="34" t="s">
        <v>15</v>
      </c>
      <c r="D72" s="34" t="e" vm="17">
        <f>_xlfn.XLOOKUP(HistoricalStockProgress[[#This Row],[Company Ticker]],CompanyDetailsList[Company Ticker],CompanyDetailsList[Official Name],,0)</f>
        <v>#VALUE!</v>
      </c>
      <c r="E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1660.4683328246847</v>
      </c>
      <c r="G72" s="17">
        <f>IFERROR(HistoricalStockProgress[[#This Row],[Cost of Shares]]/HistoricalStockProgress[[#This Row],[No. of Shares]],0)</f>
        <v>25.944817700385698</v>
      </c>
      <c r="H72" s="16" vm="626">
        <v>27.2318</v>
      </c>
      <c r="I72" s="16">
        <f>IF(HistoricalStockProgress[[#This Row],[No. of Shares]]&lt;&gt;0,HistoricalStockProgress[[#This Row],[Price of Shares]]*HistoricalStockProgress[[#This Row],[No. of Shares]],0)</f>
        <v>1742.8352</v>
      </c>
      <c r="J72" s="16">
        <f>IF(HistoricalStockProgress[[#This Row],[No. of Shares]]&lt;&gt;0,HistoricalStockProgress[[#This Row],[Price of Shares]]-HistoricalStockProgress[[#This Row],[Cost of Shares]]/HistoricalStockProgress[[#This Row],[No. of Shares]],0)</f>
        <v>1.2869822996143014</v>
      </c>
      <c r="K72" s="17">
        <f>IF(HistoricalStockProgress[[#This Row],[Total Price of Shares]]&lt;&gt;0,HistoricalStockProgress[[#This Row],[Total Price of Shares]]-HistoricalStockProgress[[#This Row],[Cost of Shares]],0)</f>
        <v>82.366867175315292</v>
      </c>
      <c r="L72" s="34" t="b" cm="1">
        <f t="array" ref="L72">IFERROR(IF(HistoricalStockProgress[[#This Row],[Price of Shares]]="",_xlfn.STOCKHISTORY(HistoricalStockProgress[[#This Row],[Full Company Name]],HistoricalStockProgress[[#This Row],[Date]],,2,0,1)),0)</f>
        <v>0</v>
      </c>
      <c r="M72" s="34">
        <f>YEAR(HistoricalStockProgress[[#This Row],[Date]])</f>
        <v>2016</v>
      </c>
      <c r="N72" s="34">
        <f>MONTH(HistoricalStockProgress[[#This Row],[Date]])</f>
        <v>1</v>
      </c>
    </row>
    <row r="73" spans="2:14">
      <c r="B73" s="15">
        <v>42400</v>
      </c>
      <c r="C73" s="34" t="s">
        <v>13</v>
      </c>
      <c r="D73" s="34" t="e" vm="18">
        <f>_xlfn.XLOOKUP(HistoricalStockProgress[[#This Row],[Company Ticker]],CompanyDetailsList[Company Ticker],CompanyDetailsList[Official Name],,0)</f>
        <v>#VALUE!</v>
      </c>
      <c r="E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73" s="17">
        <f>IFERROR(HistoricalStockProgress[[#This Row],[Cost of Shares]]/HistoricalStockProgress[[#This Row],[No. of Shares]],0)</f>
        <v>30.916275141190898</v>
      </c>
      <c r="H73" s="16" vm="627">
        <v>28.902999999999999</v>
      </c>
      <c r="I73" s="16">
        <f>IF(HistoricalStockProgress[[#This Row],[No. of Shares]]&lt;&gt;0,HistoricalStockProgress[[#This Row],[Price of Shares]]*HistoricalStockProgress[[#This Row],[No. of Shares]],0)</f>
        <v>317.93299999999999</v>
      </c>
      <c r="J73" s="16">
        <f>IF(HistoricalStockProgress[[#This Row],[No. of Shares]]&lt;&gt;0,HistoricalStockProgress[[#This Row],[Price of Shares]]-HistoricalStockProgress[[#This Row],[Cost of Shares]]/HistoricalStockProgress[[#This Row],[No. of Shares]],0)</f>
        <v>-2.0132751411908991</v>
      </c>
      <c r="K73" s="17">
        <f>IF(HistoricalStockProgress[[#This Row],[Total Price of Shares]]&lt;&gt;0,HistoricalStockProgress[[#This Row],[Total Price of Shares]]-HistoricalStockProgress[[#This Row],[Cost of Shares]],0)</f>
        <v>-22.146026553099887</v>
      </c>
      <c r="L73" s="34" t="b" cm="1">
        <f t="array" ref="L73">IFERROR(IF(HistoricalStockProgress[[#This Row],[Price of Shares]]="",_xlfn.STOCKHISTORY(HistoricalStockProgress[[#This Row],[Full Company Name]],HistoricalStockProgress[[#This Row],[Date]],,2,0,1)),0)</f>
        <v>0</v>
      </c>
      <c r="M73" s="34">
        <f>YEAR(HistoricalStockProgress[[#This Row],[Date]])</f>
        <v>2016</v>
      </c>
      <c r="N73" s="34">
        <f>MONTH(HistoricalStockProgress[[#This Row],[Date]])</f>
        <v>1</v>
      </c>
    </row>
    <row r="74" spans="2:14">
      <c r="B74" s="15">
        <v>42400</v>
      </c>
      <c r="C74" s="34" t="s">
        <v>20</v>
      </c>
      <c r="D74" s="34" t="e" vm="19">
        <f>_xlfn.XLOOKUP(HistoricalStockProgress[[#This Row],[Company Ticker]],CompanyDetailsList[Company Ticker],CompanyDetailsList[Official Name],,0)</f>
        <v>#VALUE!</v>
      </c>
      <c r="E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16</v>
      </c>
      <c r="F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1089.6459884973885</v>
      </c>
      <c r="G74" s="17">
        <f>IFERROR(HistoricalStockProgress[[#This Row],[Cost of Shares]]/HistoricalStockProgress[[#This Row],[No. of Shares]],0)</f>
        <v>68.102874281086784</v>
      </c>
      <c r="H74" s="16" vm="628">
        <v>59.5</v>
      </c>
      <c r="I74" s="16">
        <f>IF(HistoricalStockProgress[[#This Row],[No. of Shares]]&lt;&gt;0,HistoricalStockProgress[[#This Row],[Price of Shares]]*HistoricalStockProgress[[#This Row],[No. of Shares]],0)</f>
        <v>952</v>
      </c>
      <c r="J74" s="16">
        <f>IF(HistoricalStockProgress[[#This Row],[No. of Shares]]&lt;&gt;0,HistoricalStockProgress[[#This Row],[Price of Shares]]-HistoricalStockProgress[[#This Row],[Cost of Shares]]/HistoricalStockProgress[[#This Row],[No. of Shares]],0)</f>
        <v>-8.602874281086784</v>
      </c>
      <c r="K74" s="17">
        <f>IF(HistoricalStockProgress[[#This Row],[Total Price of Shares]]&lt;&gt;0,HistoricalStockProgress[[#This Row],[Total Price of Shares]]-HistoricalStockProgress[[#This Row],[Cost of Shares]],0)</f>
        <v>-137.64598849738854</v>
      </c>
      <c r="L74" s="34" t="b" cm="1">
        <f t="array" ref="L74">IFERROR(IF(HistoricalStockProgress[[#This Row],[Price of Shares]]="",_xlfn.STOCKHISTORY(HistoricalStockProgress[[#This Row],[Full Company Name]],HistoricalStockProgress[[#This Row],[Date]],,2,0,1)),0)</f>
        <v>0</v>
      </c>
      <c r="M74" s="34">
        <f>YEAR(HistoricalStockProgress[[#This Row],[Date]])</f>
        <v>2016</v>
      </c>
      <c r="N74" s="34">
        <f>MONTH(HistoricalStockProgress[[#This Row],[Date]])</f>
        <v>1</v>
      </c>
    </row>
    <row r="75" spans="2:14">
      <c r="B75" s="15">
        <v>42429</v>
      </c>
      <c r="C75" s="34" t="s">
        <v>84</v>
      </c>
      <c r="D75" s="34" t="e" vm="7">
        <f>_xlfn.XLOOKUP(HistoricalStockProgress[[#This Row],[Company Ticker]],CompanyDetailsList[Company Ticker],CompanyDetailsList[Official Name],,0)</f>
        <v>#VALUE!</v>
      </c>
      <c r="E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3396.3750096229314</v>
      </c>
      <c r="G75" s="17">
        <f>IFERROR(HistoricalStockProgress[[#This Row],[Cost of Shares]]/HistoricalStockProgress[[#This Row],[No. of Shares]],0)</f>
        <v>97.039285989226613</v>
      </c>
      <c r="H75" s="16" vm="629">
        <v>105.21</v>
      </c>
      <c r="I75" s="16">
        <f>IF(HistoricalStockProgress[[#This Row],[No. of Shares]]&lt;&gt;0,HistoricalStockProgress[[#This Row],[Price of Shares]]*HistoricalStockProgress[[#This Row],[No. of Shares]],0)</f>
        <v>3682.35</v>
      </c>
      <c r="J75" s="16">
        <f>IF(HistoricalStockProgress[[#This Row],[No. of Shares]]&lt;&gt;0,HistoricalStockProgress[[#This Row],[Price of Shares]]-HistoricalStockProgress[[#This Row],[Cost of Shares]]/HistoricalStockProgress[[#This Row],[No. of Shares]],0)</f>
        <v>8.1707140107733807</v>
      </c>
      <c r="K75" s="17">
        <f>IF(HistoricalStockProgress[[#This Row],[Total Price of Shares]]&lt;&gt;0,HistoricalStockProgress[[#This Row],[Total Price of Shares]]-HistoricalStockProgress[[#This Row],[Cost of Shares]],0)</f>
        <v>285.97499037706848</v>
      </c>
      <c r="L75" s="34" t="b" cm="1">
        <f t="array" ref="L75">IFERROR(IF(HistoricalStockProgress[[#This Row],[Price of Shares]]="",_xlfn.STOCKHISTORY(HistoricalStockProgress[[#This Row],[Full Company Name]],HistoricalStockProgress[[#This Row],[Date]],,2,0,1)),0)</f>
        <v>0</v>
      </c>
      <c r="M75" s="34">
        <f>YEAR(HistoricalStockProgress[[#This Row],[Date]])</f>
        <v>2016</v>
      </c>
      <c r="N75" s="34">
        <f>MONTH(HistoricalStockProgress[[#This Row],[Date]])</f>
        <v>2</v>
      </c>
    </row>
    <row r="76" spans="2:14">
      <c r="B76" s="15">
        <v>42429</v>
      </c>
      <c r="C76" s="34" t="s">
        <v>86</v>
      </c>
      <c r="D76" s="34" t="e" vm="8">
        <f>_xlfn.XLOOKUP(HistoricalStockProgress[[#This Row],[Company Ticker]],CompanyDetailsList[Company Ticker],CompanyDetailsList[Official Name],,0)</f>
        <v>#VALUE!</v>
      </c>
      <c r="E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v>
      </c>
      <c r="F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894.13820748177</v>
      </c>
      <c r="G76" s="17">
        <f>IFERROR(HistoricalStockProgress[[#This Row],[Cost of Shares]]/HistoricalStockProgress[[#This Row],[No. of Shares]],0)</f>
        <v>59.609213832118002</v>
      </c>
      <c r="H76" s="16" vm="630">
        <v>54.61</v>
      </c>
      <c r="I76" s="16">
        <f>IF(HistoricalStockProgress[[#This Row],[No. of Shares]]&lt;&gt;0,HistoricalStockProgress[[#This Row],[Price of Shares]]*HistoricalStockProgress[[#This Row],[No. of Shares]],0)</f>
        <v>819.15</v>
      </c>
      <c r="J76" s="16">
        <f>IF(HistoricalStockProgress[[#This Row],[No. of Shares]]&lt;&gt;0,HistoricalStockProgress[[#This Row],[Price of Shares]]-HistoricalStockProgress[[#This Row],[Cost of Shares]]/HistoricalStockProgress[[#This Row],[No. of Shares]],0)</f>
        <v>-4.9992138321180022</v>
      </c>
      <c r="K76" s="17">
        <f>IF(HistoricalStockProgress[[#This Row],[Total Price of Shares]]&lt;&gt;0,HistoricalStockProgress[[#This Row],[Total Price of Shares]]-HistoricalStockProgress[[#This Row],[Cost of Shares]],0)</f>
        <v>-74.988207481770019</v>
      </c>
      <c r="L76" s="34" t="b" cm="1">
        <f t="array" ref="L76">IFERROR(IF(HistoricalStockProgress[[#This Row],[Price of Shares]]="",_xlfn.STOCKHISTORY(HistoricalStockProgress[[#This Row],[Full Company Name]],HistoricalStockProgress[[#This Row],[Date]],,2,0,1)),0)</f>
        <v>0</v>
      </c>
      <c r="M76" s="34">
        <f>YEAR(HistoricalStockProgress[[#This Row],[Date]])</f>
        <v>2016</v>
      </c>
      <c r="N76" s="34">
        <f>MONTH(HistoricalStockProgress[[#This Row],[Date]])</f>
        <v>2</v>
      </c>
    </row>
    <row r="77" spans="2:14">
      <c r="B77" s="15">
        <v>42429</v>
      </c>
      <c r="C77" s="34" t="s">
        <v>22</v>
      </c>
      <c r="D77" s="34" t="e" vm="10">
        <f>_xlfn.XLOOKUP(HistoricalStockProgress[[#This Row],[Company Ticker]],CompanyDetailsList[Company Ticker],CompanyDetailsList[Official Name],,0)</f>
        <v>#VALUE!</v>
      </c>
      <c r="E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22</v>
      </c>
      <c r="F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1793.9720224225266</v>
      </c>
      <c r="G77" s="17">
        <f>IFERROR(HistoricalStockProgress[[#This Row],[Cost of Shares]]/HistoricalStockProgress[[#This Row],[No. of Shares]],0)</f>
        <v>81.544182837387567</v>
      </c>
      <c r="H77" s="16" vm="631">
        <v>67.7</v>
      </c>
      <c r="I77" s="16">
        <f>IF(HistoricalStockProgress[[#This Row],[No. of Shares]]&lt;&gt;0,HistoricalStockProgress[[#This Row],[Price of Shares]]*HistoricalStockProgress[[#This Row],[No. of Shares]],0)</f>
        <v>1489.4</v>
      </c>
      <c r="J77" s="16">
        <f>IF(HistoricalStockProgress[[#This Row],[No. of Shares]]&lt;&gt;0,HistoricalStockProgress[[#This Row],[Price of Shares]]-HistoricalStockProgress[[#This Row],[Cost of Shares]]/HistoricalStockProgress[[#This Row],[No. of Shares]],0)</f>
        <v>-13.844182837387564</v>
      </c>
      <c r="K77" s="17">
        <f>IF(HistoricalStockProgress[[#This Row],[Total Price of Shares]]&lt;&gt;0,HistoricalStockProgress[[#This Row],[Total Price of Shares]]-HistoricalStockProgress[[#This Row],[Cost of Shares]],0)</f>
        <v>-304.57202242252652</v>
      </c>
      <c r="L77" s="34" t="b" cm="1">
        <f t="array" ref="L77">IFERROR(IF(HistoricalStockProgress[[#This Row],[Price of Shares]]="",_xlfn.STOCKHISTORY(HistoricalStockProgress[[#This Row],[Full Company Name]],HistoricalStockProgress[[#This Row],[Date]],,2,0,1)),0)</f>
        <v>0</v>
      </c>
      <c r="M77" s="34">
        <f>YEAR(HistoricalStockProgress[[#This Row],[Date]])</f>
        <v>2016</v>
      </c>
      <c r="N77" s="34">
        <f>MONTH(HistoricalStockProgress[[#This Row],[Date]])</f>
        <v>2</v>
      </c>
    </row>
    <row r="78" spans="2:14">
      <c r="B78" s="15">
        <v>42429</v>
      </c>
      <c r="C78" s="34" t="s">
        <v>91</v>
      </c>
      <c r="D78" s="34" t="e" vm="11">
        <f>_xlfn.XLOOKUP(HistoricalStockProgress[[#This Row],[Company Ticker]],CompanyDetailsList[Company Ticker],CompanyDetailsList[Official Name],,0)</f>
        <v>#VALUE!</v>
      </c>
      <c r="E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21</v>
      </c>
      <c r="F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1170.1841895670582</v>
      </c>
      <c r="G78" s="17">
        <f>IFERROR(HistoricalStockProgress[[#This Row],[Cost of Shares]]/HistoricalStockProgress[[#This Row],[No. of Shares]],0)</f>
        <v>55.723056646050388</v>
      </c>
      <c r="H78" s="16" vm="632">
        <v>50.88</v>
      </c>
      <c r="I78" s="16">
        <f>IF(HistoricalStockProgress[[#This Row],[No. of Shares]]&lt;&gt;0,HistoricalStockProgress[[#This Row],[Price of Shares]]*HistoricalStockProgress[[#This Row],[No. of Shares]],0)</f>
        <v>1068.48</v>
      </c>
      <c r="J78" s="16">
        <f>IF(HistoricalStockProgress[[#This Row],[No. of Shares]]&lt;&gt;0,HistoricalStockProgress[[#This Row],[Price of Shares]]-HistoricalStockProgress[[#This Row],[Cost of Shares]]/HistoricalStockProgress[[#This Row],[No. of Shares]],0)</f>
        <v>-4.8430566460503854</v>
      </c>
      <c r="K78" s="17">
        <f>IF(HistoricalStockProgress[[#This Row],[Total Price of Shares]]&lt;&gt;0,HistoricalStockProgress[[#This Row],[Total Price of Shares]]-HistoricalStockProgress[[#This Row],[Cost of Shares]],0)</f>
        <v>-101.70418956705817</v>
      </c>
      <c r="L78" s="34" t="b" cm="1">
        <f t="array" ref="L78">IFERROR(IF(HistoricalStockProgress[[#This Row],[Price of Shares]]="",_xlfn.STOCKHISTORY(HistoricalStockProgress[[#This Row],[Full Company Name]],HistoricalStockProgress[[#This Row],[Date]],,2,0,1)),0)</f>
        <v>0</v>
      </c>
      <c r="M78" s="34">
        <f>YEAR(HistoricalStockProgress[[#This Row],[Date]])</f>
        <v>2016</v>
      </c>
      <c r="N78" s="34">
        <f>MONTH(HistoricalStockProgress[[#This Row],[Date]])</f>
        <v>2</v>
      </c>
    </row>
    <row r="79" spans="2:14">
      <c r="B79" s="15">
        <v>42429</v>
      </c>
      <c r="C79" s="34" t="s">
        <v>16</v>
      </c>
      <c r="D79" s="34" t="e" vm="12">
        <f>_xlfn.XLOOKUP(HistoricalStockProgress[[#This Row],[Company Ticker]],CompanyDetailsList[Company Ticker],CompanyDetailsList[Official Name],,0)</f>
        <v>#VALUE!</v>
      </c>
      <c r="E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893.80775275759015</v>
      </c>
      <c r="G79" s="17">
        <f>IFERROR(HistoricalStockProgress[[#This Row],[Cost of Shares]]/HistoricalStockProgress[[#This Row],[No. of Shares]],0)</f>
        <v>81.255250250690011</v>
      </c>
      <c r="H79" s="16" vm="633">
        <v>80.150000000000006</v>
      </c>
      <c r="I79" s="16">
        <f>IF(HistoricalStockProgress[[#This Row],[No. of Shares]]&lt;&gt;0,HistoricalStockProgress[[#This Row],[Price of Shares]]*HistoricalStockProgress[[#This Row],[No. of Shares]],0)</f>
        <v>881.65000000000009</v>
      </c>
      <c r="J79" s="16">
        <f>IF(HistoricalStockProgress[[#This Row],[No. of Shares]]&lt;&gt;0,HistoricalStockProgress[[#This Row],[Price of Shares]]-HistoricalStockProgress[[#This Row],[Cost of Shares]]/HistoricalStockProgress[[#This Row],[No. of Shares]],0)</f>
        <v>-1.1052502506900055</v>
      </c>
      <c r="K79" s="17">
        <f>IF(HistoricalStockProgress[[#This Row],[Total Price of Shares]]&lt;&gt;0,HistoricalStockProgress[[#This Row],[Total Price of Shares]]-HistoricalStockProgress[[#This Row],[Cost of Shares]],0)</f>
        <v>-12.15775275759006</v>
      </c>
      <c r="L79" s="34" t="b" cm="1">
        <f t="array" ref="L79">IFERROR(IF(HistoricalStockProgress[[#This Row],[Price of Shares]]="",_xlfn.STOCKHISTORY(HistoricalStockProgress[[#This Row],[Full Company Name]],HistoricalStockProgress[[#This Row],[Date]],,2,0,1)),0)</f>
        <v>0</v>
      </c>
      <c r="M79" s="34">
        <f>YEAR(HistoricalStockProgress[[#This Row],[Date]])</f>
        <v>2016</v>
      </c>
      <c r="N79" s="34">
        <f>MONTH(HistoricalStockProgress[[#This Row],[Date]])</f>
        <v>2</v>
      </c>
    </row>
    <row r="80" spans="2:14">
      <c r="B80" s="15">
        <v>42429</v>
      </c>
      <c r="C80" s="34" t="s">
        <v>95</v>
      </c>
      <c r="D80" s="34" t="e" vm="13">
        <f>_xlfn.XLOOKUP(HistoricalStockProgress[[#This Row],[Company Ticker]],CompanyDetailsList[Company Ticker],CompanyDetailsList[Official Name],,0)</f>
        <v>#VALUE!</v>
      </c>
      <c r="E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80" s="17">
        <f>IFERROR(HistoricalStockProgress[[#This Row],[Cost of Shares]]/HistoricalStockProgress[[#This Row],[No. of Shares]],0)</f>
        <v>112.90555526050157</v>
      </c>
      <c r="H80" s="16" vm="634">
        <v>124.12</v>
      </c>
      <c r="I80" s="16">
        <f>IF(HistoricalStockProgress[[#This Row],[No. of Shares]]&lt;&gt;0,HistoricalStockProgress[[#This Row],[Price of Shares]]*HistoricalStockProgress[[#This Row],[No. of Shares]],0)</f>
        <v>1489.44</v>
      </c>
      <c r="J80" s="16">
        <f>IF(HistoricalStockProgress[[#This Row],[No. of Shares]]&lt;&gt;0,HistoricalStockProgress[[#This Row],[Price of Shares]]-HistoricalStockProgress[[#This Row],[Cost of Shares]]/HistoricalStockProgress[[#This Row],[No. of Shares]],0)</f>
        <v>11.214444739498433</v>
      </c>
      <c r="K80" s="17">
        <f>IF(HistoricalStockProgress[[#This Row],[Total Price of Shares]]&lt;&gt;0,HistoricalStockProgress[[#This Row],[Total Price of Shares]]-HistoricalStockProgress[[#This Row],[Cost of Shares]],0)</f>
        <v>134.57333687398113</v>
      </c>
      <c r="L80" s="34" t="b" cm="1">
        <f t="array" ref="L80">IFERROR(IF(HistoricalStockProgress[[#This Row],[Price of Shares]]="",_xlfn.STOCKHISTORY(HistoricalStockProgress[[#This Row],[Full Company Name]],HistoricalStockProgress[[#This Row],[Date]],,2,0,1)),0)</f>
        <v>0</v>
      </c>
      <c r="M80" s="34">
        <f>YEAR(HistoricalStockProgress[[#This Row],[Date]])</f>
        <v>2016</v>
      </c>
      <c r="N80" s="34">
        <f>MONTH(HistoricalStockProgress[[#This Row],[Date]])</f>
        <v>2</v>
      </c>
    </row>
    <row r="81" spans="2:14">
      <c r="B81" s="15">
        <v>42429</v>
      </c>
      <c r="C81" s="34" t="s">
        <v>100</v>
      </c>
      <c r="D81" s="34" t="e" vm="16">
        <f>_xlfn.XLOOKUP(HistoricalStockProgress[[#This Row],[Company Ticker]],CompanyDetailsList[Company Ticker],CompanyDetailsList[Official Name],,0)</f>
        <v>#VALUE!</v>
      </c>
      <c r="E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81" s="17">
        <f>IFERROR(HistoricalStockProgress[[#This Row],[Cost of Shares]]/HistoricalStockProgress[[#This Row],[No. of Shares]],0)</f>
        <v>84.509035134678101</v>
      </c>
      <c r="H81" s="16" vm="635">
        <v>74.28</v>
      </c>
      <c r="I81" s="16">
        <f>IF(HistoricalStockProgress[[#This Row],[No. of Shares]]&lt;&gt;0,HistoricalStockProgress[[#This Row],[Price of Shares]]*HistoricalStockProgress[[#This Row],[No. of Shares]],0)</f>
        <v>2451.2400000000002</v>
      </c>
      <c r="J81" s="16">
        <f>IF(HistoricalStockProgress[[#This Row],[No. of Shares]]&lt;&gt;0,HistoricalStockProgress[[#This Row],[Price of Shares]]-HistoricalStockProgress[[#This Row],[Cost of Shares]]/HistoricalStockProgress[[#This Row],[No. of Shares]],0)</f>
        <v>-10.229035134678099</v>
      </c>
      <c r="K81" s="17">
        <f>IF(HistoricalStockProgress[[#This Row],[Total Price of Shares]]&lt;&gt;0,HistoricalStockProgress[[#This Row],[Total Price of Shares]]-HistoricalStockProgress[[#This Row],[Cost of Shares]],0)</f>
        <v>-337.558159444377</v>
      </c>
      <c r="L81" s="34" t="b" cm="1">
        <f t="array" ref="L81">IFERROR(IF(HistoricalStockProgress[[#This Row],[Price of Shares]]="",_xlfn.STOCKHISTORY(HistoricalStockProgress[[#This Row],[Full Company Name]],HistoricalStockProgress[[#This Row],[Date]],,2,0,1)),0)</f>
        <v>0</v>
      </c>
      <c r="M81" s="34">
        <f>YEAR(HistoricalStockProgress[[#This Row],[Date]])</f>
        <v>2016</v>
      </c>
      <c r="N81" s="34">
        <f>MONTH(HistoricalStockProgress[[#This Row],[Date]])</f>
        <v>2</v>
      </c>
    </row>
    <row r="82" spans="2:14">
      <c r="B82" s="15">
        <v>42429</v>
      </c>
      <c r="C82" s="34" t="s">
        <v>15</v>
      </c>
      <c r="D82" s="34" t="e" vm="17">
        <f>_xlfn.XLOOKUP(HistoricalStockProgress[[#This Row],[Company Ticker]],CompanyDetailsList[Company Ticker],CompanyDetailsList[Official Name],,0)</f>
        <v>#VALUE!</v>
      </c>
      <c r="E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82" s="17">
        <f>IFERROR(HistoricalStockProgress[[#This Row],[Cost of Shares]]/HistoricalStockProgress[[#This Row],[No. of Shares]],0)</f>
        <v>26.481400454992627</v>
      </c>
      <c r="H82" s="16" vm="636">
        <v>27.9039</v>
      </c>
      <c r="I82" s="16">
        <f>IF(HistoricalStockProgress[[#This Row],[No. of Shares]]&lt;&gt;0,HistoricalStockProgress[[#This Row],[Price of Shares]]*HistoricalStockProgress[[#This Row],[No. of Shares]],0)</f>
        <v>2678.7744000000002</v>
      </c>
      <c r="J82" s="16">
        <f>IF(HistoricalStockProgress[[#This Row],[No. of Shares]]&lt;&gt;0,HistoricalStockProgress[[#This Row],[Price of Shares]]-HistoricalStockProgress[[#This Row],[Cost of Shares]]/HistoricalStockProgress[[#This Row],[No. of Shares]],0)</f>
        <v>1.4224995450073727</v>
      </c>
      <c r="K82" s="17">
        <f>IF(HistoricalStockProgress[[#This Row],[Total Price of Shares]]&lt;&gt;0,HistoricalStockProgress[[#This Row],[Total Price of Shares]]-HistoricalStockProgress[[#This Row],[Cost of Shares]],0)</f>
        <v>136.5599563207079</v>
      </c>
      <c r="L82" s="34" t="b" cm="1">
        <f t="array" ref="L82">IFERROR(IF(HistoricalStockProgress[[#This Row],[Price of Shares]]="",_xlfn.STOCKHISTORY(HistoricalStockProgress[[#This Row],[Full Company Name]],HistoricalStockProgress[[#This Row],[Date]],,2,0,1)),0)</f>
        <v>0</v>
      </c>
      <c r="M82" s="34">
        <f>YEAR(HistoricalStockProgress[[#This Row],[Date]])</f>
        <v>2016</v>
      </c>
      <c r="N82" s="34">
        <f>MONTH(HistoricalStockProgress[[#This Row],[Date]])</f>
        <v>2</v>
      </c>
    </row>
    <row r="83" spans="2:14">
      <c r="B83" s="15">
        <v>42429</v>
      </c>
      <c r="C83" s="34" t="s">
        <v>13</v>
      </c>
      <c r="D83" s="34" t="e" vm="18">
        <f>_xlfn.XLOOKUP(HistoricalStockProgress[[#This Row],[Company Ticker]],CompanyDetailsList[Company Ticker],CompanyDetailsList[Official Name],,0)</f>
        <v>#VALUE!</v>
      </c>
      <c r="E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83" s="17">
        <f>IFERROR(HistoricalStockProgress[[#This Row],[Cost of Shares]]/HistoricalStockProgress[[#This Row],[No. of Shares]],0)</f>
        <v>30.916275141190898</v>
      </c>
      <c r="H83" s="16" vm="637">
        <v>28.125699999999998</v>
      </c>
      <c r="I83" s="16">
        <f>IF(HistoricalStockProgress[[#This Row],[No. of Shares]]&lt;&gt;0,HistoricalStockProgress[[#This Row],[Price of Shares]]*HistoricalStockProgress[[#This Row],[No. of Shares]],0)</f>
        <v>309.3827</v>
      </c>
      <c r="J83" s="16">
        <f>IF(HistoricalStockProgress[[#This Row],[No. of Shares]]&lt;&gt;0,HistoricalStockProgress[[#This Row],[Price of Shares]]-HistoricalStockProgress[[#This Row],[Cost of Shares]]/HistoricalStockProgress[[#This Row],[No. of Shares]],0)</f>
        <v>-2.7905751411908994</v>
      </c>
      <c r="K83" s="17">
        <f>IF(HistoricalStockProgress[[#This Row],[Total Price of Shares]]&lt;&gt;0,HistoricalStockProgress[[#This Row],[Total Price of Shares]]-HistoricalStockProgress[[#This Row],[Cost of Shares]],0)</f>
        <v>-30.69632655309988</v>
      </c>
      <c r="L83" s="34" t="b" cm="1">
        <f t="array" ref="L83">IFERROR(IF(HistoricalStockProgress[[#This Row],[Price of Shares]]="",_xlfn.STOCKHISTORY(HistoricalStockProgress[[#This Row],[Full Company Name]],HistoricalStockProgress[[#This Row],[Date]],,2,0,1)),0)</f>
        <v>0</v>
      </c>
      <c r="M83" s="34">
        <f>YEAR(HistoricalStockProgress[[#This Row],[Date]])</f>
        <v>2016</v>
      </c>
      <c r="N83" s="34">
        <f>MONTH(HistoricalStockProgress[[#This Row],[Date]])</f>
        <v>2</v>
      </c>
    </row>
    <row r="84" spans="2:14">
      <c r="B84" s="15">
        <v>42429</v>
      </c>
      <c r="C84" s="34" t="s">
        <v>20</v>
      </c>
      <c r="D84" s="34" t="e" vm="19">
        <f>_xlfn.XLOOKUP(HistoricalStockProgress[[#This Row],[Company Ticker]],CompanyDetailsList[Company Ticker],CompanyDetailsList[Official Name],,0)</f>
        <v>#VALUE!</v>
      </c>
      <c r="E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16</v>
      </c>
      <c r="F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1089.6459884973885</v>
      </c>
      <c r="G84" s="17">
        <f>IFERROR(HistoricalStockProgress[[#This Row],[Cost of Shares]]/HistoricalStockProgress[[#This Row],[No. of Shares]],0)</f>
        <v>68.102874281086784</v>
      </c>
      <c r="H84" s="16" vm="638">
        <v>56.3</v>
      </c>
      <c r="I84" s="16">
        <f>IF(HistoricalStockProgress[[#This Row],[No. of Shares]]&lt;&gt;0,HistoricalStockProgress[[#This Row],[Price of Shares]]*HistoricalStockProgress[[#This Row],[No. of Shares]],0)</f>
        <v>900.8</v>
      </c>
      <c r="J84" s="16">
        <f>IF(HistoricalStockProgress[[#This Row],[No. of Shares]]&lt;&gt;0,HistoricalStockProgress[[#This Row],[Price of Shares]]-HistoricalStockProgress[[#This Row],[Cost of Shares]]/HistoricalStockProgress[[#This Row],[No. of Shares]],0)</f>
        <v>-11.802874281086787</v>
      </c>
      <c r="K84" s="17">
        <f>IF(HistoricalStockProgress[[#This Row],[Total Price of Shares]]&lt;&gt;0,HistoricalStockProgress[[#This Row],[Total Price of Shares]]-HistoricalStockProgress[[#This Row],[Cost of Shares]],0)</f>
        <v>-188.84598849738859</v>
      </c>
      <c r="L84" s="34" t="b" cm="1">
        <f t="array" ref="L84">IFERROR(IF(HistoricalStockProgress[[#This Row],[Price of Shares]]="",_xlfn.STOCKHISTORY(HistoricalStockProgress[[#This Row],[Full Company Name]],HistoricalStockProgress[[#This Row],[Date]],,2,0,1)),0)</f>
        <v>0</v>
      </c>
      <c r="M84" s="34">
        <f>YEAR(HistoricalStockProgress[[#This Row],[Date]])</f>
        <v>2016</v>
      </c>
      <c r="N84" s="34">
        <f>MONTH(HistoricalStockProgress[[#This Row],[Date]])</f>
        <v>2</v>
      </c>
    </row>
    <row r="85" spans="2:14">
      <c r="B85" s="15">
        <v>42460</v>
      </c>
      <c r="C85" s="34" t="s">
        <v>84</v>
      </c>
      <c r="D85" s="34" t="e" vm="7">
        <f>_xlfn.XLOOKUP(HistoricalStockProgress[[#This Row],[Company Ticker]],CompanyDetailsList[Company Ticker],CompanyDetailsList[Official Name],,0)</f>
        <v>#VALUE!</v>
      </c>
      <c r="E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3396.3750096229314</v>
      </c>
      <c r="G85" s="17">
        <f>IFERROR(HistoricalStockProgress[[#This Row],[Cost of Shares]]/HistoricalStockProgress[[#This Row],[No. of Shares]],0)</f>
        <v>97.039285989226613</v>
      </c>
      <c r="H85" s="16" vm="639">
        <v>108.2</v>
      </c>
      <c r="I85" s="16">
        <f>IF(HistoricalStockProgress[[#This Row],[No. of Shares]]&lt;&gt;0,HistoricalStockProgress[[#This Row],[Price of Shares]]*HistoricalStockProgress[[#This Row],[No. of Shares]],0)</f>
        <v>3787</v>
      </c>
      <c r="J85" s="16">
        <f>IF(HistoricalStockProgress[[#This Row],[No. of Shares]]&lt;&gt;0,HistoricalStockProgress[[#This Row],[Price of Shares]]-HistoricalStockProgress[[#This Row],[Cost of Shares]]/HistoricalStockProgress[[#This Row],[No. of Shares]],0)</f>
        <v>11.16071401077339</v>
      </c>
      <c r="K85" s="17">
        <f>IF(HistoricalStockProgress[[#This Row],[Total Price of Shares]]&lt;&gt;0,HistoricalStockProgress[[#This Row],[Total Price of Shares]]-HistoricalStockProgress[[#This Row],[Cost of Shares]],0)</f>
        <v>390.62499037706857</v>
      </c>
      <c r="L85" s="34" t="b" cm="1">
        <f t="array" ref="L85">IFERROR(IF(HistoricalStockProgress[[#This Row],[Price of Shares]]="",_xlfn.STOCKHISTORY(HistoricalStockProgress[[#This Row],[Full Company Name]],HistoricalStockProgress[[#This Row],[Date]],,2,0,1)),0)</f>
        <v>0</v>
      </c>
      <c r="M85" s="34">
        <f>YEAR(HistoricalStockProgress[[#This Row],[Date]])</f>
        <v>2016</v>
      </c>
      <c r="N85" s="34">
        <f>MONTH(HistoricalStockProgress[[#This Row],[Date]])</f>
        <v>3</v>
      </c>
    </row>
    <row r="86" spans="2:14">
      <c r="B86" s="15">
        <v>42460</v>
      </c>
      <c r="C86" s="34" t="s">
        <v>86</v>
      </c>
      <c r="D86" s="34" t="e" vm="8">
        <f>_xlfn.XLOOKUP(HistoricalStockProgress[[#This Row],[Company Ticker]],CompanyDetailsList[Company Ticker],CompanyDetailsList[Official Name],,0)</f>
        <v>#VALUE!</v>
      </c>
      <c r="E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v>
      </c>
      <c r="F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894.13820748177</v>
      </c>
      <c r="G86" s="17">
        <f>IFERROR(HistoricalStockProgress[[#This Row],[Cost of Shares]]/HistoricalStockProgress[[#This Row],[No. of Shares]],0)</f>
        <v>59.609213832118002</v>
      </c>
      <c r="H86" s="16" vm="640">
        <v>57.12</v>
      </c>
      <c r="I86" s="16">
        <f>IF(HistoricalStockProgress[[#This Row],[No. of Shares]]&lt;&gt;0,HistoricalStockProgress[[#This Row],[Price of Shares]]*HistoricalStockProgress[[#This Row],[No. of Shares]],0)</f>
        <v>856.8</v>
      </c>
      <c r="J86" s="16">
        <f>IF(HistoricalStockProgress[[#This Row],[No. of Shares]]&lt;&gt;0,HistoricalStockProgress[[#This Row],[Price of Shares]]-HistoricalStockProgress[[#This Row],[Cost of Shares]]/HistoricalStockProgress[[#This Row],[No. of Shares]],0)</f>
        <v>-2.4892138321180042</v>
      </c>
      <c r="K86" s="17">
        <f>IF(HistoricalStockProgress[[#This Row],[Total Price of Shares]]&lt;&gt;0,HistoricalStockProgress[[#This Row],[Total Price of Shares]]-HistoricalStockProgress[[#This Row],[Cost of Shares]],0)</f>
        <v>-37.338207481770041</v>
      </c>
      <c r="L86" s="34" t="b" cm="1">
        <f t="array" ref="L86">IFERROR(IF(HistoricalStockProgress[[#This Row],[Price of Shares]]="",_xlfn.STOCKHISTORY(HistoricalStockProgress[[#This Row],[Full Company Name]],HistoricalStockProgress[[#This Row],[Date]],,2,0,1)),0)</f>
        <v>0</v>
      </c>
      <c r="M86" s="34">
        <f>YEAR(HistoricalStockProgress[[#This Row],[Date]])</f>
        <v>2016</v>
      </c>
      <c r="N86" s="34">
        <f>MONTH(HistoricalStockProgress[[#This Row],[Date]])</f>
        <v>3</v>
      </c>
    </row>
    <row r="87" spans="2:14">
      <c r="B87" s="15">
        <v>42460</v>
      </c>
      <c r="C87" s="34" t="s">
        <v>22</v>
      </c>
      <c r="D87" s="34" t="e" vm="10">
        <f>_xlfn.XLOOKUP(HistoricalStockProgress[[#This Row],[Company Ticker]],CompanyDetailsList[Company Ticker],CompanyDetailsList[Official Name],,0)</f>
        <v>#VALUE!</v>
      </c>
      <c r="E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22</v>
      </c>
      <c r="F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1793.9720224225266</v>
      </c>
      <c r="G87" s="17">
        <f>IFERROR(HistoricalStockProgress[[#This Row],[Cost of Shares]]/HistoricalStockProgress[[#This Row],[No. of Shares]],0)</f>
        <v>81.544182837387567</v>
      </c>
      <c r="H87" s="16" vm="641">
        <v>76.540000000000006</v>
      </c>
      <c r="I87" s="16">
        <f>IF(HistoricalStockProgress[[#This Row],[No. of Shares]]&lt;&gt;0,HistoricalStockProgress[[#This Row],[Price of Shares]]*HistoricalStockProgress[[#This Row],[No. of Shares]],0)</f>
        <v>1683.88</v>
      </c>
      <c r="J87" s="16">
        <f>IF(HistoricalStockProgress[[#This Row],[No. of Shares]]&lt;&gt;0,HistoricalStockProgress[[#This Row],[Price of Shares]]-HistoricalStockProgress[[#This Row],[Cost of Shares]]/HistoricalStockProgress[[#This Row],[No. of Shares]],0)</f>
        <v>-5.0041828373875603</v>
      </c>
      <c r="K87" s="17">
        <f>IF(HistoricalStockProgress[[#This Row],[Total Price of Shares]]&lt;&gt;0,HistoricalStockProgress[[#This Row],[Total Price of Shares]]-HistoricalStockProgress[[#This Row],[Cost of Shares]],0)</f>
        <v>-110.0920224225265</v>
      </c>
      <c r="L87" s="34" t="b" cm="1">
        <f t="array" ref="L87">IFERROR(IF(HistoricalStockProgress[[#This Row],[Price of Shares]]="",_xlfn.STOCKHISTORY(HistoricalStockProgress[[#This Row],[Full Company Name]],HistoricalStockProgress[[#This Row],[Date]],,2,0,1)),0)</f>
        <v>0</v>
      </c>
      <c r="M87" s="34">
        <f>YEAR(HistoricalStockProgress[[#This Row],[Date]])</f>
        <v>2016</v>
      </c>
      <c r="N87" s="34">
        <f>MONTH(HistoricalStockProgress[[#This Row],[Date]])</f>
        <v>3</v>
      </c>
    </row>
    <row r="88" spans="2:14">
      <c r="B88" s="15">
        <v>42460</v>
      </c>
      <c r="C88" s="34" t="s">
        <v>91</v>
      </c>
      <c r="D88" s="34" t="e" vm="11">
        <f>_xlfn.XLOOKUP(HistoricalStockProgress[[#This Row],[Company Ticker]],CompanyDetailsList[Company Ticker],CompanyDetailsList[Official Name],,0)</f>
        <v>#VALUE!</v>
      </c>
      <c r="E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21</v>
      </c>
      <c r="F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1170.1841895670582</v>
      </c>
      <c r="G88" s="17">
        <f>IFERROR(HistoricalStockProgress[[#This Row],[Cost of Shares]]/HistoricalStockProgress[[#This Row],[No. of Shares]],0)</f>
        <v>55.723056646050388</v>
      </c>
      <c r="H88" s="16" vm="642">
        <v>55.23</v>
      </c>
      <c r="I88" s="16">
        <f>IF(HistoricalStockProgress[[#This Row],[No. of Shares]]&lt;&gt;0,HistoricalStockProgress[[#This Row],[Price of Shares]]*HistoricalStockProgress[[#This Row],[No. of Shares]],0)</f>
        <v>1159.83</v>
      </c>
      <c r="J88" s="16">
        <f>IF(HistoricalStockProgress[[#This Row],[No. of Shares]]&lt;&gt;0,HistoricalStockProgress[[#This Row],[Price of Shares]]-HistoricalStockProgress[[#This Row],[Cost of Shares]]/HistoricalStockProgress[[#This Row],[No. of Shares]],0)</f>
        <v>-0.49305664605039112</v>
      </c>
      <c r="K88" s="17">
        <f>IF(HistoricalStockProgress[[#This Row],[Total Price of Shares]]&lt;&gt;0,HistoricalStockProgress[[#This Row],[Total Price of Shares]]-HistoricalStockProgress[[#This Row],[Cost of Shares]],0)</f>
        <v>-10.354189567058256</v>
      </c>
      <c r="L88" s="34" t="b" cm="1">
        <f t="array" ref="L88">IFERROR(IF(HistoricalStockProgress[[#This Row],[Price of Shares]]="",_xlfn.STOCKHISTORY(HistoricalStockProgress[[#This Row],[Full Company Name]],HistoricalStockProgress[[#This Row],[Date]],,2,0,1)),0)</f>
        <v>0</v>
      </c>
      <c r="M88" s="34">
        <f>YEAR(HistoricalStockProgress[[#This Row],[Date]])</f>
        <v>2016</v>
      </c>
      <c r="N88" s="34">
        <f>MONTH(HistoricalStockProgress[[#This Row],[Date]])</f>
        <v>3</v>
      </c>
    </row>
    <row r="89" spans="2:14">
      <c r="B89" s="15">
        <v>42460</v>
      </c>
      <c r="C89" s="34" t="s">
        <v>16</v>
      </c>
      <c r="D89" s="34" t="e" vm="12">
        <f>_xlfn.XLOOKUP(HistoricalStockProgress[[#This Row],[Company Ticker]],CompanyDetailsList[Company Ticker],CompanyDetailsList[Official Name],,0)</f>
        <v>#VALUE!</v>
      </c>
      <c r="E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44</v>
      </c>
      <c r="F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3666.4261169396809</v>
      </c>
      <c r="G89" s="17">
        <f>IFERROR(HistoricalStockProgress[[#This Row],[Cost of Shares]]/HistoricalStockProgress[[#This Row],[No. of Shares]],0)</f>
        <v>83.327866294083663</v>
      </c>
      <c r="H89" s="16" vm="643">
        <v>83.59</v>
      </c>
      <c r="I89" s="16">
        <f>IF(HistoricalStockProgress[[#This Row],[No. of Shares]]&lt;&gt;0,HistoricalStockProgress[[#This Row],[Price of Shares]]*HistoricalStockProgress[[#This Row],[No. of Shares]],0)</f>
        <v>3677.96</v>
      </c>
      <c r="J89" s="16">
        <f>IF(HistoricalStockProgress[[#This Row],[No. of Shares]]&lt;&gt;0,HistoricalStockProgress[[#This Row],[Price of Shares]]-HistoricalStockProgress[[#This Row],[Cost of Shares]]/HistoricalStockProgress[[#This Row],[No. of Shares]],0)</f>
        <v>0.26213370591634089</v>
      </c>
      <c r="K89" s="17">
        <f>IF(HistoricalStockProgress[[#This Row],[Total Price of Shares]]&lt;&gt;0,HistoricalStockProgress[[#This Row],[Total Price of Shares]]-HistoricalStockProgress[[#This Row],[Cost of Shares]],0)</f>
        <v>11.533883060319113</v>
      </c>
      <c r="L89" s="34" t="b" cm="1">
        <f t="array" ref="L89">IFERROR(IF(HistoricalStockProgress[[#This Row],[Price of Shares]]="",_xlfn.STOCKHISTORY(HistoricalStockProgress[[#This Row],[Full Company Name]],HistoricalStockProgress[[#This Row],[Date]],,2,0,1)),0)</f>
        <v>0</v>
      </c>
      <c r="M89" s="34">
        <f>YEAR(HistoricalStockProgress[[#This Row],[Date]])</f>
        <v>2016</v>
      </c>
      <c r="N89" s="34">
        <f>MONTH(HistoricalStockProgress[[#This Row],[Date]])</f>
        <v>3</v>
      </c>
    </row>
    <row r="90" spans="2:14">
      <c r="B90" s="15">
        <v>42460</v>
      </c>
      <c r="C90" s="34" t="s">
        <v>95</v>
      </c>
      <c r="D90" s="34" t="e" vm="13">
        <f>_xlfn.XLOOKUP(HistoricalStockProgress[[#This Row],[Company Ticker]],CompanyDetailsList[Company Ticker],CompanyDetailsList[Official Name],,0)</f>
        <v>#VALUE!</v>
      </c>
      <c r="E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90" s="17">
        <f>IFERROR(HistoricalStockProgress[[#This Row],[Cost of Shares]]/HistoricalStockProgress[[#This Row],[No. of Shares]],0)</f>
        <v>112.90555526050157</v>
      </c>
      <c r="H90" s="16" vm="644">
        <v>133.43</v>
      </c>
      <c r="I90" s="16">
        <f>IF(HistoricalStockProgress[[#This Row],[No. of Shares]]&lt;&gt;0,HistoricalStockProgress[[#This Row],[Price of Shares]]*HistoricalStockProgress[[#This Row],[No. of Shares]],0)</f>
        <v>1601.16</v>
      </c>
      <c r="J90" s="16">
        <f>IF(HistoricalStockProgress[[#This Row],[No. of Shares]]&lt;&gt;0,HistoricalStockProgress[[#This Row],[Price of Shares]]-HistoricalStockProgress[[#This Row],[Cost of Shares]]/HistoricalStockProgress[[#This Row],[No. of Shares]],0)</f>
        <v>20.524444739498435</v>
      </c>
      <c r="K90" s="17">
        <f>IF(HistoricalStockProgress[[#This Row],[Total Price of Shares]]&lt;&gt;0,HistoricalStockProgress[[#This Row],[Total Price of Shares]]-HistoricalStockProgress[[#This Row],[Cost of Shares]],0)</f>
        <v>246.29333687398116</v>
      </c>
      <c r="L90" s="34" t="b" cm="1">
        <f t="array" ref="L90">IFERROR(IF(HistoricalStockProgress[[#This Row],[Price of Shares]]="",_xlfn.STOCKHISTORY(HistoricalStockProgress[[#This Row],[Full Company Name]],HistoricalStockProgress[[#This Row],[Date]],,2,0,1)),0)</f>
        <v>0</v>
      </c>
      <c r="M90" s="34">
        <f>YEAR(HistoricalStockProgress[[#This Row],[Date]])</f>
        <v>2016</v>
      </c>
      <c r="N90" s="34">
        <f>MONTH(HistoricalStockProgress[[#This Row],[Date]])</f>
        <v>3</v>
      </c>
    </row>
    <row r="91" spans="2:14">
      <c r="B91" s="15">
        <v>42460</v>
      </c>
      <c r="C91" s="34" t="s">
        <v>100</v>
      </c>
      <c r="D91" s="34" t="e" vm="16">
        <f>_xlfn.XLOOKUP(HistoricalStockProgress[[#This Row],[Company Ticker]],CompanyDetailsList[Company Ticker],CompanyDetailsList[Official Name],,0)</f>
        <v>#VALUE!</v>
      </c>
      <c r="E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91" s="17">
        <f>IFERROR(HistoricalStockProgress[[#This Row],[Cost of Shares]]/HistoricalStockProgress[[#This Row],[No. of Shares]],0)</f>
        <v>84.509035134678101</v>
      </c>
      <c r="H91" s="16" vm="645">
        <v>80.680000000000007</v>
      </c>
      <c r="I91" s="16">
        <f>IF(HistoricalStockProgress[[#This Row],[No. of Shares]]&lt;&gt;0,HistoricalStockProgress[[#This Row],[Price of Shares]]*HistoricalStockProgress[[#This Row],[No. of Shares]],0)</f>
        <v>2662.44</v>
      </c>
      <c r="J91" s="16">
        <f>IF(HistoricalStockProgress[[#This Row],[No. of Shares]]&lt;&gt;0,HistoricalStockProgress[[#This Row],[Price of Shares]]-HistoricalStockProgress[[#This Row],[Cost of Shares]]/HistoricalStockProgress[[#This Row],[No. of Shares]],0)</f>
        <v>-3.8290351346780938</v>
      </c>
      <c r="K91" s="17">
        <f>IF(HistoricalStockProgress[[#This Row],[Total Price of Shares]]&lt;&gt;0,HistoricalStockProgress[[#This Row],[Total Price of Shares]]-HistoricalStockProgress[[#This Row],[Cost of Shares]],0)</f>
        <v>-126.35815944437718</v>
      </c>
      <c r="L91" s="34" t="b" cm="1">
        <f t="array" ref="L91">IFERROR(IF(HistoricalStockProgress[[#This Row],[Price of Shares]]="",_xlfn.STOCKHISTORY(HistoricalStockProgress[[#This Row],[Full Company Name]],HistoricalStockProgress[[#This Row],[Date]],,2,0,1)),0)</f>
        <v>0</v>
      </c>
      <c r="M91" s="34">
        <f>YEAR(HistoricalStockProgress[[#This Row],[Date]])</f>
        <v>2016</v>
      </c>
      <c r="N91" s="34">
        <f>MONTH(HistoricalStockProgress[[#This Row],[Date]])</f>
        <v>3</v>
      </c>
    </row>
    <row r="92" spans="2:14">
      <c r="B92" s="15">
        <v>42460</v>
      </c>
      <c r="C92" s="34" t="s">
        <v>15</v>
      </c>
      <c r="D92" s="34" t="e" vm="17">
        <f>_xlfn.XLOOKUP(HistoricalStockProgress[[#This Row],[Company Ticker]],CompanyDetailsList[Company Ticker],CompanyDetailsList[Official Name],,0)</f>
        <v>#VALUE!</v>
      </c>
      <c r="E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92" s="17">
        <f>IFERROR(HistoricalStockProgress[[#This Row],[Cost of Shares]]/HistoricalStockProgress[[#This Row],[No. of Shares]],0)</f>
        <v>26.481400454992627</v>
      </c>
      <c r="H92" s="16" vm="646">
        <v>29.580400000000001</v>
      </c>
      <c r="I92" s="16">
        <f>IF(HistoricalStockProgress[[#This Row],[No. of Shares]]&lt;&gt;0,HistoricalStockProgress[[#This Row],[Price of Shares]]*HistoricalStockProgress[[#This Row],[No. of Shares]],0)</f>
        <v>2839.7184000000002</v>
      </c>
      <c r="J92" s="16">
        <f>IF(HistoricalStockProgress[[#This Row],[No. of Shares]]&lt;&gt;0,HistoricalStockProgress[[#This Row],[Price of Shares]]-HistoricalStockProgress[[#This Row],[Cost of Shares]]/HistoricalStockProgress[[#This Row],[No. of Shares]],0)</f>
        <v>3.0989995450073735</v>
      </c>
      <c r="K92" s="17">
        <f>IF(HistoricalStockProgress[[#This Row],[Total Price of Shares]]&lt;&gt;0,HistoricalStockProgress[[#This Row],[Total Price of Shares]]-HistoricalStockProgress[[#This Row],[Cost of Shares]],0)</f>
        <v>297.50395632070786</v>
      </c>
      <c r="L92" s="34" t="b" cm="1">
        <f t="array" ref="L92">IFERROR(IF(HistoricalStockProgress[[#This Row],[Price of Shares]]="",_xlfn.STOCKHISTORY(HistoricalStockProgress[[#This Row],[Full Company Name]],HistoricalStockProgress[[#This Row],[Date]],,2,0,1)),0)</f>
        <v>0</v>
      </c>
      <c r="M92" s="34">
        <f>YEAR(HistoricalStockProgress[[#This Row],[Date]])</f>
        <v>2016</v>
      </c>
      <c r="N92" s="34">
        <f>MONTH(HistoricalStockProgress[[#This Row],[Date]])</f>
        <v>3</v>
      </c>
    </row>
    <row r="93" spans="2:14">
      <c r="B93" s="15">
        <v>42460</v>
      </c>
      <c r="C93" s="34" t="s">
        <v>13</v>
      </c>
      <c r="D93" s="34" t="e" vm="18">
        <f>_xlfn.XLOOKUP(HistoricalStockProgress[[#This Row],[Company Ticker]],CompanyDetailsList[Company Ticker],CompanyDetailsList[Official Name],,0)</f>
        <v>#VALUE!</v>
      </c>
      <c r="E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93" s="17">
        <f>IFERROR(HistoricalStockProgress[[#This Row],[Cost of Shares]]/HistoricalStockProgress[[#This Row],[No. of Shares]],0)</f>
        <v>30.916275141190898</v>
      </c>
      <c r="H93" s="16" vm="647">
        <v>28.097200000000001</v>
      </c>
      <c r="I93" s="16">
        <f>IF(HistoricalStockProgress[[#This Row],[No. of Shares]]&lt;&gt;0,HistoricalStockProgress[[#This Row],[Price of Shares]]*HistoricalStockProgress[[#This Row],[No. of Shares]],0)</f>
        <v>309.06920000000002</v>
      </c>
      <c r="J93" s="16">
        <f>IF(HistoricalStockProgress[[#This Row],[No. of Shares]]&lt;&gt;0,HistoricalStockProgress[[#This Row],[Price of Shares]]-HistoricalStockProgress[[#This Row],[Cost of Shares]]/HistoricalStockProgress[[#This Row],[No. of Shares]],0)</f>
        <v>-2.819075141190897</v>
      </c>
      <c r="K93" s="17">
        <f>IF(HistoricalStockProgress[[#This Row],[Total Price of Shares]]&lt;&gt;0,HistoricalStockProgress[[#This Row],[Total Price of Shares]]-HistoricalStockProgress[[#This Row],[Cost of Shares]],0)</f>
        <v>-31.009826553099856</v>
      </c>
      <c r="L93" s="34" t="b" cm="1">
        <f t="array" ref="L93">IFERROR(IF(HistoricalStockProgress[[#This Row],[Price of Shares]]="",_xlfn.STOCKHISTORY(HistoricalStockProgress[[#This Row],[Full Company Name]],HistoricalStockProgress[[#This Row],[Date]],,2,0,1)),0)</f>
        <v>0</v>
      </c>
      <c r="M93" s="34">
        <f>YEAR(HistoricalStockProgress[[#This Row],[Date]])</f>
        <v>2016</v>
      </c>
      <c r="N93" s="34">
        <f>MONTH(HistoricalStockProgress[[#This Row],[Date]])</f>
        <v>3</v>
      </c>
    </row>
    <row r="94" spans="2:14">
      <c r="B94" s="15">
        <v>42460</v>
      </c>
      <c r="C94" s="34" t="s">
        <v>20</v>
      </c>
      <c r="D94" s="34" t="e" vm="19">
        <f>_xlfn.XLOOKUP(HistoricalStockProgress[[#This Row],[Company Ticker]],CompanyDetailsList[Company Ticker],CompanyDetailsList[Official Name],,0)</f>
        <v>#VALUE!</v>
      </c>
      <c r="E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16</v>
      </c>
      <c r="F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1089.6459884973885</v>
      </c>
      <c r="G94" s="17">
        <f>IFERROR(HistoricalStockProgress[[#This Row],[Cost of Shares]]/HistoricalStockProgress[[#This Row],[No. of Shares]],0)</f>
        <v>68.102874281086784</v>
      </c>
      <c r="H94" s="16" vm="648">
        <v>59.22</v>
      </c>
      <c r="I94" s="16">
        <f>IF(HistoricalStockProgress[[#This Row],[No. of Shares]]&lt;&gt;0,HistoricalStockProgress[[#This Row],[Price of Shares]]*HistoricalStockProgress[[#This Row],[No. of Shares]],0)</f>
        <v>947.52</v>
      </c>
      <c r="J94" s="16">
        <f>IF(HistoricalStockProgress[[#This Row],[No. of Shares]]&lt;&gt;0,HistoricalStockProgress[[#This Row],[Price of Shares]]-HistoricalStockProgress[[#This Row],[Cost of Shares]]/HistoricalStockProgress[[#This Row],[No. of Shares]],0)</f>
        <v>-8.8828742810867851</v>
      </c>
      <c r="K94" s="17">
        <f>IF(HistoricalStockProgress[[#This Row],[Total Price of Shares]]&lt;&gt;0,HistoricalStockProgress[[#This Row],[Total Price of Shares]]-HistoricalStockProgress[[#This Row],[Cost of Shares]],0)</f>
        <v>-142.12598849738856</v>
      </c>
      <c r="L94" s="34" t="b" cm="1">
        <f t="array" ref="L94">IFERROR(IF(HistoricalStockProgress[[#This Row],[Price of Shares]]="",_xlfn.STOCKHISTORY(HistoricalStockProgress[[#This Row],[Full Company Name]],HistoricalStockProgress[[#This Row],[Date]],,2,0,1)),0)</f>
        <v>0</v>
      </c>
      <c r="M94" s="34">
        <f>YEAR(HistoricalStockProgress[[#This Row],[Date]])</f>
        <v>2016</v>
      </c>
      <c r="N94" s="34">
        <f>MONTH(HistoricalStockProgress[[#This Row],[Date]])</f>
        <v>3</v>
      </c>
    </row>
    <row r="95" spans="2:14">
      <c r="B95" s="15">
        <v>42490</v>
      </c>
      <c r="C95" s="34" t="s">
        <v>84</v>
      </c>
      <c r="D95" s="34" t="e" vm="7">
        <f>_xlfn.XLOOKUP(HistoricalStockProgress[[#This Row],[Company Ticker]],CompanyDetailsList[Company Ticker],CompanyDetailsList[Official Name],,0)</f>
        <v>#VALUE!</v>
      </c>
      <c r="E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3396.3750096229314</v>
      </c>
      <c r="G95" s="17">
        <f>IFERROR(HistoricalStockProgress[[#This Row],[Cost of Shares]]/HistoricalStockProgress[[#This Row],[No. of Shares]],0)</f>
        <v>97.039285989226613</v>
      </c>
      <c r="H95" s="16" vm="649">
        <v>112.08</v>
      </c>
      <c r="I95" s="16">
        <f>IF(HistoricalStockProgress[[#This Row],[No. of Shares]]&lt;&gt;0,HistoricalStockProgress[[#This Row],[Price of Shares]]*HistoricalStockProgress[[#This Row],[No. of Shares]],0)</f>
        <v>3922.7999999999997</v>
      </c>
      <c r="J95" s="16">
        <f>IF(HistoricalStockProgress[[#This Row],[No. of Shares]]&lt;&gt;0,HistoricalStockProgress[[#This Row],[Price of Shares]]-HistoricalStockProgress[[#This Row],[Cost of Shares]]/HistoricalStockProgress[[#This Row],[No. of Shares]],0)</f>
        <v>15.040714010773385</v>
      </c>
      <c r="K95" s="17">
        <f>IF(HistoricalStockProgress[[#This Row],[Total Price of Shares]]&lt;&gt;0,HistoricalStockProgress[[#This Row],[Total Price of Shares]]-HistoricalStockProgress[[#This Row],[Cost of Shares]],0)</f>
        <v>526.4249903770683</v>
      </c>
      <c r="L95" s="34" t="b" cm="1">
        <f t="array" ref="L95">IFERROR(IF(HistoricalStockProgress[[#This Row],[Price of Shares]]="",_xlfn.STOCKHISTORY(HistoricalStockProgress[[#This Row],[Full Company Name]],HistoricalStockProgress[[#This Row],[Date]],,2,0,1)),0)</f>
        <v>0</v>
      </c>
      <c r="M95" s="34">
        <f>YEAR(HistoricalStockProgress[[#This Row],[Date]])</f>
        <v>2016</v>
      </c>
      <c r="N95" s="34">
        <f>MONTH(HistoricalStockProgress[[#This Row],[Date]])</f>
        <v>4</v>
      </c>
    </row>
    <row r="96" spans="2:14">
      <c r="B96" s="15">
        <v>42490</v>
      </c>
      <c r="C96" s="34" t="s">
        <v>86</v>
      </c>
      <c r="D96" s="34" t="e" vm="8">
        <f>_xlfn.XLOOKUP(HistoricalStockProgress[[#This Row],[Company Ticker]],CompanyDetailsList[Company Ticker],CompanyDetailsList[Official Name],,0)</f>
        <v>#VALUE!</v>
      </c>
      <c r="E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v>
      </c>
      <c r="F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894.13820748177</v>
      </c>
      <c r="G96" s="17">
        <f>IFERROR(HistoricalStockProgress[[#This Row],[Cost of Shares]]/HistoricalStockProgress[[#This Row],[No. of Shares]],0)</f>
        <v>59.609213832118002</v>
      </c>
      <c r="H96" s="16" vm="650">
        <v>61</v>
      </c>
      <c r="I96" s="16">
        <f>IF(HistoricalStockProgress[[#This Row],[No. of Shares]]&lt;&gt;0,HistoricalStockProgress[[#This Row],[Price of Shares]]*HistoricalStockProgress[[#This Row],[No. of Shares]],0)</f>
        <v>915</v>
      </c>
      <c r="J96" s="16">
        <f>IF(HistoricalStockProgress[[#This Row],[No. of Shares]]&lt;&gt;0,HistoricalStockProgress[[#This Row],[Price of Shares]]-HistoricalStockProgress[[#This Row],[Cost of Shares]]/HistoricalStockProgress[[#This Row],[No. of Shares]],0)</f>
        <v>1.3907861678819984</v>
      </c>
      <c r="K96" s="17">
        <f>IF(HistoricalStockProgress[[#This Row],[Total Price of Shares]]&lt;&gt;0,HistoricalStockProgress[[#This Row],[Total Price of Shares]]-HistoricalStockProgress[[#This Row],[Cost of Shares]],0)</f>
        <v>20.861792518230004</v>
      </c>
      <c r="L96" s="34" t="b" cm="1">
        <f t="array" ref="L96">IFERROR(IF(HistoricalStockProgress[[#This Row],[Price of Shares]]="",_xlfn.STOCKHISTORY(HistoricalStockProgress[[#This Row],[Full Company Name]],HistoricalStockProgress[[#This Row],[Date]],,2,0,1)),0)</f>
        <v>0</v>
      </c>
      <c r="M96" s="34">
        <f>YEAR(HistoricalStockProgress[[#This Row],[Date]])</f>
        <v>2016</v>
      </c>
      <c r="N96" s="34">
        <f>MONTH(HistoricalStockProgress[[#This Row],[Date]])</f>
        <v>4</v>
      </c>
    </row>
    <row r="97" spans="2:14">
      <c r="B97" s="15">
        <v>42490</v>
      </c>
      <c r="C97" s="34" t="s">
        <v>22</v>
      </c>
      <c r="D97" s="34" t="e" vm="10">
        <f>_xlfn.XLOOKUP(HistoricalStockProgress[[#This Row],[Company Ticker]],CompanyDetailsList[Company Ticker],CompanyDetailsList[Official Name],,0)</f>
        <v>#VALUE!</v>
      </c>
      <c r="E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22</v>
      </c>
      <c r="F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1793.9720224225266</v>
      </c>
      <c r="G97" s="17">
        <f>IFERROR(HistoricalStockProgress[[#This Row],[Cost of Shares]]/HistoricalStockProgress[[#This Row],[No. of Shares]],0)</f>
        <v>81.544182837387567</v>
      </c>
      <c r="H97" s="16" vm="651">
        <v>77.72</v>
      </c>
      <c r="I97" s="16">
        <f>IF(HistoricalStockProgress[[#This Row],[No. of Shares]]&lt;&gt;0,HistoricalStockProgress[[#This Row],[Price of Shares]]*HistoricalStockProgress[[#This Row],[No. of Shares]],0)</f>
        <v>1709.84</v>
      </c>
      <c r="J97" s="16">
        <f>IF(HistoricalStockProgress[[#This Row],[No. of Shares]]&lt;&gt;0,HistoricalStockProgress[[#This Row],[Price of Shares]]-HistoricalStockProgress[[#This Row],[Cost of Shares]]/HistoricalStockProgress[[#This Row],[No. of Shares]],0)</f>
        <v>-3.8241828373875677</v>
      </c>
      <c r="K97" s="17">
        <f>IF(HistoricalStockProgress[[#This Row],[Total Price of Shares]]&lt;&gt;0,HistoricalStockProgress[[#This Row],[Total Price of Shares]]-HistoricalStockProgress[[#This Row],[Cost of Shares]],0)</f>
        <v>-84.132022422526688</v>
      </c>
      <c r="L97" s="34" t="b" cm="1">
        <f t="array" ref="L97">IFERROR(IF(HistoricalStockProgress[[#This Row],[Price of Shares]]="",_xlfn.STOCKHISTORY(HistoricalStockProgress[[#This Row],[Full Company Name]],HistoricalStockProgress[[#This Row],[Date]],,2,0,1)),0)</f>
        <v>0</v>
      </c>
      <c r="M97" s="34">
        <f>YEAR(HistoricalStockProgress[[#This Row],[Date]])</f>
        <v>2016</v>
      </c>
      <c r="N97" s="34">
        <f>MONTH(HistoricalStockProgress[[#This Row],[Date]])</f>
        <v>4</v>
      </c>
    </row>
    <row r="98" spans="2:14">
      <c r="B98" s="15">
        <v>42490</v>
      </c>
      <c r="C98" s="34" t="s">
        <v>91</v>
      </c>
      <c r="D98" s="34" t="e" vm="11">
        <f>_xlfn.XLOOKUP(HistoricalStockProgress[[#This Row],[Company Ticker]],CompanyDetailsList[Company Ticker],CompanyDetailsList[Official Name],,0)</f>
        <v>#VALUE!</v>
      </c>
      <c r="E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3147.1300357784085</v>
      </c>
      <c r="G98" s="17">
        <f>IFERROR(HistoricalStockProgress[[#This Row],[Cost of Shares]]/HistoricalStockProgress[[#This Row],[No. of Shares]],0)</f>
        <v>56.198750638900151</v>
      </c>
      <c r="H98" s="16" vm="652">
        <v>49.87</v>
      </c>
      <c r="I98" s="16">
        <f>IF(HistoricalStockProgress[[#This Row],[No. of Shares]]&lt;&gt;0,HistoricalStockProgress[[#This Row],[Price of Shares]]*HistoricalStockProgress[[#This Row],[No. of Shares]],0)</f>
        <v>2792.72</v>
      </c>
      <c r="J98" s="16">
        <f>IF(HistoricalStockProgress[[#This Row],[No. of Shares]]&lt;&gt;0,HistoricalStockProgress[[#This Row],[Price of Shares]]-HistoricalStockProgress[[#This Row],[Cost of Shares]]/HistoricalStockProgress[[#This Row],[No. of Shares]],0)</f>
        <v>-6.3287506389001535</v>
      </c>
      <c r="K98" s="17">
        <f>IF(HistoricalStockProgress[[#This Row],[Total Price of Shares]]&lt;&gt;0,HistoricalStockProgress[[#This Row],[Total Price of Shares]]-HistoricalStockProgress[[#This Row],[Cost of Shares]],0)</f>
        <v>-354.41003577840866</v>
      </c>
      <c r="L98" s="34" t="b" cm="1">
        <f t="array" ref="L98">IFERROR(IF(HistoricalStockProgress[[#This Row],[Price of Shares]]="",_xlfn.STOCKHISTORY(HistoricalStockProgress[[#This Row],[Full Company Name]],HistoricalStockProgress[[#This Row],[Date]],,2,0,1)),0)</f>
        <v>0</v>
      </c>
      <c r="M98" s="34">
        <f>YEAR(HistoricalStockProgress[[#This Row],[Date]])</f>
        <v>2016</v>
      </c>
      <c r="N98" s="34">
        <f>MONTH(HistoricalStockProgress[[#This Row],[Date]])</f>
        <v>4</v>
      </c>
    </row>
    <row r="99" spans="2:14">
      <c r="B99" s="15">
        <v>42490</v>
      </c>
      <c r="C99" s="34" t="s">
        <v>16</v>
      </c>
      <c r="D99" s="34" t="e" vm="12">
        <f>_xlfn.XLOOKUP(HistoricalStockProgress[[#This Row],[Company Ticker]],CompanyDetailsList[Company Ticker],CompanyDetailsList[Official Name],,0)</f>
        <v>#VALUE!</v>
      </c>
      <c r="E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44</v>
      </c>
      <c r="F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3666.4261169396809</v>
      </c>
      <c r="G99" s="17">
        <f>IFERROR(HistoricalStockProgress[[#This Row],[Cost of Shares]]/HistoricalStockProgress[[#This Row],[No. of Shares]],0)</f>
        <v>83.327866294083663</v>
      </c>
      <c r="H99" s="16" vm="653">
        <v>88.4</v>
      </c>
      <c r="I99" s="16">
        <f>IF(HistoricalStockProgress[[#This Row],[No. of Shares]]&lt;&gt;0,HistoricalStockProgress[[#This Row],[Price of Shares]]*HistoricalStockProgress[[#This Row],[No. of Shares]],0)</f>
        <v>3889.6000000000004</v>
      </c>
      <c r="J99" s="16">
        <f>IF(HistoricalStockProgress[[#This Row],[No. of Shares]]&lt;&gt;0,HistoricalStockProgress[[#This Row],[Price of Shares]]-HistoricalStockProgress[[#This Row],[Cost of Shares]]/HistoricalStockProgress[[#This Row],[No. of Shares]],0)</f>
        <v>5.0721337059163432</v>
      </c>
      <c r="K99" s="17">
        <f>IF(HistoricalStockProgress[[#This Row],[Total Price of Shares]]&lt;&gt;0,HistoricalStockProgress[[#This Row],[Total Price of Shares]]-HistoricalStockProgress[[#This Row],[Cost of Shares]],0)</f>
        <v>223.17388306031944</v>
      </c>
      <c r="L99" s="34" t="b" cm="1">
        <f t="array" ref="L99">IFERROR(IF(HistoricalStockProgress[[#This Row],[Price of Shares]]="",_xlfn.STOCKHISTORY(HistoricalStockProgress[[#This Row],[Full Company Name]],HistoricalStockProgress[[#This Row],[Date]],,2,0,1)),0)</f>
        <v>0</v>
      </c>
      <c r="M99" s="34">
        <f>YEAR(HistoricalStockProgress[[#This Row],[Date]])</f>
        <v>2016</v>
      </c>
      <c r="N99" s="34">
        <f>MONTH(HistoricalStockProgress[[#This Row],[Date]])</f>
        <v>4</v>
      </c>
    </row>
    <row r="100" spans="2:14">
      <c r="B100" s="15">
        <v>42490</v>
      </c>
      <c r="C100" s="34" t="s">
        <v>95</v>
      </c>
      <c r="D100" s="34" t="e" vm="13">
        <f>_xlfn.XLOOKUP(HistoricalStockProgress[[#This Row],[Company Ticker]],CompanyDetailsList[Company Ticker],CompanyDetailsList[Official Name],,0)</f>
        <v>#VALUE!</v>
      </c>
      <c r="E1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1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100" s="17">
        <f>IFERROR(HistoricalStockProgress[[#This Row],[Cost of Shares]]/HistoricalStockProgress[[#This Row],[No. of Shares]],0)</f>
        <v>112.90555526050157</v>
      </c>
      <c r="H100" s="16" vm="654">
        <v>133.88999999999999</v>
      </c>
      <c r="I100" s="16">
        <f>IF(HistoricalStockProgress[[#This Row],[No. of Shares]]&lt;&gt;0,HistoricalStockProgress[[#This Row],[Price of Shares]]*HistoricalStockProgress[[#This Row],[No. of Shares]],0)</f>
        <v>1606.6799999999998</v>
      </c>
      <c r="J100" s="16">
        <f>IF(HistoricalStockProgress[[#This Row],[No. of Shares]]&lt;&gt;0,HistoricalStockProgress[[#This Row],[Price of Shares]]-HistoricalStockProgress[[#This Row],[Cost of Shares]]/HistoricalStockProgress[[#This Row],[No. of Shares]],0)</f>
        <v>20.984444739498414</v>
      </c>
      <c r="K100" s="17">
        <f>IF(HistoricalStockProgress[[#This Row],[Total Price of Shares]]&lt;&gt;0,HistoricalStockProgress[[#This Row],[Total Price of Shares]]-HistoricalStockProgress[[#This Row],[Cost of Shares]],0)</f>
        <v>251.81333687398092</v>
      </c>
      <c r="L100" s="34" t="b" cm="1">
        <f t="array" ref="L100">IFERROR(IF(HistoricalStockProgress[[#This Row],[Price of Shares]]="",_xlfn.STOCKHISTORY(HistoricalStockProgress[[#This Row],[Full Company Name]],HistoricalStockProgress[[#This Row],[Date]],,2,0,1)),0)</f>
        <v>0</v>
      </c>
      <c r="M100" s="34">
        <f>YEAR(HistoricalStockProgress[[#This Row],[Date]])</f>
        <v>2016</v>
      </c>
      <c r="N100" s="34">
        <f>MONTH(HistoricalStockProgress[[#This Row],[Date]])</f>
        <v>4</v>
      </c>
    </row>
    <row r="101" spans="2:14">
      <c r="B101" s="15">
        <v>42490</v>
      </c>
      <c r="C101" s="34" t="s">
        <v>100</v>
      </c>
      <c r="D101" s="34" t="e" vm="16">
        <f>_xlfn.XLOOKUP(HistoricalStockProgress[[#This Row],[Company Ticker]],CompanyDetailsList[Company Ticker],CompanyDetailsList[Official Name],,0)</f>
        <v>#VALUE!</v>
      </c>
      <c r="E1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1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101" s="17">
        <f>IFERROR(HistoricalStockProgress[[#This Row],[Cost of Shares]]/HistoricalStockProgress[[#This Row],[No. of Shares]],0)</f>
        <v>84.509035134678101</v>
      </c>
      <c r="H101" s="16" vm="655">
        <v>78.78</v>
      </c>
      <c r="I101" s="16">
        <f>IF(HistoricalStockProgress[[#This Row],[No. of Shares]]&lt;&gt;0,HistoricalStockProgress[[#This Row],[Price of Shares]]*HistoricalStockProgress[[#This Row],[No. of Shares]],0)</f>
        <v>2599.7400000000002</v>
      </c>
      <c r="J101" s="16">
        <f>IF(HistoricalStockProgress[[#This Row],[No. of Shares]]&lt;&gt;0,HistoricalStockProgress[[#This Row],[Price of Shares]]-HistoricalStockProgress[[#This Row],[Cost of Shares]]/HistoricalStockProgress[[#This Row],[No. of Shares]],0)</f>
        <v>-5.7290351346780994</v>
      </c>
      <c r="K101" s="17">
        <f>IF(HistoricalStockProgress[[#This Row],[Total Price of Shares]]&lt;&gt;0,HistoricalStockProgress[[#This Row],[Total Price of Shares]]-HistoricalStockProgress[[#This Row],[Cost of Shares]],0)</f>
        <v>-189.058159444377</v>
      </c>
      <c r="L101" s="34" t="b" cm="1">
        <f t="array" ref="L101">IFERROR(IF(HistoricalStockProgress[[#This Row],[Price of Shares]]="",_xlfn.STOCKHISTORY(HistoricalStockProgress[[#This Row],[Full Company Name]],HistoricalStockProgress[[#This Row],[Date]],,2,0,1)),0)</f>
        <v>0</v>
      </c>
      <c r="M101" s="34">
        <f>YEAR(HistoricalStockProgress[[#This Row],[Date]])</f>
        <v>2016</v>
      </c>
      <c r="N101" s="34">
        <f>MONTH(HistoricalStockProgress[[#This Row],[Date]])</f>
        <v>4</v>
      </c>
    </row>
    <row r="102" spans="2:14">
      <c r="B102" s="15">
        <v>42490</v>
      </c>
      <c r="C102" s="34" t="s">
        <v>15</v>
      </c>
      <c r="D102" s="34" t="e" vm="17">
        <f>_xlfn.XLOOKUP(HistoricalStockProgress[[#This Row],[Company Ticker]],CompanyDetailsList[Company Ticker],CompanyDetailsList[Official Name],,0)</f>
        <v>#VALUE!</v>
      </c>
      <c r="E1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1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102" s="17">
        <f>IFERROR(HistoricalStockProgress[[#This Row],[Cost of Shares]]/HistoricalStockProgress[[#This Row],[No. of Shares]],0)</f>
        <v>26.481400454992627</v>
      </c>
      <c r="H102" s="16" vm="656">
        <v>29.316099999999999</v>
      </c>
      <c r="I102" s="16">
        <f>IF(HistoricalStockProgress[[#This Row],[No. of Shares]]&lt;&gt;0,HistoricalStockProgress[[#This Row],[Price of Shares]]*HistoricalStockProgress[[#This Row],[No. of Shares]],0)</f>
        <v>2814.3455999999996</v>
      </c>
      <c r="J102" s="16">
        <f>IF(HistoricalStockProgress[[#This Row],[No. of Shares]]&lt;&gt;0,HistoricalStockProgress[[#This Row],[Price of Shares]]-HistoricalStockProgress[[#This Row],[Cost of Shares]]/HistoricalStockProgress[[#This Row],[No. of Shares]],0)</f>
        <v>2.8346995450073713</v>
      </c>
      <c r="K102" s="17">
        <f>IF(HistoricalStockProgress[[#This Row],[Total Price of Shares]]&lt;&gt;0,HistoricalStockProgress[[#This Row],[Total Price of Shares]]-HistoricalStockProgress[[#This Row],[Cost of Shares]],0)</f>
        <v>272.1311563207073</v>
      </c>
      <c r="L102" s="34" t="b" cm="1">
        <f t="array" ref="L102">IFERROR(IF(HistoricalStockProgress[[#This Row],[Price of Shares]]="",_xlfn.STOCKHISTORY(HistoricalStockProgress[[#This Row],[Full Company Name]],HistoricalStockProgress[[#This Row],[Date]],,2,0,1)),0)</f>
        <v>0</v>
      </c>
      <c r="M102" s="34">
        <f>YEAR(HistoricalStockProgress[[#This Row],[Date]])</f>
        <v>2016</v>
      </c>
      <c r="N102" s="34">
        <f>MONTH(HistoricalStockProgress[[#This Row],[Date]])</f>
        <v>4</v>
      </c>
    </row>
    <row r="103" spans="2:14">
      <c r="B103" s="15">
        <v>42490</v>
      </c>
      <c r="C103" s="34" t="s">
        <v>13</v>
      </c>
      <c r="D103" s="34" t="e" vm="18">
        <f>_xlfn.XLOOKUP(HistoricalStockProgress[[#This Row],[Company Ticker]],CompanyDetailsList[Company Ticker],CompanyDetailsList[Official Name],,0)</f>
        <v>#VALUE!</v>
      </c>
      <c r="E1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1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103" s="17">
        <f>IFERROR(HistoricalStockProgress[[#This Row],[Cost of Shares]]/HistoricalStockProgress[[#This Row],[No. of Shares]],0)</f>
        <v>30.916275141190898</v>
      </c>
      <c r="H103" s="16" vm="657">
        <v>31.007400000000001</v>
      </c>
      <c r="I103" s="16">
        <f>IF(HistoricalStockProgress[[#This Row],[No. of Shares]]&lt;&gt;0,HistoricalStockProgress[[#This Row],[Price of Shares]]*HistoricalStockProgress[[#This Row],[No. of Shares]],0)</f>
        <v>341.08140000000003</v>
      </c>
      <c r="J103" s="16">
        <f>IF(HistoricalStockProgress[[#This Row],[No. of Shares]]&lt;&gt;0,HistoricalStockProgress[[#This Row],[Price of Shares]]-HistoricalStockProgress[[#This Row],[Cost of Shares]]/HistoricalStockProgress[[#This Row],[No. of Shares]],0)</f>
        <v>9.1124858809102705E-2</v>
      </c>
      <c r="K103" s="17">
        <f>IF(HistoricalStockProgress[[#This Row],[Total Price of Shares]]&lt;&gt;0,HistoricalStockProgress[[#This Row],[Total Price of Shares]]-HistoricalStockProgress[[#This Row],[Cost of Shares]],0)</f>
        <v>1.0023734469001511</v>
      </c>
      <c r="L103" s="34" t="b" cm="1">
        <f t="array" ref="L103">IFERROR(IF(HistoricalStockProgress[[#This Row],[Price of Shares]]="",_xlfn.STOCKHISTORY(HistoricalStockProgress[[#This Row],[Full Company Name]],HistoricalStockProgress[[#This Row],[Date]],,2,0,1)),0)</f>
        <v>0</v>
      </c>
      <c r="M103" s="34">
        <f>YEAR(HistoricalStockProgress[[#This Row],[Date]])</f>
        <v>2016</v>
      </c>
      <c r="N103" s="34">
        <f>MONTH(HistoricalStockProgress[[#This Row],[Date]])</f>
        <v>4</v>
      </c>
    </row>
    <row r="104" spans="2:14">
      <c r="B104" s="15">
        <v>42490</v>
      </c>
      <c r="C104" s="34" t="s">
        <v>20</v>
      </c>
      <c r="D104" s="34" t="e" vm="19">
        <f>_xlfn.XLOOKUP(HistoricalStockProgress[[#This Row],[Company Ticker]],CompanyDetailsList[Company Ticker],CompanyDetailsList[Official Name],,0)</f>
        <v>#VALUE!</v>
      </c>
      <c r="E1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16</v>
      </c>
      <c r="F1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1089.6459884973885</v>
      </c>
      <c r="G104" s="17">
        <f>IFERROR(HistoricalStockProgress[[#This Row],[Cost of Shares]]/HistoricalStockProgress[[#This Row],[No. of Shares]],0)</f>
        <v>68.102874281086784</v>
      </c>
      <c r="H104" s="16" vm="658">
        <v>63.2</v>
      </c>
      <c r="I104" s="16">
        <f>IF(HistoricalStockProgress[[#This Row],[No. of Shares]]&lt;&gt;0,HistoricalStockProgress[[#This Row],[Price of Shares]]*HistoricalStockProgress[[#This Row],[No. of Shares]],0)</f>
        <v>1011.2</v>
      </c>
      <c r="J104" s="16">
        <f>IF(HistoricalStockProgress[[#This Row],[No. of Shares]]&lt;&gt;0,HistoricalStockProgress[[#This Row],[Price of Shares]]-HistoricalStockProgress[[#This Row],[Cost of Shares]]/HistoricalStockProgress[[#This Row],[No. of Shares]],0)</f>
        <v>-4.9028742810867811</v>
      </c>
      <c r="K104" s="17">
        <f>IF(HistoricalStockProgress[[#This Row],[Total Price of Shares]]&lt;&gt;0,HistoricalStockProgress[[#This Row],[Total Price of Shares]]-HistoricalStockProgress[[#This Row],[Cost of Shares]],0)</f>
        <v>-78.445988497388498</v>
      </c>
      <c r="L104" s="34" t="b" cm="1">
        <f t="array" ref="L104">IFERROR(IF(HistoricalStockProgress[[#This Row],[Price of Shares]]="",_xlfn.STOCKHISTORY(HistoricalStockProgress[[#This Row],[Full Company Name]],HistoricalStockProgress[[#This Row],[Date]],,2,0,1)),0)</f>
        <v>0</v>
      </c>
      <c r="M104" s="34">
        <f>YEAR(HistoricalStockProgress[[#This Row],[Date]])</f>
        <v>2016</v>
      </c>
      <c r="N104" s="34">
        <f>MONTH(HistoricalStockProgress[[#This Row],[Date]])</f>
        <v>4</v>
      </c>
    </row>
    <row r="105" spans="2:14">
      <c r="B105" s="15">
        <v>42521</v>
      </c>
      <c r="C105" s="34" t="s">
        <v>84</v>
      </c>
      <c r="D105" s="34" t="e" vm="7">
        <f>_xlfn.XLOOKUP(HistoricalStockProgress[[#This Row],[Company Ticker]],CompanyDetailsList[Company Ticker],CompanyDetailsList[Official Name],,0)</f>
        <v>#VALUE!</v>
      </c>
      <c r="E1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1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3396.3750096229314</v>
      </c>
      <c r="G105" s="17">
        <f>IFERROR(HistoricalStockProgress[[#This Row],[Cost of Shares]]/HistoricalStockProgress[[#This Row],[No. of Shares]],0)</f>
        <v>97.039285989226613</v>
      </c>
      <c r="H105" s="16" vm="659">
        <v>112.69</v>
      </c>
      <c r="I105" s="16">
        <f>IF(HistoricalStockProgress[[#This Row],[No. of Shares]]&lt;&gt;0,HistoricalStockProgress[[#This Row],[Price of Shares]]*HistoricalStockProgress[[#This Row],[No. of Shares]],0)</f>
        <v>3944.15</v>
      </c>
      <c r="J105" s="16">
        <f>IF(HistoricalStockProgress[[#This Row],[No. of Shares]]&lt;&gt;0,HistoricalStockProgress[[#This Row],[Price of Shares]]-HistoricalStockProgress[[#This Row],[Cost of Shares]]/HistoricalStockProgress[[#This Row],[No. of Shares]],0)</f>
        <v>15.650714010773385</v>
      </c>
      <c r="K105" s="17">
        <f>IF(HistoricalStockProgress[[#This Row],[Total Price of Shares]]&lt;&gt;0,HistoricalStockProgress[[#This Row],[Total Price of Shares]]-HistoricalStockProgress[[#This Row],[Cost of Shares]],0)</f>
        <v>547.77499037706866</v>
      </c>
      <c r="L105" s="34" t="b" cm="1">
        <f t="array" ref="L105">IFERROR(IF(HistoricalStockProgress[[#This Row],[Price of Shares]]="",_xlfn.STOCKHISTORY(HistoricalStockProgress[[#This Row],[Full Company Name]],HistoricalStockProgress[[#This Row],[Date]],,2,0,1)),0)</f>
        <v>0</v>
      </c>
      <c r="M105" s="34">
        <f>YEAR(HistoricalStockProgress[[#This Row],[Date]])</f>
        <v>2016</v>
      </c>
      <c r="N105" s="34">
        <f>MONTH(HistoricalStockProgress[[#This Row],[Date]])</f>
        <v>5</v>
      </c>
    </row>
    <row r="106" spans="2:14">
      <c r="B106" s="15">
        <v>42521</v>
      </c>
      <c r="C106" s="34" t="s">
        <v>86</v>
      </c>
      <c r="D106" s="34" t="e" vm="8">
        <f>_xlfn.XLOOKUP(HistoricalStockProgress[[#This Row],[Company Ticker]],CompanyDetailsList[Company Ticker],CompanyDetailsList[Official Name],,0)</f>
        <v>#VALUE!</v>
      </c>
      <c r="E1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v>
      </c>
      <c r="F1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894.13820748177</v>
      </c>
      <c r="G106" s="17">
        <f>IFERROR(HistoricalStockProgress[[#This Row],[Cost of Shares]]/HistoricalStockProgress[[#This Row],[No. of Shares]],0)</f>
        <v>59.609213832118002</v>
      </c>
      <c r="H106" s="16" vm="660">
        <v>62.93</v>
      </c>
      <c r="I106" s="16">
        <f>IF(HistoricalStockProgress[[#This Row],[No. of Shares]]&lt;&gt;0,HistoricalStockProgress[[#This Row],[Price of Shares]]*HistoricalStockProgress[[#This Row],[No. of Shares]],0)</f>
        <v>943.95</v>
      </c>
      <c r="J106" s="16">
        <f>IF(HistoricalStockProgress[[#This Row],[No. of Shares]]&lt;&gt;0,HistoricalStockProgress[[#This Row],[Price of Shares]]-HistoricalStockProgress[[#This Row],[Cost of Shares]]/HistoricalStockProgress[[#This Row],[No. of Shares]],0)</f>
        <v>3.3207861678819981</v>
      </c>
      <c r="K106" s="17">
        <f>IF(HistoricalStockProgress[[#This Row],[Total Price of Shares]]&lt;&gt;0,HistoricalStockProgress[[#This Row],[Total Price of Shares]]-HistoricalStockProgress[[#This Row],[Cost of Shares]],0)</f>
        <v>49.81179251823005</v>
      </c>
      <c r="L106" s="34" t="b" cm="1">
        <f t="array" ref="L106">IFERROR(IF(HistoricalStockProgress[[#This Row],[Price of Shares]]="",_xlfn.STOCKHISTORY(HistoricalStockProgress[[#This Row],[Full Company Name]],HistoricalStockProgress[[#This Row],[Date]],,2,0,1)),0)</f>
        <v>0</v>
      </c>
      <c r="M106" s="34">
        <f>YEAR(HistoricalStockProgress[[#This Row],[Date]])</f>
        <v>2016</v>
      </c>
      <c r="N106" s="34">
        <f>MONTH(HistoricalStockProgress[[#This Row],[Date]])</f>
        <v>5</v>
      </c>
    </row>
    <row r="107" spans="2:14">
      <c r="B107" s="15">
        <v>42521</v>
      </c>
      <c r="C107" s="34" t="s">
        <v>22</v>
      </c>
      <c r="D107" s="34" t="e" vm="10">
        <f>_xlfn.XLOOKUP(HistoricalStockProgress[[#This Row],[Company Ticker]],CompanyDetailsList[Company Ticker],CompanyDetailsList[Official Name],,0)</f>
        <v>#VALUE!</v>
      </c>
      <c r="E1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22</v>
      </c>
      <c r="F1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1793.9720224225266</v>
      </c>
      <c r="G107" s="17">
        <f>IFERROR(HistoricalStockProgress[[#This Row],[Cost of Shares]]/HistoricalStockProgress[[#This Row],[No. of Shares]],0)</f>
        <v>81.544182837387567</v>
      </c>
      <c r="H107" s="16" vm="661">
        <v>72.510000000000005</v>
      </c>
      <c r="I107" s="16">
        <f>IF(HistoricalStockProgress[[#This Row],[No. of Shares]]&lt;&gt;0,HistoricalStockProgress[[#This Row],[Price of Shares]]*HistoricalStockProgress[[#This Row],[No. of Shares]],0)</f>
        <v>1595.22</v>
      </c>
      <c r="J107" s="16">
        <f>IF(HistoricalStockProgress[[#This Row],[No. of Shares]]&lt;&gt;0,HistoricalStockProgress[[#This Row],[Price of Shares]]-HistoricalStockProgress[[#This Row],[Cost of Shares]]/HistoricalStockProgress[[#This Row],[No. of Shares]],0)</f>
        <v>-9.0341828373875614</v>
      </c>
      <c r="K107" s="17">
        <f>IF(HistoricalStockProgress[[#This Row],[Total Price of Shares]]&lt;&gt;0,HistoricalStockProgress[[#This Row],[Total Price of Shares]]-HistoricalStockProgress[[#This Row],[Cost of Shares]],0)</f>
        <v>-198.75202242252658</v>
      </c>
      <c r="L107" s="34" t="b" cm="1">
        <f t="array" ref="L107">IFERROR(IF(HistoricalStockProgress[[#This Row],[Price of Shares]]="",_xlfn.STOCKHISTORY(HistoricalStockProgress[[#This Row],[Full Company Name]],HistoricalStockProgress[[#This Row],[Date]],,2,0,1)),0)</f>
        <v>0</v>
      </c>
      <c r="M107" s="34">
        <f>YEAR(HistoricalStockProgress[[#This Row],[Date]])</f>
        <v>2016</v>
      </c>
      <c r="N107" s="34">
        <f>MONTH(HistoricalStockProgress[[#This Row],[Date]])</f>
        <v>5</v>
      </c>
    </row>
    <row r="108" spans="2:14">
      <c r="B108" s="15">
        <v>42521</v>
      </c>
      <c r="C108" s="34" t="s">
        <v>91</v>
      </c>
      <c r="D108" s="34" t="e" vm="11">
        <f>_xlfn.XLOOKUP(HistoricalStockProgress[[#This Row],[Company Ticker]],CompanyDetailsList[Company Ticker],CompanyDetailsList[Official Name],,0)</f>
        <v>#VALUE!</v>
      </c>
      <c r="E1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3147.1300357784085</v>
      </c>
      <c r="G108" s="17">
        <f>IFERROR(HistoricalStockProgress[[#This Row],[Cost of Shares]]/HistoricalStockProgress[[#This Row],[No. of Shares]],0)</f>
        <v>56.198750638900151</v>
      </c>
      <c r="H108" s="16" vm="662">
        <v>53</v>
      </c>
      <c r="I108" s="16">
        <f>IF(HistoricalStockProgress[[#This Row],[No. of Shares]]&lt;&gt;0,HistoricalStockProgress[[#This Row],[Price of Shares]]*HistoricalStockProgress[[#This Row],[No. of Shares]],0)</f>
        <v>2968</v>
      </c>
      <c r="J108" s="16">
        <f>IF(HistoricalStockProgress[[#This Row],[No. of Shares]]&lt;&gt;0,HistoricalStockProgress[[#This Row],[Price of Shares]]-HistoricalStockProgress[[#This Row],[Cost of Shares]]/HistoricalStockProgress[[#This Row],[No. of Shares]],0)</f>
        <v>-3.198750638900151</v>
      </c>
      <c r="K108" s="17">
        <f>IF(HistoricalStockProgress[[#This Row],[Total Price of Shares]]&lt;&gt;0,HistoricalStockProgress[[#This Row],[Total Price of Shares]]-HistoricalStockProgress[[#This Row],[Cost of Shares]],0)</f>
        <v>-179.13003577840846</v>
      </c>
      <c r="L108" s="34" t="b" cm="1">
        <f t="array" ref="L108">IFERROR(IF(HistoricalStockProgress[[#This Row],[Price of Shares]]="",_xlfn.STOCKHISTORY(HistoricalStockProgress[[#This Row],[Full Company Name]],HistoricalStockProgress[[#This Row],[Date]],,2,0,1)),0)</f>
        <v>0</v>
      </c>
      <c r="M108" s="34">
        <f>YEAR(HistoricalStockProgress[[#This Row],[Date]])</f>
        <v>2016</v>
      </c>
      <c r="N108" s="34">
        <f>MONTH(HistoricalStockProgress[[#This Row],[Date]])</f>
        <v>5</v>
      </c>
    </row>
    <row r="109" spans="2:14">
      <c r="B109" s="15">
        <v>42521</v>
      </c>
      <c r="C109" s="34" t="s">
        <v>16</v>
      </c>
      <c r="D109" s="34" t="e" vm="12">
        <f>_xlfn.XLOOKUP(HistoricalStockProgress[[#This Row],[Company Ticker]],CompanyDetailsList[Company Ticker],CompanyDetailsList[Official Name],,0)</f>
        <v>#VALUE!</v>
      </c>
      <c r="E1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60</v>
      </c>
      <c r="F1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5084.1379319177213</v>
      </c>
      <c r="G109" s="17">
        <f>IFERROR(HistoricalStockProgress[[#This Row],[Cost of Shares]]/HistoricalStockProgress[[#This Row],[No. of Shares]],0)</f>
        <v>84.735632198628693</v>
      </c>
      <c r="H109" s="16" vm="663">
        <v>89.02</v>
      </c>
      <c r="I109" s="16">
        <f>IF(HistoricalStockProgress[[#This Row],[No. of Shares]]&lt;&gt;0,HistoricalStockProgress[[#This Row],[Price of Shares]]*HistoricalStockProgress[[#This Row],[No. of Shares]],0)</f>
        <v>5341.2</v>
      </c>
      <c r="J109" s="16">
        <f>IF(HistoricalStockProgress[[#This Row],[No. of Shares]]&lt;&gt;0,HistoricalStockProgress[[#This Row],[Price of Shares]]-HistoricalStockProgress[[#This Row],[Cost of Shares]]/HistoricalStockProgress[[#This Row],[No. of Shares]],0)</f>
        <v>4.2843678013713031</v>
      </c>
      <c r="K109" s="17">
        <f>IF(HistoricalStockProgress[[#This Row],[Total Price of Shares]]&lt;&gt;0,HistoricalStockProgress[[#This Row],[Total Price of Shares]]-HistoricalStockProgress[[#This Row],[Cost of Shares]],0)</f>
        <v>257.06206808227853</v>
      </c>
      <c r="L109" s="34" t="b" cm="1">
        <f t="array" ref="L109">IFERROR(IF(HistoricalStockProgress[[#This Row],[Price of Shares]]="",_xlfn.STOCKHISTORY(HistoricalStockProgress[[#This Row],[Full Company Name]],HistoricalStockProgress[[#This Row],[Date]],,2,0,1)),0)</f>
        <v>0</v>
      </c>
      <c r="M109" s="34">
        <f>YEAR(HistoricalStockProgress[[#This Row],[Date]])</f>
        <v>2016</v>
      </c>
      <c r="N109" s="34">
        <f>MONTH(HistoricalStockProgress[[#This Row],[Date]])</f>
        <v>5</v>
      </c>
    </row>
    <row r="110" spans="2:14">
      <c r="B110" s="15">
        <v>42521</v>
      </c>
      <c r="C110" s="34" t="s">
        <v>95</v>
      </c>
      <c r="D110" s="34" t="e" vm="13">
        <f>_xlfn.XLOOKUP(HistoricalStockProgress[[#This Row],[Company Ticker]],CompanyDetailsList[Company Ticker],CompanyDetailsList[Official Name],,0)</f>
        <v>#VALUE!</v>
      </c>
      <c r="E1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1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110" s="17">
        <f>IFERROR(HistoricalStockProgress[[#This Row],[Cost of Shares]]/HistoricalStockProgress[[#This Row],[No. of Shares]],0)</f>
        <v>112.90555526050157</v>
      </c>
      <c r="H110" s="16" vm="664">
        <v>132.12</v>
      </c>
      <c r="I110" s="16">
        <f>IF(HistoricalStockProgress[[#This Row],[No. of Shares]]&lt;&gt;0,HistoricalStockProgress[[#This Row],[Price of Shares]]*HistoricalStockProgress[[#This Row],[No. of Shares]],0)</f>
        <v>1585.44</v>
      </c>
      <c r="J110" s="16">
        <f>IF(HistoricalStockProgress[[#This Row],[No. of Shares]]&lt;&gt;0,HistoricalStockProgress[[#This Row],[Price of Shares]]-HistoricalStockProgress[[#This Row],[Cost of Shares]]/HistoricalStockProgress[[#This Row],[No. of Shares]],0)</f>
        <v>19.214444739498433</v>
      </c>
      <c r="K110" s="17">
        <f>IF(HistoricalStockProgress[[#This Row],[Total Price of Shares]]&lt;&gt;0,HistoricalStockProgress[[#This Row],[Total Price of Shares]]-HistoricalStockProgress[[#This Row],[Cost of Shares]],0)</f>
        <v>230.57333687398113</v>
      </c>
      <c r="L110" s="34" t="b" cm="1">
        <f t="array" ref="L110">IFERROR(IF(HistoricalStockProgress[[#This Row],[Price of Shares]]="",_xlfn.STOCKHISTORY(HistoricalStockProgress[[#This Row],[Full Company Name]],HistoricalStockProgress[[#This Row],[Date]],,2,0,1)),0)</f>
        <v>0</v>
      </c>
      <c r="M110" s="34">
        <f>YEAR(HistoricalStockProgress[[#This Row],[Date]])</f>
        <v>2016</v>
      </c>
      <c r="N110" s="34">
        <f>MONTH(HistoricalStockProgress[[#This Row],[Date]])</f>
        <v>5</v>
      </c>
    </row>
    <row r="111" spans="2:14">
      <c r="B111" s="15">
        <v>42521</v>
      </c>
      <c r="C111" s="34" t="s">
        <v>100</v>
      </c>
      <c r="D111" s="34" t="e" vm="16">
        <f>_xlfn.XLOOKUP(HistoricalStockProgress[[#This Row],[Company Ticker]],CompanyDetailsList[Company Ticker],CompanyDetailsList[Official Name],,0)</f>
        <v>#VALUE!</v>
      </c>
      <c r="E1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1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111" s="17">
        <f>IFERROR(HistoricalStockProgress[[#This Row],[Cost of Shares]]/HistoricalStockProgress[[#This Row],[No. of Shares]],0)</f>
        <v>84.509035134678101</v>
      </c>
      <c r="H111" s="16" vm="665">
        <v>78.23</v>
      </c>
      <c r="I111" s="16">
        <f>IF(HistoricalStockProgress[[#This Row],[No. of Shares]]&lt;&gt;0,HistoricalStockProgress[[#This Row],[Price of Shares]]*HistoricalStockProgress[[#This Row],[No. of Shares]],0)</f>
        <v>2581.59</v>
      </c>
      <c r="J111" s="16">
        <f>IF(HistoricalStockProgress[[#This Row],[No. of Shares]]&lt;&gt;0,HistoricalStockProgress[[#This Row],[Price of Shares]]-HistoricalStockProgress[[#This Row],[Cost of Shares]]/HistoricalStockProgress[[#This Row],[No. of Shares]],0)</f>
        <v>-6.2790351346780966</v>
      </c>
      <c r="K111" s="17">
        <f>IF(HistoricalStockProgress[[#This Row],[Total Price of Shares]]&lt;&gt;0,HistoricalStockProgress[[#This Row],[Total Price of Shares]]-HistoricalStockProgress[[#This Row],[Cost of Shares]],0)</f>
        <v>-207.20815944437709</v>
      </c>
      <c r="L111" s="34" t="b" cm="1">
        <f t="array" ref="L111">IFERROR(IF(HistoricalStockProgress[[#This Row],[Price of Shares]]="",_xlfn.STOCKHISTORY(HistoricalStockProgress[[#This Row],[Full Company Name]],HistoricalStockProgress[[#This Row],[Date]],,2,0,1)),0)</f>
        <v>0</v>
      </c>
      <c r="M111" s="34">
        <f>YEAR(HistoricalStockProgress[[#This Row],[Date]])</f>
        <v>2016</v>
      </c>
      <c r="N111" s="34">
        <f>MONTH(HistoricalStockProgress[[#This Row],[Date]])</f>
        <v>5</v>
      </c>
    </row>
    <row r="112" spans="2:14">
      <c r="B112" s="15">
        <v>42521</v>
      </c>
      <c r="C112" s="34" t="s">
        <v>15</v>
      </c>
      <c r="D112" s="34" t="e" vm="17">
        <f>_xlfn.XLOOKUP(HistoricalStockProgress[[#This Row],[Company Ticker]],CompanyDetailsList[Company Ticker],CompanyDetailsList[Official Name],,0)</f>
        <v>#VALUE!</v>
      </c>
      <c r="E1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1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112" s="17">
        <f>IFERROR(HistoricalStockProgress[[#This Row],[Cost of Shares]]/HistoricalStockProgress[[#This Row],[No. of Shares]],0)</f>
        <v>26.481400454992627</v>
      </c>
      <c r="H112" s="16" vm="666">
        <v>29.565300000000001</v>
      </c>
      <c r="I112" s="16">
        <f>IF(HistoricalStockProgress[[#This Row],[No. of Shares]]&lt;&gt;0,HistoricalStockProgress[[#This Row],[Price of Shares]]*HistoricalStockProgress[[#This Row],[No. of Shares]],0)</f>
        <v>2838.2687999999998</v>
      </c>
      <c r="J112" s="16">
        <f>IF(HistoricalStockProgress[[#This Row],[No. of Shares]]&lt;&gt;0,HistoricalStockProgress[[#This Row],[Price of Shares]]-HistoricalStockProgress[[#This Row],[Cost of Shares]]/HistoricalStockProgress[[#This Row],[No. of Shares]],0)</f>
        <v>3.0838995450073732</v>
      </c>
      <c r="K112" s="17">
        <f>IF(HistoricalStockProgress[[#This Row],[Total Price of Shares]]&lt;&gt;0,HistoricalStockProgress[[#This Row],[Total Price of Shares]]-HistoricalStockProgress[[#This Row],[Cost of Shares]],0)</f>
        <v>296.05435632070748</v>
      </c>
      <c r="L112" s="34" t="b" cm="1">
        <f t="array" ref="L112">IFERROR(IF(HistoricalStockProgress[[#This Row],[Price of Shares]]="",_xlfn.STOCKHISTORY(HistoricalStockProgress[[#This Row],[Full Company Name]],HistoricalStockProgress[[#This Row],[Date]],,2,0,1)),0)</f>
        <v>0</v>
      </c>
      <c r="M112" s="34">
        <f>YEAR(HistoricalStockProgress[[#This Row],[Date]])</f>
        <v>2016</v>
      </c>
      <c r="N112" s="34">
        <f>MONTH(HistoricalStockProgress[[#This Row],[Date]])</f>
        <v>5</v>
      </c>
    </row>
    <row r="113" spans="2:14">
      <c r="B113" s="15">
        <v>42521</v>
      </c>
      <c r="C113" s="34" t="s">
        <v>13</v>
      </c>
      <c r="D113" s="34" t="e" vm="18">
        <f>_xlfn.XLOOKUP(HistoricalStockProgress[[#This Row],[Company Ticker]],CompanyDetailsList[Company Ticker],CompanyDetailsList[Official Name],,0)</f>
        <v>#VALUE!</v>
      </c>
      <c r="E1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1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113" s="17">
        <f>IFERROR(HistoricalStockProgress[[#This Row],[Cost of Shares]]/HistoricalStockProgress[[#This Row],[No. of Shares]],0)</f>
        <v>30.916275141190898</v>
      </c>
      <c r="H113" s="16" vm="667">
        <v>32.893900000000002</v>
      </c>
      <c r="I113" s="16">
        <f>IF(HistoricalStockProgress[[#This Row],[No. of Shares]]&lt;&gt;0,HistoricalStockProgress[[#This Row],[Price of Shares]]*HistoricalStockProgress[[#This Row],[No. of Shares]],0)</f>
        <v>361.8329</v>
      </c>
      <c r="J113" s="16">
        <f>IF(HistoricalStockProgress[[#This Row],[No. of Shares]]&lt;&gt;0,HistoricalStockProgress[[#This Row],[Price of Shares]]-HistoricalStockProgress[[#This Row],[Cost of Shares]]/HistoricalStockProgress[[#This Row],[No. of Shares]],0)</f>
        <v>1.9776248588091043</v>
      </c>
      <c r="K113" s="17">
        <f>IF(HistoricalStockProgress[[#This Row],[Total Price of Shares]]&lt;&gt;0,HistoricalStockProgress[[#This Row],[Total Price of Shares]]-HistoricalStockProgress[[#This Row],[Cost of Shares]],0)</f>
        <v>21.753873446900116</v>
      </c>
      <c r="L113" s="34" t="b" cm="1">
        <f t="array" ref="L113">IFERROR(IF(HistoricalStockProgress[[#This Row],[Price of Shares]]="",_xlfn.STOCKHISTORY(HistoricalStockProgress[[#This Row],[Full Company Name]],HistoricalStockProgress[[#This Row],[Date]],,2,0,1)),0)</f>
        <v>0</v>
      </c>
      <c r="M113" s="34">
        <f>YEAR(HistoricalStockProgress[[#This Row],[Date]])</f>
        <v>2016</v>
      </c>
      <c r="N113" s="34">
        <f>MONTH(HistoricalStockProgress[[#This Row],[Date]])</f>
        <v>5</v>
      </c>
    </row>
    <row r="114" spans="2:14">
      <c r="B114" s="15">
        <v>42521</v>
      </c>
      <c r="C114" s="34" t="s">
        <v>20</v>
      </c>
      <c r="D114" s="34" t="e" vm="19">
        <f>_xlfn.XLOOKUP(HistoricalStockProgress[[#This Row],[Company Ticker]],CompanyDetailsList[Company Ticker],CompanyDetailsList[Official Name],,0)</f>
        <v>#VALUE!</v>
      </c>
      <c r="E1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16</v>
      </c>
      <c r="F1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1089.6459884973885</v>
      </c>
      <c r="G114" s="17">
        <f>IFERROR(HistoricalStockProgress[[#This Row],[Cost of Shares]]/HistoricalStockProgress[[#This Row],[No. of Shares]],0)</f>
        <v>68.102874281086784</v>
      </c>
      <c r="H114" s="16" vm="668">
        <v>65.27</v>
      </c>
      <c r="I114" s="16">
        <f>IF(HistoricalStockProgress[[#This Row],[No. of Shares]]&lt;&gt;0,HistoricalStockProgress[[#This Row],[Price of Shares]]*HistoricalStockProgress[[#This Row],[No. of Shares]],0)</f>
        <v>1044.32</v>
      </c>
      <c r="J114" s="16">
        <f>IF(HistoricalStockProgress[[#This Row],[No. of Shares]]&lt;&gt;0,HistoricalStockProgress[[#This Row],[Price of Shares]]-HistoricalStockProgress[[#This Row],[Cost of Shares]]/HistoricalStockProgress[[#This Row],[No. of Shares]],0)</f>
        <v>-2.832874281086788</v>
      </c>
      <c r="K114" s="17">
        <f>IF(HistoricalStockProgress[[#This Row],[Total Price of Shares]]&lt;&gt;0,HistoricalStockProgress[[#This Row],[Total Price of Shares]]-HistoricalStockProgress[[#This Row],[Cost of Shares]],0)</f>
        <v>-45.325988497388607</v>
      </c>
      <c r="L114" s="34" t="b" cm="1">
        <f t="array" ref="L114">IFERROR(IF(HistoricalStockProgress[[#This Row],[Price of Shares]]="",_xlfn.STOCKHISTORY(HistoricalStockProgress[[#This Row],[Full Company Name]],HistoricalStockProgress[[#This Row],[Date]],,2,0,1)),0)</f>
        <v>0</v>
      </c>
      <c r="M114" s="34">
        <f>YEAR(HistoricalStockProgress[[#This Row],[Date]])</f>
        <v>2016</v>
      </c>
      <c r="N114" s="34">
        <f>MONTH(HistoricalStockProgress[[#This Row],[Date]])</f>
        <v>5</v>
      </c>
    </row>
    <row r="115" spans="2:14">
      <c r="B115" s="15">
        <v>42551</v>
      </c>
      <c r="C115" s="34" t="s">
        <v>84</v>
      </c>
      <c r="D115" s="34" t="e" vm="7">
        <f>_xlfn.XLOOKUP(HistoricalStockProgress[[#This Row],[Company Ticker]],CompanyDetailsList[Company Ticker],CompanyDetailsList[Official Name],,0)</f>
        <v>#VALUE!</v>
      </c>
      <c r="E1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1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3396.3750096229314</v>
      </c>
      <c r="G115" s="17">
        <f>IFERROR(HistoricalStockProgress[[#This Row],[Cost of Shares]]/HistoricalStockProgress[[#This Row],[No. of Shares]],0)</f>
        <v>97.039285989226613</v>
      </c>
      <c r="H115" s="16" vm="669">
        <v>121.3</v>
      </c>
      <c r="I115" s="16">
        <f>IF(HistoricalStockProgress[[#This Row],[No. of Shares]]&lt;&gt;0,HistoricalStockProgress[[#This Row],[Price of Shares]]*HistoricalStockProgress[[#This Row],[No. of Shares]],0)</f>
        <v>4245.5</v>
      </c>
      <c r="J115" s="16">
        <f>IF(HistoricalStockProgress[[#This Row],[No. of Shares]]&lt;&gt;0,HistoricalStockProgress[[#This Row],[Price of Shares]]-HistoricalStockProgress[[#This Row],[Cost of Shares]]/HistoricalStockProgress[[#This Row],[No. of Shares]],0)</f>
        <v>24.260714010773384</v>
      </c>
      <c r="K115" s="17">
        <f>IF(HistoricalStockProgress[[#This Row],[Total Price of Shares]]&lt;&gt;0,HistoricalStockProgress[[#This Row],[Total Price of Shares]]-HistoricalStockProgress[[#This Row],[Cost of Shares]],0)</f>
        <v>849.12499037706857</v>
      </c>
      <c r="L115" s="34" t="b" cm="1">
        <f t="array" ref="L115">IFERROR(IF(HistoricalStockProgress[[#This Row],[Price of Shares]]="",_xlfn.STOCKHISTORY(HistoricalStockProgress[[#This Row],[Full Company Name]],HistoricalStockProgress[[#This Row],[Date]],,2,0,1)),0)</f>
        <v>0</v>
      </c>
      <c r="M115" s="34">
        <f>YEAR(HistoricalStockProgress[[#This Row],[Date]])</f>
        <v>2016</v>
      </c>
      <c r="N115" s="34">
        <f>MONTH(HistoricalStockProgress[[#This Row],[Date]])</f>
        <v>6</v>
      </c>
    </row>
    <row r="116" spans="2:14">
      <c r="B116" s="15">
        <v>42551</v>
      </c>
      <c r="C116" s="34" t="s">
        <v>86</v>
      </c>
      <c r="D116" s="34" t="e" vm="8">
        <f>_xlfn.XLOOKUP(HistoricalStockProgress[[#This Row],[Company Ticker]],CompanyDetailsList[Company Ticker],CompanyDetailsList[Official Name],,0)</f>
        <v>#VALUE!</v>
      </c>
      <c r="E1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v>
      </c>
      <c r="F1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894.13820748177</v>
      </c>
      <c r="G116" s="17">
        <f>IFERROR(HistoricalStockProgress[[#This Row],[Cost of Shares]]/HistoricalStockProgress[[#This Row],[No. of Shares]],0)</f>
        <v>59.609213832118002</v>
      </c>
      <c r="H116" s="16" vm="670">
        <v>61.91</v>
      </c>
      <c r="I116" s="16">
        <f>IF(HistoricalStockProgress[[#This Row],[No. of Shares]]&lt;&gt;0,HistoricalStockProgress[[#This Row],[Price of Shares]]*HistoricalStockProgress[[#This Row],[No. of Shares]],0)</f>
        <v>928.65</v>
      </c>
      <c r="J116" s="16">
        <f>IF(HistoricalStockProgress[[#This Row],[No. of Shares]]&lt;&gt;0,HistoricalStockProgress[[#This Row],[Price of Shares]]-HistoricalStockProgress[[#This Row],[Cost of Shares]]/HistoricalStockProgress[[#This Row],[No. of Shares]],0)</f>
        <v>2.300786167881995</v>
      </c>
      <c r="K116" s="17">
        <f>IF(HistoricalStockProgress[[#This Row],[Total Price of Shares]]&lt;&gt;0,HistoricalStockProgress[[#This Row],[Total Price of Shares]]-HistoricalStockProgress[[#This Row],[Cost of Shares]],0)</f>
        <v>34.511792518229981</v>
      </c>
      <c r="L116" s="34" t="b" cm="1">
        <f t="array" ref="L116">IFERROR(IF(HistoricalStockProgress[[#This Row],[Price of Shares]]="",_xlfn.STOCKHISTORY(HistoricalStockProgress[[#This Row],[Full Company Name]],HistoricalStockProgress[[#This Row],[Date]],,2,0,1)),0)</f>
        <v>0</v>
      </c>
      <c r="M116" s="34">
        <f>YEAR(HistoricalStockProgress[[#This Row],[Date]])</f>
        <v>2016</v>
      </c>
      <c r="N116" s="34">
        <f>MONTH(HistoricalStockProgress[[#This Row],[Date]])</f>
        <v>6</v>
      </c>
    </row>
    <row r="117" spans="2:14">
      <c r="B117" s="15">
        <v>42551</v>
      </c>
      <c r="C117" s="34" t="s">
        <v>22</v>
      </c>
      <c r="D117" s="34" t="e" vm="10">
        <f>_xlfn.XLOOKUP(HistoricalStockProgress[[#This Row],[Company Ticker]],CompanyDetailsList[Company Ticker],CompanyDetailsList[Official Name],,0)</f>
        <v>#VALUE!</v>
      </c>
      <c r="E1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1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2300.0894858057368</v>
      </c>
      <c r="G117" s="17">
        <f>IFERROR(HistoricalStockProgress[[#This Row],[Cost of Shares]]/HistoricalStockProgress[[#This Row],[No. of Shares]],0)</f>
        <v>79.313430545025412</v>
      </c>
      <c r="H117" s="16" vm="671">
        <v>75.81</v>
      </c>
      <c r="I117" s="16">
        <f>IF(HistoricalStockProgress[[#This Row],[No. of Shares]]&lt;&gt;0,HistoricalStockProgress[[#This Row],[Price of Shares]]*HistoricalStockProgress[[#This Row],[No. of Shares]],0)</f>
        <v>2198.4900000000002</v>
      </c>
      <c r="J117" s="16">
        <f>IF(HistoricalStockProgress[[#This Row],[No. of Shares]]&lt;&gt;0,HistoricalStockProgress[[#This Row],[Price of Shares]]-HistoricalStockProgress[[#This Row],[Cost of Shares]]/HistoricalStockProgress[[#This Row],[No. of Shares]],0)</f>
        <v>-3.5034305450254095</v>
      </c>
      <c r="K117" s="17">
        <f>IF(HistoricalStockProgress[[#This Row],[Total Price of Shares]]&lt;&gt;0,HistoricalStockProgress[[#This Row],[Total Price of Shares]]-HistoricalStockProgress[[#This Row],[Cost of Shares]],0)</f>
        <v>-101.59948580573655</v>
      </c>
      <c r="L117" s="34" t="b" cm="1">
        <f t="array" ref="L117">IFERROR(IF(HistoricalStockProgress[[#This Row],[Price of Shares]]="",_xlfn.STOCKHISTORY(HistoricalStockProgress[[#This Row],[Full Company Name]],HistoricalStockProgress[[#This Row],[Date]],,2,0,1)),0)</f>
        <v>0</v>
      </c>
      <c r="M117" s="34">
        <f>YEAR(HistoricalStockProgress[[#This Row],[Date]])</f>
        <v>2016</v>
      </c>
      <c r="N117" s="34">
        <f>MONTH(HistoricalStockProgress[[#This Row],[Date]])</f>
        <v>6</v>
      </c>
    </row>
    <row r="118" spans="2:14">
      <c r="B118" s="15">
        <v>42551</v>
      </c>
      <c r="C118" s="34" t="s">
        <v>91</v>
      </c>
      <c r="D118" s="34" t="e" vm="11">
        <f>_xlfn.XLOOKUP(HistoricalStockProgress[[#This Row],[Company Ticker]],CompanyDetailsList[Company Ticker],CompanyDetailsList[Official Name],,0)</f>
        <v>#VALUE!</v>
      </c>
      <c r="E1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3147.1300357784085</v>
      </c>
      <c r="G118" s="17">
        <f>IFERROR(HistoricalStockProgress[[#This Row],[Cost of Shares]]/HistoricalStockProgress[[#This Row],[No. of Shares]],0)</f>
        <v>56.198750638900151</v>
      </c>
      <c r="H118" s="16" vm="672">
        <v>51.17</v>
      </c>
      <c r="I118" s="16">
        <f>IF(HistoricalStockProgress[[#This Row],[No. of Shares]]&lt;&gt;0,HistoricalStockProgress[[#This Row],[Price of Shares]]*HistoricalStockProgress[[#This Row],[No. of Shares]],0)</f>
        <v>2865.52</v>
      </c>
      <c r="J118" s="16">
        <f>IF(HistoricalStockProgress[[#This Row],[No. of Shares]]&lt;&gt;0,HistoricalStockProgress[[#This Row],[Price of Shares]]-HistoricalStockProgress[[#This Row],[Cost of Shares]]/HistoricalStockProgress[[#This Row],[No. of Shares]],0)</f>
        <v>-5.0287506389001493</v>
      </c>
      <c r="K118" s="17">
        <f>IF(HistoricalStockProgress[[#This Row],[Total Price of Shares]]&lt;&gt;0,HistoricalStockProgress[[#This Row],[Total Price of Shares]]-HistoricalStockProgress[[#This Row],[Cost of Shares]],0)</f>
        <v>-281.61003577840847</v>
      </c>
      <c r="L118" s="34" t="b" cm="1">
        <f t="array" ref="L118">IFERROR(IF(HistoricalStockProgress[[#This Row],[Price of Shares]]="",_xlfn.STOCKHISTORY(HistoricalStockProgress[[#This Row],[Full Company Name]],HistoricalStockProgress[[#This Row],[Date]],,2,0,1)),0)</f>
        <v>0</v>
      </c>
      <c r="M118" s="34">
        <f>YEAR(HistoricalStockProgress[[#This Row],[Date]])</f>
        <v>2016</v>
      </c>
      <c r="N118" s="34">
        <f>MONTH(HistoricalStockProgress[[#This Row],[Date]])</f>
        <v>6</v>
      </c>
    </row>
    <row r="119" spans="2:14">
      <c r="B119" s="15">
        <v>42551</v>
      </c>
      <c r="C119" s="34" t="s">
        <v>16</v>
      </c>
      <c r="D119" s="34" t="e" vm="12">
        <f>_xlfn.XLOOKUP(HistoricalStockProgress[[#This Row],[Company Ticker]],CompanyDetailsList[Company Ticker],CompanyDetailsList[Official Name],,0)</f>
        <v>#VALUE!</v>
      </c>
      <c r="E1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60</v>
      </c>
      <c r="F1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5084.1379319177213</v>
      </c>
      <c r="G119" s="17">
        <f>IFERROR(HistoricalStockProgress[[#This Row],[Cost of Shares]]/HistoricalStockProgress[[#This Row],[No. of Shares]],0)</f>
        <v>84.735632198628693</v>
      </c>
      <c r="H119" s="16" vm="673">
        <v>93.74</v>
      </c>
      <c r="I119" s="16">
        <f>IF(HistoricalStockProgress[[#This Row],[No. of Shares]]&lt;&gt;0,HistoricalStockProgress[[#This Row],[Price of Shares]]*HistoricalStockProgress[[#This Row],[No. of Shares]],0)</f>
        <v>5624.4</v>
      </c>
      <c r="J119" s="16">
        <f>IF(HistoricalStockProgress[[#This Row],[No. of Shares]]&lt;&gt;0,HistoricalStockProgress[[#This Row],[Price of Shares]]-HistoricalStockProgress[[#This Row],[Cost of Shares]]/HistoricalStockProgress[[#This Row],[No. of Shares]],0)</f>
        <v>9.004367801371302</v>
      </c>
      <c r="K119" s="17">
        <f>IF(HistoricalStockProgress[[#This Row],[Total Price of Shares]]&lt;&gt;0,HistoricalStockProgress[[#This Row],[Total Price of Shares]]-HistoricalStockProgress[[#This Row],[Cost of Shares]],0)</f>
        <v>540.26206808227835</v>
      </c>
      <c r="L119" s="34" t="b" cm="1">
        <f t="array" ref="L119">IFERROR(IF(HistoricalStockProgress[[#This Row],[Price of Shares]]="",_xlfn.STOCKHISTORY(HistoricalStockProgress[[#This Row],[Full Company Name]],HistoricalStockProgress[[#This Row],[Date]],,2,0,1)),0)</f>
        <v>0</v>
      </c>
      <c r="M119" s="34">
        <f>YEAR(HistoricalStockProgress[[#This Row],[Date]])</f>
        <v>2016</v>
      </c>
      <c r="N119" s="34">
        <f>MONTH(HistoricalStockProgress[[#This Row],[Date]])</f>
        <v>6</v>
      </c>
    </row>
    <row r="120" spans="2:14">
      <c r="B120" s="15">
        <v>42551</v>
      </c>
      <c r="C120" s="34" t="s">
        <v>95</v>
      </c>
      <c r="D120" s="34" t="e" vm="13">
        <f>_xlfn.XLOOKUP(HistoricalStockProgress[[#This Row],[Company Ticker]],CompanyDetailsList[Company Ticker],CompanyDetailsList[Official Name],,0)</f>
        <v>#VALUE!</v>
      </c>
      <c r="E1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1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120" s="17">
        <f>IFERROR(HistoricalStockProgress[[#This Row],[Cost of Shares]]/HistoricalStockProgress[[#This Row],[No. of Shares]],0)</f>
        <v>112.90555526050157</v>
      </c>
      <c r="H120" s="16" vm="674">
        <v>127.69</v>
      </c>
      <c r="I120" s="16">
        <f>IF(HistoricalStockProgress[[#This Row],[No. of Shares]]&lt;&gt;0,HistoricalStockProgress[[#This Row],[Price of Shares]]*HistoricalStockProgress[[#This Row],[No. of Shares]],0)</f>
        <v>1532.28</v>
      </c>
      <c r="J120" s="16">
        <f>IF(HistoricalStockProgress[[#This Row],[No. of Shares]]&lt;&gt;0,HistoricalStockProgress[[#This Row],[Price of Shares]]-HistoricalStockProgress[[#This Row],[Cost of Shares]]/HistoricalStockProgress[[#This Row],[No. of Shares]],0)</f>
        <v>14.784444739498426</v>
      </c>
      <c r="K120" s="17">
        <f>IF(HistoricalStockProgress[[#This Row],[Total Price of Shares]]&lt;&gt;0,HistoricalStockProgress[[#This Row],[Total Price of Shares]]-HistoricalStockProgress[[#This Row],[Cost of Shares]],0)</f>
        <v>177.41333687398105</v>
      </c>
      <c r="L120" s="34" t="b" cm="1">
        <f t="array" ref="L120">IFERROR(IF(HistoricalStockProgress[[#This Row],[Price of Shares]]="",_xlfn.STOCKHISTORY(HistoricalStockProgress[[#This Row],[Full Company Name]],HistoricalStockProgress[[#This Row],[Date]],,2,0,1)),0)</f>
        <v>0</v>
      </c>
      <c r="M120" s="34">
        <f>YEAR(HistoricalStockProgress[[#This Row],[Date]])</f>
        <v>2016</v>
      </c>
      <c r="N120" s="34">
        <f>MONTH(HistoricalStockProgress[[#This Row],[Date]])</f>
        <v>6</v>
      </c>
    </row>
    <row r="121" spans="2:14">
      <c r="B121" s="15">
        <v>42551</v>
      </c>
      <c r="C121" s="34" t="s">
        <v>100</v>
      </c>
      <c r="D121" s="34" t="e" vm="16">
        <f>_xlfn.XLOOKUP(HistoricalStockProgress[[#This Row],[Company Ticker]],CompanyDetailsList[Company Ticker],CompanyDetailsList[Official Name],,0)</f>
        <v>#VALUE!</v>
      </c>
      <c r="E1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1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121" s="17">
        <f>IFERROR(HistoricalStockProgress[[#This Row],[Cost of Shares]]/HistoricalStockProgress[[#This Row],[No. of Shares]],0)</f>
        <v>84.509035134678101</v>
      </c>
      <c r="H121" s="16" vm="675">
        <v>85.79</v>
      </c>
      <c r="I121" s="16">
        <f>IF(HistoricalStockProgress[[#This Row],[No. of Shares]]&lt;&gt;0,HistoricalStockProgress[[#This Row],[Price of Shares]]*HistoricalStockProgress[[#This Row],[No. of Shares]],0)</f>
        <v>2831.07</v>
      </c>
      <c r="J121" s="16">
        <f>IF(HistoricalStockProgress[[#This Row],[No. of Shares]]&lt;&gt;0,HistoricalStockProgress[[#This Row],[Price of Shares]]-HistoricalStockProgress[[#This Row],[Cost of Shares]]/HistoricalStockProgress[[#This Row],[No. of Shares]],0)</f>
        <v>1.2809648653219057</v>
      </c>
      <c r="K121" s="17">
        <f>IF(HistoricalStockProgress[[#This Row],[Total Price of Shares]]&lt;&gt;0,HistoricalStockProgress[[#This Row],[Total Price of Shares]]-HistoricalStockProgress[[#This Row],[Cost of Shares]],0)</f>
        <v>42.27184055562293</v>
      </c>
      <c r="L121" s="34" t="b" cm="1">
        <f t="array" ref="L121">IFERROR(IF(HistoricalStockProgress[[#This Row],[Price of Shares]]="",_xlfn.STOCKHISTORY(HistoricalStockProgress[[#This Row],[Full Company Name]],HistoricalStockProgress[[#This Row],[Date]],,2,0,1)),0)</f>
        <v>0</v>
      </c>
      <c r="M121" s="34">
        <f>YEAR(HistoricalStockProgress[[#This Row],[Date]])</f>
        <v>2016</v>
      </c>
      <c r="N121" s="34">
        <f>MONTH(HistoricalStockProgress[[#This Row],[Date]])</f>
        <v>6</v>
      </c>
    </row>
    <row r="122" spans="2:14">
      <c r="B122" s="15">
        <v>42551</v>
      </c>
      <c r="C122" s="34" t="s">
        <v>15</v>
      </c>
      <c r="D122" s="34" t="e" vm="17">
        <f>_xlfn.XLOOKUP(HistoricalStockProgress[[#This Row],[Company Ticker]],CompanyDetailsList[Company Ticker],CompanyDetailsList[Official Name],,0)</f>
        <v>#VALUE!</v>
      </c>
      <c r="E1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1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122" s="17">
        <f>IFERROR(HistoricalStockProgress[[#This Row],[Cost of Shares]]/HistoricalStockProgress[[#This Row],[No. of Shares]],0)</f>
        <v>26.481400454992627</v>
      </c>
      <c r="H122" s="16" vm="676">
        <v>32.631300000000003</v>
      </c>
      <c r="I122" s="16">
        <f>IF(HistoricalStockProgress[[#This Row],[No. of Shares]]&lt;&gt;0,HistoricalStockProgress[[#This Row],[Price of Shares]]*HistoricalStockProgress[[#This Row],[No. of Shares]],0)</f>
        <v>3132.6048000000001</v>
      </c>
      <c r="J122" s="16">
        <f>IF(HistoricalStockProgress[[#This Row],[No. of Shares]]&lt;&gt;0,HistoricalStockProgress[[#This Row],[Price of Shares]]-HistoricalStockProgress[[#This Row],[Cost of Shares]]/HistoricalStockProgress[[#This Row],[No. of Shares]],0)</f>
        <v>6.1498995450073757</v>
      </c>
      <c r="K122" s="17">
        <f>IF(HistoricalStockProgress[[#This Row],[Total Price of Shares]]&lt;&gt;0,HistoricalStockProgress[[#This Row],[Total Price of Shares]]-HistoricalStockProgress[[#This Row],[Cost of Shares]],0)</f>
        <v>590.39035632070772</v>
      </c>
      <c r="L122" s="34" t="b" cm="1">
        <f t="array" ref="L122">IFERROR(IF(HistoricalStockProgress[[#This Row],[Price of Shares]]="",_xlfn.STOCKHISTORY(HistoricalStockProgress[[#This Row],[Full Company Name]],HistoricalStockProgress[[#This Row],[Date]],,2,0,1)),0)</f>
        <v>0</v>
      </c>
      <c r="M122" s="34">
        <f>YEAR(HistoricalStockProgress[[#This Row],[Date]])</f>
        <v>2016</v>
      </c>
      <c r="N122" s="34">
        <f>MONTH(HistoricalStockProgress[[#This Row],[Date]])</f>
        <v>6</v>
      </c>
    </row>
    <row r="123" spans="2:14">
      <c r="B123" s="15">
        <v>42551</v>
      </c>
      <c r="C123" s="34" t="s">
        <v>13</v>
      </c>
      <c r="D123" s="34" t="e" vm="18">
        <f>_xlfn.XLOOKUP(HistoricalStockProgress[[#This Row],[Company Ticker]],CompanyDetailsList[Company Ticker],CompanyDetailsList[Official Name],,0)</f>
        <v>#VALUE!</v>
      </c>
      <c r="E1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1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123" s="17">
        <f>IFERROR(HistoricalStockProgress[[#This Row],[Cost of Shares]]/HistoricalStockProgress[[#This Row],[No. of Shares]],0)</f>
        <v>30.916275141190898</v>
      </c>
      <c r="H123" s="16" vm="677">
        <v>33.377299999999998</v>
      </c>
      <c r="I123" s="16">
        <f>IF(HistoricalStockProgress[[#This Row],[No. of Shares]]&lt;&gt;0,HistoricalStockProgress[[#This Row],[Price of Shares]]*HistoricalStockProgress[[#This Row],[No. of Shares]],0)</f>
        <v>367.15029999999996</v>
      </c>
      <c r="J123" s="16">
        <f>IF(HistoricalStockProgress[[#This Row],[No. of Shares]]&lt;&gt;0,HistoricalStockProgress[[#This Row],[Price of Shares]]-HistoricalStockProgress[[#This Row],[Cost of Shares]]/HistoricalStockProgress[[#This Row],[No. of Shares]],0)</f>
        <v>2.4610248588091004</v>
      </c>
      <c r="K123" s="17">
        <f>IF(HistoricalStockProgress[[#This Row],[Total Price of Shares]]&lt;&gt;0,HistoricalStockProgress[[#This Row],[Total Price of Shares]]-HistoricalStockProgress[[#This Row],[Cost of Shares]],0)</f>
        <v>27.071273446900079</v>
      </c>
      <c r="L123" s="34" t="b" cm="1">
        <f t="array" ref="L123">IFERROR(IF(HistoricalStockProgress[[#This Row],[Price of Shares]]="",_xlfn.STOCKHISTORY(HistoricalStockProgress[[#This Row],[Full Company Name]],HistoricalStockProgress[[#This Row],[Date]],,2,0,1)),0)</f>
        <v>0</v>
      </c>
      <c r="M123" s="34">
        <f>YEAR(HistoricalStockProgress[[#This Row],[Date]])</f>
        <v>2016</v>
      </c>
      <c r="N123" s="34">
        <f>MONTH(HistoricalStockProgress[[#This Row],[Date]])</f>
        <v>6</v>
      </c>
    </row>
    <row r="124" spans="2:14">
      <c r="B124" s="15">
        <v>42551</v>
      </c>
      <c r="C124" s="34" t="s">
        <v>20</v>
      </c>
      <c r="D124" s="34" t="e" vm="19">
        <f>_xlfn.XLOOKUP(HistoricalStockProgress[[#This Row],[Company Ticker]],CompanyDetailsList[Company Ticker],CompanyDetailsList[Official Name],,0)</f>
        <v>#VALUE!</v>
      </c>
      <c r="E1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16</v>
      </c>
      <c r="F1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1089.6459884973885</v>
      </c>
      <c r="G124" s="17">
        <f>IFERROR(HistoricalStockProgress[[#This Row],[Cost of Shares]]/HistoricalStockProgress[[#This Row],[No. of Shares]],0)</f>
        <v>68.102874281086784</v>
      </c>
      <c r="H124" s="16" vm="678">
        <v>62.14</v>
      </c>
      <c r="I124" s="16">
        <f>IF(HistoricalStockProgress[[#This Row],[No. of Shares]]&lt;&gt;0,HistoricalStockProgress[[#This Row],[Price of Shares]]*HistoricalStockProgress[[#This Row],[No. of Shares]],0)</f>
        <v>994.24</v>
      </c>
      <c r="J124" s="16">
        <f>IF(HistoricalStockProgress[[#This Row],[No. of Shares]]&lt;&gt;0,HistoricalStockProgress[[#This Row],[Price of Shares]]-HistoricalStockProgress[[#This Row],[Cost of Shares]]/HistoricalStockProgress[[#This Row],[No. of Shares]],0)</f>
        <v>-5.9628742810867834</v>
      </c>
      <c r="K124" s="17">
        <f>IF(HistoricalStockProgress[[#This Row],[Total Price of Shares]]&lt;&gt;0,HistoricalStockProgress[[#This Row],[Total Price of Shares]]-HistoricalStockProgress[[#This Row],[Cost of Shares]],0)</f>
        <v>-95.405988497388535</v>
      </c>
      <c r="L124" s="34" t="b" cm="1">
        <f t="array" ref="L124">IFERROR(IF(HistoricalStockProgress[[#This Row],[Price of Shares]]="",_xlfn.STOCKHISTORY(HistoricalStockProgress[[#This Row],[Full Company Name]],HistoricalStockProgress[[#This Row],[Date]],,2,0,1)),0)</f>
        <v>0</v>
      </c>
      <c r="M124" s="34">
        <f>YEAR(HistoricalStockProgress[[#This Row],[Date]])</f>
        <v>2016</v>
      </c>
      <c r="N124" s="34">
        <f>MONTH(HistoricalStockProgress[[#This Row],[Date]])</f>
        <v>6</v>
      </c>
    </row>
    <row r="125" spans="2:14">
      <c r="B125" s="15">
        <v>42582</v>
      </c>
      <c r="C125" s="34" t="s">
        <v>84</v>
      </c>
      <c r="D125" s="34" t="e" vm="7">
        <f>_xlfn.XLOOKUP(HistoricalStockProgress[[#This Row],[Company Ticker]],CompanyDetailsList[Company Ticker],CompanyDetailsList[Official Name],,0)</f>
        <v>#VALUE!</v>
      </c>
      <c r="E1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1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3396.3750096229314</v>
      </c>
      <c r="G125" s="17">
        <f>IFERROR(HistoricalStockProgress[[#This Row],[Cost of Shares]]/HistoricalStockProgress[[#This Row],[No. of Shares]],0)</f>
        <v>97.039285989226613</v>
      </c>
      <c r="H125" s="16" vm="679">
        <v>125.23</v>
      </c>
      <c r="I125" s="16">
        <f>IF(HistoricalStockProgress[[#This Row],[No. of Shares]]&lt;&gt;0,HistoricalStockProgress[[#This Row],[Price of Shares]]*HistoricalStockProgress[[#This Row],[No. of Shares]],0)</f>
        <v>4383.05</v>
      </c>
      <c r="J125" s="16">
        <f>IF(HistoricalStockProgress[[#This Row],[No. of Shares]]&lt;&gt;0,HistoricalStockProgress[[#This Row],[Price of Shares]]-HistoricalStockProgress[[#This Row],[Cost of Shares]]/HistoricalStockProgress[[#This Row],[No. of Shares]],0)</f>
        <v>28.190714010773391</v>
      </c>
      <c r="K125" s="17">
        <f>IF(HistoricalStockProgress[[#This Row],[Total Price of Shares]]&lt;&gt;0,HistoricalStockProgress[[#This Row],[Total Price of Shares]]-HistoricalStockProgress[[#This Row],[Cost of Shares]],0)</f>
        <v>986.67499037706875</v>
      </c>
      <c r="L125" s="34" t="b" cm="1">
        <f t="array" ref="L125">IFERROR(IF(HistoricalStockProgress[[#This Row],[Price of Shares]]="",_xlfn.STOCKHISTORY(HistoricalStockProgress[[#This Row],[Full Company Name]],HistoricalStockProgress[[#This Row],[Date]],,2,0,1)),0)</f>
        <v>0</v>
      </c>
      <c r="M125" s="34">
        <f>YEAR(HistoricalStockProgress[[#This Row],[Date]])</f>
        <v>2016</v>
      </c>
      <c r="N125" s="34">
        <f>MONTH(HistoricalStockProgress[[#This Row],[Date]])</f>
        <v>7</v>
      </c>
    </row>
    <row r="126" spans="2:14">
      <c r="B126" s="15">
        <v>42582</v>
      </c>
      <c r="C126" s="34" t="s">
        <v>86</v>
      </c>
      <c r="D126" s="34" t="e" vm="8">
        <f>_xlfn.XLOOKUP(HistoricalStockProgress[[#This Row],[Company Ticker]],CompanyDetailsList[Company Ticker],CompanyDetailsList[Official Name],,0)</f>
        <v>#VALUE!</v>
      </c>
      <c r="E1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v>
      </c>
      <c r="F1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894.13820748177</v>
      </c>
      <c r="G126" s="17">
        <f>IFERROR(HistoricalStockProgress[[#This Row],[Cost of Shares]]/HistoricalStockProgress[[#This Row],[No. of Shares]],0)</f>
        <v>59.609213832118002</v>
      </c>
      <c r="H126" s="16" vm="680">
        <v>66.23</v>
      </c>
      <c r="I126" s="16">
        <f>IF(HistoricalStockProgress[[#This Row],[No. of Shares]]&lt;&gt;0,HistoricalStockProgress[[#This Row],[Price of Shares]]*HistoricalStockProgress[[#This Row],[No. of Shares]],0)</f>
        <v>993.45</v>
      </c>
      <c r="J126" s="16">
        <f>IF(HistoricalStockProgress[[#This Row],[No. of Shares]]&lt;&gt;0,HistoricalStockProgress[[#This Row],[Price of Shares]]-HistoricalStockProgress[[#This Row],[Cost of Shares]]/HistoricalStockProgress[[#This Row],[No. of Shares]],0)</f>
        <v>6.6207861678820024</v>
      </c>
      <c r="K126" s="17">
        <f>IF(HistoricalStockProgress[[#This Row],[Total Price of Shares]]&lt;&gt;0,HistoricalStockProgress[[#This Row],[Total Price of Shares]]-HistoricalStockProgress[[#This Row],[Cost of Shares]],0)</f>
        <v>99.31179251823005</v>
      </c>
      <c r="L126" s="34" t="b" cm="1">
        <f t="array" ref="L126">IFERROR(IF(HistoricalStockProgress[[#This Row],[Price of Shares]]="",_xlfn.STOCKHISTORY(HistoricalStockProgress[[#This Row],[Full Company Name]],HistoricalStockProgress[[#This Row],[Date]],,2,0,1)),0)</f>
        <v>0</v>
      </c>
      <c r="M126" s="34">
        <f>YEAR(HistoricalStockProgress[[#This Row],[Date]])</f>
        <v>2016</v>
      </c>
      <c r="N126" s="34">
        <f>MONTH(HistoricalStockProgress[[#This Row],[Date]])</f>
        <v>7</v>
      </c>
    </row>
    <row r="127" spans="2:14">
      <c r="B127" s="15">
        <v>42582</v>
      </c>
      <c r="C127" s="34" t="s">
        <v>22</v>
      </c>
      <c r="D127" s="34" t="e" vm="10">
        <f>_xlfn.XLOOKUP(HistoricalStockProgress[[#This Row],[Company Ticker]],CompanyDetailsList[Company Ticker],CompanyDetailsList[Official Name],,0)</f>
        <v>#VALUE!</v>
      </c>
      <c r="E1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1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2300.0894858057368</v>
      </c>
      <c r="G127" s="17">
        <f>IFERROR(HistoricalStockProgress[[#This Row],[Cost of Shares]]/HistoricalStockProgress[[#This Row],[No. of Shares]],0)</f>
        <v>79.313430545025412</v>
      </c>
      <c r="H127" s="16" vm="681">
        <v>82.76</v>
      </c>
      <c r="I127" s="16">
        <f>IF(HistoricalStockProgress[[#This Row],[No. of Shares]]&lt;&gt;0,HistoricalStockProgress[[#This Row],[Price of Shares]]*HistoricalStockProgress[[#This Row],[No. of Shares]],0)</f>
        <v>2400.04</v>
      </c>
      <c r="J127" s="16">
        <f>IF(HistoricalStockProgress[[#This Row],[No. of Shares]]&lt;&gt;0,HistoricalStockProgress[[#This Row],[Price of Shares]]-HistoricalStockProgress[[#This Row],[Cost of Shares]]/HistoricalStockProgress[[#This Row],[No. of Shares]],0)</f>
        <v>3.4465694549745933</v>
      </c>
      <c r="K127" s="17">
        <f>IF(HistoricalStockProgress[[#This Row],[Total Price of Shares]]&lt;&gt;0,HistoricalStockProgress[[#This Row],[Total Price of Shares]]-HistoricalStockProgress[[#This Row],[Cost of Shares]],0)</f>
        <v>99.950514194263178</v>
      </c>
      <c r="L127" s="34" t="b" cm="1">
        <f t="array" ref="L127">IFERROR(IF(HistoricalStockProgress[[#This Row],[Price of Shares]]="",_xlfn.STOCKHISTORY(HistoricalStockProgress[[#This Row],[Full Company Name]],HistoricalStockProgress[[#This Row],[Date]],,2,0,1)),0)</f>
        <v>0</v>
      </c>
      <c r="M127" s="34">
        <f>YEAR(HistoricalStockProgress[[#This Row],[Date]])</f>
        <v>2016</v>
      </c>
      <c r="N127" s="34">
        <f>MONTH(HistoricalStockProgress[[#This Row],[Date]])</f>
        <v>7</v>
      </c>
    </row>
    <row r="128" spans="2:14">
      <c r="B128" s="15">
        <v>42582</v>
      </c>
      <c r="C128" s="34" t="s">
        <v>91</v>
      </c>
      <c r="D128" s="34" t="e" vm="11">
        <f>_xlfn.XLOOKUP(HistoricalStockProgress[[#This Row],[Company Ticker]],CompanyDetailsList[Company Ticker],CompanyDetailsList[Official Name],,0)</f>
        <v>#VALUE!</v>
      </c>
      <c r="E1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3147.1300357784085</v>
      </c>
      <c r="G128" s="17">
        <f>IFERROR(HistoricalStockProgress[[#This Row],[Cost of Shares]]/HistoricalStockProgress[[#This Row],[No. of Shares]],0)</f>
        <v>56.198750638900151</v>
      </c>
      <c r="H128" s="16" vm="682">
        <v>56.68</v>
      </c>
      <c r="I128" s="16">
        <f>IF(HistoricalStockProgress[[#This Row],[No. of Shares]]&lt;&gt;0,HistoricalStockProgress[[#This Row],[Price of Shares]]*HistoricalStockProgress[[#This Row],[No. of Shares]],0)</f>
        <v>3174.08</v>
      </c>
      <c r="J128" s="16">
        <f>IF(HistoricalStockProgress[[#This Row],[No. of Shares]]&lt;&gt;0,HistoricalStockProgress[[#This Row],[Price of Shares]]-HistoricalStockProgress[[#This Row],[Cost of Shares]]/HistoricalStockProgress[[#This Row],[No. of Shares]],0)</f>
        <v>0.48124936109984873</v>
      </c>
      <c r="K128" s="17">
        <f>IF(HistoricalStockProgress[[#This Row],[Total Price of Shares]]&lt;&gt;0,HistoricalStockProgress[[#This Row],[Total Price of Shares]]-HistoricalStockProgress[[#This Row],[Cost of Shares]],0)</f>
        <v>26.949964221591472</v>
      </c>
      <c r="L128" s="34" t="b" cm="1">
        <f t="array" ref="L128">IFERROR(IF(HistoricalStockProgress[[#This Row],[Price of Shares]]="",_xlfn.STOCKHISTORY(HistoricalStockProgress[[#This Row],[Full Company Name]],HistoricalStockProgress[[#This Row],[Date]],,2,0,1)),0)</f>
        <v>0</v>
      </c>
      <c r="M128" s="34">
        <f>YEAR(HistoricalStockProgress[[#This Row],[Date]])</f>
        <v>2016</v>
      </c>
      <c r="N128" s="34">
        <f>MONTH(HistoricalStockProgress[[#This Row],[Date]])</f>
        <v>7</v>
      </c>
    </row>
    <row r="129" spans="2:14">
      <c r="B129" s="15">
        <v>42582</v>
      </c>
      <c r="C129" s="34" t="s">
        <v>16</v>
      </c>
      <c r="D129" s="34" t="e" vm="12">
        <f>_xlfn.XLOOKUP(HistoricalStockProgress[[#This Row],[Company Ticker]],CompanyDetailsList[Company Ticker],CompanyDetailsList[Official Name],,0)</f>
        <v>#VALUE!</v>
      </c>
      <c r="E1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60</v>
      </c>
      <c r="F1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5084.1379319177213</v>
      </c>
      <c r="G129" s="17">
        <f>IFERROR(HistoricalStockProgress[[#This Row],[Cost of Shares]]/HistoricalStockProgress[[#This Row],[No. of Shares]],0)</f>
        <v>84.735632198628693</v>
      </c>
      <c r="H129" s="16" vm="683">
        <v>88.95</v>
      </c>
      <c r="I129" s="16">
        <f>IF(HistoricalStockProgress[[#This Row],[No. of Shares]]&lt;&gt;0,HistoricalStockProgress[[#This Row],[Price of Shares]]*HistoricalStockProgress[[#This Row],[No. of Shares]],0)</f>
        <v>5337</v>
      </c>
      <c r="J129" s="16">
        <f>IF(HistoricalStockProgress[[#This Row],[No. of Shares]]&lt;&gt;0,HistoricalStockProgress[[#This Row],[Price of Shares]]-HistoricalStockProgress[[#This Row],[Cost of Shares]]/HistoricalStockProgress[[#This Row],[No. of Shares]],0)</f>
        <v>4.21436780137131</v>
      </c>
      <c r="K129" s="17">
        <f>IF(HistoricalStockProgress[[#This Row],[Total Price of Shares]]&lt;&gt;0,HistoricalStockProgress[[#This Row],[Total Price of Shares]]-HistoricalStockProgress[[#This Row],[Cost of Shares]],0)</f>
        <v>252.86206808227871</v>
      </c>
      <c r="L129" s="34" t="b" cm="1">
        <f t="array" ref="L129">IFERROR(IF(HistoricalStockProgress[[#This Row],[Price of Shares]]="",_xlfn.STOCKHISTORY(HistoricalStockProgress[[#This Row],[Full Company Name]],HistoricalStockProgress[[#This Row],[Date]],,2,0,1)),0)</f>
        <v>0</v>
      </c>
      <c r="M129" s="34">
        <f>YEAR(HistoricalStockProgress[[#This Row],[Date]])</f>
        <v>2016</v>
      </c>
      <c r="N129" s="34">
        <f>MONTH(HistoricalStockProgress[[#This Row],[Date]])</f>
        <v>7</v>
      </c>
    </row>
    <row r="130" spans="2:14">
      <c r="B130" s="15">
        <v>42582</v>
      </c>
      <c r="C130" s="34" t="s">
        <v>95</v>
      </c>
      <c r="D130" s="34" t="e" vm="13">
        <f>_xlfn.XLOOKUP(HistoricalStockProgress[[#This Row],[Company Ticker]],CompanyDetailsList[Company Ticker],CompanyDetailsList[Official Name],,0)</f>
        <v>#VALUE!</v>
      </c>
      <c r="E1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1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130" s="17">
        <f>IFERROR(HistoricalStockProgress[[#This Row],[Cost of Shares]]/HistoricalStockProgress[[#This Row],[No. of Shares]],0)</f>
        <v>112.90555526050157</v>
      </c>
      <c r="H130" s="16" vm="684">
        <v>138.24</v>
      </c>
      <c r="I130" s="16">
        <f>IF(HistoricalStockProgress[[#This Row],[No. of Shares]]&lt;&gt;0,HistoricalStockProgress[[#This Row],[Price of Shares]]*HistoricalStockProgress[[#This Row],[No. of Shares]],0)</f>
        <v>1658.88</v>
      </c>
      <c r="J130" s="16">
        <f>IF(HistoricalStockProgress[[#This Row],[No. of Shares]]&lt;&gt;0,HistoricalStockProgress[[#This Row],[Price of Shares]]-HistoricalStockProgress[[#This Row],[Cost of Shares]]/HistoricalStockProgress[[#This Row],[No. of Shares]],0)</f>
        <v>25.334444739498437</v>
      </c>
      <c r="K130" s="17">
        <f>IF(HistoricalStockProgress[[#This Row],[Total Price of Shares]]&lt;&gt;0,HistoricalStockProgress[[#This Row],[Total Price of Shares]]-HistoricalStockProgress[[#This Row],[Cost of Shares]],0)</f>
        <v>304.01333687398119</v>
      </c>
      <c r="L130" s="34" t="b" cm="1">
        <f t="array" ref="L130">IFERROR(IF(HistoricalStockProgress[[#This Row],[Price of Shares]]="",_xlfn.STOCKHISTORY(HistoricalStockProgress[[#This Row],[Full Company Name]],HistoricalStockProgress[[#This Row],[Date]],,2,0,1)),0)</f>
        <v>0</v>
      </c>
      <c r="M130" s="34">
        <f>YEAR(HistoricalStockProgress[[#This Row],[Date]])</f>
        <v>2016</v>
      </c>
      <c r="N130" s="34">
        <f>MONTH(HistoricalStockProgress[[#This Row],[Date]])</f>
        <v>7</v>
      </c>
    </row>
    <row r="131" spans="2:14">
      <c r="B131" s="15">
        <v>42582</v>
      </c>
      <c r="C131" s="34" t="s">
        <v>17</v>
      </c>
      <c r="D131" s="34" t="e" vm="14">
        <f>_xlfn.XLOOKUP(HistoricalStockProgress[[#This Row],[Company Ticker]],CompanyDetailsList[Company Ticker],CompanyDetailsList[Official Name],,0)</f>
        <v>#VALUE!</v>
      </c>
      <c r="E1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v>
      </c>
      <c r="F1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2797.1749688808613</v>
      </c>
      <c r="G131" s="17">
        <f>IFERROR(HistoricalStockProgress[[#This Row],[Cost of Shares]]/HistoricalStockProgress[[#This Row],[No. of Shares]],0)</f>
        <v>155.39860938227008</v>
      </c>
      <c r="H131" s="16" vm="685">
        <v>160.62</v>
      </c>
      <c r="I131" s="16">
        <f>IF(HistoricalStockProgress[[#This Row],[No. of Shares]]&lt;&gt;0,HistoricalStockProgress[[#This Row],[Price of Shares]]*HistoricalStockProgress[[#This Row],[No. of Shares]],0)</f>
        <v>2891.16</v>
      </c>
      <c r="J131" s="16">
        <f>IF(HistoricalStockProgress[[#This Row],[No. of Shares]]&lt;&gt;0,HistoricalStockProgress[[#This Row],[Price of Shares]]-HistoricalStockProgress[[#This Row],[Cost of Shares]]/HistoricalStockProgress[[#This Row],[No. of Shares]],0)</f>
        <v>5.2213906177299236</v>
      </c>
      <c r="K131" s="17">
        <f>IF(HistoricalStockProgress[[#This Row],[Total Price of Shares]]&lt;&gt;0,HistoricalStockProgress[[#This Row],[Total Price of Shares]]-HistoricalStockProgress[[#This Row],[Cost of Shares]],0)</f>
        <v>93.985031119138512</v>
      </c>
      <c r="L131" s="34" t="b" cm="1">
        <f t="array" ref="L131">IFERROR(IF(HistoricalStockProgress[[#This Row],[Price of Shares]]="",_xlfn.STOCKHISTORY(HistoricalStockProgress[[#This Row],[Full Company Name]],HistoricalStockProgress[[#This Row],[Date]],,2,0,1)),0)</f>
        <v>0</v>
      </c>
      <c r="M131" s="34">
        <f>YEAR(HistoricalStockProgress[[#This Row],[Date]])</f>
        <v>2016</v>
      </c>
      <c r="N131" s="34">
        <f>MONTH(HistoricalStockProgress[[#This Row],[Date]])</f>
        <v>7</v>
      </c>
    </row>
    <row r="132" spans="2:14">
      <c r="B132" s="15">
        <v>42582</v>
      </c>
      <c r="C132" s="34" t="s">
        <v>100</v>
      </c>
      <c r="D132" s="34" t="e" vm="16">
        <f>_xlfn.XLOOKUP(HistoricalStockProgress[[#This Row],[Company Ticker]],CompanyDetailsList[Company Ticker],CompanyDetailsList[Official Name],,0)</f>
        <v>#VALUE!</v>
      </c>
      <c r="E1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1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132" s="17">
        <f>IFERROR(HistoricalStockProgress[[#This Row],[Cost of Shares]]/HistoricalStockProgress[[#This Row],[No. of Shares]],0)</f>
        <v>84.509035134678101</v>
      </c>
      <c r="H132" s="16" vm="686">
        <v>85.59</v>
      </c>
      <c r="I132" s="16">
        <f>IF(HistoricalStockProgress[[#This Row],[No. of Shares]]&lt;&gt;0,HistoricalStockProgress[[#This Row],[Price of Shares]]*HistoricalStockProgress[[#This Row],[No. of Shares]],0)</f>
        <v>2824.4700000000003</v>
      </c>
      <c r="J132" s="16">
        <f>IF(HistoricalStockProgress[[#This Row],[No. of Shares]]&lt;&gt;0,HistoricalStockProgress[[#This Row],[Price of Shares]]-HistoricalStockProgress[[#This Row],[Cost of Shares]]/HistoricalStockProgress[[#This Row],[No. of Shares]],0)</f>
        <v>1.0809648653219028</v>
      </c>
      <c r="K132" s="17">
        <f>IF(HistoricalStockProgress[[#This Row],[Total Price of Shares]]&lt;&gt;0,HistoricalStockProgress[[#This Row],[Total Price of Shares]]-HistoricalStockProgress[[#This Row],[Cost of Shares]],0)</f>
        <v>35.671840555623021</v>
      </c>
      <c r="L132" s="34" t="b" cm="1">
        <f t="array" ref="L132">IFERROR(IF(HistoricalStockProgress[[#This Row],[Price of Shares]]="",_xlfn.STOCKHISTORY(HistoricalStockProgress[[#This Row],[Full Company Name]],HistoricalStockProgress[[#This Row],[Date]],,2,0,1)),0)</f>
        <v>0</v>
      </c>
      <c r="M132" s="34">
        <f>YEAR(HistoricalStockProgress[[#This Row],[Date]])</f>
        <v>2016</v>
      </c>
      <c r="N132" s="34">
        <f>MONTH(HistoricalStockProgress[[#This Row],[Date]])</f>
        <v>7</v>
      </c>
    </row>
    <row r="133" spans="2:14">
      <c r="B133" s="15">
        <v>42582</v>
      </c>
      <c r="C133" s="34" t="s">
        <v>15</v>
      </c>
      <c r="D133" s="34" t="e" vm="17">
        <f>_xlfn.XLOOKUP(HistoricalStockProgress[[#This Row],[Company Ticker]],CompanyDetailsList[Company Ticker],CompanyDetailsList[Official Name],,0)</f>
        <v>#VALUE!</v>
      </c>
      <c r="E1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1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133" s="17">
        <f>IFERROR(HistoricalStockProgress[[#This Row],[Cost of Shares]]/HistoricalStockProgress[[#This Row],[No. of Shares]],0)</f>
        <v>26.481400454992627</v>
      </c>
      <c r="H133" s="16" vm="687">
        <v>32.691699999999997</v>
      </c>
      <c r="I133" s="16">
        <f>IF(HistoricalStockProgress[[#This Row],[No. of Shares]]&lt;&gt;0,HistoricalStockProgress[[#This Row],[Price of Shares]]*HistoricalStockProgress[[#This Row],[No. of Shares]],0)</f>
        <v>3138.4031999999997</v>
      </c>
      <c r="J133" s="16">
        <f>IF(HistoricalStockProgress[[#This Row],[No. of Shares]]&lt;&gt;0,HistoricalStockProgress[[#This Row],[Price of Shares]]-HistoricalStockProgress[[#This Row],[Cost of Shares]]/HistoricalStockProgress[[#This Row],[No. of Shares]],0)</f>
        <v>6.2102995450073699</v>
      </c>
      <c r="K133" s="17">
        <f>IF(HistoricalStockProgress[[#This Row],[Total Price of Shares]]&lt;&gt;0,HistoricalStockProgress[[#This Row],[Total Price of Shares]]-HistoricalStockProgress[[#This Row],[Cost of Shares]],0)</f>
        <v>596.1887563207074</v>
      </c>
      <c r="L133" s="34" t="b" cm="1">
        <f t="array" ref="L133">IFERROR(IF(HistoricalStockProgress[[#This Row],[Price of Shares]]="",_xlfn.STOCKHISTORY(HistoricalStockProgress[[#This Row],[Full Company Name]],HistoricalStockProgress[[#This Row],[Date]],,2,0,1)),0)</f>
        <v>0</v>
      </c>
      <c r="M133" s="34">
        <f>YEAR(HistoricalStockProgress[[#This Row],[Date]])</f>
        <v>2016</v>
      </c>
      <c r="N133" s="34">
        <f>MONTH(HistoricalStockProgress[[#This Row],[Date]])</f>
        <v>7</v>
      </c>
    </row>
    <row r="134" spans="2:14">
      <c r="B134" s="15">
        <v>42582</v>
      </c>
      <c r="C134" s="34" t="s">
        <v>13</v>
      </c>
      <c r="D134" s="34" t="e" vm="18">
        <f>_xlfn.XLOOKUP(HistoricalStockProgress[[#This Row],[Company Ticker]],CompanyDetailsList[Company Ticker],CompanyDetailsList[Official Name],,0)</f>
        <v>#VALUE!</v>
      </c>
      <c r="E1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1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134" s="17">
        <f>IFERROR(HistoricalStockProgress[[#This Row],[Cost of Shares]]/HistoricalStockProgress[[#This Row],[No. of Shares]],0)</f>
        <v>30.916275141190898</v>
      </c>
      <c r="H134" s="16" vm="688">
        <v>34.969900000000003</v>
      </c>
      <c r="I134" s="16">
        <f>IF(HistoricalStockProgress[[#This Row],[No. of Shares]]&lt;&gt;0,HistoricalStockProgress[[#This Row],[Price of Shares]]*HistoricalStockProgress[[#This Row],[No. of Shares]],0)</f>
        <v>384.66890000000001</v>
      </c>
      <c r="J134" s="16">
        <f>IF(HistoricalStockProgress[[#This Row],[No. of Shares]]&lt;&gt;0,HistoricalStockProgress[[#This Row],[Price of Shares]]-HistoricalStockProgress[[#This Row],[Cost of Shares]]/HistoricalStockProgress[[#This Row],[No. of Shares]],0)</f>
        <v>4.0536248588091048</v>
      </c>
      <c r="K134" s="17">
        <f>IF(HistoricalStockProgress[[#This Row],[Total Price of Shares]]&lt;&gt;0,HistoricalStockProgress[[#This Row],[Total Price of Shares]]-HistoricalStockProgress[[#This Row],[Cost of Shares]],0)</f>
        <v>44.589873446900128</v>
      </c>
      <c r="L134" s="34" t="b" cm="1">
        <f t="array" ref="L134">IFERROR(IF(HistoricalStockProgress[[#This Row],[Price of Shares]]="",_xlfn.STOCKHISTORY(HistoricalStockProgress[[#This Row],[Full Company Name]],HistoricalStockProgress[[#This Row],[Date]],,2,0,1)),0)</f>
        <v>0</v>
      </c>
      <c r="M134" s="34">
        <f>YEAR(HistoricalStockProgress[[#This Row],[Date]])</f>
        <v>2016</v>
      </c>
      <c r="N134" s="34">
        <f>MONTH(HistoricalStockProgress[[#This Row],[Date]])</f>
        <v>7</v>
      </c>
    </row>
    <row r="135" spans="2:14">
      <c r="B135" s="15">
        <v>42582</v>
      </c>
      <c r="C135" s="34" t="s">
        <v>20</v>
      </c>
      <c r="D135" s="34" t="e" vm="19">
        <f>_xlfn.XLOOKUP(HistoricalStockProgress[[#This Row],[Company Ticker]],CompanyDetailsList[Company Ticker],CompanyDetailsList[Official Name],,0)</f>
        <v>#VALUE!</v>
      </c>
      <c r="E1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16</v>
      </c>
      <c r="F1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1089.6459884973885</v>
      </c>
      <c r="G135" s="17">
        <f>IFERROR(HistoricalStockProgress[[#This Row],[Cost of Shares]]/HistoricalStockProgress[[#This Row],[No. of Shares]],0)</f>
        <v>68.102874281086784</v>
      </c>
      <c r="H135" s="16" vm="689">
        <v>63.97</v>
      </c>
      <c r="I135" s="16">
        <f>IF(HistoricalStockProgress[[#This Row],[No. of Shares]]&lt;&gt;0,HistoricalStockProgress[[#This Row],[Price of Shares]]*HistoricalStockProgress[[#This Row],[No. of Shares]],0)</f>
        <v>1023.52</v>
      </c>
      <c r="J135" s="16">
        <f>IF(HistoricalStockProgress[[#This Row],[No. of Shares]]&lt;&gt;0,HistoricalStockProgress[[#This Row],[Price of Shares]]-HistoricalStockProgress[[#This Row],[Cost of Shares]]/HistoricalStockProgress[[#This Row],[No. of Shares]],0)</f>
        <v>-4.1328742810867851</v>
      </c>
      <c r="K135" s="17">
        <f>IF(HistoricalStockProgress[[#This Row],[Total Price of Shares]]&lt;&gt;0,HistoricalStockProgress[[#This Row],[Total Price of Shares]]-HistoricalStockProgress[[#This Row],[Cost of Shares]],0)</f>
        <v>-66.125988497388562</v>
      </c>
      <c r="L135" s="34" t="b" cm="1">
        <f t="array" ref="L135">IFERROR(IF(HistoricalStockProgress[[#This Row],[Price of Shares]]="",_xlfn.STOCKHISTORY(HistoricalStockProgress[[#This Row],[Full Company Name]],HistoricalStockProgress[[#This Row],[Date]],,2,0,1)),0)</f>
        <v>0</v>
      </c>
      <c r="M135" s="34">
        <f>YEAR(HistoricalStockProgress[[#This Row],[Date]])</f>
        <v>2016</v>
      </c>
      <c r="N135" s="34">
        <f>MONTH(HistoricalStockProgress[[#This Row],[Date]])</f>
        <v>7</v>
      </c>
    </row>
    <row r="136" spans="2:14">
      <c r="B136" s="15">
        <v>42613</v>
      </c>
      <c r="C136" s="34" t="s">
        <v>84</v>
      </c>
      <c r="D136" s="34" t="e" vm="7">
        <f>_xlfn.XLOOKUP(HistoricalStockProgress[[#This Row],[Company Ticker]],CompanyDetailsList[Company Ticker],CompanyDetailsList[Official Name],,0)</f>
        <v>#VALUE!</v>
      </c>
      <c r="E1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1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3396.3750096229314</v>
      </c>
      <c r="G136" s="17">
        <f>IFERROR(HistoricalStockProgress[[#This Row],[Cost of Shares]]/HistoricalStockProgress[[#This Row],[No. of Shares]],0)</f>
        <v>97.039285989226613</v>
      </c>
      <c r="H136" s="16" vm="690">
        <v>119.34</v>
      </c>
      <c r="I136" s="16">
        <f>IF(HistoricalStockProgress[[#This Row],[No. of Shares]]&lt;&gt;0,HistoricalStockProgress[[#This Row],[Price of Shares]]*HistoricalStockProgress[[#This Row],[No. of Shares]],0)</f>
        <v>4176.9000000000005</v>
      </c>
      <c r="J136" s="16">
        <f>IF(HistoricalStockProgress[[#This Row],[No. of Shares]]&lt;&gt;0,HistoricalStockProgress[[#This Row],[Price of Shares]]-HistoricalStockProgress[[#This Row],[Cost of Shares]]/HistoricalStockProgress[[#This Row],[No. of Shares]],0)</f>
        <v>22.30071401077339</v>
      </c>
      <c r="K136" s="17">
        <f>IF(HistoricalStockProgress[[#This Row],[Total Price of Shares]]&lt;&gt;0,HistoricalStockProgress[[#This Row],[Total Price of Shares]]-HistoricalStockProgress[[#This Row],[Cost of Shares]],0)</f>
        <v>780.52499037706912</v>
      </c>
      <c r="L136" s="34" t="b" cm="1">
        <f t="array" ref="L136">IFERROR(IF(HistoricalStockProgress[[#This Row],[Price of Shares]]="",_xlfn.STOCKHISTORY(HistoricalStockProgress[[#This Row],[Full Company Name]],HistoricalStockProgress[[#This Row],[Date]],,2,0,1)),0)</f>
        <v>0</v>
      </c>
      <c r="M136" s="34">
        <f>YEAR(HistoricalStockProgress[[#This Row],[Date]])</f>
        <v>2016</v>
      </c>
      <c r="N136" s="34">
        <f>MONTH(HistoricalStockProgress[[#This Row],[Date]])</f>
        <v>8</v>
      </c>
    </row>
    <row r="137" spans="2:14">
      <c r="B137" s="15">
        <v>42613</v>
      </c>
      <c r="C137" s="34" t="s">
        <v>86</v>
      </c>
      <c r="D137" s="34" t="e" vm="8">
        <f>_xlfn.XLOOKUP(HistoricalStockProgress[[#This Row],[Company Ticker]],CompanyDetailsList[Company Ticker],CompanyDetailsList[Official Name],,0)</f>
        <v>#VALUE!</v>
      </c>
      <c r="E1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v>
      </c>
      <c r="F1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894.13820748177</v>
      </c>
      <c r="G137" s="17">
        <f>IFERROR(HistoricalStockProgress[[#This Row],[Cost of Shares]]/HistoricalStockProgress[[#This Row],[No. of Shares]],0)</f>
        <v>59.609213832118002</v>
      </c>
      <c r="H137" s="16" vm="586">
        <v>64.099999999999994</v>
      </c>
      <c r="I137" s="16">
        <f>IF(HistoricalStockProgress[[#This Row],[No. of Shares]]&lt;&gt;0,HistoricalStockProgress[[#This Row],[Price of Shares]]*HistoricalStockProgress[[#This Row],[No. of Shares]],0)</f>
        <v>961.49999999999989</v>
      </c>
      <c r="J137" s="16">
        <f>IF(HistoricalStockProgress[[#This Row],[No. of Shares]]&lt;&gt;0,HistoricalStockProgress[[#This Row],[Price of Shares]]-HistoricalStockProgress[[#This Row],[Cost of Shares]]/HistoricalStockProgress[[#This Row],[No. of Shares]],0)</f>
        <v>4.4907861678819927</v>
      </c>
      <c r="K137" s="17">
        <f>IF(HistoricalStockProgress[[#This Row],[Total Price of Shares]]&lt;&gt;0,HistoricalStockProgress[[#This Row],[Total Price of Shares]]-HistoricalStockProgress[[#This Row],[Cost of Shares]],0)</f>
        <v>67.36179251822989</v>
      </c>
      <c r="L137" s="34" t="b" cm="1">
        <f t="array" ref="L137">IFERROR(IF(HistoricalStockProgress[[#This Row],[Price of Shares]]="",_xlfn.STOCKHISTORY(HistoricalStockProgress[[#This Row],[Full Company Name]],HistoricalStockProgress[[#This Row],[Date]],,2,0,1)),0)</f>
        <v>0</v>
      </c>
      <c r="M137" s="34">
        <f>YEAR(HistoricalStockProgress[[#This Row],[Date]])</f>
        <v>2016</v>
      </c>
      <c r="N137" s="34">
        <f>MONTH(HistoricalStockProgress[[#This Row],[Date]])</f>
        <v>8</v>
      </c>
    </row>
    <row r="138" spans="2:14">
      <c r="B138" s="15">
        <v>42613</v>
      </c>
      <c r="C138" s="34" t="s">
        <v>22</v>
      </c>
      <c r="D138" s="34" t="e" vm="10">
        <f>_xlfn.XLOOKUP(HistoricalStockProgress[[#This Row],[Company Ticker]],CompanyDetailsList[Company Ticker],CompanyDetailsList[Official Name],,0)</f>
        <v>#VALUE!</v>
      </c>
      <c r="E1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1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2300.0894858057368</v>
      </c>
      <c r="G138" s="17">
        <f>IFERROR(HistoricalStockProgress[[#This Row],[Cost of Shares]]/HistoricalStockProgress[[#This Row],[No. of Shares]],0)</f>
        <v>79.313430545025412</v>
      </c>
      <c r="H138" s="16" vm="691">
        <v>81.95</v>
      </c>
      <c r="I138" s="16">
        <f>IF(HistoricalStockProgress[[#This Row],[No. of Shares]]&lt;&gt;0,HistoricalStockProgress[[#This Row],[Price of Shares]]*HistoricalStockProgress[[#This Row],[No. of Shares]],0)</f>
        <v>2376.5500000000002</v>
      </c>
      <c r="J138" s="16">
        <f>IF(HistoricalStockProgress[[#This Row],[No. of Shares]]&lt;&gt;0,HistoricalStockProgress[[#This Row],[Price of Shares]]-HistoricalStockProgress[[#This Row],[Cost of Shares]]/HistoricalStockProgress[[#This Row],[No. of Shares]],0)</f>
        <v>2.6365694549745911</v>
      </c>
      <c r="K138" s="17">
        <f>IF(HistoricalStockProgress[[#This Row],[Total Price of Shares]]&lt;&gt;0,HistoricalStockProgress[[#This Row],[Total Price of Shares]]-HistoricalStockProgress[[#This Row],[Cost of Shares]],0)</f>
        <v>76.460514194263396</v>
      </c>
      <c r="L138" s="34" t="b" cm="1">
        <f t="array" ref="L138">IFERROR(IF(HistoricalStockProgress[[#This Row],[Price of Shares]]="",_xlfn.STOCKHISTORY(HistoricalStockProgress[[#This Row],[Full Company Name]],HistoricalStockProgress[[#This Row],[Date]],,2,0,1)),0)</f>
        <v>0</v>
      </c>
      <c r="M138" s="34">
        <f>YEAR(HistoricalStockProgress[[#This Row],[Date]])</f>
        <v>2016</v>
      </c>
      <c r="N138" s="34">
        <f>MONTH(HistoricalStockProgress[[#This Row],[Date]])</f>
        <v>8</v>
      </c>
    </row>
    <row r="139" spans="2:14">
      <c r="B139" s="15">
        <v>42613</v>
      </c>
      <c r="C139" s="34" t="s">
        <v>91</v>
      </c>
      <c r="D139" s="34" t="e" vm="11">
        <f>_xlfn.XLOOKUP(HistoricalStockProgress[[#This Row],[Company Ticker]],CompanyDetailsList[Company Ticker],CompanyDetailsList[Official Name],,0)</f>
        <v>#VALUE!</v>
      </c>
      <c r="E1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3147.1300357784085</v>
      </c>
      <c r="G139" s="17">
        <f>IFERROR(HistoricalStockProgress[[#This Row],[Cost of Shares]]/HistoricalStockProgress[[#This Row],[No. of Shares]],0)</f>
        <v>56.198750638900151</v>
      </c>
      <c r="H139" s="16" vm="692">
        <v>57.46</v>
      </c>
      <c r="I139" s="16">
        <f>IF(HistoricalStockProgress[[#This Row],[No. of Shares]]&lt;&gt;0,HistoricalStockProgress[[#This Row],[Price of Shares]]*HistoricalStockProgress[[#This Row],[No. of Shares]],0)</f>
        <v>3217.76</v>
      </c>
      <c r="J139" s="16">
        <f>IF(HistoricalStockProgress[[#This Row],[No. of Shares]]&lt;&gt;0,HistoricalStockProgress[[#This Row],[Price of Shares]]-HistoricalStockProgress[[#This Row],[Cost of Shares]]/HistoricalStockProgress[[#This Row],[No. of Shares]],0)</f>
        <v>1.2612493610998499</v>
      </c>
      <c r="K139" s="17">
        <f>IF(HistoricalStockProgress[[#This Row],[Total Price of Shares]]&lt;&gt;0,HistoricalStockProgress[[#This Row],[Total Price of Shares]]-HistoricalStockProgress[[#This Row],[Cost of Shares]],0)</f>
        <v>70.629964221591763</v>
      </c>
      <c r="L139" s="34" t="b" cm="1">
        <f t="array" ref="L139">IFERROR(IF(HistoricalStockProgress[[#This Row],[Price of Shares]]="",_xlfn.STOCKHISTORY(HistoricalStockProgress[[#This Row],[Full Company Name]],HistoricalStockProgress[[#This Row],[Date]],,2,0,1)),0)</f>
        <v>0</v>
      </c>
      <c r="M139" s="34">
        <f>YEAR(HistoricalStockProgress[[#This Row],[Date]])</f>
        <v>2016</v>
      </c>
      <c r="N139" s="34">
        <f>MONTH(HistoricalStockProgress[[#This Row],[Date]])</f>
        <v>8</v>
      </c>
    </row>
    <row r="140" spans="2:14">
      <c r="B140" s="15">
        <v>42613</v>
      </c>
      <c r="C140" s="34" t="s">
        <v>16</v>
      </c>
      <c r="D140" s="34" t="e" vm="12">
        <f>_xlfn.XLOOKUP(HistoricalStockProgress[[#This Row],[Company Ticker]],CompanyDetailsList[Company Ticker],CompanyDetailsList[Official Name],,0)</f>
        <v>#VALUE!</v>
      </c>
      <c r="E1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60</v>
      </c>
      <c r="F1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5084.1379319177213</v>
      </c>
      <c r="G140" s="17">
        <f>IFERROR(HistoricalStockProgress[[#This Row],[Cost of Shares]]/HistoricalStockProgress[[#This Row],[No. of Shares]],0)</f>
        <v>84.735632198628693</v>
      </c>
      <c r="H140" s="16" vm="693">
        <v>87.14</v>
      </c>
      <c r="I140" s="16">
        <f>IF(HistoricalStockProgress[[#This Row],[No. of Shares]]&lt;&gt;0,HistoricalStockProgress[[#This Row],[Price of Shares]]*HistoricalStockProgress[[#This Row],[No. of Shares]],0)</f>
        <v>5228.3999999999996</v>
      </c>
      <c r="J140" s="16">
        <f>IF(HistoricalStockProgress[[#This Row],[No. of Shares]]&lt;&gt;0,HistoricalStockProgress[[#This Row],[Price of Shares]]-HistoricalStockProgress[[#This Row],[Cost of Shares]]/HistoricalStockProgress[[#This Row],[No. of Shares]],0)</f>
        <v>2.4043678013713077</v>
      </c>
      <c r="K140" s="17">
        <f>IF(HistoricalStockProgress[[#This Row],[Total Price of Shares]]&lt;&gt;0,HistoricalStockProgress[[#This Row],[Total Price of Shares]]-HistoricalStockProgress[[#This Row],[Cost of Shares]],0)</f>
        <v>144.26206808227835</v>
      </c>
      <c r="L140" s="34" t="b" cm="1">
        <f t="array" ref="L140">IFERROR(IF(HistoricalStockProgress[[#This Row],[Price of Shares]]="",_xlfn.STOCKHISTORY(HistoricalStockProgress[[#This Row],[Full Company Name]],HistoricalStockProgress[[#This Row],[Date]],,2,0,1)),0)</f>
        <v>0</v>
      </c>
      <c r="M140" s="34">
        <f>YEAR(HistoricalStockProgress[[#This Row],[Date]])</f>
        <v>2016</v>
      </c>
      <c r="N140" s="34">
        <f>MONTH(HistoricalStockProgress[[#This Row],[Date]])</f>
        <v>8</v>
      </c>
    </row>
    <row r="141" spans="2:14">
      <c r="B141" s="15">
        <v>42613</v>
      </c>
      <c r="C141" s="34" t="s">
        <v>95</v>
      </c>
      <c r="D141" s="34" t="e" vm="13">
        <f>_xlfn.XLOOKUP(HistoricalStockProgress[[#This Row],[Company Ticker]],CompanyDetailsList[Company Ticker],CompanyDetailsList[Official Name],,0)</f>
        <v>#VALUE!</v>
      </c>
      <c r="E1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1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141" s="17">
        <f>IFERROR(HistoricalStockProgress[[#This Row],[Cost of Shares]]/HistoricalStockProgress[[#This Row],[No. of Shares]],0)</f>
        <v>112.90555526050157</v>
      </c>
      <c r="H141" s="16" vm="694">
        <v>134.12</v>
      </c>
      <c r="I141" s="16">
        <f>IF(HistoricalStockProgress[[#This Row],[No. of Shares]]&lt;&gt;0,HistoricalStockProgress[[#This Row],[Price of Shares]]*HistoricalStockProgress[[#This Row],[No. of Shares]],0)</f>
        <v>1609.44</v>
      </c>
      <c r="J141" s="16">
        <f>IF(HistoricalStockProgress[[#This Row],[No. of Shares]]&lt;&gt;0,HistoricalStockProgress[[#This Row],[Price of Shares]]-HistoricalStockProgress[[#This Row],[Cost of Shares]]/HistoricalStockProgress[[#This Row],[No. of Shares]],0)</f>
        <v>21.214444739498433</v>
      </c>
      <c r="K141" s="17">
        <f>IF(HistoricalStockProgress[[#This Row],[Total Price of Shares]]&lt;&gt;0,HistoricalStockProgress[[#This Row],[Total Price of Shares]]-HistoricalStockProgress[[#This Row],[Cost of Shares]],0)</f>
        <v>254.57333687398113</v>
      </c>
      <c r="L141" s="34" t="b" cm="1">
        <f t="array" ref="L141">IFERROR(IF(HistoricalStockProgress[[#This Row],[Price of Shares]]="",_xlfn.STOCKHISTORY(HistoricalStockProgress[[#This Row],[Full Company Name]],HistoricalStockProgress[[#This Row],[Date]],,2,0,1)),0)</f>
        <v>0</v>
      </c>
      <c r="M141" s="34">
        <f>YEAR(HistoricalStockProgress[[#This Row],[Date]])</f>
        <v>2016</v>
      </c>
      <c r="N141" s="34">
        <f>MONTH(HistoricalStockProgress[[#This Row],[Date]])</f>
        <v>8</v>
      </c>
    </row>
    <row r="142" spans="2:14">
      <c r="B142" s="15">
        <v>42613</v>
      </c>
      <c r="C142" s="34" t="s">
        <v>17</v>
      </c>
      <c r="D142" s="34" t="e" vm="14">
        <f>_xlfn.XLOOKUP(HistoricalStockProgress[[#This Row],[Company Ticker]],CompanyDetailsList[Company Ticker],CompanyDetailsList[Official Name],,0)</f>
        <v>#VALUE!</v>
      </c>
      <c r="E1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v>
      </c>
      <c r="F1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2797.1749688808613</v>
      </c>
      <c r="G142" s="17">
        <f>IFERROR(HistoricalStockProgress[[#This Row],[Cost of Shares]]/HistoricalStockProgress[[#This Row],[No. of Shares]],0)</f>
        <v>155.39860938227008</v>
      </c>
      <c r="H142" s="16" vm="695">
        <v>158.88</v>
      </c>
      <c r="I142" s="16">
        <f>IF(HistoricalStockProgress[[#This Row],[No. of Shares]]&lt;&gt;0,HistoricalStockProgress[[#This Row],[Price of Shares]]*HistoricalStockProgress[[#This Row],[No. of Shares]],0)</f>
        <v>2859.84</v>
      </c>
      <c r="J142" s="16">
        <f>IF(HistoricalStockProgress[[#This Row],[No. of Shares]]&lt;&gt;0,HistoricalStockProgress[[#This Row],[Price of Shares]]-HistoricalStockProgress[[#This Row],[Cost of Shares]]/HistoricalStockProgress[[#This Row],[No. of Shares]],0)</f>
        <v>3.4813906177299145</v>
      </c>
      <c r="K142" s="17">
        <f>IF(HistoricalStockProgress[[#This Row],[Total Price of Shares]]&lt;&gt;0,HistoricalStockProgress[[#This Row],[Total Price of Shares]]-HistoricalStockProgress[[#This Row],[Cost of Shares]],0)</f>
        <v>62.665031119138803</v>
      </c>
      <c r="L142" s="34" t="b" cm="1">
        <f t="array" ref="L142">IFERROR(IF(HistoricalStockProgress[[#This Row],[Price of Shares]]="",_xlfn.STOCKHISTORY(HistoricalStockProgress[[#This Row],[Full Company Name]],HistoricalStockProgress[[#This Row],[Date]],,2,0,1)),0)</f>
        <v>0</v>
      </c>
      <c r="M142" s="34">
        <f>YEAR(HistoricalStockProgress[[#This Row],[Date]])</f>
        <v>2016</v>
      </c>
      <c r="N142" s="34">
        <f>MONTH(HistoricalStockProgress[[#This Row],[Date]])</f>
        <v>8</v>
      </c>
    </row>
    <row r="143" spans="2:14">
      <c r="B143" s="15">
        <v>42613</v>
      </c>
      <c r="C143" s="34" t="s">
        <v>100</v>
      </c>
      <c r="D143" s="34" t="e" vm="16">
        <f>_xlfn.XLOOKUP(HistoricalStockProgress[[#This Row],[Company Ticker]],CompanyDetailsList[Company Ticker],CompanyDetailsList[Official Name],,0)</f>
        <v>#VALUE!</v>
      </c>
      <c r="E1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1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143" s="17">
        <f>IFERROR(HistoricalStockProgress[[#This Row],[Cost of Shares]]/HistoricalStockProgress[[#This Row],[No. of Shares]],0)</f>
        <v>84.509035134678101</v>
      </c>
      <c r="H143" s="16" vm="696">
        <v>79.66</v>
      </c>
      <c r="I143" s="16">
        <f>IF(HistoricalStockProgress[[#This Row],[No. of Shares]]&lt;&gt;0,HistoricalStockProgress[[#This Row],[Price of Shares]]*HistoricalStockProgress[[#This Row],[No. of Shares]],0)</f>
        <v>2628.7799999999997</v>
      </c>
      <c r="J143" s="16">
        <f>IF(HistoricalStockProgress[[#This Row],[No. of Shares]]&lt;&gt;0,HistoricalStockProgress[[#This Row],[Price of Shares]]-HistoricalStockProgress[[#This Row],[Cost of Shares]]/HistoricalStockProgress[[#This Row],[No. of Shares]],0)</f>
        <v>-4.849035134678104</v>
      </c>
      <c r="K143" s="17">
        <f>IF(HistoricalStockProgress[[#This Row],[Total Price of Shares]]&lt;&gt;0,HistoricalStockProgress[[#This Row],[Total Price of Shares]]-HistoricalStockProgress[[#This Row],[Cost of Shares]],0)</f>
        <v>-160.01815944437749</v>
      </c>
      <c r="L143" s="34" t="b" cm="1">
        <f t="array" ref="L143">IFERROR(IF(HistoricalStockProgress[[#This Row],[Price of Shares]]="",_xlfn.STOCKHISTORY(HistoricalStockProgress[[#This Row],[Full Company Name]],HistoricalStockProgress[[#This Row],[Date]],,2,0,1)),0)</f>
        <v>0</v>
      </c>
      <c r="M143" s="34">
        <f>YEAR(HistoricalStockProgress[[#This Row],[Date]])</f>
        <v>2016</v>
      </c>
      <c r="N143" s="34">
        <f>MONTH(HistoricalStockProgress[[#This Row],[Date]])</f>
        <v>8</v>
      </c>
    </row>
    <row r="144" spans="2:14">
      <c r="B144" s="15">
        <v>42613</v>
      </c>
      <c r="C144" s="34" t="s">
        <v>15</v>
      </c>
      <c r="D144" s="34" t="e" vm="17">
        <f>_xlfn.XLOOKUP(HistoricalStockProgress[[#This Row],[Company Ticker]],CompanyDetailsList[Company Ticker],CompanyDetailsList[Official Name],,0)</f>
        <v>#VALUE!</v>
      </c>
      <c r="E1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1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144" s="17">
        <f>IFERROR(HistoricalStockProgress[[#This Row],[Cost of Shares]]/HistoricalStockProgress[[#This Row],[No. of Shares]],0)</f>
        <v>26.481400454992627</v>
      </c>
      <c r="H144" s="16" vm="697">
        <v>30.8718</v>
      </c>
      <c r="I144" s="16">
        <f>IF(HistoricalStockProgress[[#This Row],[No. of Shares]]&lt;&gt;0,HistoricalStockProgress[[#This Row],[Price of Shares]]*HistoricalStockProgress[[#This Row],[No. of Shares]],0)</f>
        <v>2963.6927999999998</v>
      </c>
      <c r="J144" s="16">
        <f>IF(HistoricalStockProgress[[#This Row],[No. of Shares]]&lt;&gt;0,HistoricalStockProgress[[#This Row],[Price of Shares]]-HistoricalStockProgress[[#This Row],[Cost of Shares]]/HistoricalStockProgress[[#This Row],[No. of Shares]],0)</f>
        <v>4.390399545007373</v>
      </c>
      <c r="K144" s="17">
        <f>IF(HistoricalStockProgress[[#This Row],[Total Price of Shares]]&lt;&gt;0,HistoricalStockProgress[[#This Row],[Total Price of Shares]]-HistoricalStockProgress[[#This Row],[Cost of Shares]],0)</f>
        <v>421.47835632070746</v>
      </c>
      <c r="L144" s="34" t="b" cm="1">
        <f t="array" ref="L144">IFERROR(IF(HistoricalStockProgress[[#This Row],[Price of Shares]]="",_xlfn.STOCKHISTORY(HistoricalStockProgress[[#This Row],[Full Company Name]],HistoricalStockProgress[[#This Row],[Date]],,2,0,1)),0)</f>
        <v>0</v>
      </c>
      <c r="M144" s="34">
        <f>YEAR(HistoricalStockProgress[[#This Row],[Date]])</f>
        <v>2016</v>
      </c>
      <c r="N144" s="34">
        <f>MONTH(HistoricalStockProgress[[#This Row],[Date]])</f>
        <v>8</v>
      </c>
    </row>
    <row r="145" spans="2:14">
      <c r="B145" s="15">
        <v>42613</v>
      </c>
      <c r="C145" s="34" t="s">
        <v>13</v>
      </c>
      <c r="D145" s="34" t="e" vm="18">
        <f>_xlfn.XLOOKUP(HistoricalStockProgress[[#This Row],[Company Ticker]],CompanyDetailsList[Company Ticker],CompanyDetailsList[Official Name],,0)</f>
        <v>#VALUE!</v>
      </c>
      <c r="E1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1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145" s="17">
        <f>IFERROR(HistoricalStockProgress[[#This Row],[Cost of Shares]]/HistoricalStockProgress[[#This Row],[No. of Shares]],0)</f>
        <v>30.916275141190898</v>
      </c>
      <c r="H145" s="16" vm="698">
        <v>32.988700000000001</v>
      </c>
      <c r="I145" s="16">
        <f>IF(HistoricalStockProgress[[#This Row],[No. of Shares]]&lt;&gt;0,HistoricalStockProgress[[#This Row],[Price of Shares]]*HistoricalStockProgress[[#This Row],[No. of Shares]],0)</f>
        <v>362.87569999999999</v>
      </c>
      <c r="J145" s="16">
        <f>IF(HistoricalStockProgress[[#This Row],[No. of Shares]]&lt;&gt;0,HistoricalStockProgress[[#This Row],[Price of Shares]]-HistoricalStockProgress[[#This Row],[Cost of Shares]]/HistoricalStockProgress[[#This Row],[No. of Shares]],0)</f>
        <v>2.0724248588091037</v>
      </c>
      <c r="K145" s="17">
        <f>IF(HistoricalStockProgress[[#This Row],[Total Price of Shares]]&lt;&gt;0,HistoricalStockProgress[[#This Row],[Total Price of Shares]]-HistoricalStockProgress[[#This Row],[Cost of Shares]],0)</f>
        <v>22.796673446900115</v>
      </c>
      <c r="L145" s="34" t="b" cm="1">
        <f t="array" ref="L145">IFERROR(IF(HistoricalStockProgress[[#This Row],[Price of Shares]]="",_xlfn.STOCKHISTORY(HistoricalStockProgress[[#This Row],[Full Company Name]],HistoricalStockProgress[[#This Row],[Date]],,2,0,1)),0)</f>
        <v>0</v>
      </c>
      <c r="M145" s="34">
        <f>YEAR(HistoricalStockProgress[[#This Row],[Date]])</f>
        <v>2016</v>
      </c>
      <c r="N145" s="34">
        <f>MONTH(HistoricalStockProgress[[#This Row],[Date]])</f>
        <v>8</v>
      </c>
    </row>
    <row r="146" spans="2:14">
      <c r="B146" s="15">
        <v>42613</v>
      </c>
      <c r="C146" s="34" t="s">
        <v>20</v>
      </c>
      <c r="D146" s="34" t="e" vm="19">
        <f>_xlfn.XLOOKUP(HistoricalStockProgress[[#This Row],[Company Ticker]],CompanyDetailsList[Company Ticker],CompanyDetailsList[Official Name],,0)</f>
        <v>#VALUE!</v>
      </c>
      <c r="E1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16</v>
      </c>
      <c r="F1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1089.6459884973885</v>
      </c>
      <c r="G146" s="17">
        <f>IFERROR(HistoricalStockProgress[[#This Row],[Cost of Shares]]/HistoricalStockProgress[[#This Row],[No. of Shares]],0)</f>
        <v>68.102874281086784</v>
      </c>
      <c r="H146" s="16" vm="699">
        <v>67.5</v>
      </c>
      <c r="I146" s="16">
        <f>IF(HistoricalStockProgress[[#This Row],[No. of Shares]]&lt;&gt;0,HistoricalStockProgress[[#This Row],[Price of Shares]]*HistoricalStockProgress[[#This Row],[No. of Shares]],0)</f>
        <v>1080</v>
      </c>
      <c r="J146" s="16">
        <f>IF(HistoricalStockProgress[[#This Row],[No. of Shares]]&lt;&gt;0,HistoricalStockProgress[[#This Row],[Price of Shares]]-HistoricalStockProgress[[#This Row],[Cost of Shares]]/HistoricalStockProgress[[#This Row],[No. of Shares]],0)</f>
        <v>-0.60287428108678398</v>
      </c>
      <c r="K146" s="17">
        <f>IF(HistoricalStockProgress[[#This Row],[Total Price of Shares]]&lt;&gt;0,HistoricalStockProgress[[#This Row],[Total Price of Shares]]-HistoricalStockProgress[[#This Row],[Cost of Shares]],0)</f>
        <v>-9.6459884973885437</v>
      </c>
      <c r="L146" s="34" t="b" cm="1">
        <f t="array" ref="L146">IFERROR(IF(HistoricalStockProgress[[#This Row],[Price of Shares]]="",_xlfn.STOCKHISTORY(HistoricalStockProgress[[#This Row],[Full Company Name]],HistoricalStockProgress[[#This Row],[Date]],,2,0,1)),0)</f>
        <v>0</v>
      </c>
      <c r="M146" s="34">
        <f>YEAR(HistoricalStockProgress[[#This Row],[Date]])</f>
        <v>2016</v>
      </c>
      <c r="N146" s="34">
        <f>MONTH(HistoricalStockProgress[[#This Row],[Date]])</f>
        <v>8</v>
      </c>
    </row>
    <row r="147" spans="2:14">
      <c r="B147" s="15">
        <v>42613</v>
      </c>
      <c r="C147" s="34" t="s">
        <v>106</v>
      </c>
      <c r="D147" s="34" t="e" vm="20">
        <f>_xlfn.XLOOKUP(HistoricalStockProgress[[#This Row],[Company Ticker]],CompanyDetailsList[Company Ticker],CompanyDetailsList[Official Name],,0)</f>
        <v>#VALUE!</v>
      </c>
      <c r="E1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1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147" s="17">
        <f>IFERROR(HistoricalStockProgress[[#This Row],[Cost of Shares]]/HistoricalStockProgress[[#This Row],[No. of Shares]],0)</f>
        <v>104.71316390485761</v>
      </c>
      <c r="H147" s="16" vm="700">
        <v>105.88</v>
      </c>
      <c r="I147" s="16">
        <f>IF(HistoricalStockProgress[[#This Row],[No. of Shares]]&lt;&gt;0,HistoricalStockProgress[[#This Row],[Price of Shares]]*HistoricalStockProgress[[#This Row],[No. of Shares]],0)</f>
        <v>3705.7999999999997</v>
      </c>
      <c r="J147" s="16">
        <f>IF(HistoricalStockProgress[[#This Row],[No. of Shares]]&lt;&gt;0,HistoricalStockProgress[[#This Row],[Price of Shares]]-HistoricalStockProgress[[#This Row],[Cost of Shares]]/HistoricalStockProgress[[#This Row],[No. of Shares]],0)</f>
        <v>1.1668360951423864</v>
      </c>
      <c r="K147" s="17">
        <f>IF(HistoricalStockProgress[[#This Row],[Total Price of Shares]]&lt;&gt;0,HistoricalStockProgress[[#This Row],[Total Price of Shares]]-HistoricalStockProgress[[#This Row],[Cost of Shares]],0)</f>
        <v>40.839263329983169</v>
      </c>
      <c r="L147" s="34" t="b" cm="1">
        <f t="array" ref="L147">IFERROR(IF(HistoricalStockProgress[[#This Row],[Price of Shares]]="",_xlfn.STOCKHISTORY(HistoricalStockProgress[[#This Row],[Full Company Name]],HistoricalStockProgress[[#This Row],[Date]],,2,0,1)),0)</f>
        <v>0</v>
      </c>
      <c r="M147" s="34">
        <f>YEAR(HistoricalStockProgress[[#This Row],[Date]])</f>
        <v>2016</v>
      </c>
      <c r="N147" s="34">
        <f>MONTH(HistoricalStockProgress[[#This Row],[Date]])</f>
        <v>8</v>
      </c>
    </row>
    <row r="148" spans="2:14">
      <c r="B148" s="15">
        <v>42643</v>
      </c>
      <c r="C148" s="34" t="s">
        <v>84</v>
      </c>
      <c r="D148" s="34" t="e" vm="7">
        <f>_xlfn.XLOOKUP(HistoricalStockProgress[[#This Row],[Company Ticker]],CompanyDetailsList[Company Ticker],CompanyDetailsList[Official Name],,0)</f>
        <v>#VALUE!</v>
      </c>
      <c r="E1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48" s="17">
        <f>IFERROR(HistoricalStockProgress[[#This Row],[Cost of Shares]]/HistoricalStockProgress[[#This Row],[No. of Shares]],0)</f>
        <v>104.18087504950869</v>
      </c>
      <c r="H148" s="16" vm="701">
        <v>118.13</v>
      </c>
      <c r="I148" s="16">
        <f>IF(HistoricalStockProgress[[#This Row],[No. of Shares]]&lt;&gt;0,HistoricalStockProgress[[#This Row],[Price of Shares]]*HistoricalStockProgress[[#This Row],[No. of Shares]],0)</f>
        <v>6024.63</v>
      </c>
      <c r="J148" s="16">
        <f>IF(HistoricalStockProgress[[#This Row],[No. of Shares]]&lt;&gt;0,HistoricalStockProgress[[#This Row],[Price of Shares]]-HistoricalStockProgress[[#This Row],[Cost of Shares]]/HistoricalStockProgress[[#This Row],[No. of Shares]],0)</f>
        <v>13.94912495049131</v>
      </c>
      <c r="K148" s="17">
        <f>IF(HistoricalStockProgress[[#This Row],[Total Price of Shares]]&lt;&gt;0,HistoricalStockProgress[[#This Row],[Total Price of Shares]]-HistoricalStockProgress[[#This Row],[Cost of Shares]],0)</f>
        <v>711.40537247505745</v>
      </c>
      <c r="L148" s="34" t="b" cm="1">
        <f t="array" ref="L148">IFERROR(IF(HistoricalStockProgress[[#This Row],[Price of Shares]]="",_xlfn.STOCKHISTORY(HistoricalStockProgress[[#This Row],[Full Company Name]],HistoricalStockProgress[[#This Row],[Date]],,2,0,1)),0)</f>
        <v>0</v>
      </c>
      <c r="M148" s="34">
        <f>YEAR(HistoricalStockProgress[[#This Row],[Date]])</f>
        <v>2016</v>
      </c>
      <c r="N148" s="34">
        <f>MONTH(HistoricalStockProgress[[#This Row],[Date]])</f>
        <v>9</v>
      </c>
    </row>
    <row r="149" spans="2:14">
      <c r="B149" s="15">
        <v>42643</v>
      </c>
      <c r="C149" s="34" t="s">
        <v>86</v>
      </c>
      <c r="D149" s="34" t="e" vm="8">
        <f>_xlfn.XLOOKUP(HistoricalStockProgress[[#This Row],[Company Ticker]],CompanyDetailsList[Company Ticker],CompanyDetailsList[Official Name],,0)</f>
        <v>#VALUE!</v>
      </c>
      <c r="E1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v>
      </c>
      <c r="F1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894.13820748177</v>
      </c>
      <c r="G149" s="17">
        <f>IFERROR(HistoricalStockProgress[[#This Row],[Cost of Shares]]/HistoricalStockProgress[[#This Row],[No. of Shares]],0)</f>
        <v>59.609213832118002</v>
      </c>
      <c r="H149" s="16" vm="702">
        <v>63.07</v>
      </c>
      <c r="I149" s="16">
        <f>IF(HistoricalStockProgress[[#This Row],[No. of Shares]]&lt;&gt;0,HistoricalStockProgress[[#This Row],[Price of Shares]]*HistoricalStockProgress[[#This Row],[No. of Shares]],0)</f>
        <v>946.05</v>
      </c>
      <c r="J149" s="16">
        <f>IF(HistoricalStockProgress[[#This Row],[No. of Shares]]&lt;&gt;0,HistoricalStockProgress[[#This Row],[Price of Shares]]-HistoricalStockProgress[[#This Row],[Cost of Shares]]/HistoricalStockProgress[[#This Row],[No. of Shares]],0)</f>
        <v>3.4607861678819987</v>
      </c>
      <c r="K149" s="17">
        <f>IF(HistoricalStockProgress[[#This Row],[Total Price of Shares]]&lt;&gt;0,HistoricalStockProgress[[#This Row],[Total Price of Shares]]-HistoricalStockProgress[[#This Row],[Cost of Shares]],0)</f>
        <v>51.911792518229959</v>
      </c>
      <c r="L149" s="34" t="b" cm="1">
        <f t="array" ref="L149">IFERROR(IF(HistoricalStockProgress[[#This Row],[Price of Shares]]="",_xlfn.STOCKHISTORY(HistoricalStockProgress[[#This Row],[Full Company Name]],HistoricalStockProgress[[#This Row],[Date]],,2,0,1)),0)</f>
        <v>0</v>
      </c>
      <c r="M149" s="34">
        <f>YEAR(HistoricalStockProgress[[#This Row],[Date]])</f>
        <v>2016</v>
      </c>
      <c r="N149" s="34">
        <f>MONTH(HistoricalStockProgress[[#This Row],[Date]])</f>
        <v>9</v>
      </c>
    </row>
    <row r="150" spans="2:14">
      <c r="B150" s="15">
        <v>42643</v>
      </c>
      <c r="C150" s="34" t="s">
        <v>22</v>
      </c>
      <c r="D150" s="34" t="e" vm="10">
        <f>_xlfn.XLOOKUP(HistoricalStockProgress[[#This Row],[Company Ticker]],CompanyDetailsList[Company Ticker],CompanyDetailsList[Official Name],,0)</f>
        <v>#VALUE!</v>
      </c>
      <c r="E1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1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150" s="17">
        <f>IFERROR(HistoricalStockProgress[[#This Row],[Cost of Shares]]/HistoricalStockProgress[[#This Row],[No. of Shares]],0)</f>
        <v>83.61275075159574</v>
      </c>
      <c r="H150" s="16" vm="703">
        <v>88.77</v>
      </c>
      <c r="I150" s="16">
        <f>IF(HistoricalStockProgress[[#This Row],[No. of Shares]]&lt;&gt;0,HistoricalStockProgress[[#This Row],[Price of Shares]]*HistoricalStockProgress[[#This Row],[No. of Shares]],0)</f>
        <v>5414.9699999999993</v>
      </c>
      <c r="J150" s="16">
        <f>IF(HistoricalStockProgress[[#This Row],[No. of Shares]]&lt;&gt;0,HistoricalStockProgress[[#This Row],[Price of Shares]]-HistoricalStockProgress[[#This Row],[Cost of Shares]]/HistoricalStockProgress[[#This Row],[No. of Shares]],0)</f>
        <v>5.1572492484042556</v>
      </c>
      <c r="K150" s="17">
        <f>IF(HistoricalStockProgress[[#This Row],[Total Price of Shares]]&lt;&gt;0,HistoricalStockProgress[[#This Row],[Total Price of Shares]]-HistoricalStockProgress[[#This Row],[Cost of Shares]],0)</f>
        <v>314.59220415265918</v>
      </c>
      <c r="L150" s="34" t="b" cm="1">
        <f t="array" ref="L150">IFERROR(IF(HistoricalStockProgress[[#This Row],[Price of Shares]]="",_xlfn.STOCKHISTORY(HistoricalStockProgress[[#This Row],[Full Company Name]],HistoricalStockProgress[[#This Row],[Date]],,2,0,1)),0)</f>
        <v>0</v>
      </c>
      <c r="M150" s="34">
        <f>YEAR(HistoricalStockProgress[[#This Row],[Date]])</f>
        <v>2016</v>
      </c>
      <c r="N150" s="34">
        <f>MONTH(HistoricalStockProgress[[#This Row],[Date]])</f>
        <v>9</v>
      </c>
    </row>
    <row r="151" spans="2:14">
      <c r="B151" s="15">
        <v>42643</v>
      </c>
      <c r="C151" s="34" t="s">
        <v>91</v>
      </c>
      <c r="D151" s="34" t="e" vm="11">
        <f>_xlfn.XLOOKUP(HistoricalStockProgress[[#This Row],[Company Ticker]],CompanyDetailsList[Company Ticker],CompanyDetailsList[Official Name],,0)</f>
        <v>#VALUE!</v>
      </c>
      <c r="E1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3147.1300357784085</v>
      </c>
      <c r="G151" s="17">
        <f>IFERROR(HistoricalStockProgress[[#This Row],[Cost of Shares]]/HistoricalStockProgress[[#This Row],[No. of Shares]],0)</f>
        <v>56.198750638900151</v>
      </c>
      <c r="H151" s="16" vm="704">
        <v>57.6</v>
      </c>
      <c r="I151" s="16">
        <f>IF(HistoricalStockProgress[[#This Row],[No. of Shares]]&lt;&gt;0,HistoricalStockProgress[[#This Row],[Price of Shares]]*HistoricalStockProgress[[#This Row],[No. of Shares]],0)</f>
        <v>3225.6</v>
      </c>
      <c r="J151" s="16">
        <f>IF(HistoricalStockProgress[[#This Row],[No. of Shares]]&lt;&gt;0,HistoricalStockProgress[[#This Row],[Price of Shares]]-HistoricalStockProgress[[#This Row],[Cost of Shares]]/HistoricalStockProgress[[#This Row],[No. of Shares]],0)</f>
        <v>1.4012493610998504</v>
      </c>
      <c r="K151" s="17">
        <f>IF(HistoricalStockProgress[[#This Row],[Total Price of Shares]]&lt;&gt;0,HistoricalStockProgress[[#This Row],[Total Price of Shares]]-HistoricalStockProgress[[#This Row],[Cost of Shares]],0)</f>
        <v>78.469964221591454</v>
      </c>
      <c r="L151" s="34" t="b" cm="1">
        <f t="array" ref="L151">IFERROR(IF(HistoricalStockProgress[[#This Row],[Price of Shares]]="",_xlfn.STOCKHISTORY(HistoricalStockProgress[[#This Row],[Full Company Name]],HistoricalStockProgress[[#This Row],[Date]],,2,0,1)),0)</f>
        <v>0</v>
      </c>
      <c r="M151" s="34">
        <f>YEAR(HistoricalStockProgress[[#This Row],[Date]])</f>
        <v>2016</v>
      </c>
      <c r="N151" s="34">
        <f>MONTH(HistoricalStockProgress[[#This Row],[Date]])</f>
        <v>9</v>
      </c>
    </row>
    <row r="152" spans="2:14">
      <c r="B152" s="15">
        <v>42643</v>
      </c>
      <c r="C152" s="34" t="s">
        <v>16</v>
      </c>
      <c r="D152" s="34" t="e" vm="12">
        <f>_xlfn.XLOOKUP(HistoricalStockProgress[[#This Row],[Company Ticker]],CompanyDetailsList[Company Ticker],CompanyDetailsList[Official Name],,0)</f>
        <v>#VALUE!</v>
      </c>
      <c r="E1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60</v>
      </c>
      <c r="F1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5084.1379319177213</v>
      </c>
      <c r="G152" s="17">
        <f>IFERROR(HistoricalStockProgress[[#This Row],[Cost of Shares]]/HistoricalStockProgress[[#This Row],[No. of Shares]],0)</f>
        <v>84.735632198628693</v>
      </c>
      <c r="H152" s="16" vm="705">
        <v>87.28</v>
      </c>
      <c r="I152" s="16">
        <f>IF(HistoricalStockProgress[[#This Row],[No. of Shares]]&lt;&gt;0,HistoricalStockProgress[[#This Row],[Price of Shares]]*HistoricalStockProgress[[#This Row],[No. of Shares]],0)</f>
        <v>5236.8</v>
      </c>
      <c r="J152" s="16">
        <f>IF(HistoricalStockProgress[[#This Row],[No. of Shares]]&lt;&gt;0,HistoricalStockProgress[[#This Row],[Price of Shares]]-HistoricalStockProgress[[#This Row],[Cost of Shares]]/HistoricalStockProgress[[#This Row],[No. of Shares]],0)</f>
        <v>2.5443678013713082</v>
      </c>
      <c r="K152" s="17">
        <f>IF(HistoricalStockProgress[[#This Row],[Total Price of Shares]]&lt;&gt;0,HistoricalStockProgress[[#This Row],[Total Price of Shares]]-HistoricalStockProgress[[#This Row],[Cost of Shares]],0)</f>
        <v>152.66206808227889</v>
      </c>
      <c r="L152" s="34" t="b" cm="1">
        <f t="array" ref="L152">IFERROR(IF(HistoricalStockProgress[[#This Row],[Price of Shares]]="",_xlfn.STOCKHISTORY(HistoricalStockProgress[[#This Row],[Full Company Name]],HistoricalStockProgress[[#This Row],[Date]],,2,0,1)),0)</f>
        <v>0</v>
      </c>
      <c r="M152" s="34">
        <f>YEAR(HistoricalStockProgress[[#This Row],[Date]])</f>
        <v>2016</v>
      </c>
      <c r="N152" s="34">
        <f>MONTH(HistoricalStockProgress[[#This Row],[Date]])</f>
        <v>9</v>
      </c>
    </row>
    <row r="153" spans="2:14">
      <c r="B153" s="15">
        <v>42643</v>
      </c>
      <c r="C153" s="34" t="s">
        <v>95</v>
      </c>
      <c r="D153" s="34" t="e" vm="13">
        <f>_xlfn.XLOOKUP(HistoricalStockProgress[[#This Row],[Company Ticker]],CompanyDetailsList[Company Ticker],CompanyDetailsList[Official Name],,0)</f>
        <v>#VALUE!</v>
      </c>
      <c r="E1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1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153" s="17">
        <f>IFERROR(HistoricalStockProgress[[#This Row],[Cost of Shares]]/HistoricalStockProgress[[#This Row],[No. of Shares]],0)</f>
        <v>112.90555526050157</v>
      </c>
      <c r="H153" s="16" vm="706">
        <v>128.68</v>
      </c>
      <c r="I153" s="16">
        <f>IF(HistoricalStockProgress[[#This Row],[No. of Shares]]&lt;&gt;0,HistoricalStockProgress[[#This Row],[Price of Shares]]*HistoricalStockProgress[[#This Row],[No. of Shares]],0)</f>
        <v>1544.16</v>
      </c>
      <c r="J153" s="16">
        <f>IF(HistoricalStockProgress[[#This Row],[No. of Shares]]&lt;&gt;0,HistoricalStockProgress[[#This Row],[Price of Shares]]-HistoricalStockProgress[[#This Row],[Cost of Shares]]/HistoricalStockProgress[[#This Row],[No. of Shares]],0)</f>
        <v>15.774444739498435</v>
      </c>
      <c r="K153" s="17">
        <f>IF(HistoricalStockProgress[[#This Row],[Total Price of Shares]]&lt;&gt;0,HistoricalStockProgress[[#This Row],[Total Price of Shares]]-HistoricalStockProgress[[#This Row],[Cost of Shares]],0)</f>
        <v>189.29333687398116</v>
      </c>
      <c r="L153" s="34" t="b" cm="1">
        <f t="array" ref="L153">IFERROR(IF(HistoricalStockProgress[[#This Row],[Price of Shares]]="",_xlfn.STOCKHISTORY(HistoricalStockProgress[[#This Row],[Full Company Name]],HistoricalStockProgress[[#This Row],[Date]],,2,0,1)),0)</f>
        <v>0</v>
      </c>
      <c r="M153" s="34">
        <f>YEAR(HistoricalStockProgress[[#This Row],[Date]])</f>
        <v>2016</v>
      </c>
      <c r="N153" s="34">
        <f>MONTH(HistoricalStockProgress[[#This Row],[Date]])</f>
        <v>9</v>
      </c>
    </row>
    <row r="154" spans="2:14">
      <c r="B154" s="15">
        <v>42643</v>
      </c>
      <c r="C154" s="34" t="s">
        <v>17</v>
      </c>
      <c r="D154" s="34" t="e" vm="14">
        <f>_xlfn.XLOOKUP(HistoricalStockProgress[[#This Row],[Company Ticker]],CompanyDetailsList[Company Ticker],CompanyDetailsList[Official Name],,0)</f>
        <v>#VALUE!</v>
      </c>
      <c r="E1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v>
      </c>
      <c r="F1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2797.1749688808613</v>
      </c>
      <c r="G154" s="17">
        <f>IFERROR(HistoricalStockProgress[[#This Row],[Cost of Shares]]/HistoricalStockProgress[[#This Row],[No. of Shares]],0)</f>
        <v>155.39860938227008</v>
      </c>
      <c r="H154" s="16" vm="707">
        <v>158.85</v>
      </c>
      <c r="I154" s="16">
        <f>IF(HistoricalStockProgress[[#This Row],[No. of Shares]]&lt;&gt;0,HistoricalStockProgress[[#This Row],[Price of Shares]]*HistoricalStockProgress[[#This Row],[No. of Shares]],0)</f>
        <v>2859.2999999999997</v>
      </c>
      <c r="J154" s="16">
        <f>IF(HistoricalStockProgress[[#This Row],[No. of Shares]]&lt;&gt;0,HistoricalStockProgress[[#This Row],[Price of Shares]]-HistoricalStockProgress[[#This Row],[Cost of Shares]]/HistoricalStockProgress[[#This Row],[No. of Shares]],0)</f>
        <v>3.4513906177299134</v>
      </c>
      <c r="K154" s="17">
        <f>IF(HistoricalStockProgress[[#This Row],[Total Price of Shares]]&lt;&gt;0,HistoricalStockProgress[[#This Row],[Total Price of Shares]]-HistoricalStockProgress[[#This Row],[Cost of Shares]],0)</f>
        <v>62.125031119138384</v>
      </c>
      <c r="L154" s="34" t="b" cm="1">
        <f t="array" ref="L154">IFERROR(IF(HistoricalStockProgress[[#This Row],[Price of Shares]]="",_xlfn.STOCKHISTORY(HistoricalStockProgress[[#This Row],[Full Company Name]],HistoricalStockProgress[[#This Row],[Date]],,2,0,1)),0)</f>
        <v>0</v>
      </c>
      <c r="M154" s="34">
        <f>YEAR(HistoricalStockProgress[[#This Row],[Date]])</f>
        <v>2016</v>
      </c>
      <c r="N154" s="34">
        <f>MONTH(HistoricalStockProgress[[#This Row],[Date]])</f>
        <v>9</v>
      </c>
    </row>
    <row r="155" spans="2:14">
      <c r="B155" s="15">
        <v>42643</v>
      </c>
      <c r="C155" s="34" t="s">
        <v>100</v>
      </c>
      <c r="D155" s="34" t="e" vm="16">
        <f>_xlfn.XLOOKUP(HistoricalStockProgress[[#This Row],[Company Ticker]],CompanyDetailsList[Company Ticker],CompanyDetailsList[Official Name],,0)</f>
        <v>#VALUE!</v>
      </c>
      <c r="E1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1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155" s="17">
        <f>IFERROR(HistoricalStockProgress[[#This Row],[Cost of Shares]]/HistoricalStockProgress[[#This Row],[No. of Shares]],0)</f>
        <v>84.509035134678101</v>
      </c>
      <c r="H155" s="16" vm="708">
        <v>80.040000000000006</v>
      </c>
      <c r="I155" s="16">
        <f>IF(HistoricalStockProgress[[#This Row],[No. of Shares]]&lt;&gt;0,HistoricalStockProgress[[#This Row],[Price of Shares]]*HistoricalStockProgress[[#This Row],[No. of Shares]],0)</f>
        <v>2641.32</v>
      </c>
      <c r="J155" s="16">
        <f>IF(HistoricalStockProgress[[#This Row],[No. of Shares]]&lt;&gt;0,HistoricalStockProgress[[#This Row],[Price of Shares]]-HistoricalStockProgress[[#This Row],[Cost of Shares]]/HistoricalStockProgress[[#This Row],[No. of Shares]],0)</f>
        <v>-4.4690351346780943</v>
      </c>
      <c r="K155" s="17">
        <f>IF(HistoricalStockProgress[[#This Row],[Total Price of Shares]]&lt;&gt;0,HistoricalStockProgress[[#This Row],[Total Price of Shares]]-HistoricalStockProgress[[#This Row],[Cost of Shares]],0)</f>
        <v>-147.47815944437707</v>
      </c>
      <c r="L155" s="34" t="b" cm="1">
        <f t="array" ref="L155">IFERROR(IF(HistoricalStockProgress[[#This Row],[Price of Shares]]="",_xlfn.STOCKHISTORY(HistoricalStockProgress[[#This Row],[Full Company Name]],HistoricalStockProgress[[#This Row],[Date]],,2,0,1)),0)</f>
        <v>0</v>
      </c>
      <c r="M155" s="34">
        <f>YEAR(HistoricalStockProgress[[#This Row],[Date]])</f>
        <v>2016</v>
      </c>
      <c r="N155" s="34">
        <f>MONTH(HistoricalStockProgress[[#This Row],[Date]])</f>
        <v>9</v>
      </c>
    </row>
    <row r="156" spans="2:14">
      <c r="B156" s="15">
        <v>42643</v>
      </c>
      <c r="C156" s="34" t="s">
        <v>15</v>
      </c>
      <c r="D156" s="34" t="e" vm="17">
        <f>_xlfn.XLOOKUP(HistoricalStockProgress[[#This Row],[Company Ticker]],CompanyDetailsList[Company Ticker],CompanyDetailsList[Official Name],,0)</f>
        <v>#VALUE!</v>
      </c>
      <c r="E1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1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156" s="17">
        <f>IFERROR(HistoricalStockProgress[[#This Row],[Cost of Shares]]/HistoricalStockProgress[[#This Row],[No. of Shares]],0)</f>
        <v>26.481400454992627</v>
      </c>
      <c r="H156" s="16" vm="709">
        <v>30.667899999999999</v>
      </c>
      <c r="I156" s="16">
        <f>IF(HistoricalStockProgress[[#This Row],[No. of Shares]]&lt;&gt;0,HistoricalStockProgress[[#This Row],[Price of Shares]]*HistoricalStockProgress[[#This Row],[No. of Shares]],0)</f>
        <v>2944.1183999999998</v>
      </c>
      <c r="J156" s="16">
        <f>IF(HistoricalStockProgress[[#This Row],[No. of Shares]]&lt;&gt;0,HistoricalStockProgress[[#This Row],[Price of Shares]]-HistoricalStockProgress[[#This Row],[Cost of Shares]]/HistoricalStockProgress[[#This Row],[No. of Shares]],0)</f>
        <v>4.1864995450073721</v>
      </c>
      <c r="K156" s="17">
        <f>IF(HistoricalStockProgress[[#This Row],[Total Price of Shares]]&lt;&gt;0,HistoricalStockProgress[[#This Row],[Total Price of Shares]]-HistoricalStockProgress[[#This Row],[Cost of Shares]],0)</f>
        <v>401.90395632070749</v>
      </c>
      <c r="L156" s="34" t="b" cm="1">
        <f t="array" ref="L156">IFERROR(IF(HistoricalStockProgress[[#This Row],[Price of Shares]]="",_xlfn.STOCKHISTORY(HistoricalStockProgress[[#This Row],[Full Company Name]],HistoricalStockProgress[[#This Row],[Date]],,2,0,1)),0)</f>
        <v>0</v>
      </c>
      <c r="M156" s="34">
        <f>YEAR(HistoricalStockProgress[[#This Row],[Date]])</f>
        <v>2016</v>
      </c>
      <c r="N156" s="34">
        <f>MONTH(HistoricalStockProgress[[#This Row],[Date]])</f>
        <v>9</v>
      </c>
    </row>
    <row r="157" spans="2:14">
      <c r="B157" s="15">
        <v>42643</v>
      </c>
      <c r="C157" s="34" t="s">
        <v>13</v>
      </c>
      <c r="D157" s="34" t="e" vm="18">
        <f>_xlfn.XLOOKUP(HistoricalStockProgress[[#This Row],[Company Ticker]],CompanyDetailsList[Company Ticker],CompanyDetailsList[Official Name],,0)</f>
        <v>#VALUE!</v>
      </c>
      <c r="E1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1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157" s="17">
        <f>IFERROR(HistoricalStockProgress[[#This Row],[Cost of Shares]]/HistoricalStockProgress[[#This Row],[No. of Shares]],0)</f>
        <v>30.916275141190898</v>
      </c>
      <c r="H157" s="16" vm="710">
        <v>32.107100000000003</v>
      </c>
      <c r="I157" s="16">
        <f>IF(HistoricalStockProgress[[#This Row],[No. of Shares]]&lt;&gt;0,HistoricalStockProgress[[#This Row],[Price of Shares]]*HistoricalStockProgress[[#This Row],[No. of Shares]],0)</f>
        <v>353.17810000000003</v>
      </c>
      <c r="J157" s="16">
        <f>IF(HistoricalStockProgress[[#This Row],[No. of Shares]]&lt;&gt;0,HistoricalStockProgress[[#This Row],[Price of Shares]]-HistoricalStockProgress[[#This Row],[Cost of Shares]]/HistoricalStockProgress[[#This Row],[No. of Shares]],0)</f>
        <v>1.1908248588091048</v>
      </c>
      <c r="K157" s="17">
        <f>IF(HistoricalStockProgress[[#This Row],[Total Price of Shares]]&lt;&gt;0,HistoricalStockProgress[[#This Row],[Total Price of Shares]]-HistoricalStockProgress[[#This Row],[Cost of Shares]],0)</f>
        <v>13.09907344690015</v>
      </c>
      <c r="L157" s="34" t="b" cm="1">
        <f t="array" ref="L157">IFERROR(IF(HistoricalStockProgress[[#This Row],[Price of Shares]]="",_xlfn.STOCKHISTORY(HistoricalStockProgress[[#This Row],[Full Company Name]],HistoricalStockProgress[[#This Row],[Date]],,2,0,1)),0)</f>
        <v>0</v>
      </c>
      <c r="M157" s="34">
        <f>YEAR(HistoricalStockProgress[[#This Row],[Date]])</f>
        <v>2016</v>
      </c>
      <c r="N157" s="34">
        <f>MONTH(HistoricalStockProgress[[#This Row],[Date]])</f>
        <v>9</v>
      </c>
    </row>
    <row r="158" spans="2:14">
      <c r="B158" s="15">
        <v>42643</v>
      </c>
      <c r="C158" s="34" t="s">
        <v>20</v>
      </c>
      <c r="D158" s="34" t="e" vm="19">
        <f>_xlfn.XLOOKUP(HistoricalStockProgress[[#This Row],[Company Ticker]],CompanyDetailsList[Company Ticker],CompanyDetailsList[Official Name],,0)</f>
        <v>#VALUE!</v>
      </c>
      <c r="E1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16</v>
      </c>
      <c r="F1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1089.6459884973885</v>
      </c>
      <c r="G158" s="17">
        <f>IFERROR(HistoricalStockProgress[[#This Row],[Cost of Shares]]/HistoricalStockProgress[[#This Row],[No. of Shares]],0)</f>
        <v>68.102874281086784</v>
      </c>
      <c r="H158" s="16" vm="711">
        <v>66.59</v>
      </c>
      <c r="I158" s="16">
        <f>IF(HistoricalStockProgress[[#This Row],[No. of Shares]]&lt;&gt;0,HistoricalStockProgress[[#This Row],[Price of Shares]]*HistoricalStockProgress[[#This Row],[No. of Shares]],0)</f>
        <v>1065.44</v>
      </c>
      <c r="J158" s="16">
        <f>IF(HistoricalStockProgress[[#This Row],[No. of Shares]]&lt;&gt;0,HistoricalStockProgress[[#This Row],[Price of Shares]]-HistoricalStockProgress[[#This Row],[Cost of Shares]]/HistoricalStockProgress[[#This Row],[No. of Shares]],0)</f>
        <v>-1.5128742810867806</v>
      </c>
      <c r="K158" s="17">
        <f>IF(HistoricalStockProgress[[#This Row],[Total Price of Shares]]&lt;&gt;0,HistoricalStockProgress[[#This Row],[Total Price of Shares]]-HistoricalStockProgress[[#This Row],[Cost of Shares]],0)</f>
        <v>-24.205988497388489</v>
      </c>
      <c r="L158" s="34" t="b" cm="1">
        <f t="array" ref="L158">IFERROR(IF(HistoricalStockProgress[[#This Row],[Price of Shares]]="",_xlfn.STOCKHISTORY(HistoricalStockProgress[[#This Row],[Full Company Name]],HistoricalStockProgress[[#This Row],[Date]],,2,0,1)),0)</f>
        <v>0</v>
      </c>
      <c r="M158" s="34">
        <f>YEAR(HistoricalStockProgress[[#This Row],[Date]])</f>
        <v>2016</v>
      </c>
      <c r="N158" s="34">
        <f>MONTH(HistoricalStockProgress[[#This Row],[Date]])</f>
        <v>9</v>
      </c>
    </row>
    <row r="159" spans="2:14">
      <c r="B159" s="15">
        <v>42643</v>
      </c>
      <c r="C159" s="34" t="s">
        <v>106</v>
      </c>
      <c r="D159" s="34" t="e" vm="20">
        <f>_xlfn.XLOOKUP(HistoricalStockProgress[[#This Row],[Company Ticker]],CompanyDetailsList[Company Ticker],CompanyDetailsList[Official Name],,0)</f>
        <v>#VALUE!</v>
      </c>
      <c r="E1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1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159" s="17">
        <f>IFERROR(HistoricalStockProgress[[#This Row],[Cost of Shares]]/HistoricalStockProgress[[#This Row],[No. of Shares]],0)</f>
        <v>104.71316390485761</v>
      </c>
      <c r="H159" s="16" vm="712">
        <v>103.36</v>
      </c>
      <c r="I159" s="16">
        <f>IF(HistoricalStockProgress[[#This Row],[No. of Shares]]&lt;&gt;0,HistoricalStockProgress[[#This Row],[Price of Shares]]*HistoricalStockProgress[[#This Row],[No. of Shares]],0)</f>
        <v>3617.6</v>
      </c>
      <c r="J159" s="16">
        <f>IF(HistoricalStockProgress[[#This Row],[No. of Shares]]&lt;&gt;0,HistoricalStockProgress[[#This Row],[Price of Shares]]-HistoricalStockProgress[[#This Row],[Cost of Shares]]/HistoricalStockProgress[[#This Row],[No. of Shares]],0)</f>
        <v>-1.3531639048576096</v>
      </c>
      <c r="K159" s="17">
        <f>IF(HistoricalStockProgress[[#This Row],[Total Price of Shares]]&lt;&gt;0,HistoricalStockProgress[[#This Row],[Total Price of Shares]]-HistoricalStockProgress[[#This Row],[Cost of Shares]],0)</f>
        <v>-47.360736670016649</v>
      </c>
      <c r="L159" s="34" t="b" cm="1">
        <f t="array" ref="L159">IFERROR(IF(HistoricalStockProgress[[#This Row],[Price of Shares]]="",_xlfn.STOCKHISTORY(HistoricalStockProgress[[#This Row],[Full Company Name]],HistoricalStockProgress[[#This Row],[Date]],,2,0,1)),0)</f>
        <v>0</v>
      </c>
      <c r="M159" s="34">
        <f>YEAR(HistoricalStockProgress[[#This Row],[Date]])</f>
        <v>2016</v>
      </c>
      <c r="N159" s="34">
        <f>MONTH(HistoricalStockProgress[[#This Row],[Date]])</f>
        <v>9</v>
      </c>
    </row>
    <row r="160" spans="2:14">
      <c r="B160" s="15">
        <v>42674</v>
      </c>
      <c r="C160" s="34" t="s">
        <v>84</v>
      </c>
      <c r="D160" s="34" t="e" vm="7">
        <f>_xlfn.XLOOKUP(HistoricalStockProgress[[#This Row],[Company Ticker]],CompanyDetailsList[Company Ticker],CompanyDetailsList[Official Name],,0)</f>
        <v>#VALUE!</v>
      </c>
      <c r="E1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60" s="17">
        <f>IFERROR(HistoricalStockProgress[[#This Row],[Cost of Shares]]/HistoricalStockProgress[[#This Row],[No. of Shares]],0)</f>
        <v>104.18087504950869</v>
      </c>
      <c r="H160" s="16" vm="713">
        <v>115.99</v>
      </c>
      <c r="I160" s="16">
        <f>IF(HistoricalStockProgress[[#This Row],[No. of Shares]]&lt;&gt;0,HistoricalStockProgress[[#This Row],[Price of Shares]]*HistoricalStockProgress[[#This Row],[No. of Shares]],0)</f>
        <v>5915.49</v>
      </c>
      <c r="J160" s="16">
        <f>IF(HistoricalStockProgress[[#This Row],[No. of Shares]]&lt;&gt;0,HistoricalStockProgress[[#This Row],[Price of Shares]]-HistoricalStockProgress[[#This Row],[Cost of Shares]]/HistoricalStockProgress[[#This Row],[No. of Shares]],0)</f>
        <v>11.809124950491309</v>
      </c>
      <c r="K160" s="17">
        <f>IF(HistoricalStockProgress[[#This Row],[Total Price of Shares]]&lt;&gt;0,HistoricalStockProgress[[#This Row],[Total Price of Shares]]-HistoricalStockProgress[[#This Row],[Cost of Shares]],0)</f>
        <v>602.26537247505712</v>
      </c>
      <c r="L160" s="34" t="b" cm="1">
        <f t="array" ref="L160">IFERROR(IF(HistoricalStockProgress[[#This Row],[Price of Shares]]="",_xlfn.STOCKHISTORY(HistoricalStockProgress[[#This Row],[Full Company Name]],HistoricalStockProgress[[#This Row],[Date]],,2,0,1)),0)</f>
        <v>0</v>
      </c>
      <c r="M160" s="34">
        <f>YEAR(HistoricalStockProgress[[#This Row],[Date]])</f>
        <v>2016</v>
      </c>
      <c r="N160" s="34">
        <f>MONTH(HistoricalStockProgress[[#This Row],[Date]])</f>
        <v>10</v>
      </c>
    </row>
    <row r="161" spans="2:14">
      <c r="B161" s="15">
        <v>42674</v>
      </c>
      <c r="C161" s="34" t="s">
        <v>86</v>
      </c>
      <c r="D161" s="34" t="e" vm="8">
        <f>_xlfn.XLOOKUP(HistoricalStockProgress[[#This Row],[Company Ticker]],CompanyDetailsList[Company Ticker],CompanyDetailsList[Official Name],,0)</f>
        <v>#VALUE!</v>
      </c>
      <c r="E1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v>
      </c>
      <c r="F1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894.13820748177</v>
      </c>
      <c r="G161" s="17">
        <f>IFERROR(HistoricalStockProgress[[#This Row],[Cost of Shares]]/HistoricalStockProgress[[#This Row],[No. of Shares]],0)</f>
        <v>59.609213832118002</v>
      </c>
      <c r="H161" s="16" vm="714">
        <v>55.78</v>
      </c>
      <c r="I161" s="16">
        <f>IF(HistoricalStockProgress[[#This Row],[No. of Shares]]&lt;&gt;0,HistoricalStockProgress[[#This Row],[Price of Shares]]*HistoricalStockProgress[[#This Row],[No. of Shares]],0)</f>
        <v>836.7</v>
      </c>
      <c r="J161" s="16">
        <f>IF(HistoricalStockProgress[[#This Row],[No. of Shares]]&lt;&gt;0,HistoricalStockProgress[[#This Row],[Price of Shares]]-HistoricalStockProgress[[#This Row],[Cost of Shares]]/HistoricalStockProgress[[#This Row],[No. of Shares]],0)</f>
        <v>-3.8292138321180005</v>
      </c>
      <c r="K161" s="17">
        <f>IF(HistoricalStockProgress[[#This Row],[Total Price of Shares]]&lt;&gt;0,HistoricalStockProgress[[#This Row],[Total Price of Shares]]-HistoricalStockProgress[[#This Row],[Cost of Shares]],0)</f>
        <v>-57.43820748176995</v>
      </c>
      <c r="L161" s="34" t="b" cm="1">
        <f t="array" ref="L161">IFERROR(IF(HistoricalStockProgress[[#This Row],[Price of Shares]]="",_xlfn.STOCKHISTORY(HistoricalStockProgress[[#This Row],[Full Company Name]],HistoricalStockProgress[[#This Row],[Date]],,2,0,1)),0)</f>
        <v>0</v>
      </c>
      <c r="M161" s="34">
        <f>YEAR(HistoricalStockProgress[[#This Row],[Date]])</f>
        <v>2016</v>
      </c>
      <c r="N161" s="34">
        <f>MONTH(HistoricalStockProgress[[#This Row],[Date]])</f>
        <v>10</v>
      </c>
    </row>
    <row r="162" spans="2:14">
      <c r="B162" s="15">
        <v>42674</v>
      </c>
      <c r="C162" s="34" t="s">
        <v>22</v>
      </c>
      <c r="D162" s="34" t="e" vm="10">
        <f>_xlfn.XLOOKUP(HistoricalStockProgress[[#This Row],[Company Ticker]],CompanyDetailsList[Company Ticker],CompanyDetailsList[Official Name],,0)</f>
        <v>#VALUE!</v>
      </c>
      <c r="E1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1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162" s="17">
        <f>IFERROR(HistoricalStockProgress[[#This Row],[Cost of Shares]]/HistoricalStockProgress[[#This Row],[No. of Shares]],0)</f>
        <v>83.61275075159574</v>
      </c>
      <c r="H162" s="16" vm="715">
        <v>83.46</v>
      </c>
      <c r="I162" s="16">
        <f>IF(HistoricalStockProgress[[#This Row],[No. of Shares]]&lt;&gt;0,HistoricalStockProgress[[#This Row],[Price of Shares]]*HistoricalStockProgress[[#This Row],[No. of Shares]],0)</f>
        <v>5091.0599999999995</v>
      </c>
      <c r="J162" s="16">
        <f>IF(HistoricalStockProgress[[#This Row],[No. of Shares]]&lt;&gt;0,HistoricalStockProgress[[#This Row],[Price of Shares]]-HistoricalStockProgress[[#This Row],[Cost of Shares]]/HistoricalStockProgress[[#This Row],[No. of Shares]],0)</f>
        <v>-0.15275075159574669</v>
      </c>
      <c r="K162" s="17">
        <f>IF(HistoricalStockProgress[[#This Row],[Total Price of Shares]]&lt;&gt;0,HistoricalStockProgress[[#This Row],[Total Price of Shares]]-HistoricalStockProgress[[#This Row],[Cost of Shares]],0)</f>
        <v>-9.3177958473406761</v>
      </c>
      <c r="L162" s="34" t="b" cm="1">
        <f t="array" ref="L162">IFERROR(IF(HistoricalStockProgress[[#This Row],[Price of Shares]]="",_xlfn.STOCKHISTORY(HistoricalStockProgress[[#This Row],[Full Company Name]],HistoricalStockProgress[[#This Row],[Date]],,2,0,1)),0)</f>
        <v>0</v>
      </c>
      <c r="M162" s="34">
        <f>YEAR(HistoricalStockProgress[[#This Row],[Date]])</f>
        <v>2016</v>
      </c>
      <c r="N162" s="34">
        <f>MONTH(HistoricalStockProgress[[#This Row],[Date]])</f>
        <v>10</v>
      </c>
    </row>
    <row r="163" spans="2:14">
      <c r="B163" s="15">
        <v>42674</v>
      </c>
      <c r="C163" s="34" t="s">
        <v>91</v>
      </c>
      <c r="D163" s="34" t="e" vm="11">
        <f>_xlfn.XLOOKUP(HistoricalStockProgress[[#This Row],[Company Ticker]],CompanyDetailsList[Company Ticker],CompanyDetailsList[Official Name],,0)</f>
        <v>#VALUE!</v>
      </c>
      <c r="E1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3147.1300357784085</v>
      </c>
      <c r="G163" s="17">
        <f>IFERROR(HistoricalStockProgress[[#This Row],[Cost of Shares]]/HistoricalStockProgress[[#This Row],[No. of Shares]],0)</f>
        <v>56.198750638900151</v>
      </c>
      <c r="H163" s="16" vm="716">
        <v>59.92</v>
      </c>
      <c r="I163" s="16">
        <f>IF(HistoricalStockProgress[[#This Row],[No. of Shares]]&lt;&gt;0,HistoricalStockProgress[[#This Row],[Price of Shares]]*HistoricalStockProgress[[#This Row],[No. of Shares]],0)</f>
        <v>3355.52</v>
      </c>
      <c r="J163" s="16">
        <f>IF(HistoricalStockProgress[[#This Row],[No. of Shares]]&lt;&gt;0,HistoricalStockProgress[[#This Row],[Price of Shares]]-HistoricalStockProgress[[#This Row],[Cost of Shares]]/HistoricalStockProgress[[#This Row],[No. of Shares]],0)</f>
        <v>3.7212493610998507</v>
      </c>
      <c r="K163" s="17">
        <f>IF(HistoricalStockProgress[[#This Row],[Total Price of Shares]]&lt;&gt;0,HistoricalStockProgress[[#This Row],[Total Price of Shares]]-HistoricalStockProgress[[#This Row],[Cost of Shares]],0)</f>
        <v>208.38996422159153</v>
      </c>
      <c r="L163" s="34" t="b" cm="1">
        <f t="array" ref="L163">IFERROR(IF(HistoricalStockProgress[[#This Row],[Price of Shares]]="",_xlfn.STOCKHISTORY(HistoricalStockProgress[[#This Row],[Full Company Name]],HistoricalStockProgress[[#This Row],[Date]],,2,0,1)),0)</f>
        <v>0</v>
      </c>
      <c r="M163" s="34">
        <f>YEAR(HistoricalStockProgress[[#This Row],[Date]])</f>
        <v>2016</v>
      </c>
      <c r="N163" s="34">
        <f>MONTH(HistoricalStockProgress[[#This Row],[Date]])</f>
        <v>10</v>
      </c>
    </row>
    <row r="164" spans="2:14">
      <c r="B164" s="15">
        <v>42674</v>
      </c>
      <c r="C164" s="34" t="s">
        <v>16</v>
      </c>
      <c r="D164" s="34" t="e" vm="12">
        <f>_xlfn.XLOOKUP(HistoricalStockProgress[[#This Row],[Company Ticker]],CompanyDetailsList[Company Ticker],CompanyDetailsList[Official Name],,0)</f>
        <v>#VALUE!</v>
      </c>
      <c r="E1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7523.7120824663862</v>
      </c>
      <c r="G164" s="17">
        <f>IFERROR(HistoricalStockProgress[[#This Row],[Cost of Shares]]/HistoricalStockProgress[[#This Row],[No. of Shares]],0)</f>
        <v>85.496728209845301</v>
      </c>
      <c r="H164" s="16" vm="717">
        <v>83.32</v>
      </c>
      <c r="I164" s="16">
        <f>IF(HistoricalStockProgress[[#This Row],[No. of Shares]]&lt;&gt;0,HistoricalStockProgress[[#This Row],[Price of Shares]]*HistoricalStockProgress[[#This Row],[No. of Shares]],0)</f>
        <v>7332.16</v>
      </c>
      <c r="J164" s="16">
        <f>IF(HistoricalStockProgress[[#This Row],[No. of Shares]]&lt;&gt;0,HistoricalStockProgress[[#This Row],[Price of Shares]]-HistoricalStockProgress[[#This Row],[Cost of Shares]]/HistoricalStockProgress[[#This Row],[No. of Shares]],0)</f>
        <v>-2.176728209845308</v>
      </c>
      <c r="K164" s="17">
        <f>IF(HistoricalStockProgress[[#This Row],[Total Price of Shares]]&lt;&gt;0,HistoricalStockProgress[[#This Row],[Total Price of Shares]]-HistoricalStockProgress[[#This Row],[Cost of Shares]],0)</f>
        <v>-191.55208246638631</v>
      </c>
      <c r="L164" s="34" t="b" cm="1">
        <f t="array" ref="L164">IFERROR(IF(HistoricalStockProgress[[#This Row],[Price of Shares]]="",_xlfn.STOCKHISTORY(HistoricalStockProgress[[#This Row],[Full Company Name]],HistoricalStockProgress[[#This Row],[Date]],,2,0,1)),0)</f>
        <v>0</v>
      </c>
      <c r="M164" s="34">
        <f>YEAR(HistoricalStockProgress[[#This Row],[Date]])</f>
        <v>2016</v>
      </c>
      <c r="N164" s="34">
        <f>MONTH(HistoricalStockProgress[[#This Row],[Date]])</f>
        <v>10</v>
      </c>
    </row>
    <row r="165" spans="2:14">
      <c r="B165" s="15">
        <v>42674</v>
      </c>
      <c r="C165" s="34" t="s">
        <v>95</v>
      </c>
      <c r="D165" s="34" t="e" vm="13">
        <f>_xlfn.XLOOKUP(HistoricalStockProgress[[#This Row],[Company Ticker]],CompanyDetailsList[Company Ticker],CompanyDetailsList[Official Name],,0)</f>
        <v>#VALUE!</v>
      </c>
      <c r="E1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1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165" s="17">
        <f>IFERROR(HistoricalStockProgress[[#This Row],[Cost of Shares]]/HistoricalStockProgress[[#This Row],[No. of Shares]],0)</f>
        <v>112.90555526050157</v>
      </c>
      <c r="H165" s="16" vm="718">
        <v>122.01</v>
      </c>
      <c r="I165" s="16">
        <f>IF(HistoricalStockProgress[[#This Row],[No. of Shares]]&lt;&gt;0,HistoricalStockProgress[[#This Row],[Price of Shares]]*HistoricalStockProgress[[#This Row],[No. of Shares]],0)</f>
        <v>1464.1200000000001</v>
      </c>
      <c r="J165" s="16">
        <f>IF(HistoricalStockProgress[[#This Row],[No. of Shares]]&lt;&gt;0,HistoricalStockProgress[[#This Row],[Price of Shares]]-HistoricalStockProgress[[#This Row],[Cost of Shares]]/HistoricalStockProgress[[#This Row],[No. of Shares]],0)</f>
        <v>9.1044447394984331</v>
      </c>
      <c r="K165" s="17">
        <f>IF(HistoricalStockProgress[[#This Row],[Total Price of Shares]]&lt;&gt;0,HistoricalStockProgress[[#This Row],[Total Price of Shares]]-HistoricalStockProgress[[#This Row],[Cost of Shares]],0)</f>
        <v>109.2533368739812</v>
      </c>
      <c r="L165" s="34" t="b" cm="1">
        <f t="array" ref="L165">IFERROR(IF(HistoricalStockProgress[[#This Row],[Price of Shares]]="",_xlfn.STOCKHISTORY(HistoricalStockProgress[[#This Row],[Full Company Name]],HistoricalStockProgress[[#This Row],[Date]],,2,0,1)),0)</f>
        <v>0</v>
      </c>
      <c r="M165" s="34">
        <f>YEAR(HistoricalStockProgress[[#This Row],[Date]])</f>
        <v>2016</v>
      </c>
      <c r="N165" s="34">
        <f>MONTH(HistoricalStockProgress[[#This Row],[Date]])</f>
        <v>10</v>
      </c>
    </row>
    <row r="166" spans="2:14">
      <c r="B166" s="15">
        <v>42674</v>
      </c>
      <c r="C166" s="34" t="s">
        <v>17</v>
      </c>
      <c r="D166" s="34" t="e" vm="14">
        <f>_xlfn.XLOOKUP(HistoricalStockProgress[[#This Row],[Company Ticker]],CompanyDetailsList[Company Ticker],CompanyDetailsList[Official Name],,0)</f>
        <v>#VALUE!</v>
      </c>
      <c r="E1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v>
      </c>
      <c r="F1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2797.1749688808613</v>
      </c>
      <c r="G166" s="17">
        <f>IFERROR(HistoricalStockProgress[[#This Row],[Cost of Shares]]/HistoricalStockProgress[[#This Row],[No. of Shares]],0)</f>
        <v>155.39860938227008</v>
      </c>
      <c r="H166" s="16" vm="719">
        <v>153.69</v>
      </c>
      <c r="I166" s="16">
        <f>IF(HistoricalStockProgress[[#This Row],[No. of Shares]]&lt;&gt;0,HistoricalStockProgress[[#This Row],[Price of Shares]]*HistoricalStockProgress[[#This Row],[No. of Shares]],0)</f>
        <v>2766.42</v>
      </c>
      <c r="J166" s="16">
        <f>IF(HistoricalStockProgress[[#This Row],[No. of Shares]]&lt;&gt;0,HistoricalStockProgress[[#This Row],[Price of Shares]]-HistoricalStockProgress[[#This Row],[Cost of Shares]]/HistoricalStockProgress[[#This Row],[No. of Shares]],0)</f>
        <v>-1.7086093822700832</v>
      </c>
      <c r="K166" s="17">
        <f>IF(HistoricalStockProgress[[#This Row],[Total Price of Shares]]&lt;&gt;0,HistoricalStockProgress[[#This Row],[Total Price of Shares]]-HistoricalStockProgress[[#This Row],[Cost of Shares]],0)</f>
        <v>-30.75496888086127</v>
      </c>
      <c r="L166" s="34" t="b" cm="1">
        <f t="array" ref="L166">IFERROR(IF(HistoricalStockProgress[[#This Row],[Price of Shares]]="",_xlfn.STOCKHISTORY(HistoricalStockProgress[[#This Row],[Full Company Name]],HistoricalStockProgress[[#This Row],[Date]],,2,0,1)),0)</f>
        <v>0</v>
      </c>
      <c r="M166" s="34">
        <f>YEAR(HistoricalStockProgress[[#This Row],[Date]])</f>
        <v>2016</v>
      </c>
      <c r="N166" s="34">
        <f>MONTH(HistoricalStockProgress[[#This Row],[Date]])</f>
        <v>10</v>
      </c>
    </row>
    <row r="167" spans="2:14">
      <c r="B167" s="15">
        <v>42674</v>
      </c>
      <c r="C167" s="34" t="s">
        <v>100</v>
      </c>
      <c r="D167" s="34" t="e" vm="16">
        <f>_xlfn.XLOOKUP(HistoricalStockProgress[[#This Row],[Company Ticker]],CompanyDetailsList[Company Ticker],CompanyDetailsList[Official Name],,0)</f>
        <v>#VALUE!</v>
      </c>
      <c r="E1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1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167" s="17">
        <f>IFERROR(HistoricalStockProgress[[#This Row],[Cost of Shares]]/HistoricalStockProgress[[#This Row],[No. of Shares]],0)</f>
        <v>84.509035134678101</v>
      </c>
      <c r="H167" s="16" vm="720">
        <v>80.02</v>
      </c>
      <c r="I167" s="16">
        <f>IF(HistoricalStockProgress[[#This Row],[No. of Shares]]&lt;&gt;0,HistoricalStockProgress[[#This Row],[Price of Shares]]*HistoricalStockProgress[[#This Row],[No. of Shares]],0)</f>
        <v>2640.66</v>
      </c>
      <c r="J167" s="16">
        <f>IF(HistoricalStockProgress[[#This Row],[No. of Shares]]&lt;&gt;0,HistoricalStockProgress[[#This Row],[Price of Shares]]-HistoricalStockProgress[[#This Row],[Cost of Shares]]/HistoricalStockProgress[[#This Row],[No. of Shares]],0)</f>
        <v>-4.4890351346781046</v>
      </c>
      <c r="K167" s="17">
        <f>IF(HistoricalStockProgress[[#This Row],[Total Price of Shares]]&lt;&gt;0,HistoricalStockProgress[[#This Row],[Total Price of Shares]]-HistoricalStockProgress[[#This Row],[Cost of Shares]],0)</f>
        <v>-148.13815944437738</v>
      </c>
      <c r="L167" s="34" t="b" cm="1">
        <f t="array" ref="L167">IFERROR(IF(HistoricalStockProgress[[#This Row],[Price of Shares]]="",_xlfn.STOCKHISTORY(HistoricalStockProgress[[#This Row],[Full Company Name]],HistoricalStockProgress[[#This Row],[Date]],,2,0,1)),0)</f>
        <v>0</v>
      </c>
      <c r="M167" s="34">
        <f>YEAR(HistoricalStockProgress[[#This Row],[Date]])</f>
        <v>2016</v>
      </c>
      <c r="N167" s="34">
        <f>MONTH(HistoricalStockProgress[[#This Row],[Date]])</f>
        <v>10</v>
      </c>
    </row>
    <row r="168" spans="2:14">
      <c r="B168" s="15">
        <v>42674</v>
      </c>
      <c r="C168" s="34" t="s">
        <v>15</v>
      </c>
      <c r="D168" s="34" t="e" vm="17">
        <f>_xlfn.XLOOKUP(HistoricalStockProgress[[#This Row],[Company Ticker]],CompanyDetailsList[Company Ticker],CompanyDetailsList[Official Name],,0)</f>
        <v>#VALUE!</v>
      </c>
      <c r="E1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1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168" s="17">
        <f>IFERROR(HistoricalStockProgress[[#This Row],[Cost of Shares]]/HistoricalStockProgress[[#This Row],[No. of Shares]],0)</f>
        <v>26.481400454992627</v>
      </c>
      <c r="H168" s="16" vm="721">
        <v>27.783100000000001</v>
      </c>
      <c r="I168" s="16">
        <f>IF(HistoricalStockProgress[[#This Row],[No. of Shares]]&lt;&gt;0,HistoricalStockProgress[[#This Row],[Price of Shares]]*HistoricalStockProgress[[#This Row],[No. of Shares]],0)</f>
        <v>2667.1776</v>
      </c>
      <c r="J168" s="16">
        <f>IF(HistoricalStockProgress[[#This Row],[No. of Shares]]&lt;&gt;0,HistoricalStockProgress[[#This Row],[Price of Shares]]-HistoricalStockProgress[[#This Row],[Cost of Shares]]/HistoricalStockProgress[[#This Row],[No. of Shares]],0)</f>
        <v>1.3016995450073736</v>
      </c>
      <c r="K168" s="17">
        <f>IF(HistoricalStockProgress[[#This Row],[Total Price of Shares]]&lt;&gt;0,HistoricalStockProgress[[#This Row],[Total Price of Shares]]-HistoricalStockProgress[[#This Row],[Cost of Shares]],0)</f>
        <v>124.96315632070764</v>
      </c>
      <c r="L168" s="34" t="b" cm="1">
        <f t="array" ref="L168">IFERROR(IF(HistoricalStockProgress[[#This Row],[Price of Shares]]="",_xlfn.STOCKHISTORY(HistoricalStockProgress[[#This Row],[Full Company Name]],HistoricalStockProgress[[#This Row],[Date]],,2,0,1)),0)</f>
        <v>0</v>
      </c>
      <c r="M168" s="34">
        <f>YEAR(HistoricalStockProgress[[#This Row],[Date]])</f>
        <v>2016</v>
      </c>
      <c r="N168" s="34">
        <f>MONTH(HistoricalStockProgress[[#This Row],[Date]])</f>
        <v>10</v>
      </c>
    </row>
    <row r="169" spans="2:14">
      <c r="B169" s="15">
        <v>42674</v>
      </c>
      <c r="C169" s="34" t="s">
        <v>13</v>
      </c>
      <c r="D169" s="34" t="e" vm="18">
        <f>_xlfn.XLOOKUP(HistoricalStockProgress[[#This Row],[Company Ticker]],CompanyDetailsList[Company Ticker],CompanyDetailsList[Official Name],,0)</f>
        <v>#VALUE!</v>
      </c>
      <c r="E1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1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169" s="17">
        <f>IFERROR(HistoricalStockProgress[[#This Row],[Cost of Shares]]/HistoricalStockProgress[[#This Row],[No. of Shares]],0)</f>
        <v>30.916275141190898</v>
      </c>
      <c r="H169" s="16" vm="722">
        <v>30.0595</v>
      </c>
      <c r="I169" s="16">
        <f>IF(HistoricalStockProgress[[#This Row],[No. of Shares]]&lt;&gt;0,HistoricalStockProgress[[#This Row],[Price of Shares]]*HistoricalStockProgress[[#This Row],[No. of Shares]],0)</f>
        <v>330.65449999999998</v>
      </c>
      <c r="J169" s="16">
        <f>IF(HistoricalStockProgress[[#This Row],[No. of Shares]]&lt;&gt;0,HistoricalStockProgress[[#This Row],[Price of Shares]]-HistoricalStockProgress[[#This Row],[Cost of Shares]]/HistoricalStockProgress[[#This Row],[No. of Shares]],0)</f>
        <v>-0.85677514119089793</v>
      </c>
      <c r="K169" s="17">
        <f>IF(HistoricalStockProgress[[#This Row],[Total Price of Shares]]&lt;&gt;0,HistoricalStockProgress[[#This Row],[Total Price of Shares]]-HistoricalStockProgress[[#This Row],[Cost of Shares]],0)</f>
        <v>-9.424526553099895</v>
      </c>
      <c r="L169" s="34" t="b" cm="1">
        <f t="array" ref="L169">IFERROR(IF(HistoricalStockProgress[[#This Row],[Price of Shares]]="",_xlfn.STOCKHISTORY(HistoricalStockProgress[[#This Row],[Full Company Name]],HistoricalStockProgress[[#This Row],[Date]],,2,0,1)),0)</f>
        <v>0</v>
      </c>
      <c r="M169" s="34">
        <f>YEAR(HistoricalStockProgress[[#This Row],[Date]])</f>
        <v>2016</v>
      </c>
      <c r="N169" s="34">
        <f>MONTH(HistoricalStockProgress[[#This Row],[Date]])</f>
        <v>10</v>
      </c>
    </row>
    <row r="170" spans="2:14">
      <c r="B170" s="15">
        <v>42674</v>
      </c>
      <c r="C170" s="34" t="s">
        <v>20</v>
      </c>
      <c r="D170" s="34" t="e" vm="19">
        <f>_xlfn.XLOOKUP(HistoricalStockProgress[[#This Row],[Company Ticker]],CompanyDetailsList[Company Ticker],CompanyDetailsList[Official Name],,0)</f>
        <v>#VALUE!</v>
      </c>
      <c r="E1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16</v>
      </c>
      <c r="F1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1089.6459884973885</v>
      </c>
      <c r="G170" s="17">
        <f>IFERROR(HistoricalStockProgress[[#This Row],[Cost of Shares]]/HistoricalStockProgress[[#This Row],[No. of Shares]],0)</f>
        <v>68.102874281086784</v>
      </c>
      <c r="H170" s="16" vm="723">
        <v>69.260000000000005</v>
      </c>
      <c r="I170" s="16">
        <f>IF(HistoricalStockProgress[[#This Row],[No. of Shares]]&lt;&gt;0,HistoricalStockProgress[[#This Row],[Price of Shares]]*HistoricalStockProgress[[#This Row],[No. of Shares]],0)</f>
        <v>1108.1600000000001</v>
      </c>
      <c r="J170" s="16">
        <f>IF(HistoricalStockProgress[[#This Row],[No. of Shares]]&lt;&gt;0,HistoricalStockProgress[[#This Row],[Price of Shares]]-HistoricalStockProgress[[#This Row],[Cost of Shares]]/HistoricalStockProgress[[#This Row],[No. of Shares]],0)</f>
        <v>1.1571257189132211</v>
      </c>
      <c r="K170" s="17">
        <f>IF(HistoricalStockProgress[[#This Row],[Total Price of Shares]]&lt;&gt;0,HistoricalStockProgress[[#This Row],[Total Price of Shares]]-HistoricalStockProgress[[#This Row],[Cost of Shares]],0)</f>
        <v>18.514011502611538</v>
      </c>
      <c r="L170" s="34" t="b" cm="1">
        <f t="array" ref="L170">IFERROR(IF(HistoricalStockProgress[[#This Row],[Price of Shares]]="",_xlfn.STOCKHISTORY(HistoricalStockProgress[[#This Row],[Full Company Name]],HistoricalStockProgress[[#This Row],[Date]],,2,0,1)),0)</f>
        <v>0</v>
      </c>
      <c r="M170" s="34">
        <f>YEAR(HistoricalStockProgress[[#This Row],[Date]])</f>
        <v>2016</v>
      </c>
      <c r="N170" s="34">
        <f>MONTH(HistoricalStockProgress[[#This Row],[Date]])</f>
        <v>10</v>
      </c>
    </row>
    <row r="171" spans="2:14">
      <c r="B171" s="15">
        <v>42674</v>
      </c>
      <c r="C171" s="34" t="s">
        <v>106</v>
      </c>
      <c r="D171" s="34" t="e" vm="20">
        <f>_xlfn.XLOOKUP(HistoricalStockProgress[[#This Row],[Company Ticker]],CompanyDetailsList[Company Ticker],CompanyDetailsList[Official Name],,0)</f>
        <v>#VALUE!</v>
      </c>
      <c r="E1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1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171" s="17">
        <f>IFERROR(HistoricalStockProgress[[#This Row],[Cost of Shares]]/HistoricalStockProgress[[#This Row],[No. of Shares]],0)</f>
        <v>104.71316390485761</v>
      </c>
      <c r="H171" s="16" vm="724">
        <v>93.13</v>
      </c>
      <c r="I171" s="16">
        <f>IF(HistoricalStockProgress[[#This Row],[No. of Shares]]&lt;&gt;0,HistoricalStockProgress[[#This Row],[Price of Shares]]*HistoricalStockProgress[[#This Row],[No. of Shares]],0)</f>
        <v>3259.5499999999997</v>
      </c>
      <c r="J171" s="16">
        <f>IF(HistoricalStockProgress[[#This Row],[No. of Shares]]&lt;&gt;0,HistoricalStockProgress[[#This Row],[Price of Shares]]-HistoricalStockProgress[[#This Row],[Cost of Shares]]/HistoricalStockProgress[[#This Row],[No. of Shares]],0)</f>
        <v>-11.583163904857614</v>
      </c>
      <c r="K171" s="17">
        <f>IF(HistoricalStockProgress[[#This Row],[Total Price of Shares]]&lt;&gt;0,HistoricalStockProgress[[#This Row],[Total Price of Shares]]-HistoricalStockProgress[[#This Row],[Cost of Shares]],0)</f>
        <v>-405.41073667001683</v>
      </c>
      <c r="L171" s="34" t="b" cm="1">
        <f t="array" ref="L171">IFERROR(IF(HistoricalStockProgress[[#This Row],[Price of Shares]]="",_xlfn.STOCKHISTORY(HistoricalStockProgress[[#This Row],[Full Company Name]],HistoricalStockProgress[[#This Row],[Date]],,2,0,1)),0)</f>
        <v>0</v>
      </c>
      <c r="M171" s="34">
        <f>YEAR(HistoricalStockProgress[[#This Row],[Date]])</f>
        <v>2016</v>
      </c>
      <c r="N171" s="34">
        <f>MONTH(HistoricalStockProgress[[#This Row],[Date]])</f>
        <v>10</v>
      </c>
    </row>
    <row r="172" spans="2:14">
      <c r="B172" s="15">
        <v>42704</v>
      </c>
      <c r="C172" s="34" t="s">
        <v>84</v>
      </c>
      <c r="D172" s="34" t="e" vm="7">
        <f>_xlfn.XLOOKUP(HistoricalStockProgress[[#This Row],[Company Ticker]],CompanyDetailsList[Company Ticker],CompanyDetailsList[Official Name],,0)</f>
        <v>#VALUE!</v>
      </c>
      <c r="E1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72" s="17">
        <f>IFERROR(HistoricalStockProgress[[#This Row],[Cost of Shares]]/HistoricalStockProgress[[#This Row],[No. of Shares]],0)</f>
        <v>104.18087504950869</v>
      </c>
      <c r="H172" s="16" vm="725">
        <v>111.3</v>
      </c>
      <c r="I172" s="16">
        <f>IF(HistoricalStockProgress[[#This Row],[No. of Shares]]&lt;&gt;0,HistoricalStockProgress[[#This Row],[Price of Shares]]*HistoricalStockProgress[[#This Row],[No. of Shares]],0)</f>
        <v>5676.3</v>
      </c>
      <c r="J172" s="16">
        <f>IF(HistoricalStockProgress[[#This Row],[No. of Shares]]&lt;&gt;0,HistoricalStockProgress[[#This Row],[Price of Shares]]-HistoricalStockProgress[[#This Row],[Cost of Shares]]/HistoricalStockProgress[[#This Row],[No. of Shares]],0)</f>
        <v>7.1191249504913117</v>
      </c>
      <c r="K172" s="17">
        <f>IF(HistoricalStockProgress[[#This Row],[Total Price of Shares]]&lt;&gt;0,HistoricalStockProgress[[#This Row],[Total Price of Shares]]-HistoricalStockProgress[[#This Row],[Cost of Shares]],0)</f>
        <v>363.07537247505752</v>
      </c>
      <c r="L172" s="34" t="b" cm="1">
        <f t="array" ref="L172">IFERROR(IF(HistoricalStockProgress[[#This Row],[Price of Shares]]="",_xlfn.STOCKHISTORY(HistoricalStockProgress[[#This Row],[Full Company Name]],HistoricalStockProgress[[#This Row],[Date]],,2,0,1)),0)</f>
        <v>0</v>
      </c>
      <c r="M172" s="34">
        <f>YEAR(HistoricalStockProgress[[#This Row],[Date]])</f>
        <v>2016</v>
      </c>
      <c r="N172" s="34">
        <f>MONTH(HistoricalStockProgress[[#This Row],[Date]])</f>
        <v>11</v>
      </c>
    </row>
    <row r="173" spans="2:14">
      <c r="B173" s="15">
        <v>42704</v>
      </c>
      <c r="C173" s="34" t="s">
        <v>86</v>
      </c>
      <c r="D173" s="34" t="e" vm="8">
        <f>_xlfn.XLOOKUP(HistoricalStockProgress[[#This Row],[Company Ticker]],CompanyDetailsList[Company Ticker],CompanyDetailsList[Official Name],,0)</f>
        <v>#VALUE!</v>
      </c>
      <c r="E1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v>
      </c>
      <c r="F1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1370.0286395296207</v>
      </c>
      <c r="G173" s="17">
        <f>IFERROR(HistoricalStockProgress[[#This Row],[Cost of Shares]]/HistoricalStockProgress[[#This Row],[No. of Shares]],0)</f>
        <v>59.566462588244377</v>
      </c>
      <c r="H173" s="16" vm="726">
        <v>60.8</v>
      </c>
      <c r="I173" s="16">
        <f>IF(HistoricalStockProgress[[#This Row],[No. of Shares]]&lt;&gt;0,HistoricalStockProgress[[#This Row],[Price of Shares]]*HistoricalStockProgress[[#This Row],[No. of Shares]],0)</f>
        <v>1398.3999999999999</v>
      </c>
      <c r="J173" s="16">
        <f>IF(HistoricalStockProgress[[#This Row],[No. of Shares]]&lt;&gt;0,HistoricalStockProgress[[#This Row],[Price of Shares]]-HistoricalStockProgress[[#This Row],[Cost of Shares]]/HistoricalStockProgress[[#This Row],[No. of Shares]],0)</f>
        <v>1.2335374117556199</v>
      </c>
      <c r="K173" s="17">
        <f>IF(HistoricalStockProgress[[#This Row],[Total Price of Shares]]&lt;&gt;0,HistoricalStockProgress[[#This Row],[Total Price of Shares]]-HistoricalStockProgress[[#This Row],[Cost of Shares]],0)</f>
        <v>28.371360470379159</v>
      </c>
      <c r="L173" s="34" t="b" cm="1">
        <f t="array" ref="L173">IFERROR(IF(HistoricalStockProgress[[#This Row],[Price of Shares]]="",_xlfn.STOCKHISTORY(HistoricalStockProgress[[#This Row],[Full Company Name]],HistoricalStockProgress[[#This Row],[Date]],,2,0,1)),0)</f>
        <v>0</v>
      </c>
      <c r="M173" s="34">
        <f>YEAR(HistoricalStockProgress[[#This Row],[Date]])</f>
        <v>2016</v>
      </c>
      <c r="N173" s="34">
        <f>MONTH(HistoricalStockProgress[[#This Row],[Date]])</f>
        <v>11</v>
      </c>
    </row>
    <row r="174" spans="2:14">
      <c r="B174" s="15">
        <v>42704</v>
      </c>
      <c r="C174" s="34" t="s">
        <v>22</v>
      </c>
      <c r="D174" s="34" t="e" vm="10">
        <f>_xlfn.XLOOKUP(HistoricalStockProgress[[#This Row],[Company Ticker]],CompanyDetailsList[Company Ticker],CompanyDetailsList[Official Name],,0)</f>
        <v>#VALUE!</v>
      </c>
      <c r="E1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1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174" s="17">
        <f>IFERROR(HistoricalStockProgress[[#This Row],[Cost of Shares]]/HistoricalStockProgress[[#This Row],[No. of Shares]],0)</f>
        <v>83.61275075159574</v>
      </c>
      <c r="H174" s="16" vm="727">
        <v>95.56</v>
      </c>
      <c r="I174" s="16">
        <f>IF(HistoricalStockProgress[[#This Row],[No. of Shares]]&lt;&gt;0,HistoricalStockProgress[[#This Row],[Price of Shares]]*HistoricalStockProgress[[#This Row],[No. of Shares]],0)</f>
        <v>5829.16</v>
      </c>
      <c r="J174" s="16">
        <f>IF(HistoricalStockProgress[[#This Row],[No. of Shares]]&lt;&gt;0,HistoricalStockProgress[[#This Row],[Price of Shares]]-HistoricalStockProgress[[#This Row],[Cost of Shares]]/HistoricalStockProgress[[#This Row],[No. of Shares]],0)</f>
        <v>11.947249248404262</v>
      </c>
      <c r="K174" s="17">
        <f>IF(HistoricalStockProgress[[#This Row],[Total Price of Shares]]&lt;&gt;0,HistoricalStockProgress[[#This Row],[Total Price of Shares]]-HistoricalStockProgress[[#This Row],[Cost of Shares]],0)</f>
        <v>728.78220415265969</v>
      </c>
      <c r="L174" s="34" t="b" cm="1">
        <f t="array" ref="L174">IFERROR(IF(HistoricalStockProgress[[#This Row],[Price of Shares]]="",_xlfn.STOCKHISTORY(HistoricalStockProgress[[#This Row],[Full Company Name]],HistoricalStockProgress[[#This Row],[Date]],,2,0,1)),0)</f>
        <v>0</v>
      </c>
      <c r="M174" s="34">
        <f>YEAR(HistoricalStockProgress[[#This Row],[Date]])</f>
        <v>2016</v>
      </c>
      <c r="N174" s="34">
        <f>MONTH(HistoricalStockProgress[[#This Row],[Date]])</f>
        <v>11</v>
      </c>
    </row>
    <row r="175" spans="2:14">
      <c r="B175" s="15">
        <v>42704</v>
      </c>
      <c r="C175" s="34" t="s">
        <v>91</v>
      </c>
      <c r="D175" s="34" t="e" vm="11">
        <f>_xlfn.XLOOKUP(HistoricalStockProgress[[#This Row],[Company Ticker]],CompanyDetailsList[Company Ticker],CompanyDetailsList[Official Name],,0)</f>
        <v>#VALUE!</v>
      </c>
      <c r="E1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3147.1300357784085</v>
      </c>
      <c r="G175" s="17">
        <f>IFERROR(HistoricalStockProgress[[#This Row],[Cost of Shares]]/HistoricalStockProgress[[#This Row],[No. of Shares]],0)</f>
        <v>56.198750638900151</v>
      </c>
      <c r="H175" s="16" vm="728">
        <v>60.26</v>
      </c>
      <c r="I175" s="16">
        <f>IF(HistoricalStockProgress[[#This Row],[No. of Shares]]&lt;&gt;0,HistoricalStockProgress[[#This Row],[Price of Shares]]*HistoricalStockProgress[[#This Row],[No. of Shares]],0)</f>
        <v>3374.56</v>
      </c>
      <c r="J175" s="16">
        <f>IF(HistoricalStockProgress[[#This Row],[No. of Shares]]&lt;&gt;0,HistoricalStockProgress[[#This Row],[Price of Shares]]-HistoricalStockProgress[[#This Row],[Cost of Shares]]/HistoricalStockProgress[[#This Row],[No. of Shares]],0)</f>
        <v>4.061249361099847</v>
      </c>
      <c r="K175" s="17">
        <f>IF(HistoricalStockProgress[[#This Row],[Total Price of Shares]]&lt;&gt;0,HistoricalStockProgress[[#This Row],[Total Price of Shares]]-HistoricalStockProgress[[#This Row],[Cost of Shares]],0)</f>
        <v>227.42996422159149</v>
      </c>
      <c r="L175" s="34" t="b" cm="1">
        <f t="array" ref="L175">IFERROR(IF(HistoricalStockProgress[[#This Row],[Price of Shares]]="",_xlfn.STOCKHISTORY(HistoricalStockProgress[[#This Row],[Full Company Name]],HistoricalStockProgress[[#This Row],[Date]],,2,0,1)),0)</f>
        <v>0</v>
      </c>
      <c r="M175" s="34">
        <f>YEAR(HistoricalStockProgress[[#This Row],[Date]])</f>
        <v>2016</v>
      </c>
      <c r="N175" s="34">
        <f>MONTH(HistoricalStockProgress[[#This Row],[Date]])</f>
        <v>11</v>
      </c>
    </row>
    <row r="176" spans="2:14">
      <c r="B176" s="15">
        <v>42704</v>
      </c>
      <c r="C176" s="34" t="s">
        <v>16</v>
      </c>
      <c r="D176" s="34" t="e" vm="12">
        <f>_xlfn.XLOOKUP(HistoricalStockProgress[[#This Row],[Company Ticker]],CompanyDetailsList[Company Ticker],CompanyDetailsList[Official Name],,0)</f>
        <v>#VALUE!</v>
      </c>
      <c r="E1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7523.7120824663862</v>
      </c>
      <c r="G176" s="17">
        <f>IFERROR(HistoricalStockProgress[[#This Row],[Cost of Shares]]/HistoricalStockProgress[[#This Row],[No. of Shares]],0)</f>
        <v>85.496728209845301</v>
      </c>
      <c r="H176" s="16" vm="729">
        <v>87.3</v>
      </c>
      <c r="I176" s="16">
        <f>IF(HistoricalStockProgress[[#This Row],[No. of Shares]]&lt;&gt;0,HistoricalStockProgress[[#This Row],[Price of Shares]]*HistoricalStockProgress[[#This Row],[No. of Shares]],0)</f>
        <v>7682.4</v>
      </c>
      <c r="J176" s="16">
        <f>IF(HistoricalStockProgress[[#This Row],[No. of Shares]]&lt;&gt;0,HistoricalStockProgress[[#This Row],[Price of Shares]]-HistoricalStockProgress[[#This Row],[Cost of Shares]]/HistoricalStockProgress[[#This Row],[No. of Shares]],0)</f>
        <v>1.803271790154696</v>
      </c>
      <c r="K176" s="17">
        <f>IF(HistoricalStockProgress[[#This Row],[Total Price of Shares]]&lt;&gt;0,HistoricalStockProgress[[#This Row],[Total Price of Shares]]-HistoricalStockProgress[[#This Row],[Cost of Shares]],0)</f>
        <v>158.68791753361347</v>
      </c>
      <c r="L176" s="34" t="b" cm="1">
        <f t="array" ref="L176">IFERROR(IF(HistoricalStockProgress[[#This Row],[Price of Shares]]="",_xlfn.STOCKHISTORY(HistoricalStockProgress[[#This Row],[Full Company Name]],HistoricalStockProgress[[#This Row],[Date]],,2,0,1)),0)</f>
        <v>0</v>
      </c>
      <c r="M176" s="34">
        <f>YEAR(HistoricalStockProgress[[#This Row],[Date]])</f>
        <v>2016</v>
      </c>
      <c r="N176" s="34">
        <f>MONTH(HistoricalStockProgress[[#This Row],[Date]])</f>
        <v>11</v>
      </c>
    </row>
    <row r="177" spans="2:14">
      <c r="B177" s="15">
        <v>42704</v>
      </c>
      <c r="C177" s="34" t="s">
        <v>95</v>
      </c>
      <c r="D177" s="34" t="e" vm="13">
        <f>_xlfn.XLOOKUP(HistoricalStockProgress[[#This Row],[Company Ticker]],CompanyDetailsList[Company Ticker],CompanyDetailsList[Official Name],,0)</f>
        <v>#VALUE!</v>
      </c>
      <c r="E1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1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177" s="17">
        <f>IFERROR(HistoricalStockProgress[[#This Row],[Cost of Shares]]/HistoricalStockProgress[[#This Row],[No. of Shares]],0)</f>
        <v>112.90555526050157</v>
      </c>
      <c r="H177" s="16" vm="730">
        <v>129.4</v>
      </c>
      <c r="I177" s="16">
        <f>IF(HistoricalStockProgress[[#This Row],[No. of Shares]]&lt;&gt;0,HistoricalStockProgress[[#This Row],[Price of Shares]]*HistoricalStockProgress[[#This Row],[No. of Shares]],0)</f>
        <v>1552.8000000000002</v>
      </c>
      <c r="J177" s="16">
        <f>IF(HistoricalStockProgress[[#This Row],[No. of Shares]]&lt;&gt;0,HistoricalStockProgress[[#This Row],[Price of Shares]]-HistoricalStockProgress[[#This Row],[Cost of Shares]]/HistoricalStockProgress[[#This Row],[No. of Shares]],0)</f>
        <v>16.494444739498434</v>
      </c>
      <c r="K177" s="17">
        <f>IF(HistoricalStockProgress[[#This Row],[Total Price of Shares]]&lt;&gt;0,HistoricalStockProgress[[#This Row],[Total Price of Shares]]-HistoricalStockProgress[[#This Row],[Cost of Shares]],0)</f>
        <v>197.93333687398126</v>
      </c>
      <c r="L177" s="34" t="b" cm="1">
        <f t="array" ref="L177">IFERROR(IF(HistoricalStockProgress[[#This Row],[Price of Shares]]="",_xlfn.STOCKHISTORY(HistoricalStockProgress[[#This Row],[Full Company Name]],HistoricalStockProgress[[#This Row],[Date]],,2,0,1)),0)</f>
        <v>0</v>
      </c>
      <c r="M177" s="34">
        <f>YEAR(HistoricalStockProgress[[#This Row],[Date]])</f>
        <v>2016</v>
      </c>
      <c r="N177" s="34">
        <f>MONTH(HistoricalStockProgress[[#This Row],[Date]])</f>
        <v>11</v>
      </c>
    </row>
    <row r="178" spans="2:14">
      <c r="B178" s="15">
        <v>42704</v>
      </c>
      <c r="C178" s="34" t="s">
        <v>17</v>
      </c>
      <c r="D178" s="34" t="e" vm="14">
        <f>_xlfn.XLOOKUP(HistoricalStockProgress[[#This Row],[Company Ticker]],CompanyDetailsList[Company Ticker],CompanyDetailsList[Official Name],,0)</f>
        <v>#VALUE!</v>
      </c>
      <c r="E1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v>
      </c>
      <c r="F1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2797.1749688808613</v>
      </c>
      <c r="G178" s="17">
        <f>IFERROR(HistoricalStockProgress[[#This Row],[Cost of Shares]]/HistoricalStockProgress[[#This Row],[No. of Shares]],0)</f>
        <v>155.39860938227008</v>
      </c>
      <c r="H178" s="16" vm="731">
        <v>162.22</v>
      </c>
      <c r="I178" s="16">
        <f>IF(HistoricalStockProgress[[#This Row],[No. of Shares]]&lt;&gt;0,HistoricalStockProgress[[#This Row],[Price of Shares]]*HistoricalStockProgress[[#This Row],[No. of Shares]],0)</f>
        <v>2919.96</v>
      </c>
      <c r="J178" s="16">
        <f>IF(HistoricalStockProgress[[#This Row],[No. of Shares]]&lt;&gt;0,HistoricalStockProgress[[#This Row],[Price of Shares]]-HistoricalStockProgress[[#This Row],[Cost of Shares]]/HistoricalStockProgress[[#This Row],[No. of Shares]],0)</f>
        <v>6.8213906177299179</v>
      </c>
      <c r="K178" s="17">
        <f>IF(HistoricalStockProgress[[#This Row],[Total Price of Shares]]&lt;&gt;0,HistoricalStockProgress[[#This Row],[Total Price of Shares]]-HistoricalStockProgress[[#This Row],[Cost of Shares]],0)</f>
        <v>122.78503111913869</v>
      </c>
      <c r="L178" s="34" t="b" cm="1">
        <f t="array" ref="L178">IFERROR(IF(HistoricalStockProgress[[#This Row],[Price of Shares]]="",_xlfn.STOCKHISTORY(HistoricalStockProgress[[#This Row],[Full Company Name]],HistoricalStockProgress[[#This Row],[Date]],,2,0,1)),0)</f>
        <v>0</v>
      </c>
      <c r="M178" s="34">
        <f>YEAR(HistoricalStockProgress[[#This Row],[Date]])</f>
        <v>2016</v>
      </c>
      <c r="N178" s="34">
        <f>MONTH(HistoricalStockProgress[[#This Row],[Date]])</f>
        <v>11</v>
      </c>
    </row>
    <row r="179" spans="2:14">
      <c r="B179" s="15">
        <v>42704</v>
      </c>
      <c r="C179" s="34" t="s">
        <v>100</v>
      </c>
      <c r="D179" s="34" t="e" vm="16">
        <f>_xlfn.XLOOKUP(HistoricalStockProgress[[#This Row],[Company Ticker]],CompanyDetailsList[Company Ticker],CompanyDetailsList[Official Name],,0)</f>
        <v>#VALUE!</v>
      </c>
      <c r="E1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1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179" s="17">
        <f>IFERROR(HistoricalStockProgress[[#This Row],[Cost of Shares]]/HistoricalStockProgress[[#This Row],[No. of Shares]],0)</f>
        <v>84.509035134678101</v>
      </c>
      <c r="H179" s="16" vm="732">
        <v>73.77</v>
      </c>
      <c r="I179" s="16">
        <f>IF(HistoricalStockProgress[[#This Row],[No. of Shares]]&lt;&gt;0,HistoricalStockProgress[[#This Row],[Price of Shares]]*HistoricalStockProgress[[#This Row],[No. of Shares]],0)</f>
        <v>2434.41</v>
      </c>
      <c r="J179" s="16">
        <f>IF(HistoricalStockProgress[[#This Row],[No. of Shares]]&lt;&gt;0,HistoricalStockProgress[[#This Row],[Price of Shares]]-HistoricalStockProgress[[#This Row],[Cost of Shares]]/HistoricalStockProgress[[#This Row],[No. of Shares]],0)</f>
        <v>-10.739035134678105</v>
      </c>
      <c r="K179" s="17">
        <f>IF(HistoricalStockProgress[[#This Row],[Total Price of Shares]]&lt;&gt;0,HistoricalStockProgress[[#This Row],[Total Price of Shares]]-HistoricalStockProgress[[#This Row],[Cost of Shares]],0)</f>
        <v>-354.38815944437738</v>
      </c>
      <c r="L179" s="34" t="b" cm="1">
        <f t="array" ref="L179">IFERROR(IF(HistoricalStockProgress[[#This Row],[Price of Shares]]="",_xlfn.STOCKHISTORY(HistoricalStockProgress[[#This Row],[Full Company Name]],HistoricalStockProgress[[#This Row],[Date]],,2,0,1)),0)</f>
        <v>0</v>
      </c>
      <c r="M179" s="34">
        <f>YEAR(HistoricalStockProgress[[#This Row],[Date]])</f>
        <v>2016</v>
      </c>
      <c r="N179" s="34">
        <f>MONTH(HistoricalStockProgress[[#This Row],[Date]])</f>
        <v>11</v>
      </c>
    </row>
    <row r="180" spans="2:14">
      <c r="B180" s="15">
        <v>42704</v>
      </c>
      <c r="C180" s="34" t="s">
        <v>15</v>
      </c>
      <c r="D180" s="34" t="e" vm="17">
        <f>_xlfn.XLOOKUP(HistoricalStockProgress[[#This Row],[Company Ticker]],CompanyDetailsList[Company Ticker],CompanyDetailsList[Official Name],,0)</f>
        <v>#VALUE!</v>
      </c>
      <c r="E1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1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180" s="17">
        <f>IFERROR(HistoricalStockProgress[[#This Row],[Cost of Shares]]/HistoricalStockProgress[[#This Row],[No. of Shares]],0)</f>
        <v>26.481400454992627</v>
      </c>
      <c r="H180" s="16" vm="733">
        <v>29.172599999999999</v>
      </c>
      <c r="I180" s="16">
        <f>IF(HistoricalStockProgress[[#This Row],[No. of Shares]]&lt;&gt;0,HistoricalStockProgress[[#This Row],[Price of Shares]]*HistoricalStockProgress[[#This Row],[No. of Shares]],0)</f>
        <v>2800.5695999999998</v>
      </c>
      <c r="J180" s="16">
        <f>IF(HistoricalStockProgress[[#This Row],[No. of Shares]]&lt;&gt;0,HistoricalStockProgress[[#This Row],[Price of Shares]]-HistoricalStockProgress[[#This Row],[Cost of Shares]]/HistoricalStockProgress[[#This Row],[No. of Shares]],0)</f>
        <v>2.6911995450073718</v>
      </c>
      <c r="K180" s="17">
        <f>IF(HistoricalStockProgress[[#This Row],[Total Price of Shares]]&lt;&gt;0,HistoricalStockProgress[[#This Row],[Total Price of Shares]]-HistoricalStockProgress[[#This Row],[Cost of Shares]],0)</f>
        <v>258.35515632070747</v>
      </c>
      <c r="L180" s="34" t="b" cm="1">
        <f t="array" ref="L180">IFERROR(IF(HistoricalStockProgress[[#This Row],[Price of Shares]]="",_xlfn.STOCKHISTORY(HistoricalStockProgress[[#This Row],[Full Company Name]],HistoricalStockProgress[[#This Row],[Date]],,2,0,1)),0)</f>
        <v>0</v>
      </c>
      <c r="M180" s="34">
        <f>YEAR(HistoricalStockProgress[[#This Row],[Date]])</f>
        <v>2016</v>
      </c>
      <c r="N180" s="34">
        <f>MONTH(HistoricalStockProgress[[#This Row],[Date]])</f>
        <v>11</v>
      </c>
    </row>
    <row r="181" spans="2:14">
      <c r="B181" s="15">
        <v>42704</v>
      </c>
      <c r="C181" s="34" t="s">
        <v>13</v>
      </c>
      <c r="D181" s="34" t="e" vm="18">
        <f>_xlfn.XLOOKUP(HistoricalStockProgress[[#This Row],[Company Ticker]],CompanyDetailsList[Company Ticker],CompanyDetailsList[Official Name],,0)</f>
        <v>#VALUE!</v>
      </c>
      <c r="E1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1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181" s="17">
        <f>IFERROR(HistoricalStockProgress[[#This Row],[Cost of Shares]]/HistoricalStockProgress[[#This Row],[No. of Shares]],0)</f>
        <v>30.916275141190898</v>
      </c>
      <c r="H181" s="16" vm="734">
        <v>30.467099999999999</v>
      </c>
      <c r="I181" s="16">
        <f>IF(HistoricalStockProgress[[#This Row],[No. of Shares]]&lt;&gt;0,HistoricalStockProgress[[#This Row],[Price of Shares]]*HistoricalStockProgress[[#This Row],[No. of Shares]],0)</f>
        <v>335.13810000000001</v>
      </c>
      <c r="J181" s="16">
        <f>IF(HistoricalStockProgress[[#This Row],[No. of Shares]]&lt;&gt;0,HistoricalStockProgress[[#This Row],[Price of Shares]]-HistoricalStockProgress[[#This Row],[Cost of Shares]]/HistoricalStockProgress[[#This Row],[No. of Shares]],0)</f>
        <v>-0.4491751411908993</v>
      </c>
      <c r="K181" s="17">
        <f>IF(HistoricalStockProgress[[#This Row],[Total Price of Shares]]&lt;&gt;0,HistoricalStockProgress[[#This Row],[Total Price of Shares]]-HistoricalStockProgress[[#This Row],[Cost of Shares]],0)</f>
        <v>-4.9409265530998709</v>
      </c>
      <c r="L181" s="34" t="b" cm="1">
        <f t="array" ref="L181">IFERROR(IF(HistoricalStockProgress[[#This Row],[Price of Shares]]="",_xlfn.STOCKHISTORY(HistoricalStockProgress[[#This Row],[Full Company Name]],HistoricalStockProgress[[#This Row],[Date]],,2,0,1)),0)</f>
        <v>0</v>
      </c>
      <c r="M181" s="34">
        <f>YEAR(HistoricalStockProgress[[#This Row],[Date]])</f>
        <v>2016</v>
      </c>
      <c r="N181" s="34">
        <f>MONTH(HistoricalStockProgress[[#This Row],[Date]])</f>
        <v>11</v>
      </c>
    </row>
    <row r="182" spans="2:14">
      <c r="B182" s="15">
        <v>42704</v>
      </c>
      <c r="C182" s="34" t="s">
        <v>20</v>
      </c>
      <c r="D182" s="34" t="e" vm="19">
        <f>_xlfn.XLOOKUP(HistoricalStockProgress[[#This Row],[Company Ticker]],CompanyDetailsList[Company Ticker],CompanyDetailsList[Official Name],,0)</f>
        <v>#VALUE!</v>
      </c>
      <c r="E1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16</v>
      </c>
      <c r="F1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1089.6459884973885</v>
      </c>
      <c r="G182" s="17">
        <f>IFERROR(HistoricalStockProgress[[#This Row],[Cost of Shares]]/HistoricalStockProgress[[#This Row],[No. of Shares]],0)</f>
        <v>68.102874281086784</v>
      </c>
      <c r="H182" s="16" vm="735">
        <v>80.17</v>
      </c>
      <c r="I182" s="16">
        <f>IF(HistoricalStockProgress[[#This Row],[No. of Shares]]&lt;&gt;0,HistoricalStockProgress[[#This Row],[Price of Shares]]*HistoricalStockProgress[[#This Row],[No. of Shares]],0)</f>
        <v>1282.72</v>
      </c>
      <c r="J182" s="16">
        <f>IF(HistoricalStockProgress[[#This Row],[No. of Shares]]&lt;&gt;0,HistoricalStockProgress[[#This Row],[Price of Shares]]-HistoricalStockProgress[[#This Row],[Cost of Shares]]/HistoricalStockProgress[[#This Row],[No. of Shares]],0)</f>
        <v>12.067125718913218</v>
      </c>
      <c r="K182" s="17">
        <f>IF(HistoricalStockProgress[[#This Row],[Total Price of Shares]]&lt;&gt;0,HistoricalStockProgress[[#This Row],[Total Price of Shares]]-HistoricalStockProgress[[#This Row],[Cost of Shares]],0)</f>
        <v>193.07401150261148</v>
      </c>
      <c r="L182" s="34" t="b" cm="1">
        <f t="array" ref="L182">IFERROR(IF(HistoricalStockProgress[[#This Row],[Price of Shares]]="",_xlfn.STOCKHISTORY(HistoricalStockProgress[[#This Row],[Full Company Name]],HistoricalStockProgress[[#This Row],[Date]],,2,0,1)),0)</f>
        <v>0</v>
      </c>
      <c r="M182" s="34">
        <f>YEAR(HistoricalStockProgress[[#This Row],[Date]])</f>
        <v>2016</v>
      </c>
      <c r="N182" s="34">
        <f>MONTH(HistoricalStockProgress[[#This Row],[Date]])</f>
        <v>11</v>
      </c>
    </row>
    <row r="183" spans="2:14">
      <c r="B183" s="15">
        <v>42704</v>
      </c>
      <c r="C183" s="34" t="s">
        <v>106</v>
      </c>
      <c r="D183" s="34" t="e" vm="20">
        <f>_xlfn.XLOOKUP(HistoricalStockProgress[[#This Row],[Company Ticker]],CompanyDetailsList[Company Ticker],CompanyDetailsList[Official Name],,0)</f>
        <v>#VALUE!</v>
      </c>
      <c r="E1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1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183" s="17">
        <f>IFERROR(HistoricalStockProgress[[#This Row],[Cost of Shares]]/HistoricalStockProgress[[#This Row],[No. of Shares]],0)</f>
        <v>104.71316390485761</v>
      </c>
      <c r="H183" s="16" vm="736">
        <v>95.93</v>
      </c>
      <c r="I183" s="16">
        <f>IF(HistoricalStockProgress[[#This Row],[No. of Shares]]&lt;&gt;0,HistoricalStockProgress[[#This Row],[Price of Shares]]*HistoricalStockProgress[[#This Row],[No. of Shares]],0)</f>
        <v>3357.55</v>
      </c>
      <c r="J183" s="16">
        <f>IF(HistoricalStockProgress[[#This Row],[No. of Shares]]&lt;&gt;0,HistoricalStockProgress[[#This Row],[Price of Shares]]-HistoricalStockProgress[[#This Row],[Cost of Shares]]/HistoricalStockProgress[[#This Row],[No. of Shares]],0)</f>
        <v>-8.7831639048576022</v>
      </c>
      <c r="K183" s="17">
        <f>IF(HistoricalStockProgress[[#This Row],[Total Price of Shares]]&lt;&gt;0,HistoricalStockProgress[[#This Row],[Total Price of Shares]]-HistoricalStockProgress[[#This Row],[Cost of Shares]],0)</f>
        <v>-307.41073667001638</v>
      </c>
      <c r="L183" s="34" t="b" cm="1">
        <f t="array" ref="L183">IFERROR(IF(HistoricalStockProgress[[#This Row],[Price of Shares]]="",_xlfn.STOCKHISTORY(HistoricalStockProgress[[#This Row],[Full Company Name]],HistoricalStockProgress[[#This Row],[Date]],,2,0,1)),0)</f>
        <v>0</v>
      </c>
      <c r="M183" s="34">
        <f>YEAR(HistoricalStockProgress[[#This Row],[Date]])</f>
        <v>2016</v>
      </c>
      <c r="N183" s="34">
        <f>MONTH(HistoricalStockProgress[[#This Row],[Date]])</f>
        <v>11</v>
      </c>
    </row>
    <row r="184" spans="2:14">
      <c r="B184" s="15">
        <v>42735</v>
      </c>
      <c r="C184" s="34" t="s">
        <v>84</v>
      </c>
      <c r="D184" s="34" t="e" vm="7">
        <f>_xlfn.XLOOKUP(HistoricalStockProgress[[#This Row],[Company Ticker]],CompanyDetailsList[Company Ticker],CompanyDetailsList[Official Name],,0)</f>
        <v>#VALUE!</v>
      </c>
      <c r="E1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84" s="17">
        <f>IFERROR(HistoricalStockProgress[[#This Row],[Cost of Shares]]/HistoricalStockProgress[[#This Row],[No. of Shares]],0)</f>
        <v>104.18087504950869</v>
      </c>
      <c r="H184" s="16" vm="737">
        <v>115.21</v>
      </c>
      <c r="I184" s="16">
        <f>IF(HistoricalStockProgress[[#This Row],[No. of Shares]]&lt;&gt;0,HistoricalStockProgress[[#This Row],[Price of Shares]]*HistoricalStockProgress[[#This Row],[No. of Shares]],0)</f>
        <v>5875.71</v>
      </c>
      <c r="J184" s="16">
        <f>IF(HistoricalStockProgress[[#This Row],[No. of Shares]]&lt;&gt;0,HistoricalStockProgress[[#This Row],[Price of Shares]]-HistoricalStockProgress[[#This Row],[Cost of Shares]]/HistoricalStockProgress[[#This Row],[No. of Shares]],0)</f>
        <v>11.029124950491308</v>
      </c>
      <c r="K184" s="17">
        <f>IF(HistoricalStockProgress[[#This Row],[Total Price of Shares]]&lt;&gt;0,HistoricalStockProgress[[#This Row],[Total Price of Shares]]-HistoricalStockProgress[[#This Row],[Cost of Shares]],0)</f>
        <v>562.48537247505737</v>
      </c>
      <c r="L184" s="34" t="b" cm="1">
        <f t="array" ref="L184">IFERROR(IF(HistoricalStockProgress[[#This Row],[Price of Shares]]="",_xlfn.STOCKHISTORY(HistoricalStockProgress[[#This Row],[Full Company Name]],HistoricalStockProgress[[#This Row],[Date]],,2,0,1)),0)</f>
        <v>0</v>
      </c>
      <c r="M184" s="34">
        <f>YEAR(HistoricalStockProgress[[#This Row],[Date]])</f>
        <v>2016</v>
      </c>
      <c r="N184" s="34">
        <f>MONTH(HistoricalStockProgress[[#This Row],[Date]])</f>
        <v>12</v>
      </c>
    </row>
    <row r="185" spans="2:14">
      <c r="B185" s="15">
        <v>42735</v>
      </c>
      <c r="C185" s="34" t="s">
        <v>86</v>
      </c>
      <c r="D185" s="34" t="e" vm="8">
        <f>_xlfn.XLOOKUP(HistoricalStockProgress[[#This Row],[Company Ticker]],CompanyDetailsList[Company Ticker],CompanyDetailsList[Official Name],,0)</f>
        <v>#VALUE!</v>
      </c>
      <c r="E1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v>
      </c>
      <c r="F1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1370.0286395296207</v>
      </c>
      <c r="G185" s="17">
        <f>IFERROR(HistoricalStockProgress[[#This Row],[Cost of Shares]]/HistoricalStockProgress[[#This Row],[No. of Shares]],0)</f>
        <v>59.566462588244377</v>
      </c>
      <c r="H185" s="16" vm="738">
        <v>62.62</v>
      </c>
      <c r="I185" s="16">
        <f>IF(HistoricalStockProgress[[#This Row],[No. of Shares]]&lt;&gt;0,HistoricalStockProgress[[#This Row],[Price of Shares]]*HistoricalStockProgress[[#This Row],[No. of Shares]],0)</f>
        <v>1440.26</v>
      </c>
      <c r="J185" s="16">
        <f>IF(HistoricalStockProgress[[#This Row],[No. of Shares]]&lt;&gt;0,HistoricalStockProgress[[#This Row],[Price of Shares]]-HistoricalStockProgress[[#This Row],[Cost of Shares]]/HistoricalStockProgress[[#This Row],[No. of Shares]],0)</f>
        <v>3.0535374117556202</v>
      </c>
      <c r="K185" s="17">
        <f>IF(HistoricalStockProgress[[#This Row],[Total Price of Shares]]&lt;&gt;0,HistoricalStockProgress[[#This Row],[Total Price of Shares]]-HistoricalStockProgress[[#This Row],[Cost of Shares]],0)</f>
        <v>70.231360470379286</v>
      </c>
      <c r="L185" s="34" t="b" cm="1">
        <f t="array" ref="L185">IFERROR(IF(HistoricalStockProgress[[#This Row],[Price of Shares]]="",_xlfn.STOCKHISTORY(HistoricalStockProgress[[#This Row],[Full Company Name]],HistoricalStockProgress[[#This Row],[Date]],,2,0,1)),0)</f>
        <v>0</v>
      </c>
      <c r="M185" s="34">
        <f>YEAR(HistoricalStockProgress[[#This Row],[Date]])</f>
        <v>2016</v>
      </c>
      <c r="N185" s="34">
        <f>MONTH(HistoricalStockProgress[[#This Row],[Date]])</f>
        <v>12</v>
      </c>
    </row>
    <row r="186" spans="2:14">
      <c r="B186" s="15">
        <v>42735</v>
      </c>
      <c r="C186" s="34" t="s">
        <v>22</v>
      </c>
      <c r="D186" s="34" t="e" vm="10">
        <f>_xlfn.XLOOKUP(HistoricalStockProgress[[#This Row],[Company Ticker]],CompanyDetailsList[Company Ticker],CompanyDetailsList[Official Name],,0)</f>
        <v>#VALUE!</v>
      </c>
      <c r="E1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1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186" s="17">
        <f>IFERROR(HistoricalStockProgress[[#This Row],[Cost of Shares]]/HistoricalStockProgress[[#This Row],[No. of Shares]],0)</f>
        <v>83.61275075159574</v>
      </c>
      <c r="H186" s="16" vm="739">
        <v>92.74</v>
      </c>
      <c r="I186" s="16">
        <f>IF(HistoricalStockProgress[[#This Row],[No. of Shares]]&lt;&gt;0,HistoricalStockProgress[[#This Row],[Price of Shares]]*HistoricalStockProgress[[#This Row],[No. of Shares]],0)</f>
        <v>5657.1399999999994</v>
      </c>
      <c r="J186" s="16">
        <f>IF(HistoricalStockProgress[[#This Row],[No. of Shares]]&lt;&gt;0,HistoricalStockProgress[[#This Row],[Price of Shares]]-HistoricalStockProgress[[#This Row],[Cost of Shares]]/HistoricalStockProgress[[#This Row],[No. of Shares]],0)</f>
        <v>9.1272492484042544</v>
      </c>
      <c r="K186" s="17">
        <f>IF(HistoricalStockProgress[[#This Row],[Total Price of Shares]]&lt;&gt;0,HistoricalStockProgress[[#This Row],[Total Price of Shares]]-HistoricalStockProgress[[#This Row],[Cost of Shares]],0)</f>
        <v>556.76220415265925</v>
      </c>
      <c r="L186" s="34" t="b" cm="1">
        <f t="array" ref="L186">IFERROR(IF(HistoricalStockProgress[[#This Row],[Price of Shares]]="",_xlfn.STOCKHISTORY(HistoricalStockProgress[[#This Row],[Full Company Name]],HistoricalStockProgress[[#This Row],[Date]],,2,0,1)),0)</f>
        <v>0</v>
      </c>
      <c r="M186" s="34">
        <f>YEAR(HistoricalStockProgress[[#This Row],[Date]])</f>
        <v>2016</v>
      </c>
      <c r="N186" s="34">
        <f>MONTH(HistoricalStockProgress[[#This Row],[Date]])</f>
        <v>12</v>
      </c>
    </row>
    <row r="187" spans="2:14">
      <c r="B187" s="15">
        <v>42735</v>
      </c>
      <c r="C187" s="34" t="s">
        <v>91</v>
      </c>
      <c r="D187" s="34" t="e" vm="11">
        <f>_xlfn.XLOOKUP(HistoricalStockProgress[[#This Row],[Company Ticker]],CompanyDetailsList[Company Ticker],CompanyDetailsList[Official Name],,0)</f>
        <v>#VALUE!</v>
      </c>
      <c r="E1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3147.1300357784085</v>
      </c>
      <c r="G187" s="17">
        <f>IFERROR(HistoricalStockProgress[[#This Row],[Cost of Shares]]/HistoricalStockProgress[[#This Row],[No. of Shares]],0)</f>
        <v>56.198750638900151</v>
      </c>
      <c r="H187" s="16" vm="678">
        <v>62.14</v>
      </c>
      <c r="I187" s="16">
        <f>IF(HistoricalStockProgress[[#This Row],[No. of Shares]]&lt;&gt;0,HistoricalStockProgress[[#This Row],[Price of Shares]]*HistoricalStockProgress[[#This Row],[No. of Shares]],0)</f>
        <v>3479.84</v>
      </c>
      <c r="J187" s="16">
        <f>IF(HistoricalStockProgress[[#This Row],[No. of Shares]]&lt;&gt;0,HistoricalStockProgress[[#This Row],[Price of Shares]]-HistoricalStockProgress[[#This Row],[Cost of Shares]]/HistoricalStockProgress[[#This Row],[No. of Shares]],0)</f>
        <v>5.9412493610998496</v>
      </c>
      <c r="K187" s="17">
        <f>IF(HistoricalStockProgress[[#This Row],[Total Price of Shares]]&lt;&gt;0,HistoricalStockProgress[[#This Row],[Total Price of Shares]]-HistoricalStockProgress[[#This Row],[Cost of Shares]],0)</f>
        <v>332.70996422159169</v>
      </c>
      <c r="L187" s="34" t="b" cm="1">
        <f t="array" ref="L187">IFERROR(IF(HistoricalStockProgress[[#This Row],[Price of Shares]]="",_xlfn.STOCKHISTORY(HistoricalStockProgress[[#This Row],[Full Company Name]],HistoricalStockProgress[[#This Row],[Date]],,2,0,1)),0)</f>
        <v>0</v>
      </c>
      <c r="M187" s="34">
        <f>YEAR(HistoricalStockProgress[[#This Row],[Date]])</f>
        <v>2016</v>
      </c>
      <c r="N187" s="34">
        <f>MONTH(HistoricalStockProgress[[#This Row],[Date]])</f>
        <v>12</v>
      </c>
    </row>
    <row r="188" spans="2:14">
      <c r="B188" s="15">
        <v>42735</v>
      </c>
      <c r="C188" s="34" t="s">
        <v>16</v>
      </c>
      <c r="D188" s="34" t="e" vm="12">
        <f>_xlfn.XLOOKUP(HistoricalStockProgress[[#This Row],[Company Ticker]],CompanyDetailsList[Company Ticker],CompanyDetailsList[Official Name],,0)</f>
        <v>#VALUE!</v>
      </c>
      <c r="E1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7523.7120824663862</v>
      </c>
      <c r="G188" s="17">
        <f>IFERROR(HistoricalStockProgress[[#This Row],[Cost of Shares]]/HistoricalStockProgress[[#This Row],[No. of Shares]],0)</f>
        <v>85.496728209845301</v>
      </c>
      <c r="H188" s="16" vm="740">
        <v>90.26</v>
      </c>
      <c r="I188" s="16">
        <f>IF(HistoricalStockProgress[[#This Row],[No. of Shares]]&lt;&gt;0,HistoricalStockProgress[[#This Row],[Price of Shares]]*HistoricalStockProgress[[#This Row],[No. of Shares]],0)</f>
        <v>7942.88</v>
      </c>
      <c r="J188" s="16">
        <f>IF(HistoricalStockProgress[[#This Row],[No. of Shares]]&lt;&gt;0,HistoricalStockProgress[[#This Row],[Price of Shares]]-HistoricalStockProgress[[#This Row],[Cost of Shares]]/HistoricalStockProgress[[#This Row],[No. of Shares]],0)</f>
        <v>4.7632717901547039</v>
      </c>
      <c r="K188" s="17">
        <f>IF(HistoricalStockProgress[[#This Row],[Total Price of Shares]]&lt;&gt;0,HistoricalStockProgress[[#This Row],[Total Price of Shares]]-HistoricalStockProgress[[#This Row],[Cost of Shares]],0)</f>
        <v>419.16791753361395</v>
      </c>
      <c r="L188" s="34" t="b" cm="1">
        <f t="array" ref="L188">IFERROR(IF(HistoricalStockProgress[[#This Row],[Price of Shares]]="",_xlfn.STOCKHISTORY(HistoricalStockProgress[[#This Row],[Full Company Name]],HistoricalStockProgress[[#This Row],[Date]],,2,0,1)),0)</f>
        <v>0</v>
      </c>
      <c r="M188" s="34">
        <f>YEAR(HistoricalStockProgress[[#This Row],[Date]])</f>
        <v>2016</v>
      </c>
      <c r="N188" s="34">
        <f>MONTH(HistoricalStockProgress[[#This Row],[Date]])</f>
        <v>12</v>
      </c>
    </row>
    <row r="189" spans="2:14">
      <c r="B189" s="15">
        <v>42735</v>
      </c>
      <c r="C189" s="34" t="s">
        <v>95</v>
      </c>
      <c r="D189" s="34" t="e" vm="13">
        <f>_xlfn.XLOOKUP(HistoricalStockProgress[[#This Row],[Company Ticker]],CompanyDetailsList[Company Ticker],CompanyDetailsList[Official Name],,0)</f>
        <v>#VALUE!</v>
      </c>
      <c r="E1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1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189" s="17">
        <f>IFERROR(HistoricalStockProgress[[#This Row],[Cost of Shares]]/HistoricalStockProgress[[#This Row],[No. of Shares]],0)</f>
        <v>112.90555526050157</v>
      </c>
      <c r="H189" s="16" vm="741">
        <v>134.08000000000001</v>
      </c>
      <c r="I189" s="16">
        <f>IF(HistoricalStockProgress[[#This Row],[No. of Shares]]&lt;&gt;0,HistoricalStockProgress[[#This Row],[Price of Shares]]*HistoricalStockProgress[[#This Row],[No. of Shares]],0)</f>
        <v>1608.96</v>
      </c>
      <c r="J189" s="16">
        <f>IF(HistoricalStockProgress[[#This Row],[No. of Shares]]&lt;&gt;0,HistoricalStockProgress[[#This Row],[Price of Shares]]-HistoricalStockProgress[[#This Row],[Cost of Shares]]/HistoricalStockProgress[[#This Row],[No. of Shares]],0)</f>
        <v>21.174444739498441</v>
      </c>
      <c r="K189" s="17">
        <f>IF(HistoricalStockProgress[[#This Row],[Total Price of Shares]]&lt;&gt;0,HistoricalStockProgress[[#This Row],[Total Price of Shares]]-HistoricalStockProgress[[#This Row],[Cost of Shares]],0)</f>
        <v>254.09333687398112</v>
      </c>
      <c r="L189" s="34" t="b" cm="1">
        <f t="array" ref="L189">IFERROR(IF(HistoricalStockProgress[[#This Row],[Price of Shares]]="",_xlfn.STOCKHISTORY(HistoricalStockProgress[[#This Row],[Full Company Name]],HistoricalStockProgress[[#This Row],[Date]],,2,0,1)),0)</f>
        <v>0</v>
      </c>
      <c r="M189" s="34">
        <f>YEAR(HistoricalStockProgress[[#This Row],[Date]])</f>
        <v>2016</v>
      </c>
      <c r="N189" s="34">
        <f>MONTH(HistoricalStockProgress[[#This Row],[Date]])</f>
        <v>12</v>
      </c>
    </row>
    <row r="190" spans="2:14">
      <c r="B190" s="15">
        <v>42735</v>
      </c>
      <c r="C190" s="34" t="s">
        <v>17</v>
      </c>
      <c r="D190" s="34" t="e" vm="14">
        <f>_xlfn.XLOOKUP(HistoricalStockProgress[[#This Row],[Company Ticker]],CompanyDetailsList[Company Ticker],CompanyDetailsList[Official Name],,0)</f>
        <v>#VALUE!</v>
      </c>
      <c r="E1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v>
      </c>
      <c r="F1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2797.1749688808613</v>
      </c>
      <c r="G190" s="17">
        <f>IFERROR(HistoricalStockProgress[[#This Row],[Cost of Shares]]/HistoricalStockProgress[[#This Row],[No. of Shares]],0)</f>
        <v>155.39860938227008</v>
      </c>
      <c r="H190" s="16" vm="742">
        <v>165.99</v>
      </c>
      <c r="I190" s="16">
        <f>IF(HistoricalStockProgress[[#This Row],[No. of Shares]]&lt;&gt;0,HistoricalStockProgress[[#This Row],[Price of Shares]]*HistoricalStockProgress[[#This Row],[No. of Shares]],0)</f>
        <v>2987.82</v>
      </c>
      <c r="J190" s="16">
        <f>IF(HistoricalStockProgress[[#This Row],[No. of Shares]]&lt;&gt;0,HistoricalStockProgress[[#This Row],[Price of Shares]]-HistoricalStockProgress[[#This Row],[Cost of Shares]]/HistoricalStockProgress[[#This Row],[No. of Shares]],0)</f>
        <v>10.591390617729928</v>
      </c>
      <c r="K190" s="17">
        <f>IF(HistoricalStockProgress[[#This Row],[Total Price of Shares]]&lt;&gt;0,HistoricalStockProgress[[#This Row],[Total Price of Shares]]-HistoricalStockProgress[[#This Row],[Cost of Shares]],0)</f>
        <v>190.64503111913882</v>
      </c>
      <c r="L190" s="34" t="b" cm="1">
        <f t="array" ref="L190">IFERROR(IF(HistoricalStockProgress[[#This Row],[Price of Shares]]="",_xlfn.STOCKHISTORY(HistoricalStockProgress[[#This Row],[Full Company Name]],HistoricalStockProgress[[#This Row],[Date]],,2,0,1)),0)</f>
        <v>0</v>
      </c>
      <c r="M190" s="34">
        <f>YEAR(HistoricalStockProgress[[#This Row],[Date]])</f>
        <v>2016</v>
      </c>
      <c r="N190" s="34">
        <f>MONTH(HistoricalStockProgress[[#This Row],[Date]])</f>
        <v>12</v>
      </c>
    </row>
    <row r="191" spans="2:14">
      <c r="B191" s="15">
        <v>42735</v>
      </c>
      <c r="C191" s="34" t="s">
        <v>100</v>
      </c>
      <c r="D191" s="34" t="e" vm="16">
        <f>_xlfn.XLOOKUP(HistoricalStockProgress[[#This Row],[Company Ticker]],CompanyDetailsList[Company Ticker],CompanyDetailsList[Official Name],,0)</f>
        <v>#VALUE!</v>
      </c>
      <c r="E1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1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191" s="17">
        <f>IFERROR(HistoricalStockProgress[[#This Row],[Cost of Shares]]/HistoricalStockProgress[[#This Row],[No. of Shares]],0)</f>
        <v>84.509035134678101</v>
      </c>
      <c r="H191" s="16" vm="743">
        <v>77.62</v>
      </c>
      <c r="I191" s="16">
        <f>IF(HistoricalStockProgress[[#This Row],[No. of Shares]]&lt;&gt;0,HistoricalStockProgress[[#This Row],[Price of Shares]]*HistoricalStockProgress[[#This Row],[No. of Shares]],0)</f>
        <v>2561.46</v>
      </c>
      <c r="J191" s="16">
        <f>IF(HistoricalStockProgress[[#This Row],[No. of Shares]]&lt;&gt;0,HistoricalStockProgress[[#This Row],[Price of Shares]]-HistoricalStockProgress[[#This Row],[Cost of Shares]]/HistoricalStockProgress[[#This Row],[No. of Shares]],0)</f>
        <v>-6.889035134678096</v>
      </c>
      <c r="K191" s="17">
        <f>IF(HistoricalStockProgress[[#This Row],[Total Price of Shares]]&lt;&gt;0,HistoricalStockProgress[[#This Row],[Total Price of Shares]]-HistoricalStockProgress[[#This Row],[Cost of Shares]],0)</f>
        <v>-227.3381594443772</v>
      </c>
      <c r="L191" s="34" t="b" cm="1">
        <f t="array" ref="L191">IFERROR(IF(HistoricalStockProgress[[#This Row],[Price of Shares]]="",_xlfn.STOCKHISTORY(HistoricalStockProgress[[#This Row],[Full Company Name]],HistoricalStockProgress[[#This Row],[Date]],,2,0,1)),0)</f>
        <v>0</v>
      </c>
      <c r="M191" s="34">
        <f>YEAR(HistoricalStockProgress[[#This Row],[Date]])</f>
        <v>2016</v>
      </c>
      <c r="N191" s="34">
        <f>MONTH(HistoricalStockProgress[[#This Row],[Date]])</f>
        <v>12</v>
      </c>
    </row>
    <row r="192" spans="2:14">
      <c r="B192" s="15">
        <v>42735</v>
      </c>
      <c r="C192" s="34" t="s">
        <v>15</v>
      </c>
      <c r="D192" s="34" t="e" vm="17">
        <f>_xlfn.XLOOKUP(HistoricalStockProgress[[#This Row],[Company Ticker]],CompanyDetailsList[Company Ticker],CompanyDetailsList[Official Name],,0)</f>
        <v>#VALUE!</v>
      </c>
      <c r="E1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1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192" s="17">
        <f>IFERROR(HistoricalStockProgress[[#This Row],[Cost of Shares]]/HistoricalStockProgress[[#This Row],[No. of Shares]],0)</f>
        <v>26.481400454992627</v>
      </c>
      <c r="H192" s="16" vm="744">
        <v>32.117800000000003</v>
      </c>
      <c r="I192" s="16">
        <f>IF(HistoricalStockProgress[[#This Row],[No. of Shares]]&lt;&gt;0,HistoricalStockProgress[[#This Row],[Price of Shares]]*HistoricalStockProgress[[#This Row],[No. of Shares]],0)</f>
        <v>3083.3088000000002</v>
      </c>
      <c r="J192" s="16">
        <f>IF(HistoricalStockProgress[[#This Row],[No. of Shares]]&lt;&gt;0,HistoricalStockProgress[[#This Row],[Price of Shares]]-HistoricalStockProgress[[#This Row],[Cost of Shares]]/HistoricalStockProgress[[#This Row],[No. of Shares]],0)</f>
        <v>5.6363995450073752</v>
      </c>
      <c r="K192" s="17">
        <f>IF(HistoricalStockProgress[[#This Row],[Total Price of Shares]]&lt;&gt;0,HistoricalStockProgress[[#This Row],[Total Price of Shares]]-HistoricalStockProgress[[#This Row],[Cost of Shares]],0)</f>
        <v>541.0943563207079</v>
      </c>
      <c r="L192" s="34" t="b" cm="1">
        <f t="array" ref="L192">IFERROR(IF(HistoricalStockProgress[[#This Row],[Price of Shares]]="",_xlfn.STOCKHISTORY(HistoricalStockProgress[[#This Row],[Full Company Name]],HistoricalStockProgress[[#This Row],[Date]],,2,0,1)),0)</f>
        <v>0</v>
      </c>
      <c r="M192" s="34">
        <f>YEAR(HistoricalStockProgress[[#This Row],[Date]])</f>
        <v>2016</v>
      </c>
      <c r="N192" s="34">
        <f>MONTH(HistoricalStockProgress[[#This Row],[Date]])</f>
        <v>12</v>
      </c>
    </row>
    <row r="193" spans="2:14">
      <c r="B193" s="15">
        <v>42735</v>
      </c>
      <c r="C193" s="34" t="s">
        <v>13</v>
      </c>
      <c r="D193" s="34" t="e" vm="18">
        <f>_xlfn.XLOOKUP(HistoricalStockProgress[[#This Row],[Company Ticker]],CompanyDetailsList[Company Ticker],CompanyDetailsList[Official Name],,0)</f>
        <v>#VALUE!</v>
      </c>
      <c r="E1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v>
      </c>
      <c r="F1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340.07902655309988</v>
      </c>
      <c r="G193" s="17">
        <f>IFERROR(HistoricalStockProgress[[#This Row],[Cost of Shares]]/HistoricalStockProgress[[#This Row],[No. of Shares]],0)</f>
        <v>30.916275141190898</v>
      </c>
      <c r="H193" s="16" vm="745">
        <v>30.789400000000001</v>
      </c>
      <c r="I193" s="16">
        <f>IF(HistoricalStockProgress[[#This Row],[No. of Shares]]&lt;&gt;0,HistoricalStockProgress[[#This Row],[Price of Shares]]*HistoricalStockProgress[[#This Row],[No. of Shares]],0)</f>
        <v>338.68340000000001</v>
      </c>
      <c r="J193" s="16">
        <f>IF(HistoricalStockProgress[[#This Row],[No. of Shares]]&lt;&gt;0,HistoricalStockProgress[[#This Row],[Price of Shares]]-HistoricalStockProgress[[#This Row],[Cost of Shares]]/HistoricalStockProgress[[#This Row],[No. of Shares]],0)</f>
        <v>-0.12687514119089727</v>
      </c>
      <c r="K193" s="17">
        <f>IF(HistoricalStockProgress[[#This Row],[Total Price of Shares]]&lt;&gt;0,HistoricalStockProgress[[#This Row],[Total Price of Shares]]-HistoricalStockProgress[[#This Row],[Cost of Shares]],0)</f>
        <v>-1.3956265530998735</v>
      </c>
      <c r="L193" s="34" t="b" cm="1">
        <f t="array" ref="L193">IFERROR(IF(HistoricalStockProgress[[#This Row],[Price of Shares]]="",_xlfn.STOCKHISTORY(HistoricalStockProgress[[#This Row],[Full Company Name]],HistoricalStockProgress[[#This Row],[Date]],,2,0,1)),0)</f>
        <v>0</v>
      </c>
      <c r="M193" s="34">
        <f>YEAR(HistoricalStockProgress[[#This Row],[Date]])</f>
        <v>2016</v>
      </c>
      <c r="N193" s="34">
        <f>MONTH(HistoricalStockProgress[[#This Row],[Date]])</f>
        <v>12</v>
      </c>
    </row>
    <row r="194" spans="2:14">
      <c r="B194" s="15">
        <v>42735</v>
      </c>
      <c r="C194" s="34" t="s">
        <v>20</v>
      </c>
      <c r="D194" s="34" t="e" vm="19">
        <f>_xlfn.XLOOKUP(HistoricalStockProgress[[#This Row],[Company Ticker]],CompanyDetailsList[Company Ticker],CompanyDetailsList[Official Name],,0)</f>
        <v>#VALUE!</v>
      </c>
      <c r="E1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1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1854.4807473772971</v>
      </c>
      <c r="G194" s="17">
        <f>IFERROR(HistoricalStockProgress[[#This Row],[Cost of Shares]]/HistoricalStockProgress[[#This Row],[No. of Shares]],0)</f>
        <v>74.179229895091879</v>
      </c>
      <c r="H194" s="16" vm="746">
        <v>86.29</v>
      </c>
      <c r="I194" s="16">
        <f>IF(HistoricalStockProgress[[#This Row],[No. of Shares]]&lt;&gt;0,HistoricalStockProgress[[#This Row],[Price of Shares]]*HistoricalStockProgress[[#This Row],[No. of Shares]],0)</f>
        <v>2157.25</v>
      </c>
      <c r="J194" s="16">
        <f>IF(HistoricalStockProgress[[#This Row],[No. of Shares]]&lt;&gt;0,HistoricalStockProgress[[#This Row],[Price of Shares]]-HistoricalStockProgress[[#This Row],[Cost of Shares]]/HistoricalStockProgress[[#This Row],[No. of Shares]],0)</f>
        <v>12.110770104908127</v>
      </c>
      <c r="K194" s="17">
        <f>IF(HistoricalStockProgress[[#This Row],[Total Price of Shares]]&lt;&gt;0,HistoricalStockProgress[[#This Row],[Total Price of Shares]]-HistoricalStockProgress[[#This Row],[Cost of Shares]],0)</f>
        <v>302.76925262270288</v>
      </c>
      <c r="L194" s="34" t="b" cm="1">
        <f t="array" ref="L194">IFERROR(IF(HistoricalStockProgress[[#This Row],[Price of Shares]]="",_xlfn.STOCKHISTORY(HistoricalStockProgress[[#This Row],[Full Company Name]],HistoricalStockProgress[[#This Row],[Date]],,2,0,1)),0)</f>
        <v>0</v>
      </c>
      <c r="M194" s="34">
        <f>YEAR(HistoricalStockProgress[[#This Row],[Date]])</f>
        <v>2016</v>
      </c>
      <c r="N194" s="34">
        <f>MONTH(HistoricalStockProgress[[#This Row],[Date]])</f>
        <v>12</v>
      </c>
    </row>
    <row r="195" spans="2:14">
      <c r="B195" s="15">
        <v>42735</v>
      </c>
      <c r="C195" s="34" t="s">
        <v>106</v>
      </c>
      <c r="D195" s="34" t="e" vm="20">
        <f>_xlfn.XLOOKUP(HistoricalStockProgress[[#This Row],[Company Ticker]],CompanyDetailsList[Company Ticker],CompanyDetailsList[Official Name],,0)</f>
        <v>#VALUE!</v>
      </c>
      <c r="E1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1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195" s="17">
        <f>IFERROR(HistoricalStockProgress[[#This Row],[Cost of Shares]]/HistoricalStockProgress[[#This Row],[No. of Shares]],0)</f>
        <v>104.71316390485761</v>
      </c>
      <c r="H195" s="16" vm="747">
        <v>94.76</v>
      </c>
      <c r="I195" s="16">
        <f>IF(HistoricalStockProgress[[#This Row],[No. of Shares]]&lt;&gt;0,HistoricalStockProgress[[#This Row],[Price of Shares]]*HistoricalStockProgress[[#This Row],[No. of Shares]],0)</f>
        <v>3316.6000000000004</v>
      </c>
      <c r="J195" s="16">
        <f>IF(HistoricalStockProgress[[#This Row],[No. of Shares]]&lt;&gt;0,HistoricalStockProgress[[#This Row],[Price of Shares]]-HistoricalStockProgress[[#This Row],[Cost of Shares]]/HistoricalStockProgress[[#This Row],[No. of Shares]],0)</f>
        <v>-9.9531639048576039</v>
      </c>
      <c r="K195" s="17">
        <f>IF(HistoricalStockProgress[[#This Row],[Total Price of Shares]]&lt;&gt;0,HistoricalStockProgress[[#This Row],[Total Price of Shares]]-HistoricalStockProgress[[#This Row],[Cost of Shares]],0)</f>
        <v>-348.36073667001619</v>
      </c>
      <c r="L195" s="34" t="b" cm="1">
        <f t="array" ref="L195">IFERROR(IF(HistoricalStockProgress[[#This Row],[Price of Shares]]="",_xlfn.STOCKHISTORY(HistoricalStockProgress[[#This Row],[Full Company Name]],HistoricalStockProgress[[#This Row],[Date]],,2,0,1)),0)</f>
        <v>0</v>
      </c>
      <c r="M195" s="34">
        <f>YEAR(HistoricalStockProgress[[#This Row],[Date]])</f>
        <v>2016</v>
      </c>
      <c r="N195" s="34">
        <f>MONTH(HistoricalStockProgress[[#This Row],[Date]])</f>
        <v>12</v>
      </c>
    </row>
    <row r="196" spans="2:14">
      <c r="B196" s="15">
        <v>42766</v>
      </c>
      <c r="C196" s="34" t="s">
        <v>84</v>
      </c>
      <c r="D196" s="34" t="e" vm="7">
        <f>_xlfn.XLOOKUP(HistoricalStockProgress[[#This Row],[Company Ticker]],CompanyDetailsList[Company Ticker],CompanyDetailsList[Official Name],,0)</f>
        <v>#VALUE!</v>
      </c>
      <c r="E1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96" s="17">
        <f>IFERROR(HistoricalStockProgress[[#This Row],[Cost of Shares]]/HistoricalStockProgress[[#This Row],[No. of Shares]],0)</f>
        <v>104.18087504950869</v>
      </c>
      <c r="H196" s="16" vm="748">
        <v>113.25</v>
      </c>
      <c r="I196" s="16">
        <f>IF(HistoricalStockProgress[[#This Row],[No. of Shares]]&lt;&gt;0,HistoricalStockProgress[[#This Row],[Price of Shares]]*HistoricalStockProgress[[#This Row],[No. of Shares]],0)</f>
        <v>5775.75</v>
      </c>
      <c r="J196" s="16">
        <f>IF(HistoricalStockProgress[[#This Row],[No. of Shares]]&lt;&gt;0,HistoricalStockProgress[[#This Row],[Price of Shares]]-HistoricalStockProgress[[#This Row],[Cost of Shares]]/HistoricalStockProgress[[#This Row],[No. of Shares]],0)</f>
        <v>9.0691249504913145</v>
      </c>
      <c r="K196" s="17">
        <f>IF(HistoricalStockProgress[[#This Row],[Total Price of Shares]]&lt;&gt;0,HistoricalStockProgress[[#This Row],[Total Price of Shares]]-HistoricalStockProgress[[#This Row],[Cost of Shares]],0)</f>
        <v>462.52537247505734</v>
      </c>
      <c r="L196" s="34" t="b" cm="1">
        <f t="array" ref="L196">IFERROR(IF(HistoricalStockProgress[[#This Row],[Price of Shares]]="",_xlfn.STOCKHISTORY(HistoricalStockProgress[[#This Row],[Full Company Name]],HistoricalStockProgress[[#This Row],[Date]],,2,0,1)),0)</f>
        <v>0</v>
      </c>
      <c r="M196" s="34">
        <f>YEAR(HistoricalStockProgress[[#This Row],[Date]])</f>
        <v>2017</v>
      </c>
      <c r="N196" s="34">
        <f>MONTH(HistoricalStockProgress[[#This Row],[Date]])</f>
        <v>1</v>
      </c>
    </row>
    <row r="197" spans="2:14">
      <c r="B197" s="15">
        <v>42766</v>
      </c>
      <c r="C197" s="34" t="s">
        <v>86</v>
      </c>
      <c r="D197" s="34" t="e" vm="8">
        <f>_xlfn.XLOOKUP(HistoricalStockProgress[[#This Row],[Company Ticker]],CompanyDetailsList[Company Ticker],CompanyDetailsList[Official Name],,0)</f>
        <v>#VALUE!</v>
      </c>
      <c r="E1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v>
      </c>
      <c r="F1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1370.0286395296207</v>
      </c>
      <c r="G197" s="17">
        <f>IFERROR(HistoricalStockProgress[[#This Row],[Cost of Shares]]/HistoricalStockProgress[[#This Row],[No. of Shares]],0)</f>
        <v>59.566462588244377</v>
      </c>
      <c r="H197" s="16" vm="749">
        <v>61.11</v>
      </c>
      <c r="I197" s="16">
        <f>IF(HistoricalStockProgress[[#This Row],[No. of Shares]]&lt;&gt;0,HistoricalStockProgress[[#This Row],[Price of Shares]]*HistoricalStockProgress[[#This Row],[No. of Shares]],0)</f>
        <v>1405.53</v>
      </c>
      <c r="J197" s="16">
        <f>IF(HistoricalStockProgress[[#This Row],[No. of Shares]]&lt;&gt;0,HistoricalStockProgress[[#This Row],[Price of Shares]]-HistoricalStockProgress[[#This Row],[Cost of Shares]]/HistoricalStockProgress[[#This Row],[No. of Shares]],0)</f>
        <v>1.5435374117556222</v>
      </c>
      <c r="K197" s="17">
        <f>IF(HistoricalStockProgress[[#This Row],[Total Price of Shares]]&lt;&gt;0,HistoricalStockProgress[[#This Row],[Total Price of Shares]]-HistoricalStockProgress[[#This Row],[Cost of Shares]],0)</f>
        <v>35.501360470379268</v>
      </c>
      <c r="L197" s="34" t="b" cm="1">
        <f t="array" ref="L197">IFERROR(IF(HistoricalStockProgress[[#This Row],[Price of Shares]]="",_xlfn.STOCKHISTORY(HistoricalStockProgress[[#This Row],[Full Company Name]],HistoricalStockProgress[[#This Row],[Date]],,2,0,1)),0)</f>
        <v>0</v>
      </c>
      <c r="M197" s="34">
        <f>YEAR(HistoricalStockProgress[[#This Row],[Date]])</f>
        <v>2017</v>
      </c>
      <c r="N197" s="34">
        <f>MONTH(HistoricalStockProgress[[#This Row],[Date]])</f>
        <v>1</v>
      </c>
    </row>
    <row r="198" spans="2:14">
      <c r="B198" s="15">
        <v>42766</v>
      </c>
      <c r="C198" s="34" t="s">
        <v>22</v>
      </c>
      <c r="D198" s="34" t="e" vm="10">
        <f>_xlfn.XLOOKUP(HistoricalStockProgress[[#This Row],[Company Ticker]],CompanyDetailsList[Company Ticker],CompanyDetailsList[Official Name],,0)</f>
        <v>#VALUE!</v>
      </c>
      <c r="E1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1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198" s="17">
        <f>IFERROR(HistoricalStockProgress[[#This Row],[Cost of Shares]]/HistoricalStockProgress[[#This Row],[No. of Shares]],0)</f>
        <v>83.61275075159574</v>
      </c>
      <c r="H198" s="16" vm="750">
        <v>95.66</v>
      </c>
      <c r="I198" s="16">
        <f>IF(HistoricalStockProgress[[#This Row],[No. of Shares]]&lt;&gt;0,HistoricalStockProgress[[#This Row],[Price of Shares]]*HistoricalStockProgress[[#This Row],[No. of Shares]],0)</f>
        <v>5835.26</v>
      </c>
      <c r="J198" s="16">
        <f>IF(HistoricalStockProgress[[#This Row],[No. of Shares]]&lt;&gt;0,HistoricalStockProgress[[#This Row],[Price of Shares]]-HistoricalStockProgress[[#This Row],[Cost of Shares]]/HistoricalStockProgress[[#This Row],[No. of Shares]],0)</f>
        <v>12.047249248404256</v>
      </c>
      <c r="K198" s="17">
        <f>IF(HistoricalStockProgress[[#This Row],[Total Price of Shares]]&lt;&gt;0,HistoricalStockProgress[[#This Row],[Total Price of Shares]]-HistoricalStockProgress[[#This Row],[Cost of Shares]],0)</f>
        <v>734.88220415266005</v>
      </c>
      <c r="L198" s="34" t="b" cm="1">
        <f t="array" ref="L198">IFERROR(IF(HistoricalStockProgress[[#This Row],[Price of Shares]]="",_xlfn.STOCKHISTORY(HistoricalStockProgress[[#This Row],[Full Company Name]],HistoricalStockProgress[[#This Row],[Date]],,2,0,1)),0)</f>
        <v>0</v>
      </c>
      <c r="M198" s="34">
        <f>YEAR(HistoricalStockProgress[[#This Row],[Date]])</f>
        <v>2017</v>
      </c>
      <c r="N198" s="34">
        <f>MONTH(HistoricalStockProgress[[#This Row],[Date]])</f>
        <v>1</v>
      </c>
    </row>
    <row r="199" spans="2:14">
      <c r="B199" s="15">
        <v>42766</v>
      </c>
      <c r="C199" s="34" t="s">
        <v>91</v>
      </c>
      <c r="D199" s="34" t="e" vm="11">
        <f>_xlfn.XLOOKUP(HistoricalStockProgress[[#This Row],[Company Ticker]],CompanyDetailsList[Company Ticker],CompanyDetailsList[Official Name],,0)</f>
        <v>#VALUE!</v>
      </c>
      <c r="E1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3147.1300357784085</v>
      </c>
      <c r="G199" s="17">
        <f>IFERROR(HistoricalStockProgress[[#This Row],[Cost of Shares]]/HistoricalStockProgress[[#This Row],[No. of Shares]],0)</f>
        <v>56.198750638900151</v>
      </c>
      <c r="H199" s="16" vm="751">
        <v>64.650000000000006</v>
      </c>
      <c r="I199" s="16">
        <f>IF(HistoricalStockProgress[[#This Row],[No. of Shares]]&lt;&gt;0,HistoricalStockProgress[[#This Row],[Price of Shares]]*HistoricalStockProgress[[#This Row],[No. of Shares]],0)</f>
        <v>3620.4000000000005</v>
      </c>
      <c r="J199" s="16">
        <f>IF(HistoricalStockProgress[[#This Row],[No. of Shares]]&lt;&gt;0,HistoricalStockProgress[[#This Row],[Price of Shares]]-HistoricalStockProgress[[#This Row],[Cost of Shares]]/HistoricalStockProgress[[#This Row],[No. of Shares]],0)</f>
        <v>8.4512493610998547</v>
      </c>
      <c r="K199" s="17">
        <f>IF(HistoricalStockProgress[[#This Row],[Total Price of Shares]]&lt;&gt;0,HistoricalStockProgress[[#This Row],[Total Price of Shares]]-HistoricalStockProgress[[#This Row],[Cost of Shares]],0)</f>
        <v>473.26996422159209</v>
      </c>
      <c r="L199" s="34" t="b" cm="1">
        <f t="array" ref="L199">IFERROR(IF(HistoricalStockProgress[[#This Row],[Price of Shares]]="",_xlfn.STOCKHISTORY(HistoricalStockProgress[[#This Row],[Full Company Name]],HistoricalStockProgress[[#This Row],[Date]],,2,0,1)),0)</f>
        <v>0</v>
      </c>
      <c r="M199" s="34">
        <f>YEAR(HistoricalStockProgress[[#This Row],[Date]])</f>
        <v>2017</v>
      </c>
      <c r="N199" s="34">
        <f>MONTH(HistoricalStockProgress[[#This Row],[Date]])</f>
        <v>1</v>
      </c>
    </row>
    <row r="200" spans="2:14">
      <c r="B200" s="15">
        <v>42766</v>
      </c>
      <c r="C200" s="34" t="s">
        <v>16</v>
      </c>
      <c r="D200" s="34" t="e" vm="12">
        <f>_xlfn.XLOOKUP(HistoricalStockProgress[[#This Row],[Company Ticker]],CompanyDetailsList[Company Ticker],CompanyDetailsList[Official Name],,0)</f>
        <v>#VALUE!</v>
      </c>
      <c r="E2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2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7523.7120824663862</v>
      </c>
      <c r="G200" s="17">
        <f>IFERROR(HistoricalStockProgress[[#This Row],[Cost of Shares]]/HistoricalStockProgress[[#This Row],[No. of Shares]],0)</f>
        <v>85.496728209845301</v>
      </c>
      <c r="H200" s="16" vm="752">
        <v>83.89</v>
      </c>
      <c r="I200" s="16">
        <f>IF(HistoricalStockProgress[[#This Row],[No. of Shares]]&lt;&gt;0,HistoricalStockProgress[[#This Row],[Price of Shares]]*HistoricalStockProgress[[#This Row],[No. of Shares]],0)</f>
        <v>7382.32</v>
      </c>
      <c r="J200" s="16">
        <f>IF(HistoricalStockProgress[[#This Row],[No. of Shares]]&lt;&gt;0,HistoricalStockProgress[[#This Row],[Price of Shares]]-HistoricalStockProgress[[#This Row],[Cost of Shares]]/HistoricalStockProgress[[#This Row],[No. of Shares]],0)</f>
        <v>-1.6067282098453006</v>
      </c>
      <c r="K200" s="17">
        <f>IF(HistoricalStockProgress[[#This Row],[Total Price of Shares]]&lt;&gt;0,HistoricalStockProgress[[#This Row],[Total Price of Shares]]-HistoricalStockProgress[[#This Row],[Cost of Shares]],0)</f>
        <v>-141.39208246638646</v>
      </c>
      <c r="L200" s="34" t="b" cm="1">
        <f t="array" ref="L200">IFERROR(IF(HistoricalStockProgress[[#This Row],[Price of Shares]]="",_xlfn.STOCKHISTORY(HistoricalStockProgress[[#This Row],[Full Company Name]],HistoricalStockProgress[[#This Row],[Date]],,2,0,1)),0)</f>
        <v>0</v>
      </c>
      <c r="M200" s="34">
        <f>YEAR(HistoricalStockProgress[[#This Row],[Date]])</f>
        <v>2017</v>
      </c>
      <c r="N200" s="34">
        <f>MONTH(HistoricalStockProgress[[#This Row],[Date]])</f>
        <v>1</v>
      </c>
    </row>
    <row r="201" spans="2:14">
      <c r="B201" s="15">
        <v>42766</v>
      </c>
      <c r="C201" s="34" t="s">
        <v>95</v>
      </c>
      <c r="D201" s="34" t="e" vm="13">
        <f>_xlfn.XLOOKUP(HistoricalStockProgress[[#This Row],[Company Ticker]],CompanyDetailsList[Company Ticker],CompanyDetailsList[Official Name],,0)</f>
        <v>#VALUE!</v>
      </c>
      <c r="E2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2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201" s="17">
        <f>IFERROR(HistoricalStockProgress[[#This Row],[Cost of Shares]]/HistoricalStockProgress[[#This Row],[No. of Shares]],0)</f>
        <v>112.90555526050157</v>
      </c>
      <c r="H201" s="16" vm="753">
        <v>137.58000000000001</v>
      </c>
      <c r="I201" s="16">
        <f>IF(HistoricalStockProgress[[#This Row],[No. of Shares]]&lt;&gt;0,HistoricalStockProgress[[#This Row],[Price of Shares]]*HistoricalStockProgress[[#This Row],[No. of Shares]],0)</f>
        <v>1650.96</v>
      </c>
      <c r="J201" s="16">
        <f>IF(HistoricalStockProgress[[#This Row],[No. of Shares]]&lt;&gt;0,HistoricalStockProgress[[#This Row],[Price of Shares]]-HistoricalStockProgress[[#This Row],[Cost of Shares]]/HistoricalStockProgress[[#This Row],[No. of Shares]],0)</f>
        <v>24.674444739498441</v>
      </c>
      <c r="K201" s="17">
        <f>IF(HistoricalStockProgress[[#This Row],[Total Price of Shares]]&lt;&gt;0,HistoricalStockProgress[[#This Row],[Total Price of Shares]]-HistoricalStockProgress[[#This Row],[Cost of Shares]],0)</f>
        <v>296.09333687398112</v>
      </c>
      <c r="L201" s="34" t="b" cm="1">
        <f t="array" ref="L201">IFERROR(IF(HistoricalStockProgress[[#This Row],[Price of Shares]]="",_xlfn.STOCKHISTORY(HistoricalStockProgress[[#This Row],[Full Company Name]],HistoricalStockProgress[[#This Row],[Date]],,2,0,1)),0)</f>
        <v>0</v>
      </c>
      <c r="M201" s="34">
        <f>YEAR(HistoricalStockProgress[[#This Row],[Date]])</f>
        <v>2017</v>
      </c>
      <c r="N201" s="34">
        <f>MONTH(HistoricalStockProgress[[#This Row],[Date]])</f>
        <v>1</v>
      </c>
    </row>
    <row r="202" spans="2:14">
      <c r="B202" s="15">
        <v>42766</v>
      </c>
      <c r="C202" s="34" t="s">
        <v>17</v>
      </c>
      <c r="D202" s="34" t="e" vm="14">
        <f>_xlfn.XLOOKUP(HistoricalStockProgress[[#This Row],[Company Ticker]],CompanyDetailsList[Company Ticker],CompanyDetailsList[Official Name],,0)</f>
        <v>#VALUE!</v>
      </c>
      <c r="E2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v>
      </c>
      <c r="F2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2797.1749688808613</v>
      </c>
      <c r="G202" s="17">
        <f>IFERROR(HistoricalStockProgress[[#This Row],[Cost of Shares]]/HistoricalStockProgress[[#This Row],[No. of Shares]],0)</f>
        <v>155.39860938227008</v>
      </c>
      <c r="H202" s="16" vm="754">
        <v>174.52</v>
      </c>
      <c r="I202" s="16">
        <f>IF(HistoricalStockProgress[[#This Row],[No. of Shares]]&lt;&gt;0,HistoricalStockProgress[[#This Row],[Price of Shares]]*HistoricalStockProgress[[#This Row],[No. of Shares]],0)</f>
        <v>3141.36</v>
      </c>
      <c r="J202" s="16">
        <f>IF(HistoricalStockProgress[[#This Row],[No. of Shares]]&lt;&gt;0,HistoricalStockProgress[[#This Row],[Price of Shares]]-HistoricalStockProgress[[#This Row],[Cost of Shares]]/HistoricalStockProgress[[#This Row],[No. of Shares]],0)</f>
        <v>19.121390617729929</v>
      </c>
      <c r="K202" s="17">
        <f>IF(HistoricalStockProgress[[#This Row],[Total Price of Shares]]&lt;&gt;0,HistoricalStockProgress[[#This Row],[Total Price of Shares]]-HistoricalStockProgress[[#This Row],[Cost of Shares]],0)</f>
        <v>344.18503111913878</v>
      </c>
      <c r="L202" s="34" t="b" cm="1">
        <f t="array" ref="L202">IFERROR(IF(HistoricalStockProgress[[#This Row],[Price of Shares]]="",_xlfn.STOCKHISTORY(HistoricalStockProgress[[#This Row],[Full Company Name]],HistoricalStockProgress[[#This Row],[Date]],,2,0,1)),0)</f>
        <v>0</v>
      </c>
      <c r="M202" s="34">
        <f>YEAR(HistoricalStockProgress[[#This Row],[Date]])</f>
        <v>2017</v>
      </c>
      <c r="N202" s="34">
        <f>MONTH(HistoricalStockProgress[[#This Row],[Date]])</f>
        <v>1</v>
      </c>
    </row>
    <row r="203" spans="2:14">
      <c r="B203" s="15">
        <v>42766</v>
      </c>
      <c r="C203" s="34" t="s">
        <v>100</v>
      </c>
      <c r="D203" s="34" t="e" vm="16">
        <f>_xlfn.XLOOKUP(HistoricalStockProgress[[#This Row],[Company Ticker]],CompanyDetailsList[Company Ticker],CompanyDetailsList[Official Name],,0)</f>
        <v>#VALUE!</v>
      </c>
      <c r="E2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2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203" s="17">
        <f>IFERROR(HistoricalStockProgress[[#This Row],[Cost of Shares]]/HistoricalStockProgress[[#This Row],[No. of Shares]],0)</f>
        <v>84.509035134678101</v>
      </c>
      <c r="H203" s="16" vm="755">
        <v>78.540000000000006</v>
      </c>
      <c r="I203" s="16">
        <f>IF(HistoricalStockProgress[[#This Row],[No. of Shares]]&lt;&gt;0,HistoricalStockProgress[[#This Row],[Price of Shares]]*HistoricalStockProgress[[#This Row],[No. of Shares]],0)</f>
        <v>2591.8200000000002</v>
      </c>
      <c r="J203" s="16">
        <f>IF(HistoricalStockProgress[[#This Row],[No. of Shares]]&lt;&gt;0,HistoricalStockProgress[[#This Row],[Price of Shares]]-HistoricalStockProgress[[#This Row],[Cost of Shares]]/HistoricalStockProgress[[#This Row],[No. of Shares]],0)</f>
        <v>-5.9690351346780943</v>
      </c>
      <c r="K203" s="17">
        <f>IF(HistoricalStockProgress[[#This Row],[Total Price of Shares]]&lt;&gt;0,HistoricalStockProgress[[#This Row],[Total Price of Shares]]-HistoricalStockProgress[[#This Row],[Cost of Shares]],0)</f>
        <v>-196.97815944437707</v>
      </c>
      <c r="L203" s="34" t="b" cm="1">
        <f t="array" ref="L203">IFERROR(IF(HistoricalStockProgress[[#This Row],[Price of Shares]]="",_xlfn.STOCKHISTORY(HistoricalStockProgress[[#This Row],[Full Company Name]],HistoricalStockProgress[[#This Row],[Date]],,2,0,1)),0)</f>
        <v>0</v>
      </c>
      <c r="M203" s="34">
        <f>YEAR(HistoricalStockProgress[[#This Row],[Date]])</f>
        <v>2017</v>
      </c>
      <c r="N203" s="34">
        <f>MONTH(HistoricalStockProgress[[#This Row],[Date]])</f>
        <v>1</v>
      </c>
    </row>
    <row r="204" spans="2:14">
      <c r="B204" s="15">
        <v>42766</v>
      </c>
      <c r="C204" s="34" t="s">
        <v>15</v>
      </c>
      <c r="D204" s="34" t="e" vm="17">
        <f>_xlfn.XLOOKUP(HistoricalStockProgress[[#This Row],[Company Ticker]],CompanyDetailsList[Company Ticker],CompanyDetailsList[Official Name],,0)</f>
        <v>#VALUE!</v>
      </c>
      <c r="E2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2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204" s="17">
        <f>IFERROR(HistoricalStockProgress[[#This Row],[Cost of Shares]]/HistoricalStockProgress[[#This Row],[No. of Shares]],0)</f>
        <v>26.481400454992627</v>
      </c>
      <c r="H204" s="16" vm="756">
        <v>31.8384</v>
      </c>
      <c r="I204" s="16">
        <f>IF(HistoricalStockProgress[[#This Row],[No. of Shares]]&lt;&gt;0,HistoricalStockProgress[[#This Row],[Price of Shares]]*HistoricalStockProgress[[#This Row],[No. of Shares]],0)</f>
        <v>3056.4863999999998</v>
      </c>
      <c r="J204" s="16">
        <f>IF(HistoricalStockProgress[[#This Row],[No. of Shares]]&lt;&gt;0,HistoricalStockProgress[[#This Row],[Price of Shares]]-HistoricalStockProgress[[#This Row],[Cost of Shares]]/HistoricalStockProgress[[#This Row],[No. of Shares]],0)</f>
        <v>5.3569995450073726</v>
      </c>
      <c r="K204" s="17">
        <f>IF(HistoricalStockProgress[[#This Row],[Total Price of Shares]]&lt;&gt;0,HistoricalStockProgress[[#This Row],[Total Price of Shares]]-HistoricalStockProgress[[#This Row],[Cost of Shares]],0)</f>
        <v>514.27195632070743</v>
      </c>
      <c r="L204" s="34" t="b" cm="1">
        <f t="array" ref="L204">IFERROR(IF(HistoricalStockProgress[[#This Row],[Price of Shares]]="",_xlfn.STOCKHISTORY(HistoricalStockProgress[[#This Row],[Full Company Name]],HistoricalStockProgress[[#This Row],[Date]],,2,0,1)),0)</f>
        <v>0</v>
      </c>
      <c r="M204" s="34">
        <f>YEAR(HistoricalStockProgress[[#This Row],[Date]])</f>
        <v>2017</v>
      </c>
      <c r="N204" s="34">
        <f>MONTH(HistoricalStockProgress[[#This Row],[Date]])</f>
        <v>1</v>
      </c>
    </row>
    <row r="205" spans="2:14">
      <c r="B205" s="15">
        <v>42766</v>
      </c>
      <c r="C205" s="34" t="s">
        <v>13</v>
      </c>
      <c r="D205" s="34" t="e" vm="18">
        <f>_xlfn.XLOOKUP(HistoricalStockProgress[[#This Row],[Company Ticker]],CompanyDetailsList[Company Ticker],CompanyDetailsList[Official Name],,0)</f>
        <v>#VALUE!</v>
      </c>
      <c r="E2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2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205" s="17">
        <f>IFERROR(HistoricalStockProgress[[#This Row],[Cost of Shares]]/HistoricalStockProgress[[#This Row],[No. of Shares]],0)</f>
        <v>31.383479678650293</v>
      </c>
      <c r="H205" s="16" vm="757">
        <v>30.078499999999998</v>
      </c>
      <c r="I205" s="16">
        <f>IF(HistoricalStockProgress[[#This Row],[No. of Shares]]&lt;&gt;0,HistoricalStockProgress[[#This Row],[Price of Shares]]*HistoricalStockProgress[[#This Row],[No. of Shares]],0)</f>
        <v>751.96249999999998</v>
      </c>
      <c r="J205" s="16">
        <f>IF(HistoricalStockProgress[[#This Row],[No. of Shares]]&lt;&gt;0,HistoricalStockProgress[[#This Row],[Price of Shares]]-HistoricalStockProgress[[#This Row],[Cost of Shares]]/HistoricalStockProgress[[#This Row],[No. of Shares]],0)</f>
        <v>-1.3049796786502945</v>
      </c>
      <c r="K205" s="17">
        <f>IF(HistoricalStockProgress[[#This Row],[Total Price of Shares]]&lt;&gt;0,HistoricalStockProgress[[#This Row],[Total Price of Shares]]-HistoricalStockProgress[[#This Row],[Cost of Shares]],0)</f>
        <v>-32.624491966257324</v>
      </c>
      <c r="L205" s="34" t="b" cm="1">
        <f t="array" ref="L205">IFERROR(IF(HistoricalStockProgress[[#This Row],[Price of Shares]]="",_xlfn.STOCKHISTORY(HistoricalStockProgress[[#This Row],[Full Company Name]],HistoricalStockProgress[[#This Row],[Date]],,2,0,1)),0)</f>
        <v>0</v>
      </c>
      <c r="M205" s="34">
        <f>YEAR(HistoricalStockProgress[[#This Row],[Date]])</f>
        <v>2017</v>
      </c>
      <c r="N205" s="34">
        <f>MONTH(HistoricalStockProgress[[#This Row],[Date]])</f>
        <v>1</v>
      </c>
    </row>
    <row r="206" spans="2:14">
      <c r="B206" s="15">
        <v>42766</v>
      </c>
      <c r="C206" s="34" t="s">
        <v>20</v>
      </c>
      <c r="D206" s="34" t="e" vm="19">
        <f>_xlfn.XLOOKUP(HistoricalStockProgress[[#This Row],[Company Ticker]],CompanyDetailsList[Company Ticker],CompanyDetailsList[Official Name],,0)</f>
        <v>#VALUE!</v>
      </c>
      <c r="E2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2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1854.4807473772971</v>
      </c>
      <c r="G206" s="17">
        <f>IFERROR(HistoricalStockProgress[[#This Row],[Cost of Shares]]/HistoricalStockProgress[[#This Row],[No. of Shares]],0)</f>
        <v>74.179229895091879</v>
      </c>
      <c r="H206" s="16" vm="758">
        <v>84.63</v>
      </c>
      <c r="I206" s="16">
        <f>IF(HistoricalStockProgress[[#This Row],[No. of Shares]]&lt;&gt;0,HistoricalStockProgress[[#This Row],[Price of Shares]]*HistoricalStockProgress[[#This Row],[No. of Shares]],0)</f>
        <v>2115.75</v>
      </c>
      <c r="J206" s="16">
        <f>IF(HistoricalStockProgress[[#This Row],[No. of Shares]]&lt;&gt;0,HistoricalStockProgress[[#This Row],[Price of Shares]]-HistoricalStockProgress[[#This Row],[Cost of Shares]]/HistoricalStockProgress[[#This Row],[No. of Shares]],0)</f>
        <v>10.450770104908116</v>
      </c>
      <c r="K206" s="17">
        <f>IF(HistoricalStockProgress[[#This Row],[Total Price of Shares]]&lt;&gt;0,HistoricalStockProgress[[#This Row],[Total Price of Shares]]-HistoricalStockProgress[[#This Row],[Cost of Shares]],0)</f>
        <v>261.26925262270288</v>
      </c>
      <c r="L206" s="34" t="b" cm="1">
        <f t="array" ref="L206">IFERROR(IF(HistoricalStockProgress[[#This Row],[Price of Shares]]="",_xlfn.STOCKHISTORY(HistoricalStockProgress[[#This Row],[Full Company Name]],HistoricalStockProgress[[#This Row],[Date]],,2,0,1)),0)</f>
        <v>0</v>
      </c>
      <c r="M206" s="34">
        <f>YEAR(HistoricalStockProgress[[#This Row],[Date]])</f>
        <v>2017</v>
      </c>
      <c r="N206" s="34">
        <f>MONTH(HistoricalStockProgress[[#This Row],[Date]])</f>
        <v>1</v>
      </c>
    </row>
    <row r="207" spans="2:14">
      <c r="B207" s="15">
        <v>42766</v>
      </c>
      <c r="C207" s="34" t="s">
        <v>106</v>
      </c>
      <c r="D207" s="34" t="e" vm="20">
        <f>_xlfn.XLOOKUP(HistoricalStockProgress[[#This Row],[Company Ticker]],CompanyDetailsList[Company Ticker],CompanyDetailsList[Official Name],,0)</f>
        <v>#VALUE!</v>
      </c>
      <c r="E2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2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207" s="17">
        <f>IFERROR(HistoricalStockProgress[[#This Row],[Cost of Shares]]/HistoricalStockProgress[[#This Row],[No. of Shares]],0)</f>
        <v>104.71316390485761</v>
      </c>
      <c r="H207" s="16" vm="759">
        <v>100.01</v>
      </c>
      <c r="I207" s="16">
        <f>IF(HistoricalStockProgress[[#This Row],[No. of Shares]]&lt;&gt;0,HistoricalStockProgress[[#This Row],[Price of Shares]]*HistoricalStockProgress[[#This Row],[No. of Shares]],0)</f>
        <v>3500.3500000000004</v>
      </c>
      <c r="J207" s="16">
        <f>IF(HistoricalStockProgress[[#This Row],[No. of Shares]]&lt;&gt;0,HistoricalStockProgress[[#This Row],[Price of Shares]]-HistoricalStockProgress[[#This Row],[Cost of Shares]]/HistoricalStockProgress[[#This Row],[No. of Shares]],0)</f>
        <v>-4.7031639048576039</v>
      </c>
      <c r="K207" s="17">
        <f>IF(HistoricalStockProgress[[#This Row],[Total Price of Shares]]&lt;&gt;0,HistoricalStockProgress[[#This Row],[Total Price of Shares]]-HistoricalStockProgress[[#This Row],[Cost of Shares]],0)</f>
        <v>-164.61073667001619</v>
      </c>
      <c r="L207" s="34" t="b" cm="1">
        <f t="array" ref="L207">IFERROR(IF(HistoricalStockProgress[[#This Row],[Price of Shares]]="",_xlfn.STOCKHISTORY(HistoricalStockProgress[[#This Row],[Full Company Name]],HistoricalStockProgress[[#This Row],[Date]],,2,0,1)),0)</f>
        <v>0</v>
      </c>
      <c r="M207" s="34">
        <f>YEAR(HistoricalStockProgress[[#This Row],[Date]])</f>
        <v>2017</v>
      </c>
      <c r="N207" s="34">
        <f>MONTH(HistoricalStockProgress[[#This Row],[Date]])</f>
        <v>1</v>
      </c>
    </row>
    <row r="208" spans="2:14">
      <c r="B208" s="15">
        <v>42794</v>
      </c>
      <c r="C208" s="34" t="s">
        <v>84</v>
      </c>
      <c r="D208" s="34" t="e" vm="7">
        <f>_xlfn.XLOOKUP(HistoricalStockProgress[[#This Row],[Company Ticker]],CompanyDetailsList[Company Ticker],CompanyDetailsList[Official Name],,0)</f>
        <v>#VALUE!</v>
      </c>
      <c r="E2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2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208" s="17">
        <f>IFERROR(HistoricalStockProgress[[#This Row],[Cost of Shares]]/HistoricalStockProgress[[#This Row],[No. of Shares]],0)</f>
        <v>104.18087504950869</v>
      </c>
      <c r="H208" s="16" vm="760">
        <v>122.21</v>
      </c>
      <c r="I208" s="16">
        <f>IF(HistoricalStockProgress[[#This Row],[No. of Shares]]&lt;&gt;0,HistoricalStockProgress[[#This Row],[Price of Shares]]*HistoricalStockProgress[[#This Row],[No. of Shares]],0)</f>
        <v>6232.71</v>
      </c>
      <c r="J208" s="16">
        <f>IF(HistoricalStockProgress[[#This Row],[No. of Shares]]&lt;&gt;0,HistoricalStockProgress[[#This Row],[Price of Shares]]-HistoricalStockProgress[[#This Row],[Cost of Shares]]/HistoricalStockProgress[[#This Row],[No. of Shares]],0)</f>
        <v>18.029124950491308</v>
      </c>
      <c r="K208" s="17">
        <f>IF(HistoricalStockProgress[[#This Row],[Total Price of Shares]]&lt;&gt;0,HistoricalStockProgress[[#This Row],[Total Price of Shares]]-HistoricalStockProgress[[#This Row],[Cost of Shares]],0)</f>
        <v>919.48537247505737</v>
      </c>
      <c r="L208" s="34" t="b" cm="1">
        <f t="array" ref="L208">IFERROR(IF(HistoricalStockProgress[[#This Row],[Price of Shares]]="",_xlfn.STOCKHISTORY(HistoricalStockProgress[[#This Row],[Full Company Name]],HistoricalStockProgress[[#This Row],[Date]],,2,0,1)),0)</f>
        <v>0</v>
      </c>
      <c r="M208" s="34">
        <f>YEAR(HistoricalStockProgress[[#This Row],[Date]])</f>
        <v>2017</v>
      </c>
      <c r="N208" s="34">
        <f>MONTH(HistoricalStockProgress[[#This Row],[Date]])</f>
        <v>2</v>
      </c>
    </row>
    <row r="209" spans="2:14">
      <c r="B209" s="15">
        <v>42794</v>
      </c>
      <c r="C209" s="34" t="s">
        <v>86</v>
      </c>
      <c r="D209" s="34" t="e" vm="8">
        <f>_xlfn.XLOOKUP(HistoricalStockProgress[[#This Row],[Company Ticker]],CompanyDetailsList[Company Ticker],CompanyDetailsList[Official Name],,0)</f>
        <v>#VALUE!</v>
      </c>
      <c r="E2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v>
      </c>
      <c r="F2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1370.0286395296207</v>
      </c>
      <c r="G209" s="17">
        <f>IFERROR(HistoricalStockProgress[[#This Row],[Cost of Shares]]/HistoricalStockProgress[[#This Row],[No. of Shares]],0)</f>
        <v>59.566462588244377</v>
      </c>
      <c r="H209" s="16" vm="761">
        <v>61.84</v>
      </c>
      <c r="I209" s="16">
        <f>IF(HistoricalStockProgress[[#This Row],[No. of Shares]]&lt;&gt;0,HistoricalStockProgress[[#This Row],[Price of Shares]]*HistoricalStockProgress[[#This Row],[No. of Shares]],0)</f>
        <v>1422.3200000000002</v>
      </c>
      <c r="J209" s="16">
        <f>IF(HistoricalStockProgress[[#This Row],[No. of Shares]]&lt;&gt;0,HistoricalStockProgress[[#This Row],[Price of Shares]]-HistoricalStockProgress[[#This Row],[Cost of Shares]]/HistoricalStockProgress[[#This Row],[No. of Shares]],0)</f>
        <v>2.2735374117556262</v>
      </c>
      <c r="K209" s="17">
        <f>IF(HistoricalStockProgress[[#This Row],[Total Price of Shares]]&lt;&gt;0,HistoricalStockProgress[[#This Row],[Total Price of Shares]]-HistoricalStockProgress[[#This Row],[Cost of Shares]],0)</f>
        <v>52.291360470379459</v>
      </c>
      <c r="L209" s="34" t="b" cm="1">
        <f t="array" ref="L209">IFERROR(IF(HistoricalStockProgress[[#This Row],[Price of Shares]]="",_xlfn.STOCKHISTORY(HistoricalStockProgress[[#This Row],[Full Company Name]],HistoricalStockProgress[[#This Row],[Date]],,2,0,1)),0)</f>
        <v>0</v>
      </c>
      <c r="M209" s="34">
        <f>YEAR(HistoricalStockProgress[[#This Row],[Date]])</f>
        <v>2017</v>
      </c>
      <c r="N209" s="34">
        <f>MONTH(HistoricalStockProgress[[#This Row],[Date]])</f>
        <v>2</v>
      </c>
    </row>
    <row r="210" spans="2:14">
      <c r="B210" s="15">
        <v>42794</v>
      </c>
      <c r="C210" s="34" t="s">
        <v>22</v>
      </c>
      <c r="D210" s="34" t="e" vm="10">
        <f>_xlfn.XLOOKUP(HistoricalStockProgress[[#This Row],[Company Ticker]],CompanyDetailsList[Company Ticker],CompanyDetailsList[Official Name],,0)</f>
        <v>#VALUE!</v>
      </c>
      <c r="E2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2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210" s="17">
        <f>IFERROR(HistoricalStockProgress[[#This Row],[Cost of Shares]]/HistoricalStockProgress[[#This Row],[No. of Shares]],0)</f>
        <v>83.61275075159574</v>
      </c>
      <c r="H210" s="16" vm="762">
        <v>96.66</v>
      </c>
      <c r="I210" s="16">
        <f>IF(HistoricalStockProgress[[#This Row],[No. of Shares]]&lt;&gt;0,HistoricalStockProgress[[#This Row],[Price of Shares]]*HistoricalStockProgress[[#This Row],[No. of Shares]],0)</f>
        <v>5896.26</v>
      </c>
      <c r="J210" s="16">
        <f>IF(HistoricalStockProgress[[#This Row],[No. of Shares]]&lt;&gt;0,HistoricalStockProgress[[#This Row],[Price of Shares]]-HistoricalStockProgress[[#This Row],[Cost of Shares]]/HistoricalStockProgress[[#This Row],[No. of Shares]],0)</f>
        <v>13.047249248404256</v>
      </c>
      <c r="K210" s="17">
        <f>IF(HistoricalStockProgress[[#This Row],[Total Price of Shares]]&lt;&gt;0,HistoricalStockProgress[[#This Row],[Total Price of Shares]]-HistoricalStockProgress[[#This Row],[Cost of Shares]],0)</f>
        <v>795.88220415266005</v>
      </c>
      <c r="L210" s="34" t="b" cm="1">
        <f t="array" ref="L210">IFERROR(IF(HistoricalStockProgress[[#This Row],[Price of Shares]]="",_xlfn.STOCKHISTORY(HistoricalStockProgress[[#This Row],[Full Company Name]],HistoricalStockProgress[[#This Row],[Date]],,2,0,1)),0)</f>
        <v>0</v>
      </c>
      <c r="M210" s="34">
        <f>YEAR(HistoricalStockProgress[[#This Row],[Date]])</f>
        <v>2017</v>
      </c>
      <c r="N210" s="34">
        <f>MONTH(HistoricalStockProgress[[#This Row],[Date]])</f>
        <v>2</v>
      </c>
    </row>
    <row r="211" spans="2:14">
      <c r="B211" s="15">
        <v>42794</v>
      </c>
      <c r="C211" s="34" t="s">
        <v>91</v>
      </c>
      <c r="D211" s="34" t="e" vm="11">
        <f>_xlfn.XLOOKUP(HistoricalStockProgress[[#This Row],[Company Ticker]],CompanyDetailsList[Company Ticker],CompanyDetailsList[Official Name],,0)</f>
        <v>#VALUE!</v>
      </c>
      <c r="E2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2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3147.1300357784085</v>
      </c>
      <c r="G211" s="17">
        <f>IFERROR(HistoricalStockProgress[[#This Row],[Cost of Shares]]/HistoricalStockProgress[[#This Row],[No. of Shares]],0)</f>
        <v>56.198750638900151</v>
      </c>
      <c r="H211" s="16" vm="763">
        <v>63.98</v>
      </c>
      <c r="I211" s="16">
        <f>IF(HistoricalStockProgress[[#This Row],[No. of Shares]]&lt;&gt;0,HistoricalStockProgress[[#This Row],[Price of Shares]]*HistoricalStockProgress[[#This Row],[No. of Shares]],0)</f>
        <v>3582.8799999999997</v>
      </c>
      <c r="J211" s="16">
        <f>IF(HistoricalStockProgress[[#This Row],[No. of Shares]]&lt;&gt;0,HistoricalStockProgress[[#This Row],[Price of Shares]]-HistoricalStockProgress[[#This Row],[Cost of Shares]]/HistoricalStockProgress[[#This Row],[No. of Shares]],0)</f>
        <v>7.7812493610998459</v>
      </c>
      <c r="K211" s="17">
        <f>IF(HistoricalStockProgress[[#This Row],[Total Price of Shares]]&lt;&gt;0,HistoricalStockProgress[[#This Row],[Total Price of Shares]]-HistoricalStockProgress[[#This Row],[Cost of Shares]],0)</f>
        <v>435.7499642215912</v>
      </c>
      <c r="L211" s="34" t="b" cm="1">
        <f t="array" ref="L211">IFERROR(IF(HistoricalStockProgress[[#This Row],[Price of Shares]]="",_xlfn.STOCKHISTORY(HistoricalStockProgress[[#This Row],[Full Company Name]],HistoricalStockProgress[[#This Row],[Date]],,2,0,1)),0)</f>
        <v>0</v>
      </c>
      <c r="M211" s="34">
        <f>YEAR(HistoricalStockProgress[[#This Row],[Date]])</f>
        <v>2017</v>
      </c>
      <c r="N211" s="34">
        <f>MONTH(HistoricalStockProgress[[#This Row],[Date]])</f>
        <v>2</v>
      </c>
    </row>
    <row r="212" spans="2:14">
      <c r="B212" s="15">
        <v>42794</v>
      </c>
      <c r="C212" s="34" t="s">
        <v>16</v>
      </c>
      <c r="D212" s="34" t="e" vm="12">
        <f>_xlfn.XLOOKUP(HistoricalStockProgress[[#This Row],[Company Ticker]],CompanyDetailsList[Company Ticker],CompanyDetailsList[Official Name],,0)</f>
        <v>#VALUE!</v>
      </c>
      <c r="E2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107</v>
      </c>
      <c r="F2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9097.0068259849722</v>
      </c>
      <c r="G212" s="17">
        <f>IFERROR(HistoricalStockProgress[[#This Row],[Cost of Shares]]/HistoricalStockProgress[[#This Row],[No. of Shares]],0)</f>
        <v>85.018755383037117</v>
      </c>
      <c r="H212" s="16" vm="764">
        <v>81.319999999999993</v>
      </c>
      <c r="I212" s="16">
        <f>IF(HistoricalStockProgress[[#This Row],[No. of Shares]]&lt;&gt;0,HistoricalStockProgress[[#This Row],[Price of Shares]]*HistoricalStockProgress[[#This Row],[No. of Shares]],0)</f>
        <v>8701.24</v>
      </c>
      <c r="J212" s="16">
        <f>IF(HistoricalStockProgress[[#This Row],[No. of Shares]]&lt;&gt;0,HistoricalStockProgress[[#This Row],[Price of Shares]]-HistoricalStockProgress[[#This Row],[Cost of Shares]]/HistoricalStockProgress[[#This Row],[No. of Shares]],0)</f>
        <v>-3.698755383037124</v>
      </c>
      <c r="K212" s="17">
        <f>IF(HistoricalStockProgress[[#This Row],[Total Price of Shares]]&lt;&gt;0,HistoricalStockProgress[[#This Row],[Total Price of Shares]]-HistoricalStockProgress[[#This Row],[Cost of Shares]],0)</f>
        <v>-395.76682598497246</v>
      </c>
      <c r="L212" s="34" t="b" cm="1">
        <f t="array" ref="L212">IFERROR(IF(HistoricalStockProgress[[#This Row],[Price of Shares]]="",_xlfn.STOCKHISTORY(HistoricalStockProgress[[#This Row],[Full Company Name]],HistoricalStockProgress[[#This Row],[Date]],,2,0,1)),0)</f>
        <v>0</v>
      </c>
      <c r="M212" s="34">
        <f>YEAR(HistoricalStockProgress[[#This Row],[Date]])</f>
        <v>2017</v>
      </c>
      <c r="N212" s="34">
        <f>MONTH(HistoricalStockProgress[[#This Row],[Date]])</f>
        <v>2</v>
      </c>
    </row>
    <row r="213" spans="2:14">
      <c r="B213" s="15">
        <v>42794</v>
      </c>
      <c r="C213" s="34" t="s">
        <v>95</v>
      </c>
      <c r="D213" s="34" t="e" vm="13">
        <f>_xlfn.XLOOKUP(HistoricalStockProgress[[#This Row],[Company Ticker]],CompanyDetailsList[Company Ticker],CompanyDetailsList[Official Name],,0)</f>
        <v>#VALUE!</v>
      </c>
      <c r="E2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2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213" s="17">
        <f>IFERROR(HistoricalStockProgress[[#This Row],[Cost of Shares]]/HistoricalStockProgress[[#This Row],[No. of Shares]],0)</f>
        <v>112.90555526050157</v>
      </c>
      <c r="H213" s="16" vm="765">
        <v>144.91</v>
      </c>
      <c r="I213" s="16">
        <f>IF(HistoricalStockProgress[[#This Row],[No. of Shares]]&lt;&gt;0,HistoricalStockProgress[[#This Row],[Price of Shares]]*HistoricalStockProgress[[#This Row],[No. of Shares]],0)</f>
        <v>1738.92</v>
      </c>
      <c r="J213" s="16">
        <f>IF(HistoricalStockProgress[[#This Row],[No. of Shares]]&lt;&gt;0,HistoricalStockProgress[[#This Row],[Price of Shares]]-HistoricalStockProgress[[#This Row],[Cost of Shares]]/HistoricalStockProgress[[#This Row],[No. of Shares]],0)</f>
        <v>32.004444739498425</v>
      </c>
      <c r="K213" s="17">
        <f>IF(HistoricalStockProgress[[#This Row],[Total Price of Shares]]&lt;&gt;0,HistoricalStockProgress[[#This Row],[Total Price of Shares]]-HistoricalStockProgress[[#This Row],[Cost of Shares]],0)</f>
        <v>384.05333687398115</v>
      </c>
      <c r="L213" s="34" t="b" cm="1">
        <f t="array" ref="L213">IFERROR(IF(HistoricalStockProgress[[#This Row],[Price of Shares]]="",_xlfn.STOCKHISTORY(HistoricalStockProgress[[#This Row],[Full Company Name]],HistoricalStockProgress[[#This Row],[Date]],,2,0,1)),0)</f>
        <v>0</v>
      </c>
      <c r="M213" s="34">
        <f>YEAR(HistoricalStockProgress[[#This Row],[Date]])</f>
        <v>2017</v>
      </c>
      <c r="N213" s="34">
        <f>MONTH(HistoricalStockProgress[[#This Row],[Date]])</f>
        <v>2</v>
      </c>
    </row>
    <row r="214" spans="2:14">
      <c r="B214" s="15">
        <v>42794</v>
      </c>
      <c r="C214" s="34" t="s">
        <v>17</v>
      </c>
      <c r="D214" s="34" t="e" vm="14">
        <f>_xlfn.XLOOKUP(HistoricalStockProgress[[#This Row],[Company Ticker]],CompanyDetailsList[Company Ticker],CompanyDetailsList[Official Name],,0)</f>
        <v>#VALUE!</v>
      </c>
      <c r="E2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v>
      </c>
      <c r="F2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2797.1749688808613</v>
      </c>
      <c r="G214" s="17">
        <f>IFERROR(HistoricalStockProgress[[#This Row],[Cost of Shares]]/HistoricalStockProgress[[#This Row],[No. of Shares]],0)</f>
        <v>155.39860938227008</v>
      </c>
      <c r="H214" s="16" vm="766">
        <v>179.82</v>
      </c>
      <c r="I214" s="16">
        <f>IF(HistoricalStockProgress[[#This Row],[No. of Shares]]&lt;&gt;0,HistoricalStockProgress[[#This Row],[Price of Shares]]*HistoricalStockProgress[[#This Row],[No. of Shares]],0)</f>
        <v>3236.7599999999998</v>
      </c>
      <c r="J214" s="16">
        <f>IF(HistoricalStockProgress[[#This Row],[No. of Shares]]&lt;&gt;0,HistoricalStockProgress[[#This Row],[Price of Shares]]-HistoricalStockProgress[[#This Row],[Cost of Shares]]/HistoricalStockProgress[[#This Row],[No. of Shares]],0)</f>
        <v>24.421390617729912</v>
      </c>
      <c r="K214" s="17">
        <f>IF(HistoricalStockProgress[[#This Row],[Total Price of Shares]]&lt;&gt;0,HistoricalStockProgress[[#This Row],[Total Price of Shares]]-HistoricalStockProgress[[#This Row],[Cost of Shares]],0)</f>
        <v>439.58503111913842</v>
      </c>
      <c r="L214" s="34" t="b" cm="1">
        <f t="array" ref="L214">IFERROR(IF(HistoricalStockProgress[[#This Row],[Price of Shares]]="",_xlfn.STOCKHISTORY(HistoricalStockProgress[[#This Row],[Full Company Name]],HistoricalStockProgress[[#This Row],[Date]],,2,0,1)),0)</f>
        <v>0</v>
      </c>
      <c r="M214" s="34">
        <f>YEAR(HistoricalStockProgress[[#This Row],[Date]])</f>
        <v>2017</v>
      </c>
      <c r="N214" s="34">
        <f>MONTH(HistoricalStockProgress[[#This Row],[Date]])</f>
        <v>2</v>
      </c>
    </row>
    <row r="215" spans="2:14">
      <c r="B215" s="15">
        <v>42794</v>
      </c>
      <c r="C215" s="34" t="s">
        <v>100</v>
      </c>
      <c r="D215" s="34" t="e" vm="16">
        <f>_xlfn.XLOOKUP(HistoricalStockProgress[[#This Row],[Company Ticker]],CompanyDetailsList[Company Ticker],CompanyDetailsList[Official Name],,0)</f>
        <v>#VALUE!</v>
      </c>
      <c r="E2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2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215" s="17">
        <f>IFERROR(HistoricalStockProgress[[#This Row],[Cost of Shares]]/HistoricalStockProgress[[#This Row],[No. of Shares]],0)</f>
        <v>84.509035134678101</v>
      </c>
      <c r="H215" s="16" vm="767">
        <v>82.55</v>
      </c>
      <c r="I215" s="16">
        <f>IF(HistoricalStockProgress[[#This Row],[No. of Shares]]&lt;&gt;0,HistoricalStockProgress[[#This Row],[Price of Shares]]*HistoricalStockProgress[[#This Row],[No. of Shares]],0)</f>
        <v>2724.15</v>
      </c>
      <c r="J215" s="16">
        <f>IF(HistoricalStockProgress[[#This Row],[No. of Shares]]&lt;&gt;0,HistoricalStockProgress[[#This Row],[Price of Shares]]-HistoricalStockProgress[[#This Row],[Cost of Shares]]/HistoricalStockProgress[[#This Row],[No. of Shares]],0)</f>
        <v>-1.9590351346781034</v>
      </c>
      <c r="K215" s="17">
        <f>IF(HistoricalStockProgress[[#This Row],[Total Price of Shares]]&lt;&gt;0,HistoricalStockProgress[[#This Row],[Total Price of Shares]]-HistoricalStockProgress[[#This Row],[Cost of Shares]],0)</f>
        <v>-64.648159444377143</v>
      </c>
      <c r="L215" s="34" t="b" cm="1">
        <f t="array" ref="L215">IFERROR(IF(HistoricalStockProgress[[#This Row],[Price of Shares]]="",_xlfn.STOCKHISTORY(HistoricalStockProgress[[#This Row],[Full Company Name]],HistoricalStockProgress[[#This Row],[Date]],,2,0,1)),0)</f>
        <v>0</v>
      </c>
      <c r="M215" s="34">
        <f>YEAR(HistoricalStockProgress[[#This Row],[Date]])</f>
        <v>2017</v>
      </c>
      <c r="N215" s="34">
        <f>MONTH(HistoricalStockProgress[[#This Row],[Date]])</f>
        <v>2</v>
      </c>
    </row>
    <row r="216" spans="2:14">
      <c r="B216" s="15">
        <v>42794</v>
      </c>
      <c r="C216" s="34" t="s">
        <v>15</v>
      </c>
      <c r="D216" s="34" t="e" vm="17">
        <f>_xlfn.XLOOKUP(HistoricalStockProgress[[#This Row],[Company Ticker]],CompanyDetailsList[Company Ticker],CompanyDetailsList[Official Name],,0)</f>
        <v>#VALUE!</v>
      </c>
      <c r="E2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2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216" s="17">
        <f>IFERROR(HistoricalStockProgress[[#This Row],[Cost of Shares]]/HistoricalStockProgress[[#This Row],[No. of Shares]],0)</f>
        <v>26.481400454992627</v>
      </c>
      <c r="H216" s="16" vm="768">
        <v>31.559000000000001</v>
      </c>
      <c r="I216" s="16">
        <f>IF(HistoricalStockProgress[[#This Row],[No. of Shares]]&lt;&gt;0,HistoricalStockProgress[[#This Row],[Price of Shares]]*HistoricalStockProgress[[#This Row],[No. of Shares]],0)</f>
        <v>3029.6640000000002</v>
      </c>
      <c r="J216" s="16">
        <f>IF(HistoricalStockProgress[[#This Row],[No. of Shares]]&lt;&gt;0,HistoricalStockProgress[[#This Row],[Price of Shares]]-HistoricalStockProgress[[#This Row],[Cost of Shares]]/HistoricalStockProgress[[#This Row],[No. of Shares]],0)</f>
        <v>5.0775995450073736</v>
      </c>
      <c r="K216" s="17">
        <f>IF(HistoricalStockProgress[[#This Row],[Total Price of Shares]]&lt;&gt;0,HistoricalStockProgress[[#This Row],[Total Price of Shares]]-HistoricalStockProgress[[#This Row],[Cost of Shares]],0)</f>
        <v>487.44955632070787</v>
      </c>
      <c r="L216" s="34" t="b" cm="1">
        <f t="array" ref="L216">IFERROR(IF(HistoricalStockProgress[[#This Row],[Price of Shares]]="",_xlfn.STOCKHISTORY(HistoricalStockProgress[[#This Row],[Full Company Name]],HistoricalStockProgress[[#This Row],[Date]],,2,0,1)),0)</f>
        <v>0</v>
      </c>
      <c r="M216" s="34">
        <f>YEAR(HistoricalStockProgress[[#This Row],[Date]])</f>
        <v>2017</v>
      </c>
      <c r="N216" s="34">
        <f>MONTH(HistoricalStockProgress[[#This Row],[Date]])</f>
        <v>2</v>
      </c>
    </row>
    <row r="217" spans="2:14">
      <c r="B217" s="15">
        <v>42794</v>
      </c>
      <c r="C217" s="34" t="s">
        <v>13</v>
      </c>
      <c r="D217" s="34" t="e" vm="18">
        <f>_xlfn.XLOOKUP(HistoricalStockProgress[[#This Row],[Company Ticker]],CompanyDetailsList[Company Ticker],CompanyDetailsList[Official Name],,0)</f>
        <v>#VALUE!</v>
      </c>
      <c r="E2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2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217" s="17">
        <f>IFERROR(HistoricalStockProgress[[#This Row],[Cost of Shares]]/HistoricalStockProgress[[#This Row],[No. of Shares]],0)</f>
        <v>31.383479678650293</v>
      </c>
      <c r="H217" s="16" vm="769">
        <v>32.344099999999997</v>
      </c>
      <c r="I217" s="16">
        <f>IF(HistoricalStockProgress[[#This Row],[No. of Shares]]&lt;&gt;0,HistoricalStockProgress[[#This Row],[Price of Shares]]*HistoricalStockProgress[[#This Row],[No. of Shares]],0)</f>
        <v>808.60249999999996</v>
      </c>
      <c r="J217" s="16">
        <f>IF(HistoricalStockProgress[[#This Row],[No. of Shares]]&lt;&gt;0,HistoricalStockProgress[[#This Row],[Price of Shares]]-HistoricalStockProgress[[#This Row],[Cost of Shares]]/HistoricalStockProgress[[#This Row],[No. of Shares]],0)</f>
        <v>0.96062032134970465</v>
      </c>
      <c r="K217" s="17">
        <f>IF(HistoricalStockProgress[[#This Row],[Total Price of Shares]]&lt;&gt;0,HistoricalStockProgress[[#This Row],[Total Price of Shares]]-HistoricalStockProgress[[#This Row],[Cost of Shares]],0)</f>
        <v>24.015508033742663</v>
      </c>
      <c r="L217" s="34" t="b" cm="1">
        <f t="array" ref="L217">IFERROR(IF(HistoricalStockProgress[[#This Row],[Price of Shares]]="",_xlfn.STOCKHISTORY(HistoricalStockProgress[[#This Row],[Full Company Name]],HistoricalStockProgress[[#This Row],[Date]],,2,0,1)),0)</f>
        <v>0</v>
      </c>
      <c r="M217" s="34">
        <f>YEAR(HistoricalStockProgress[[#This Row],[Date]])</f>
        <v>2017</v>
      </c>
      <c r="N217" s="34">
        <f>MONTH(HistoricalStockProgress[[#This Row],[Date]])</f>
        <v>2</v>
      </c>
    </row>
    <row r="218" spans="2:14">
      <c r="B218" s="15">
        <v>42794</v>
      </c>
      <c r="C218" s="34" t="s">
        <v>20</v>
      </c>
      <c r="D218" s="34" t="e" vm="19">
        <f>_xlfn.XLOOKUP(HistoricalStockProgress[[#This Row],[Company Ticker]],CompanyDetailsList[Company Ticker],CompanyDetailsList[Official Name],,0)</f>
        <v>#VALUE!</v>
      </c>
      <c r="E2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2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1854.4807473772971</v>
      </c>
      <c r="G218" s="17">
        <f>IFERROR(HistoricalStockProgress[[#This Row],[Cost of Shares]]/HistoricalStockProgress[[#This Row],[No. of Shares]],0)</f>
        <v>74.179229895091879</v>
      </c>
      <c r="H218" s="16" vm="770">
        <v>90.62</v>
      </c>
      <c r="I218" s="16">
        <f>IF(HistoricalStockProgress[[#This Row],[No. of Shares]]&lt;&gt;0,HistoricalStockProgress[[#This Row],[Price of Shares]]*HistoricalStockProgress[[#This Row],[No. of Shares]],0)</f>
        <v>2265.5</v>
      </c>
      <c r="J218" s="16">
        <f>IF(HistoricalStockProgress[[#This Row],[No. of Shares]]&lt;&gt;0,HistoricalStockProgress[[#This Row],[Price of Shares]]-HistoricalStockProgress[[#This Row],[Cost of Shares]]/HistoricalStockProgress[[#This Row],[No. of Shares]],0)</f>
        <v>16.440770104908125</v>
      </c>
      <c r="K218" s="17">
        <f>IF(HistoricalStockProgress[[#This Row],[Total Price of Shares]]&lt;&gt;0,HistoricalStockProgress[[#This Row],[Total Price of Shares]]-HistoricalStockProgress[[#This Row],[Cost of Shares]],0)</f>
        <v>411.01925262270288</v>
      </c>
      <c r="L218" s="34" t="b" cm="1">
        <f t="array" ref="L218">IFERROR(IF(HistoricalStockProgress[[#This Row],[Price of Shares]]="",_xlfn.STOCKHISTORY(HistoricalStockProgress[[#This Row],[Full Company Name]],HistoricalStockProgress[[#This Row],[Date]],,2,0,1)),0)</f>
        <v>0</v>
      </c>
      <c r="M218" s="34">
        <f>YEAR(HistoricalStockProgress[[#This Row],[Date]])</f>
        <v>2017</v>
      </c>
      <c r="N218" s="34">
        <f>MONTH(HistoricalStockProgress[[#This Row],[Date]])</f>
        <v>2</v>
      </c>
    </row>
    <row r="219" spans="2:14">
      <c r="B219" s="15">
        <v>42794</v>
      </c>
      <c r="C219" s="34" t="s">
        <v>106</v>
      </c>
      <c r="D219" s="34" t="e" vm="20">
        <f>_xlfn.XLOOKUP(HistoricalStockProgress[[#This Row],[Company Ticker]],CompanyDetailsList[Company Ticker],CompanyDetailsList[Official Name],,0)</f>
        <v>#VALUE!</v>
      </c>
      <c r="E2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2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219" s="17">
        <f>IFERROR(HistoricalStockProgress[[#This Row],[Cost of Shares]]/HistoricalStockProgress[[#This Row],[No. of Shares]],0)</f>
        <v>104.71316390485761</v>
      </c>
      <c r="H219" s="16" vm="771">
        <v>102.43</v>
      </c>
      <c r="I219" s="16">
        <f>IF(HistoricalStockProgress[[#This Row],[No. of Shares]]&lt;&gt;0,HistoricalStockProgress[[#This Row],[Price of Shares]]*HistoricalStockProgress[[#This Row],[No. of Shares]],0)</f>
        <v>3585.05</v>
      </c>
      <c r="J219" s="16">
        <f>IF(HistoricalStockProgress[[#This Row],[No. of Shares]]&lt;&gt;0,HistoricalStockProgress[[#This Row],[Price of Shares]]-HistoricalStockProgress[[#This Row],[Cost of Shares]]/HistoricalStockProgress[[#This Row],[No. of Shares]],0)</f>
        <v>-2.2831639048576022</v>
      </c>
      <c r="K219" s="17">
        <f>IF(HistoricalStockProgress[[#This Row],[Total Price of Shares]]&lt;&gt;0,HistoricalStockProgress[[#This Row],[Total Price of Shares]]-HistoricalStockProgress[[#This Row],[Cost of Shares]],0)</f>
        <v>-79.910736670016377</v>
      </c>
      <c r="L219" s="34" t="b" cm="1">
        <f t="array" ref="L219">IFERROR(IF(HistoricalStockProgress[[#This Row],[Price of Shares]]="",_xlfn.STOCKHISTORY(HistoricalStockProgress[[#This Row],[Full Company Name]],HistoricalStockProgress[[#This Row],[Date]],,2,0,1)),0)</f>
        <v>0</v>
      </c>
      <c r="M219" s="34">
        <f>YEAR(HistoricalStockProgress[[#This Row],[Date]])</f>
        <v>2017</v>
      </c>
      <c r="N219" s="34">
        <f>MONTH(HistoricalStockProgress[[#This Row],[Date]])</f>
        <v>2</v>
      </c>
    </row>
    <row r="220" spans="2:14">
      <c r="B220" s="15">
        <v>42825</v>
      </c>
      <c r="C220" s="34" t="s">
        <v>84</v>
      </c>
      <c r="D220" s="34" t="e" vm="7">
        <f>_xlfn.XLOOKUP(HistoricalStockProgress[[#This Row],[Company Ticker]],CompanyDetailsList[Company Ticker],CompanyDetailsList[Official Name],,0)</f>
        <v>#VALUE!</v>
      </c>
      <c r="E2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2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220" s="17">
        <f>IFERROR(HistoricalStockProgress[[#This Row],[Cost of Shares]]/HistoricalStockProgress[[#This Row],[No. of Shares]],0)</f>
        <v>104.18087504950869</v>
      </c>
      <c r="H220" s="16" vm="772">
        <v>124.55</v>
      </c>
      <c r="I220" s="16">
        <f>IF(HistoricalStockProgress[[#This Row],[No. of Shares]]&lt;&gt;0,HistoricalStockProgress[[#This Row],[Price of Shares]]*HistoricalStockProgress[[#This Row],[No. of Shares]],0)</f>
        <v>6352.05</v>
      </c>
      <c r="J220" s="16">
        <f>IF(HistoricalStockProgress[[#This Row],[No. of Shares]]&lt;&gt;0,HistoricalStockProgress[[#This Row],[Price of Shares]]-HistoricalStockProgress[[#This Row],[Cost of Shares]]/HistoricalStockProgress[[#This Row],[No. of Shares]],0)</f>
        <v>20.369124950491312</v>
      </c>
      <c r="K220" s="17">
        <f>IF(HistoricalStockProgress[[#This Row],[Total Price of Shares]]&lt;&gt;0,HistoricalStockProgress[[#This Row],[Total Price of Shares]]-HistoricalStockProgress[[#This Row],[Cost of Shares]],0)</f>
        <v>1038.8253724750575</v>
      </c>
      <c r="L220" s="34" t="b" cm="1">
        <f t="array" ref="L220">IFERROR(IF(HistoricalStockProgress[[#This Row],[Price of Shares]]="",_xlfn.STOCKHISTORY(HistoricalStockProgress[[#This Row],[Full Company Name]],HistoricalStockProgress[[#This Row],[Date]],,2,0,1)),0)</f>
        <v>0</v>
      </c>
      <c r="M220" s="34">
        <f>YEAR(HistoricalStockProgress[[#This Row],[Date]])</f>
        <v>2017</v>
      </c>
      <c r="N220" s="34">
        <f>MONTH(HistoricalStockProgress[[#This Row],[Date]])</f>
        <v>3</v>
      </c>
    </row>
    <row r="221" spans="2:14">
      <c r="B221" s="15">
        <v>42825</v>
      </c>
      <c r="C221" s="34" t="s">
        <v>86</v>
      </c>
      <c r="D221" s="34" t="e" vm="8">
        <f>_xlfn.XLOOKUP(HistoricalStockProgress[[#This Row],[Company Ticker]],CompanyDetailsList[Company Ticker],CompanyDetailsList[Official Name],,0)</f>
        <v>#VALUE!</v>
      </c>
      <c r="E2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v>
      </c>
      <c r="F2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1370.0286395296207</v>
      </c>
      <c r="G221" s="17">
        <f>IFERROR(HistoricalStockProgress[[#This Row],[Cost of Shares]]/HistoricalStockProgress[[#This Row],[No. of Shares]],0)</f>
        <v>59.566462588244377</v>
      </c>
      <c r="H221" s="16" vm="773">
        <v>65.16</v>
      </c>
      <c r="I221" s="16">
        <f>IF(HistoricalStockProgress[[#This Row],[No. of Shares]]&lt;&gt;0,HistoricalStockProgress[[#This Row],[Price of Shares]]*HistoricalStockProgress[[#This Row],[No. of Shares]],0)</f>
        <v>1498.6799999999998</v>
      </c>
      <c r="J221" s="16">
        <f>IF(HistoricalStockProgress[[#This Row],[No. of Shares]]&lt;&gt;0,HistoricalStockProgress[[#This Row],[Price of Shares]]-HistoricalStockProgress[[#This Row],[Cost of Shares]]/HistoricalStockProgress[[#This Row],[No. of Shares]],0)</f>
        <v>5.5935374117556194</v>
      </c>
      <c r="K221" s="17">
        <f>IF(HistoricalStockProgress[[#This Row],[Total Price of Shares]]&lt;&gt;0,HistoricalStockProgress[[#This Row],[Total Price of Shares]]-HistoricalStockProgress[[#This Row],[Cost of Shares]],0)</f>
        <v>128.65136047037913</v>
      </c>
      <c r="L221" s="34" t="b" cm="1">
        <f t="array" ref="L221">IFERROR(IF(HistoricalStockProgress[[#This Row],[Price of Shares]]="",_xlfn.STOCKHISTORY(HistoricalStockProgress[[#This Row],[Full Company Name]],HistoricalStockProgress[[#This Row],[Date]],,2,0,1)),0)</f>
        <v>0</v>
      </c>
      <c r="M221" s="34">
        <f>YEAR(HistoricalStockProgress[[#This Row],[Date]])</f>
        <v>2017</v>
      </c>
      <c r="N221" s="34">
        <f>MONTH(HistoricalStockProgress[[#This Row],[Date]])</f>
        <v>3</v>
      </c>
    </row>
    <row r="222" spans="2:14">
      <c r="B222" s="15">
        <v>42825</v>
      </c>
      <c r="C222" s="34" t="s">
        <v>22</v>
      </c>
      <c r="D222" s="34" t="e" vm="10">
        <f>_xlfn.XLOOKUP(HistoricalStockProgress[[#This Row],[Company Ticker]],CompanyDetailsList[Company Ticker],CompanyDetailsList[Official Name],,0)</f>
        <v>#VALUE!</v>
      </c>
      <c r="E2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2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222" s="17">
        <f>IFERROR(HistoricalStockProgress[[#This Row],[Cost of Shares]]/HistoricalStockProgress[[#This Row],[No. of Shares]],0)</f>
        <v>83.61275075159574</v>
      </c>
      <c r="H222" s="16" vm="774">
        <v>92.76</v>
      </c>
      <c r="I222" s="16">
        <f>IF(HistoricalStockProgress[[#This Row],[No. of Shares]]&lt;&gt;0,HistoricalStockProgress[[#This Row],[Price of Shares]]*HistoricalStockProgress[[#This Row],[No. of Shares]],0)</f>
        <v>5658.3600000000006</v>
      </c>
      <c r="J222" s="16">
        <f>IF(HistoricalStockProgress[[#This Row],[No. of Shares]]&lt;&gt;0,HistoricalStockProgress[[#This Row],[Price of Shares]]-HistoricalStockProgress[[#This Row],[Cost of Shares]]/HistoricalStockProgress[[#This Row],[No. of Shares]],0)</f>
        <v>9.1472492484042647</v>
      </c>
      <c r="K222" s="17">
        <f>IF(HistoricalStockProgress[[#This Row],[Total Price of Shares]]&lt;&gt;0,HistoricalStockProgress[[#This Row],[Total Price of Shares]]-HistoricalStockProgress[[#This Row],[Cost of Shares]],0)</f>
        <v>557.98220415266042</v>
      </c>
      <c r="L222" s="34" t="b" cm="1">
        <f t="array" ref="L222">IFERROR(IF(HistoricalStockProgress[[#This Row],[Price of Shares]]="",_xlfn.STOCKHISTORY(HistoricalStockProgress[[#This Row],[Full Company Name]],HistoricalStockProgress[[#This Row],[Date]],,2,0,1)),0)</f>
        <v>0</v>
      </c>
      <c r="M222" s="34">
        <f>YEAR(HistoricalStockProgress[[#This Row],[Date]])</f>
        <v>2017</v>
      </c>
      <c r="N222" s="34">
        <f>MONTH(HistoricalStockProgress[[#This Row],[Date]])</f>
        <v>3</v>
      </c>
    </row>
    <row r="223" spans="2:14">
      <c r="B223" s="15">
        <v>42825</v>
      </c>
      <c r="C223" s="34" t="s">
        <v>91</v>
      </c>
      <c r="D223" s="34" t="e" vm="11">
        <f>_xlfn.XLOOKUP(HistoricalStockProgress[[#This Row],[Company Ticker]],CompanyDetailsList[Company Ticker],CompanyDetailsList[Official Name],,0)</f>
        <v>#VALUE!</v>
      </c>
      <c r="E2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2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4641.1780084974125</v>
      </c>
      <c r="G223" s="17">
        <f>IFERROR(HistoricalStockProgress[[#This Row],[Cost of Shares]]/HistoricalStockProgress[[#This Row],[No. of Shares]],0)</f>
        <v>58.749088715157121</v>
      </c>
      <c r="H223" s="16" vm="775">
        <v>65.86</v>
      </c>
      <c r="I223" s="16">
        <f>IF(HistoricalStockProgress[[#This Row],[No. of Shares]]&lt;&gt;0,HistoricalStockProgress[[#This Row],[Price of Shares]]*HistoricalStockProgress[[#This Row],[No. of Shares]],0)</f>
        <v>5202.9399999999996</v>
      </c>
      <c r="J223" s="16">
        <f>IF(HistoricalStockProgress[[#This Row],[No. of Shares]]&lt;&gt;0,HistoricalStockProgress[[#This Row],[Price of Shares]]-HistoricalStockProgress[[#This Row],[Cost of Shares]]/HistoricalStockProgress[[#This Row],[No. of Shares]],0)</f>
        <v>7.1109112848428779</v>
      </c>
      <c r="K223" s="17">
        <f>IF(HistoricalStockProgress[[#This Row],[Total Price of Shares]]&lt;&gt;0,HistoricalStockProgress[[#This Row],[Total Price of Shares]]-HistoricalStockProgress[[#This Row],[Cost of Shares]],0)</f>
        <v>561.76199150258708</v>
      </c>
      <c r="L223" s="34" t="b" cm="1">
        <f t="array" ref="L223">IFERROR(IF(HistoricalStockProgress[[#This Row],[Price of Shares]]="",_xlfn.STOCKHISTORY(HistoricalStockProgress[[#This Row],[Full Company Name]],HistoricalStockProgress[[#This Row],[Date]],,2,0,1)),0)</f>
        <v>0</v>
      </c>
      <c r="M223" s="34">
        <f>YEAR(HistoricalStockProgress[[#This Row],[Date]])</f>
        <v>2017</v>
      </c>
      <c r="N223" s="34">
        <f>MONTH(HistoricalStockProgress[[#This Row],[Date]])</f>
        <v>3</v>
      </c>
    </row>
    <row r="224" spans="2:14">
      <c r="B224" s="15">
        <v>42825</v>
      </c>
      <c r="C224" s="34" t="s">
        <v>16</v>
      </c>
      <c r="D224" s="34" t="e" vm="12">
        <f>_xlfn.XLOOKUP(HistoricalStockProgress[[#This Row],[Company Ticker]],CompanyDetailsList[Company Ticker],CompanyDetailsList[Official Name],,0)</f>
        <v>#VALUE!</v>
      </c>
      <c r="E2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107</v>
      </c>
      <c r="F2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9097.0068259849722</v>
      </c>
      <c r="G224" s="17">
        <f>IFERROR(HistoricalStockProgress[[#This Row],[Cost of Shares]]/HistoricalStockProgress[[#This Row],[No. of Shares]],0)</f>
        <v>85.018755383037117</v>
      </c>
      <c r="H224" s="16" vm="776">
        <v>82.01</v>
      </c>
      <c r="I224" s="16">
        <f>IF(HistoricalStockProgress[[#This Row],[No. of Shares]]&lt;&gt;0,HistoricalStockProgress[[#This Row],[Price of Shares]]*HistoricalStockProgress[[#This Row],[No. of Shares]],0)</f>
        <v>8775.07</v>
      </c>
      <c r="J224" s="16">
        <f>IF(HistoricalStockProgress[[#This Row],[No. of Shares]]&lt;&gt;0,HistoricalStockProgress[[#This Row],[Price of Shares]]-HistoricalStockProgress[[#This Row],[Cost of Shares]]/HistoricalStockProgress[[#This Row],[No. of Shares]],0)</f>
        <v>-3.0087553830371121</v>
      </c>
      <c r="K224" s="17">
        <f>IF(HistoricalStockProgress[[#This Row],[Total Price of Shares]]&lt;&gt;0,HistoricalStockProgress[[#This Row],[Total Price of Shares]]-HistoricalStockProgress[[#This Row],[Cost of Shares]],0)</f>
        <v>-321.93682598497253</v>
      </c>
      <c r="L224" s="34" t="b" cm="1">
        <f t="array" ref="L224">IFERROR(IF(HistoricalStockProgress[[#This Row],[Price of Shares]]="",_xlfn.STOCKHISTORY(HistoricalStockProgress[[#This Row],[Full Company Name]],HistoricalStockProgress[[#This Row],[Date]],,2,0,1)),0)</f>
        <v>0</v>
      </c>
      <c r="M224" s="34">
        <f>YEAR(HistoricalStockProgress[[#This Row],[Date]])</f>
        <v>2017</v>
      </c>
      <c r="N224" s="34">
        <f>MONTH(HistoricalStockProgress[[#This Row],[Date]])</f>
        <v>3</v>
      </c>
    </row>
    <row r="225" spans="2:14">
      <c r="B225" s="15">
        <v>42825</v>
      </c>
      <c r="C225" s="34" t="s">
        <v>95</v>
      </c>
      <c r="D225" s="34" t="e" vm="13">
        <f>_xlfn.XLOOKUP(HistoricalStockProgress[[#This Row],[Company Ticker]],CompanyDetailsList[Company Ticker],CompanyDetailsList[Official Name],,0)</f>
        <v>#VALUE!</v>
      </c>
      <c r="E2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2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225" s="17">
        <f>IFERROR(HistoricalStockProgress[[#This Row],[Cost of Shares]]/HistoricalStockProgress[[#This Row],[No. of Shares]],0)</f>
        <v>112.90555526050157</v>
      </c>
      <c r="H225" s="16" vm="777">
        <v>146.83000000000001</v>
      </c>
      <c r="I225" s="16">
        <f>IF(HistoricalStockProgress[[#This Row],[No. of Shares]]&lt;&gt;0,HistoricalStockProgress[[#This Row],[Price of Shares]]*HistoricalStockProgress[[#This Row],[No. of Shares]],0)</f>
        <v>1761.96</v>
      </c>
      <c r="J225" s="16">
        <f>IF(HistoricalStockProgress[[#This Row],[No. of Shares]]&lt;&gt;0,HistoricalStockProgress[[#This Row],[Price of Shares]]-HistoricalStockProgress[[#This Row],[Cost of Shares]]/HistoricalStockProgress[[#This Row],[No. of Shares]],0)</f>
        <v>33.924444739498441</v>
      </c>
      <c r="K225" s="17">
        <f>IF(HistoricalStockProgress[[#This Row],[Total Price of Shares]]&lt;&gt;0,HistoricalStockProgress[[#This Row],[Total Price of Shares]]-HistoricalStockProgress[[#This Row],[Cost of Shares]],0)</f>
        <v>407.09333687398112</v>
      </c>
      <c r="L225" s="34" t="b" cm="1">
        <f t="array" ref="L225">IFERROR(IF(HistoricalStockProgress[[#This Row],[Price of Shares]]="",_xlfn.STOCKHISTORY(HistoricalStockProgress[[#This Row],[Full Company Name]],HistoricalStockProgress[[#This Row],[Date]],,2,0,1)),0)</f>
        <v>0</v>
      </c>
      <c r="M225" s="34">
        <f>YEAR(HistoricalStockProgress[[#This Row],[Date]])</f>
        <v>2017</v>
      </c>
      <c r="N225" s="34">
        <f>MONTH(HistoricalStockProgress[[#This Row],[Date]])</f>
        <v>3</v>
      </c>
    </row>
    <row r="226" spans="2:14">
      <c r="B226" s="15">
        <v>42825</v>
      </c>
      <c r="C226" s="34" t="s">
        <v>17</v>
      </c>
      <c r="D226" s="34" t="e" vm="14">
        <f>_xlfn.XLOOKUP(HistoricalStockProgress[[#This Row],[Company Ticker]],CompanyDetailsList[Company Ticker],CompanyDetailsList[Official Name],,0)</f>
        <v>#VALUE!</v>
      </c>
      <c r="E2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v>
      </c>
      <c r="F2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2797.1749688808613</v>
      </c>
      <c r="G226" s="17">
        <f>IFERROR(HistoricalStockProgress[[#This Row],[Cost of Shares]]/HistoricalStockProgress[[#This Row],[No. of Shares]],0)</f>
        <v>155.39860938227008</v>
      </c>
      <c r="H226" s="16" vm="778">
        <v>174.14</v>
      </c>
      <c r="I226" s="16">
        <f>IF(HistoricalStockProgress[[#This Row],[No. of Shares]]&lt;&gt;0,HistoricalStockProgress[[#This Row],[Price of Shares]]*HistoricalStockProgress[[#This Row],[No. of Shares]],0)</f>
        <v>3134.5199999999995</v>
      </c>
      <c r="J226" s="16">
        <f>IF(HistoricalStockProgress[[#This Row],[No. of Shares]]&lt;&gt;0,HistoricalStockProgress[[#This Row],[Price of Shares]]-HistoricalStockProgress[[#This Row],[Cost of Shares]]/HistoricalStockProgress[[#This Row],[No. of Shares]],0)</f>
        <v>18.741390617729905</v>
      </c>
      <c r="K226" s="17">
        <f>IF(HistoricalStockProgress[[#This Row],[Total Price of Shares]]&lt;&gt;0,HistoricalStockProgress[[#This Row],[Total Price of Shares]]-HistoricalStockProgress[[#This Row],[Cost of Shares]],0)</f>
        <v>337.34503111913818</v>
      </c>
      <c r="L226" s="34" t="b" cm="1">
        <f t="array" ref="L226">IFERROR(IF(HistoricalStockProgress[[#This Row],[Price of Shares]]="",_xlfn.STOCKHISTORY(HistoricalStockProgress[[#This Row],[Full Company Name]],HistoricalStockProgress[[#This Row],[Date]],,2,0,1)),0)</f>
        <v>0</v>
      </c>
      <c r="M226" s="34">
        <f>YEAR(HistoricalStockProgress[[#This Row],[Date]])</f>
        <v>2017</v>
      </c>
      <c r="N226" s="34">
        <f>MONTH(HistoricalStockProgress[[#This Row],[Date]])</f>
        <v>3</v>
      </c>
    </row>
    <row r="227" spans="2:14">
      <c r="B227" s="15">
        <v>42825</v>
      </c>
      <c r="C227" s="34" t="s">
        <v>100</v>
      </c>
      <c r="D227" s="34" t="e" vm="16">
        <f>_xlfn.XLOOKUP(HistoricalStockProgress[[#This Row],[Company Ticker]],CompanyDetailsList[Company Ticker],CompanyDetailsList[Official Name],,0)</f>
        <v>#VALUE!</v>
      </c>
      <c r="E2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2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227" s="17">
        <f>IFERROR(HistoricalStockProgress[[#This Row],[Cost of Shares]]/HistoricalStockProgress[[#This Row],[No. of Shares]],0)</f>
        <v>84.509035134678101</v>
      </c>
      <c r="H227" s="16" vm="776">
        <v>82.01</v>
      </c>
      <c r="I227" s="16">
        <f>IF(HistoricalStockProgress[[#This Row],[No. of Shares]]&lt;&gt;0,HistoricalStockProgress[[#This Row],[Price of Shares]]*HistoricalStockProgress[[#This Row],[No. of Shares]],0)</f>
        <v>2706.3300000000004</v>
      </c>
      <c r="J227" s="16">
        <f>IF(HistoricalStockProgress[[#This Row],[No. of Shares]]&lt;&gt;0,HistoricalStockProgress[[#This Row],[Price of Shares]]-HistoricalStockProgress[[#This Row],[Cost of Shares]]/HistoricalStockProgress[[#This Row],[No. of Shares]],0)</f>
        <v>-2.4990351346780955</v>
      </c>
      <c r="K227" s="17">
        <f>IF(HistoricalStockProgress[[#This Row],[Total Price of Shares]]&lt;&gt;0,HistoricalStockProgress[[#This Row],[Total Price of Shares]]-HistoricalStockProgress[[#This Row],[Cost of Shares]],0)</f>
        <v>-82.468159444376852</v>
      </c>
      <c r="L227" s="34" t="b" cm="1">
        <f t="array" ref="L227">IFERROR(IF(HistoricalStockProgress[[#This Row],[Price of Shares]]="",_xlfn.STOCKHISTORY(HistoricalStockProgress[[#This Row],[Full Company Name]],HistoricalStockProgress[[#This Row],[Date]],,2,0,1)),0)</f>
        <v>0</v>
      </c>
      <c r="M227" s="34">
        <f>YEAR(HistoricalStockProgress[[#This Row],[Date]])</f>
        <v>2017</v>
      </c>
      <c r="N227" s="34">
        <f>MONTH(HistoricalStockProgress[[#This Row],[Date]])</f>
        <v>3</v>
      </c>
    </row>
    <row r="228" spans="2:14">
      <c r="B228" s="15">
        <v>42825</v>
      </c>
      <c r="C228" s="34" t="s">
        <v>15</v>
      </c>
      <c r="D228" s="34" t="e" vm="17">
        <f>_xlfn.XLOOKUP(HistoricalStockProgress[[#This Row],[Company Ticker]],CompanyDetailsList[Company Ticker],CompanyDetailsList[Official Name],,0)</f>
        <v>#VALUE!</v>
      </c>
      <c r="E2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2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228" s="17">
        <f>IFERROR(HistoricalStockProgress[[#This Row],[Cost of Shares]]/HistoricalStockProgress[[#This Row],[No. of Shares]],0)</f>
        <v>26.481400454992627</v>
      </c>
      <c r="H228" s="16" vm="779">
        <v>31.377700000000001</v>
      </c>
      <c r="I228" s="16">
        <f>IF(HistoricalStockProgress[[#This Row],[No. of Shares]]&lt;&gt;0,HistoricalStockProgress[[#This Row],[Price of Shares]]*HistoricalStockProgress[[#This Row],[No. of Shares]],0)</f>
        <v>3012.2592</v>
      </c>
      <c r="J228" s="16">
        <f>IF(HistoricalStockProgress[[#This Row],[No. of Shares]]&lt;&gt;0,HistoricalStockProgress[[#This Row],[Price of Shares]]-HistoricalStockProgress[[#This Row],[Cost of Shares]]/HistoricalStockProgress[[#This Row],[No. of Shares]],0)</f>
        <v>4.8962995450073734</v>
      </c>
      <c r="K228" s="17">
        <f>IF(HistoricalStockProgress[[#This Row],[Total Price of Shares]]&lt;&gt;0,HistoricalStockProgress[[#This Row],[Total Price of Shares]]-HistoricalStockProgress[[#This Row],[Cost of Shares]],0)</f>
        <v>470.04475632070762</v>
      </c>
      <c r="L228" s="34" t="b" cm="1">
        <f t="array" ref="L228">IFERROR(IF(HistoricalStockProgress[[#This Row],[Price of Shares]]="",_xlfn.STOCKHISTORY(HistoricalStockProgress[[#This Row],[Full Company Name]],HistoricalStockProgress[[#This Row],[Date]],,2,0,1)),0)</f>
        <v>0</v>
      </c>
      <c r="M228" s="34">
        <f>YEAR(HistoricalStockProgress[[#This Row],[Date]])</f>
        <v>2017</v>
      </c>
      <c r="N228" s="34">
        <f>MONTH(HistoricalStockProgress[[#This Row],[Date]])</f>
        <v>3</v>
      </c>
    </row>
    <row r="229" spans="2:14">
      <c r="B229" s="15">
        <v>42825</v>
      </c>
      <c r="C229" s="34" t="s">
        <v>13</v>
      </c>
      <c r="D229" s="34" t="e" vm="18">
        <f>_xlfn.XLOOKUP(HistoricalStockProgress[[#This Row],[Company Ticker]],CompanyDetailsList[Company Ticker],CompanyDetailsList[Official Name],,0)</f>
        <v>#VALUE!</v>
      </c>
      <c r="E2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2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229" s="17">
        <f>IFERROR(HistoricalStockProgress[[#This Row],[Cost of Shares]]/HistoricalStockProgress[[#This Row],[No. of Shares]],0)</f>
        <v>31.383479678650293</v>
      </c>
      <c r="H229" s="16" vm="780">
        <v>32.429400000000001</v>
      </c>
      <c r="I229" s="16">
        <f>IF(HistoricalStockProgress[[#This Row],[No. of Shares]]&lt;&gt;0,HistoricalStockProgress[[#This Row],[Price of Shares]]*HistoricalStockProgress[[#This Row],[No. of Shares]],0)</f>
        <v>810.73500000000001</v>
      </c>
      <c r="J229" s="16">
        <f>IF(HistoricalStockProgress[[#This Row],[No. of Shares]]&lt;&gt;0,HistoricalStockProgress[[#This Row],[Price of Shares]]-HistoricalStockProgress[[#This Row],[Cost of Shares]]/HistoricalStockProgress[[#This Row],[No. of Shares]],0)</f>
        <v>1.0459203213497084</v>
      </c>
      <c r="K229" s="17">
        <f>IF(HistoricalStockProgress[[#This Row],[Total Price of Shares]]&lt;&gt;0,HistoricalStockProgress[[#This Row],[Total Price of Shares]]-HistoricalStockProgress[[#This Row],[Cost of Shares]],0)</f>
        <v>26.148008033742713</v>
      </c>
      <c r="L229" s="34" t="b" cm="1">
        <f t="array" ref="L229">IFERROR(IF(HistoricalStockProgress[[#This Row],[Price of Shares]]="",_xlfn.STOCKHISTORY(HistoricalStockProgress[[#This Row],[Full Company Name]],HistoricalStockProgress[[#This Row],[Date]],,2,0,1)),0)</f>
        <v>0</v>
      </c>
      <c r="M229" s="34">
        <f>YEAR(HistoricalStockProgress[[#This Row],[Date]])</f>
        <v>2017</v>
      </c>
      <c r="N229" s="34">
        <f>MONTH(HistoricalStockProgress[[#This Row],[Date]])</f>
        <v>3</v>
      </c>
    </row>
    <row r="230" spans="2:14">
      <c r="B230" s="15">
        <v>42825</v>
      </c>
      <c r="C230" s="34" t="s">
        <v>20</v>
      </c>
      <c r="D230" s="34" t="e" vm="19">
        <f>_xlfn.XLOOKUP(HistoricalStockProgress[[#This Row],[Company Ticker]],CompanyDetailsList[Company Ticker],CompanyDetailsList[Official Name],,0)</f>
        <v>#VALUE!</v>
      </c>
      <c r="E2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2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1854.4807473772971</v>
      </c>
      <c r="G230" s="17">
        <f>IFERROR(HistoricalStockProgress[[#This Row],[Cost of Shares]]/HistoricalStockProgress[[#This Row],[No. of Shares]],0)</f>
        <v>74.179229895091879</v>
      </c>
      <c r="H230" s="16" vm="781">
        <v>87.84</v>
      </c>
      <c r="I230" s="16">
        <f>IF(HistoricalStockProgress[[#This Row],[No. of Shares]]&lt;&gt;0,HistoricalStockProgress[[#This Row],[Price of Shares]]*HistoricalStockProgress[[#This Row],[No. of Shares]],0)</f>
        <v>2196</v>
      </c>
      <c r="J230" s="16">
        <f>IF(HistoricalStockProgress[[#This Row],[No. of Shares]]&lt;&gt;0,HistoricalStockProgress[[#This Row],[Price of Shares]]-HistoricalStockProgress[[#This Row],[Cost of Shares]]/HistoricalStockProgress[[#This Row],[No. of Shares]],0)</f>
        <v>13.660770104908124</v>
      </c>
      <c r="K230" s="17">
        <f>IF(HistoricalStockProgress[[#This Row],[Total Price of Shares]]&lt;&gt;0,HistoricalStockProgress[[#This Row],[Total Price of Shares]]-HistoricalStockProgress[[#This Row],[Cost of Shares]],0)</f>
        <v>341.51925262270288</v>
      </c>
      <c r="L230" s="34" t="b" cm="1">
        <f t="array" ref="L230">IFERROR(IF(HistoricalStockProgress[[#This Row],[Price of Shares]]="",_xlfn.STOCKHISTORY(HistoricalStockProgress[[#This Row],[Full Company Name]],HistoricalStockProgress[[#This Row],[Date]],,2,0,1)),0)</f>
        <v>0</v>
      </c>
      <c r="M230" s="34">
        <f>YEAR(HistoricalStockProgress[[#This Row],[Date]])</f>
        <v>2017</v>
      </c>
      <c r="N230" s="34">
        <f>MONTH(HistoricalStockProgress[[#This Row],[Date]])</f>
        <v>3</v>
      </c>
    </row>
    <row r="231" spans="2:14">
      <c r="B231" s="15">
        <v>42825</v>
      </c>
      <c r="C231" s="34" t="s">
        <v>106</v>
      </c>
      <c r="D231" s="34" t="e" vm="20">
        <f>_xlfn.XLOOKUP(HistoricalStockProgress[[#This Row],[Company Ticker]],CompanyDetailsList[Company Ticker],CompanyDetailsList[Official Name],,0)</f>
        <v>#VALUE!</v>
      </c>
      <c r="E2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2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231" s="17">
        <f>IFERROR(HistoricalStockProgress[[#This Row],[Cost of Shares]]/HistoricalStockProgress[[#This Row],[No. of Shares]],0)</f>
        <v>104.71316390485761</v>
      </c>
      <c r="H231" s="16" vm="782">
        <v>105.08</v>
      </c>
      <c r="I231" s="16">
        <f>IF(HistoricalStockProgress[[#This Row],[No. of Shares]]&lt;&gt;0,HistoricalStockProgress[[#This Row],[Price of Shares]]*HistoricalStockProgress[[#This Row],[No. of Shares]],0)</f>
        <v>3677.7999999999997</v>
      </c>
      <c r="J231" s="16">
        <f>IF(HistoricalStockProgress[[#This Row],[No. of Shares]]&lt;&gt;0,HistoricalStockProgress[[#This Row],[Price of Shares]]-HistoricalStockProgress[[#This Row],[Cost of Shares]]/HistoricalStockProgress[[#This Row],[No. of Shares]],0)</f>
        <v>0.36683609514238924</v>
      </c>
      <c r="K231" s="17">
        <f>IF(HistoricalStockProgress[[#This Row],[Total Price of Shares]]&lt;&gt;0,HistoricalStockProgress[[#This Row],[Total Price of Shares]]-HistoricalStockProgress[[#This Row],[Cost of Shares]],0)</f>
        <v>12.839263329983169</v>
      </c>
      <c r="L231" s="34" t="b" cm="1">
        <f t="array" ref="L231">IFERROR(IF(HistoricalStockProgress[[#This Row],[Price of Shares]]="",_xlfn.STOCKHISTORY(HistoricalStockProgress[[#This Row],[Full Company Name]],HistoricalStockProgress[[#This Row],[Date]],,2,0,1)),0)</f>
        <v>0</v>
      </c>
      <c r="M231" s="34">
        <f>YEAR(HistoricalStockProgress[[#This Row],[Date]])</f>
        <v>2017</v>
      </c>
      <c r="N231" s="34">
        <f>MONTH(HistoricalStockProgress[[#This Row],[Date]])</f>
        <v>3</v>
      </c>
    </row>
    <row r="232" spans="2:14">
      <c r="B232" s="15">
        <v>42855</v>
      </c>
      <c r="C232" s="34" t="s">
        <v>84</v>
      </c>
      <c r="D232" s="34" t="e" vm="7">
        <f>_xlfn.XLOOKUP(HistoricalStockProgress[[#This Row],[Company Ticker]],CompanyDetailsList[Company Ticker],CompanyDetailsList[Official Name],,0)</f>
        <v>#VALUE!</v>
      </c>
      <c r="E2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2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232" s="17">
        <f>IFERROR(HistoricalStockProgress[[#This Row],[Cost of Shares]]/HistoricalStockProgress[[#This Row],[No. of Shares]],0)</f>
        <v>104.18087504950869</v>
      </c>
      <c r="H232" s="16" vm="783">
        <v>123.47</v>
      </c>
      <c r="I232" s="16">
        <f>IF(HistoricalStockProgress[[#This Row],[No. of Shares]]&lt;&gt;0,HistoricalStockProgress[[#This Row],[Price of Shares]]*HistoricalStockProgress[[#This Row],[No. of Shares]],0)</f>
        <v>6296.97</v>
      </c>
      <c r="J232" s="16">
        <f>IF(HistoricalStockProgress[[#This Row],[No. of Shares]]&lt;&gt;0,HistoricalStockProgress[[#This Row],[Price of Shares]]-HistoricalStockProgress[[#This Row],[Cost of Shares]]/HistoricalStockProgress[[#This Row],[No. of Shares]],0)</f>
        <v>19.289124950491313</v>
      </c>
      <c r="K232" s="17">
        <f>IF(HistoricalStockProgress[[#This Row],[Total Price of Shares]]&lt;&gt;0,HistoricalStockProgress[[#This Row],[Total Price of Shares]]-HistoricalStockProgress[[#This Row],[Cost of Shares]],0)</f>
        <v>983.74537247505759</v>
      </c>
      <c r="L232" s="34" t="b" cm="1">
        <f t="array" ref="L232">IFERROR(IF(HistoricalStockProgress[[#This Row],[Price of Shares]]="",_xlfn.STOCKHISTORY(HistoricalStockProgress[[#This Row],[Full Company Name]],HistoricalStockProgress[[#This Row],[Date]],,2,0,1)),0)</f>
        <v>0</v>
      </c>
      <c r="M232" s="34">
        <f>YEAR(HistoricalStockProgress[[#This Row],[Date]])</f>
        <v>2017</v>
      </c>
      <c r="N232" s="34">
        <f>MONTH(HistoricalStockProgress[[#This Row],[Date]])</f>
        <v>4</v>
      </c>
    </row>
    <row r="233" spans="2:14">
      <c r="B233" s="15">
        <v>42855</v>
      </c>
      <c r="C233" s="34" t="s">
        <v>86</v>
      </c>
      <c r="D233" s="34" t="e" vm="8">
        <f>_xlfn.XLOOKUP(HistoricalStockProgress[[#This Row],[Company Ticker]],CompanyDetailsList[Company Ticker],CompanyDetailsList[Official Name],,0)</f>
        <v>#VALUE!</v>
      </c>
      <c r="E2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v>
      </c>
      <c r="F2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1370.0286395296207</v>
      </c>
      <c r="G233" s="17">
        <f>IFERROR(HistoricalStockProgress[[#This Row],[Cost of Shares]]/HistoricalStockProgress[[#This Row],[No. of Shares]],0)</f>
        <v>59.566462588244377</v>
      </c>
      <c r="H233" s="16" vm="784">
        <v>65.94</v>
      </c>
      <c r="I233" s="16">
        <f>IF(HistoricalStockProgress[[#This Row],[No. of Shares]]&lt;&gt;0,HistoricalStockProgress[[#This Row],[Price of Shares]]*HistoricalStockProgress[[#This Row],[No. of Shares]],0)</f>
        <v>1516.62</v>
      </c>
      <c r="J233" s="16">
        <f>IF(HistoricalStockProgress[[#This Row],[No. of Shares]]&lt;&gt;0,HistoricalStockProgress[[#This Row],[Price of Shares]]-HistoricalStockProgress[[#This Row],[Cost of Shares]]/HistoricalStockProgress[[#This Row],[No. of Shares]],0)</f>
        <v>6.3735374117556205</v>
      </c>
      <c r="K233" s="17">
        <f>IF(HistoricalStockProgress[[#This Row],[Total Price of Shares]]&lt;&gt;0,HistoricalStockProgress[[#This Row],[Total Price of Shares]]-HistoricalStockProgress[[#This Row],[Cost of Shares]],0)</f>
        <v>146.59136047037919</v>
      </c>
      <c r="L233" s="34" t="b" cm="1">
        <f t="array" ref="L233">IFERROR(IF(HistoricalStockProgress[[#This Row],[Price of Shares]]="",_xlfn.STOCKHISTORY(HistoricalStockProgress[[#This Row],[Full Company Name]],HistoricalStockProgress[[#This Row],[Date]],,2,0,1)),0)</f>
        <v>0</v>
      </c>
      <c r="M233" s="34">
        <f>YEAR(HistoricalStockProgress[[#This Row],[Date]])</f>
        <v>2017</v>
      </c>
      <c r="N233" s="34">
        <f>MONTH(HistoricalStockProgress[[#This Row],[Date]])</f>
        <v>4</v>
      </c>
    </row>
    <row r="234" spans="2:14">
      <c r="B234" s="15">
        <v>42855</v>
      </c>
      <c r="C234" s="34" t="s">
        <v>22</v>
      </c>
      <c r="D234" s="34" t="e" vm="10">
        <f>_xlfn.XLOOKUP(HistoricalStockProgress[[#This Row],[Company Ticker]],CompanyDetailsList[Company Ticker],CompanyDetailsList[Official Name],,0)</f>
        <v>#VALUE!</v>
      </c>
      <c r="E2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2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234" s="17">
        <f>IFERROR(HistoricalStockProgress[[#This Row],[Cost of Shares]]/HistoricalStockProgress[[#This Row],[No. of Shares]],0)</f>
        <v>83.61275075159574</v>
      </c>
      <c r="H234" s="16" vm="785">
        <v>102.26</v>
      </c>
      <c r="I234" s="16">
        <f>IF(HistoricalStockProgress[[#This Row],[No. of Shares]]&lt;&gt;0,HistoricalStockProgress[[#This Row],[Price of Shares]]*HistoricalStockProgress[[#This Row],[No. of Shares]],0)</f>
        <v>6237.8600000000006</v>
      </c>
      <c r="J234" s="16">
        <f>IF(HistoricalStockProgress[[#This Row],[No. of Shares]]&lt;&gt;0,HistoricalStockProgress[[#This Row],[Price of Shares]]-HistoricalStockProgress[[#This Row],[Cost of Shares]]/HistoricalStockProgress[[#This Row],[No. of Shares]],0)</f>
        <v>18.647249248404265</v>
      </c>
      <c r="K234" s="17">
        <f>IF(HistoricalStockProgress[[#This Row],[Total Price of Shares]]&lt;&gt;0,HistoricalStockProgress[[#This Row],[Total Price of Shares]]-HistoricalStockProgress[[#This Row],[Cost of Shares]],0)</f>
        <v>1137.4822041526604</v>
      </c>
      <c r="L234" s="34" t="b" cm="1">
        <f t="array" ref="L234">IFERROR(IF(HistoricalStockProgress[[#This Row],[Price of Shares]]="",_xlfn.STOCKHISTORY(HistoricalStockProgress[[#This Row],[Full Company Name]],HistoricalStockProgress[[#This Row],[Date]],,2,0,1)),0)</f>
        <v>0</v>
      </c>
      <c r="M234" s="34">
        <f>YEAR(HistoricalStockProgress[[#This Row],[Date]])</f>
        <v>2017</v>
      </c>
      <c r="N234" s="34">
        <f>MONTH(HistoricalStockProgress[[#This Row],[Date]])</f>
        <v>4</v>
      </c>
    </row>
    <row r="235" spans="2:14">
      <c r="B235" s="15">
        <v>42855</v>
      </c>
      <c r="C235" s="34" t="s">
        <v>91</v>
      </c>
      <c r="D235" s="34" t="e" vm="11">
        <f>_xlfn.XLOOKUP(HistoricalStockProgress[[#This Row],[Company Ticker]],CompanyDetailsList[Company Ticker],CompanyDetailsList[Official Name],,0)</f>
        <v>#VALUE!</v>
      </c>
      <c r="E2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2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4641.1780084974125</v>
      </c>
      <c r="G235" s="17">
        <f>IFERROR(HistoricalStockProgress[[#This Row],[Cost of Shares]]/HistoricalStockProgress[[#This Row],[No. of Shares]],0)</f>
        <v>58.749088715157121</v>
      </c>
      <c r="H235" s="16" vm="786">
        <v>68.459999999999994</v>
      </c>
      <c r="I235" s="16">
        <f>IF(HistoricalStockProgress[[#This Row],[No. of Shares]]&lt;&gt;0,HistoricalStockProgress[[#This Row],[Price of Shares]]*HistoricalStockProgress[[#This Row],[No. of Shares]],0)</f>
        <v>5408.3399999999992</v>
      </c>
      <c r="J235" s="16">
        <f>IF(HistoricalStockProgress[[#This Row],[No. of Shares]]&lt;&gt;0,HistoricalStockProgress[[#This Row],[Price of Shares]]-HistoricalStockProgress[[#This Row],[Cost of Shares]]/HistoricalStockProgress[[#This Row],[No. of Shares]],0)</f>
        <v>9.7109112848428722</v>
      </c>
      <c r="K235" s="17">
        <f>IF(HistoricalStockProgress[[#This Row],[Total Price of Shares]]&lt;&gt;0,HistoricalStockProgress[[#This Row],[Total Price of Shares]]-HistoricalStockProgress[[#This Row],[Cost of Shares]],0)</f>
        <v>767.16199150258672</v>
      </c>
      <c r="L235" s="34" t="b" cm="1">
        <f t="array" ref="L235">IFERROR(IF(HistoricalStockProgress[[#This Row],[Price of Shares]]="",_xlfn.STOCKHISTORY(HistoricalStockProgress[[#This Row],[Full Company Name]],HistoricalStockProgress[[#This Row],[Date]],,2,0,1)),0)</f>
        <v>0</v>
      </c>
      <c r="M235" s="34">
        <f>YEAR(HistoricalStockProgress[[#This Row],[Date]])</f>
        <v>2017</v>
      </c>
      <c r="N235" s="34">
        <f>MONTH(HistoricalStockProgress[[#This Row],[Date]])</f>
        <v>4</v>
      </c>
    </row>
    <row r="236" spans="2:14">
      <c r="B236" s="15">
        <v>42855</v>
      </c>
      <c r="C236" s="34" t="s">
        <v>16</v>
      </c>
      <c r="D236" s="34" t="e" vm="12">
        <f>_xlfn.XLOOKUP(HistoricalStockProgress[[#This Row],[Company Ticker]],CompanyDetailsList[Company Ticker],CompanyDetailsList[Official Name],,0)</f>
        <v>#VALUE!</v>
      </c>
      <c r="E2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107</v>
      </c>
      <c r="F2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9097.0068259849722</v>
      </c>
      <c r="G236" s="17">
        <f>IFERROR(HistoricalStockProgress[[#This Row],[Cost of Shares]]/HistoricalStockProgress[[#This Row],[No. of Shares]],0)</f>
        <v>85.018755383037117</v>
      </c>
      <c r="H236" s="16" vm="787">
        <v>81.650000000000006</v>
      </c>
      <c r="I236" s="16">
        <f>IF(HistoricalStockProgress[[#This Row],[No. of Shares]]&lt;&gt;0,HistoricalStockProgress[[#This Row],[Price of Shares]]*HistoricalStockProgress[[#This Row],[No. of Shares]],0)</f>
        <v>8736.5500000000011</v>
      </c>
      <c r="J236" s="16">
        <f>IF(HistoricalStockProgress[[#This Row],[No. of Shares]]&lt;&gt;0,HistoricalStockProgress[[#This Row],[Price of Shares]]-HistoricalStockProgress[[#This Row],[Cost of Shares]]/HistoricalStockProgress[[#This Row],[No. of Shares]],0)</f>
        <v>-3.3687553830371115</v>
      </c>
      <c r="K236" s="17">
        <f>IF(HistoricalStockProgress[[#This Row],[Total Price of Shares]]&lt;&gt;0,HistoricalStockProgress[[#This Row],[Total Price of Shares]]-HistoricalStockProgress[[#This Row],[Cost of Shares]],0)</f>
        <v>-360.45682598497115</v>
      </c>
      <c r="L236" s="34" t="b" cm="1">
        <f t="array" ref="L236">IFERROR(IF(HistoricalStockProgress[[#This Row],[Price of Shares]]="",_xlfn.STOCKHISTORY(HistoricalStockProgress[[#This Row],[Full Company Name]],HistoricalStockProgress[[#This Row],[Date]],,2,0,1)),0)</f>
        <v>0</v>
      </c>
      <c r="M236" s="34">
        <f>YEAR(HistoricalStockProgress[[#This Row],[Date]])</f>
        <v>2017</v>
      </c>
      <c r="N236" s="34">
        <f>MONTH(HistoricalStockProgress[[#This Row],[Date]])</f>
        <v>4</v>
      </c>
    </row>
    <row r="237" spans="2:14">
      <c r="B237" s="15">
        <v>42855</v>
      </c>
      <c r="C237" s="34" t="s">
        <v>95</v>
      </c>
      <c r="D237" s="34" t="e" vm="13">
        <f>_xlfn.XLOOKUP(HistoricalStockProgress[[#This Row],[Company Ticker]],CompanyDetailsList[Company Ticker],CompanyDetailsList[Official Name],,0)</f>
        <v>#VALUE!</v>
      </c>
      <c r="E2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2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1354.8666631260189</v>
      </c>
      <c r="G237" s="17">
        <f>IFERROR(HistoricalStockProgress[[#This Row],[Cost of Shares]]/HistoricalStockProgress[[#This Row],[No. of Shares]],0)</f>
        <v>112.90555526050157</v>
      </c>
      <c r="H237" s="16" vm="788">
        <v>156.1</v>
      </c>
      <c r="I237" s="16">
        <f>IF(HistoricalStockProgress[[#This Row],[No. of Shares]]&lt;&gt;0,HistoricalStockProgress[[#This Row],[Price of Shares]]*HistoricalStockProgress[[#This Row],[No. of Shares]],0)</f>
        <v>1873.1999999999998</v>
      </c>
      <c r="J237" s="16">
        <f>IF(HistoricalStockProgress[[#This Row],[No. of Shares]]&lt;&gt;0,HistoricalStockProgress[[#This Row],[Price of Shares]]-HistoricalStockProgress[[#This Row],[Cost of Shares]]/HistoricalStockProgress[[#This Row],[No. of Shares]],0)</f>
        <v>43.194444739498422</v>
      </c>
      <c r="K237" s="17">
        <f>IF(HistoricalStockProgress[[#This Row],[Total Price of Shares]]&lt;&gt;0,HistoricalStockProgress[[#This Row],[Total Price of Shares]]-HistoricalStockProgress[[#This Row],[Cost of Shares]],0)</f>
        <v>518.3333368739809</v>
      </c>
      <c r="L237" s="34" t="b" cm="1">
        <f t="array" ref="L237">IFERROR(IF(HistoricalStockProgress[[#This Row],[Price of Shares]]="",_xlfn.STOCKHISTORY(HistoricalStockProgress[[#This Row],[Full Company Name]],HistoricalStockProgress[[#This Row],[Date]],,2,0,1)),0)</f>
        <v>0</v>
      </c>
      <c r="M237" s="34">
        <f>YEAR(HistoricalStockProgress[[#This Row],[Date]])</f>
        <v>2017</v>
      </c>
      <c r="N237" s="34">
        <f>MONTH(HistoricalStockProgress[[#This Row],[Date]])</f>
        <v>4</v>
      </c>
    </row>
    <row r="238" spans="2:14">
      <c r="B238" s="15">
        <v>42855</v>
      </c>
      <c r="C238" s="34" t="s">
        <v>17</v>
      </c>
      <c r="D238" s="34" t="e" vm="14">
        <f>_xlfn.XLOOKUP(HistoricalStockProgress[[#This Row],[Company Ticker]],CompanyDetailsList[Company Ticker],CompanyDetailsList[Official Name],,0)</f>
        <v>#VALUE!</v>
      </c>
      <c r="E2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v>
      </c>
      <c r="F2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2797.1749688808613</v>
      </c>
      <c r="G238" s="17">
        <f>IFERROR(HistoricalStockProgress[[#This Row],[Cost of Shares]]/HistoricalStockProgress[[#This Row],[No. of Shares]],0)</f>
        <v>155.39860938227008</v>
      </c>
      <c r="H238" s="16" vm="789">
        <v>160.29</v>
      </c>
      <c r="I238" s="16">
        <f>IF(HistoricalStockProgress[[#This Row],[No. of Shares]]&lt;&gt;0,HistoricalStockProgress[[#This Row],[Price of Shares]]*HistoricalStockProgress[[#This Row],[No. of Shares]],0)</f>
        <v>2885.22</v>
      </c>
      <c r="J238" s="16">
        <f>IF(HistoricalStockProgress[[#This Row],[No. of Shares]]&lt;&gt;0,HistoricalStockProgress[[#This Row],[Price of Shares]]-HistoricalStockProgress[[#This Row],[Cost of Shares]]/HistoricalStockProgress[[#This Row],[No. of Shares]],0)</f>
        <v>4.8913906177299111</v>
      </c>
      <c r="K238" s="17">
        <f>IF(HistoricalStockProgress[[#This Row],[Total Price of Shares]]&lt;&gt;0,HistoricalStockProgress[[#This Row],[Total Price of Shares]]-HistoricalStockProgress[[#This Row],[Cost of Shares]],0)</f>
        <v>88.045031119138457</v>
      </c>
      <c r="L238" s="34" t="b" cm="1">
        <f t="array" ref="L238">IFERROR(IF(HistoricalStockProgress[[#This Row],[Price of Shares]]="",_xlfn.STOCKHISTORY(HistoricalStockProgress[[#This Row],[Full Company Name]],HistoricalStockProgress[[#This Row],[Date]],,2,0,1)),0)</f>
        <v>0</v>
      </c>
      <c r="M238" s="34">
        <f>YEAR(HistoricalStockProgress[[#This Row],[Date]])</f>
        <v>2017</v>
      </c>
      <c r="N238" s="34">
        <f>MONTH(HistoricalStockProgress[[#This Row],[Date]])</f>
        <v>4</v>
      </c>
    </row>
    <row r="239" spans="2:14">
      <c r="B239" s="15">
        <v>42855</v>
      </c>
      <c r="C239" s="34" t="s">
        <v>100</v>
      </c>
      <c r="D239" s="34" t="e" vm="16">
        <f>_xlfn.XLOOKUP(HistoricalStockProgress[[#This Row],[Company Ticker]],CompanyDetailsList[Company Ticker],CompanyDetailsList[Official Name],,0)</f>
        <v>#VALUE!</v>
      </c>
      <c r="E2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2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239" s="17">
        <f>IFERROR(HistoricalStockProgress[[#This Row],[Cost of Shares]]/HistoricalStockProgress[[#This Row],[No. of Shares]],0)</f>
        <v>84.509035134678101</v>
      </c>
      <c r="H239" s="16" vm="790">
        <v>82.5</v>
      </c>
      <c r="I239" s="16">
        <f>IF(HistoricalStockProgress[[#This Row],[No. of Shares]]&lt;&gt;0,HistoricalStockProgress[[#This Row],[Price of Shares]]*HistoricalStockProgress[[#This Row],[No. of Shares]],0)</f>
        <v>2722.5</v>
      </c>
      <c r="J239" s="16">
        <f>IF(HistoricalStockProgress[[#This Row],[No. of Shares]]&lt;&gt;0,HistoricalStockProgress[[#This Row],[Price of Shares]]-HistoricalStockProgress[[#This Row],[Cost of Shares]]/HistoricalStockProgress[[#This Row],[No. of Shares]],0)</f>
        <v>-2.0090351346781006</v>
      </c>
      <c r="K239" s="17">
        <f>IF(HistoricalStockProgress[[#This Row],[Total Price of Shares]]&lt;&gt;0,HistoricalStockProgress[[#This Row],[Total Price of Shares]]-HistoricalStockProgress[[#This Row],[Cost of Shares]],0)</f>
        <v>-66.298159444377234</v>
      </c>
      <c r="L239" s="34" t="b" cm="1">
        <f t="array" ref="L239">IFERROR(IF(HistoricalStockProgress[[#This Row],[Price of Shares]]="",_xlfn.STOCKHISTORY(HistoricalStockProgress[[#This Row],[Full Company Name]],HistoricalStockProgress[[#This Row],[Date]],,2,0,1)),0)</f>
        <v>0</v>
      </c>
      <c r="M239" s="34">
        <f>YEAR(HistoricalStockProgress[[#This Row],[Date]])</f>
        <v>2017</v>
      </c>
      <c r="N239" s="34">
        <f>MONTH(HistoricalStockProgress[[#This Row],[Date]])</f>
        <v>4</v>
      </c>
    </row>
    <row r="240" spans="2:14">
      <c r="B240" s="15">
        <v>42855</v>
      </c>
      <c r="C240" s="34" t="s">
        <v>15</v>
      </c>
      <c r="D240" s="34" t="e" vm="17">
        <f>_xlfn.XLOOKUP(HistoricalStockProgress[[#This Row],[Company Ticker]],CompanyDetailsList[Company Ticker],CompanyDetailsList[Official Name],,0)</f>
        <v>#VALUE!</v>
      </c>
      <c r="E2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2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240" s="17">
        <f>IFERROR(HistoricalStockProgress[[#This Row],[Cost of Shares]]/HistoricalStockProgress[[#This Row],[No. of Shares]],0)</f>
        <v>26.481400454992627</v>
      </c>
      <c r="H240" s="16" vm="791">
        <v>29.927800000000001</v>
      </c>
      <c r="I240" s="16">
        <f>IF(HistoricalStockProgress[[#This Row],[No. of Shares]]&lt;&gt;0,HistoricalStockProgress[[#This Row],[Price of Shares]]*HistoricalStockProgress[[#This Row],[No. of Shares]],0)</f>
        <v>2873.0688</v>
      </c>
      <c r="J240" s="16">
        <f>IF(HistoricalStockProgress[[#This Row],[No. of Shares]]&lt;&gt;0,HistoricalStockProgress[[#This Row],[Price of Shares]]-HistoricalStockProgress[[#This Row],[Cost of Shares]]/HistoricalStockProgress[[#This Row],[No. of Shares]],0)</f>
        <v>3.4463995450073739</v>
      </c>
      <c r="K240" s="17">
        <f>IF(HistoricalStockProgress[[#This Row],[Total Price of Shares]]&lt;&gt;0,HistoricalStockProgress[[#This Row],[Total Price of Shares]]-HistoricalStockProgress[[#This Row],[Cost of Shares]],0)</f>
        <v>330.85435632070767</v>
      </c>
      <c r="L240" s="34" t="b" cm="1">
        <f t="array" ref="L240">IFERROR(IF(HistoricalStockProgress[[#This Row],[Price of Shares]]="",_xlfn.STOCKHISTORY(HistoricalStockProgress[[#This Row],[Full Company Name]],HistoricalStockProgress[[#This Row],[Date]],,2,0,1)),0)</f>
        <v>0</v>
      </c>
      <c r="M240" s="34">
        <f>YEAR(HistoricalStockProgress[[#This Row],[Date]])</f>
        <v>2017</v>
      </c>
      <c r="N240" s="34">
        <f>MONTH(HistoricalStockProgress[[#This Row],[Date]])</f>
        <v>4</v>
      </c>
    </row>
    <row r="241" spans="2:14">
      <c r="B241" s="15">
        <v>42855</v>
      </c>
      <c r="C241" s="34" t="s">
        <v>13</v>
      </c>
      <c r="D241" s="34" t="e" vm="18">
        <f>_xlfn.XLOOKUP(HistoricalStockProgress[[#This Row],[Company Ticker]],CompanyDetailsList[Company Ticker],CompanyDetailsList[Official Name],,0)</f>
        <v>#VALUE!</v>
      </c>
      <c r="E2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2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241" s="17">
        <f>IFERROR(HistoricalStockProgress[[#This Row],[Cost of Shares]]/HistoricalStockProgress[[#This Row],[No. of Shares]],0)</f>
        <v>31.383479678650293</v>
      </c>
      <c r="H241" s="16" vm="792">
        <v>32.154499999999999</v>
      </c>
      <c r="I241" s="16">
        <f>IF(HistoricalStockProgress[[#This Row],[No. of Shares]]&lt;&gt;0,HistoricalStockProgress[[#This Row],[Price of Shares]]*HistoricalStockProgress[[#This Row],[No. of Shares]],0)</f>
        <v>803.86249999999995</v>
      </c>
      <c r="J241" s="16">
        <f>IF(HistoricalStockProgress[[#This Row],[No. of Shares]]&lt;&gt;0,HistoricalStockProgress[[#This Row],[Price of Shares]]-HistoricalStockProgress[[#This Row],[Cost of Shares]]/HistoricalStockProgress[[#This Row],[No. of Shares]],0)</f>
        <v>0.77102032134970599</v>
      </c>
      <c r="K241" s="17">
        <f>IF(HistoricalStockProgress[[#This Row],[Total Price of Shares]]&lt;&gt;0,HistoricalStockProgress[[#This Row],[Total Price of Shares]]-HistoricalStockProgress[[#This Row],[Cost of Shares]],0)</f>
        <v>19.275508033742653</v>
      </c>
      <c r="L241" s="34" t="b" cm="1">
        <f t="array" ref="L241">IFERROR(IF(HistoricalStockProgress[[#This Row],[Price of Shares]]="",_xlfn.STOCKHISTORY(HistoricalStockProgress[[#This Row],[Full Company Name]],HistoricalStockProgress[[#This Row],[Date]],,2,0,1)),0)</f>
        <v>0</v>
      </c>
      <c r="M241" s="34">
        <f>YEAR(HistoricalStockProgress[[#This Row],[Date]])</f>
        <v>2017</v>
      </c>
      <c r="N241" s="34">
        <f>MONTH(HistoricalStockProgress[[#This Row],[Date]])</f>
        <v>4</v>
      </c>
    </row>
    <row r="242" spans="2:14">
      <c r="B242" s="15">
        <v>42855</v>
      </c>
      <c r="C242" s="34" t="s">
        <v>20</v>
      </c>
      <c r="D242" s="34" t="e" vm="19">
        <f>_xlfn.XLOOKUP(HistoricalStockProgress[[#This Row],[Company Ticker]],CompanyDetailsList[Company Ticker],CompanyDetailsList[Official Name],,0)</f>
        <v>#VALUE!</v>
      </c>
      <c r="E2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2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1854.4807473772971</v>
      </c>
      <c r="G242" s="17">
        <f>IFERROR(HistoricalStockProgress[[#This Row],[Cost of Shares]]/HistoricalStockProgress[[#This Row],[No. of Shares]],0)</f>
        <v>74.179229895091879</v>
      </c>
      <c r="H242" s="16" vm="793">
        <v>87</v>
      </c>
      <c r="I242" s="16">
        <f>IF(HistoricalStockProgress[[#This Row],[No. of Shares]]&lt;&gt;0,HistoricalStockProgress[[#This Row],[Price of Shares]]*HistoricalStockProgress[[#This Row],[No. of Shares]],0)</f>
        <v>2175</v>
      </c>
      <c r="J242" s="16">
        <f>IF(HistoricalStockProgress[[#This Row],[No. of Shares]]&lt;&gt;0,HistoricalStockProgress[[#This Row],[Price of Shares]]-HistoricalStockProgress[[#This Row],[Cost of Shares]]/HistoricalStockProgress[[#This Row],[No. of Shares]],0)</f>
        <v>12.820770104908121</v>
      </c>
      <c r="K242" s="17">
        <f>IF(HistoricalStockProgress[[#This Row],[Total Price of Shares]]&lt;&gt;0,HistoricalStockProgress[[#This Row],[Total Price of Shares]]-HistoricalStockProgress[[#This Row],[Cost of Shares]],0)</f>
        <v>320.51925262270288</v>
      </c>
      <c r="L242" s="34" t="b" cm="1">
        <f t="array" ref="L242">IFERROR(IF(HistoricalStockProgress[[#This Row],[Price of Shares]]="",_xlfn.STOCKHISTORY(HistoricalStockProgress[[#This Row],[Full Company Name]],HistoricalStockProgress[[#This Row],[Date]],,2,0,1)),0)</f>
        <v>0</v>
      </c>
      <c r="M242" s="34">
        <f>YEAR(HistoricalStockProgress[[#This Row],[Date]])</f>
        <v>2017</v>
      </c>
      <c r="N242" s="34">
        <f>MONTH(HistoricalStockProgress[[#This Row],[Date]])</f>
        <v>4</v>
      </c>
    </row>
    <row r="243" spans="2:14">
      <c r="B243" s="15">
        <v>42855</v>
      </c>
      <c r="C243" s="34" t="s">
        <v>106</v>
      </c>
      <c r="D243" s="34" t="e" vm="20">
        <f>_xlfn.XLOOKUP(HistoricalStockProgress[[#This Row],[Company Ticker]],CompanyDetailsList[Company Ticker],CompanyDetailsList[Official Name],,0)</f>
        <v>#VALUE!</v>
      </c>
      <c r="E2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2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243" s="17">
        <f>IFERROR(HistoricalStockProgress[[#This Row],[Cost of Shares]]/HistoricalStockProgress[[#This Row],[No. of Shares]],0)</f>
        <v>104.71316390485761</v>
      </c>
      <c r="H243" s="16" vm="794">
        <v>109.84</v>
      </c>
      <c r="I243" s="16">
        <f>IF(HistoricalStockProgress[[#This Row],[No. of Shares]]&lt;&gt;0,HistoricalStockProgress[[#This Row],[Price of Shares]]*HistoricalStockProgress[[#This Row],[No. of Shares]],0)</f>
        <v>3844.4</v>
      </c>
      <c r="J243" s="16">
        <f>IF(HistoricalStockProgress[[#This Row],[No. of Shares]]&lt;&gt;0,HistoricalStockProgress[[#This Row],[Price of Shares]]-HistoricalStockProgress[[#This Row],[Cost of Shares]]/HistoricalStockProgress[[#This Row],[No. of Shares]],0)</f>
        <v>5.1268360951423944</v>
      </c>
      <c r="K243" s="17">
        <f>IF(HistoricalStockProgress[[#This Row],[Total Price of Shares]]&lt;&gt;0,HistoricalStockProgress[[#This Row],[Total Price of Shares]]-HistoricalStockProgress[[#This Row],[Cost of Shares]],0)</f>
        <v>179.43926332998353</v>
      </c>
      <c r="L243" s="34" t="b" cm="1">
        <f t="array" ref="L243">IFERROR(IF(HistoricalStockProgress[[#This Row],[Price of Shares]]="",_xlfn.STOCKHISTORY(HistoricalStockProgress[[#This Row],[Full Company Name]],HistoricalStockProgress[[#This Row],[Date]],,2,0,1)),0)</f>
        <v>0</v>
      </c>
      <c r="M243" s="34">
        <f>YEAR(HistoricalStockProgress[[#This Row],[Date]])</f>
        <v>2017</v>
      </c>
      <c r="N243" s="34">
        <f>MONTH(HistoricalStockProgress[[#This Row],[Date]])</f>
        <v>4</v>
      </c>
    </row>
    <row r="244" spans="2:14">
      <c r="B244" s="15">
        <v>42886</v>
      </c>
      <c r="C244" s="34" t="s">
        <v>84</v>
      </c>
      <c r="D244" s="34" t="e" vm="7">
        <f>_xlfn.XLOOKUP(HistoricalStockProgress[[#This Row],[Company Ticker]],CompanyDetailsList[Company Ticker],CompanyDetailsList[Official Name],,0)</f>
        <v>#VALUE!</v>
      </c>
      <c r="E2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2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244" s="17">
        <f>IFERROR(HistoricalStockProgress[[#This Row],[Cost of Shares]]/HistoricalStockProgress[[#This Row],[No. of Shares]],0)</f>
        <v>104.18087504950869</v>
      </c>
      <c r="H244" s="16" vm="795">
        <v>128.25</v>
      </c>
      <c r="I244" s="16">
        <f>IF(HistoricalStockProgress[[#This Row],[No. of Shares]]&lt;&gt;0,HistoricalStockProgress[[#This Row],[Price of Shares]]*HistoricalStockProgress[[#This Row],[No. of Shares]],0)</f>
        <v>6540.75</v>
      </c>
      <c r="J244" s="16">
        <f>IF(HistoricalStockProgress[[#This Row],[No. of Shares]]&lt;&gt;0,HistoricalStockProgress[[#This Row],[Price of Shares]]-HistoricalStockProgress[[#This Row],[Cost of Shares]]/HistoricalStockProgress[[#This Row],[No. of Shares]],0)</f>
        <v>24.069124950491315</v>
      </c>
      <c r="K244" s="17">
        <f>IF(HistoricalStockProgress[[#This Row],[Total Price of Shares]]&lt;&gt;0,HistoricalStockProgress[[#This Row],[Total Price of Shares]]-HistoricalStockProgress[[#This Row],[Cost of Shares]],0)</f>
        <v>1227.5253724750573</v>
      </c>
      <c r="L244" s="34" t="b" cm="1">
        <f t="array" ref="L244">IFERROR(IF(HistoricalStockProgress[[#This Row],[Price of Shares]]="",_xlfn.STOCKHISTORY(HistoricalStockProgress[[#This Row],[Full Company Name]],HistoricalStockProgress[[#This Row],[Date]],,2,0,1)),0)</f>
        <v>0</v>
      </c>
      <c r="M244" s="34">
        <f>YEAR(HistoricalStockProgress[[#This Row],[Date]])</f>
        <v>2017</v>
      </c>
      <c r="N244" s="34">
        <f>MONTH(HistoricalStockProgress[[#This Row],[Date]])</f>
        <v>5</v>
      </c>
    </row>
    <row r="245" spans="2:14">
      <c r="B245" s="15">
        <v>42886</v>
      </c>
      <c r="C245" s="34" t="s">
        <v>86</v>
      </c>
      <c r="D245" s="34" t="e" vm="8">
        <f>_xlfn.XLOOKUP(HistoricalStockProgress[[#This Row],[Company Ticker]],CompanyDetailsList[Company Ticker],CompanyDetailsList[Official Name],,0)</f>
        <v>#VALUE!</v>
      </c>
      <c r="E2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v>
      </c>
      <c r="F2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1370.0286395296207</v>
      </c>
      <c r="G245" s="17">
        <f>IFERROR(HistoricalStockProgress[[#This Row],[Cost of Shares]]/HistoricalStockProgress[[#This Row],[No. of Shares]],0)</f>
        <v>59.566462588244377</v>
      </c>
      <c r="H245" s="16" vm="796">
        <v>66.02</v>
      </c>
      <c r="I245" s="16">
        <f>IF(HistoricalStockProgress[[#This Row],[No. of Shares]]&lt;&gt;0,HistoricalStockProgress[[#This Row],[Price of Shares]]*HistoricalStockProgress[[#This Row],[No. of Shares]],0)</f>
        <v>1518.4599999999998</v>
      </c>
      <c r="J245" s="16">
        <f>IF(HistoricalStockProgress[[#This Row],[No. of Shares]]&lt;&gt;0,HistoricalStockProgress[[#This Row],[Price of Shares]]-HistoricalStockProgress[[#This Row],[Cost of Shares]]/HistoricalStockProgress[[#This Row],[No. of Shares]],0)</f>
        <v>6.4535374117556188</v>
      </c>
      <c r="K245" s="17">
        <f>IF(HistoricalStockProgress[[#This Row],[Total Price of Shares]]&lt;&gt;0,HistoricalStockProgress[[#This Row],[Total Price of Shares]]-HistoricalStockProgress[[#This Row],[Cost of Shares]],0)</f>
        <v>148.4313604703791</v>
      </c>
      <c r="L245" s="34" t="b" cm="1">
        <f t="array" ref="L245">IFERROR(IF(HistoricalStockProgress[[#This Row],[Price of Shares]]="",_xlfn.STOCKHISTORY(HistoricalStockProgress[[#This Row],[Full Company Name]],HistoricalStockProgress[[#This Row],[Date]],,2,0,1)),0)</f>
        <v>0</v>
      </c>
      <c r="M245" s="34">
        <f>YEAR(HistoricalStockProgress[[#This Row],[Date]])</f>
        <v>2017</v>
      </c>
      <c r="N245" s="34">
        <f>MONTH(HistoricalStockProgress[[#This Row],[Date]])</f>
        <v>5</v>
      </c>
    </row>
    <row r="246" spans="2:14">
      <c r="B246" s="15">
        <v>42886</v>
      </c>
      <c r="C246" s="34" t="s">
        <v>22</v>
      </c>
      <c r="D246" s="34" t="e" vm="10">
        <f>_xlfn.XLOOKUP(HistoricalStockProgress[[#This Row],[Company Ticker]],CompanyDetailsList[Company Ticker],CompanyDetailsList[Official Name],,0)</f>
        <v>#VALUE!</v>
      </c>
      <c r="E2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2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246" s="17">
        <f>IFERROR(HistoricalStockProgress[[#This Row],[Cost of Shares]]/HistoricalStockProgress[[#This Row],[No. of Shares]],0)</f>
        <v>83.61275075159574</v>
      </c>
      <c r="H246" s="16" vm="797">
        <v>105.43</v>
      </c>
      <c r="I246" s="16">
        <f>IF(HistoricalStockProgress[[#This Row],[No. of Shares]]&lt;&gt;0,HistoricalStockProgress[[#This Row],[Price of Shares]]*HistoricalStockProgress[[#This Row],[No. of Shares]],0)</f>
        <v>6431.2300000000005</v>
      </c>
      <c r="J246" s="16">
        <f>IF(HistoricalStockProgress[[#This Row],[No. of Shares]]&lt;&gt;0,HistoricalStockProgress[[#This Row],[Price of Shares]]-HistoricalStockProgress[[#This Row],[Cost of Shares]]/HistoricalStockProgress[[#This Row],[No. of Shares]],0)</f>
        <v>21.817249248404266</v>
      </c>
      <c r="K246" s="17">
        <f>IF(HistoricalStockProgress[[#This Row],[Total Price of Shares]]&lt;&gt;0,HistoricalStockProgress[[#This Row],[Total Price of Shares]]-HistoricalStockProgress[[#This Row],[Cost of Shares]],0)</f>
        <v>1330.8522041526603</v>
      </c>
      <c r="L246" s="34" t="b" cm="1">
        <f t="array" ref="L246">IFERROR(IF(HistoricalStockProgress[[#This Row],[Price of Shares]]="",_xlfn.STOCKHISTORY(HistoricalStockProgress[[#This Row],[Full Company Name]],HistoricalStockProgress[[#This Row],[Date]],,2,0,1)),0)</f>
        <v>0</v>
      </c>
      <c r="M246" s="34">
        <f>YEAR(HistoricalStockProgress[[#This Row],[Date]])</f>
        <v>2017</v>
      </c>
      <c r="N246" s="34">
        <f>MONTH(HistoricalStockProgress[[#This Row],[Date]])</f>
        <v>5</v>
      </c>
    </row>
    <row r="247" spans="2:14">
      <c r="B247" s="15">
        <v>42886</v>
      </c>
      <c r="C247" s="34" t="s">
        <v>91</v>
      </c>
      <c r="D247" s="34" t="e" vm="11">
        <f>_xlfn.XLOOKUP(HistoricalStockProgress[[#This Row],[Company Ticker]],CompanyDetailsList[Company Ticker],CompanyDetailsList[Official Name],,0)</f>
        <v>#VALUE!</v>
      </c>
      <c r="E2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2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4641.1780084974125</v>
      </c>
      <c r="G247" s="17">
        <f>IFERROR(HistoricalStockProgress[[#This Row],[Cost of Shares]]/HistoricalStockProgress[[#This Row],[No. of Shares]],0)</f>
        <v>58.749088715157121</v>
      </c>
      <c r="H247" s="16" vm="798">
        <v>69.84</v>
      </c>
      <c r="I247" s="16">
        <f>IF(HistoricalStockProgress[[#This Row],[No. of Shares]]&lt;&gt;0,HistoricalStockProgress[[#This Row],[Price of Shares]]*HistoricalStockProgress[[#This Row],[No. of Shares]],0)</f>
        <v>5517.3600000000006</v>
      </c>
      <c r="J247" s="16">
        <f>IF(HistoricalStockProgress[[#This Row],[No. of Shares]]&lt;&gt;0,HistoricalStockProgress[[#This Row],[Price of Shares]]-HistoricalStockProgress[[#This Row],[Cost of Shares]]/HistoricalStockProgress[[#This Row],[No. of Shares]],0)</f>
        <v>11.090911284842882</v>
      </c>
      <c r="K247" s="17">
        <f>IF(HistoricalStockProgress[[#This Row],[Total Price of Shares]]&lt;&gt;0,HistoricalStockProgress[[#This Row],[Total Price of Shares]]-HistoricalStockProgress[[#This Row],[Cost of Shares]],0)</f>
        <v>876.18199150258806</v>
      </c>
      <c r="L247" s="34" t="b" cm="1">
        <f t="array" ref="L247">IFERROR(IF(HistoricalStockProgress[[#This Row],[Price of Shares]]="",_xlfn.STOCKHISTORY(HistoricalStockProgress[[#This Row],[Full Company Name]],HistoricalStockProgress[[#This Row],[Date]],,2,0,1)),0)</f>
        <v>0</v>
      </c>
      <c r="M247" s="34">
        <f>YEAR(HistoricalStockProgress[[#This Row],[Date]])</f>
        <v>2017</v>
      </c>
      <c r="N247" s="34">
        <f>MONTH(HistoricalStockProgress[[#This Row],[Date]])</f>
        <v>5</v>
      </c>
    </row>
    <row r="248" spans="2:14">
      <c r="B248" s="15">
        <v>42886</v>
      </c>
      <c r="C248" s="34" t="s">
        <v>16</v>
      </c>
      <c r="D248" s="34" t="e" vm="12">
        <f>_xlfn.XLOOKUP(HistoricalStockProgress[[#This Row],[Company Ticker]],CompanyDetailsList[Company Ticker],CompanyDetailsList[Official Name],,0)</f>
        <v>#VALUE!</v>
      </c>
      <c r="E2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107</v>
      </c>
      <c r="F2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9097.0068259849722</v>
      </c>
      <c r="G248" s="17">
        <f>IFERROR(HistoricalStockProgress[[#This Row],[Cost of Shares]]/HistoricalStockProgress[[#This Row],[No. of Shares]],0)</f>
        <v>85.018755383037117</v>
      </c>
      <c r="H248" s="16" vm="799">
        <v>80.5</v>
      </c>
      <c r="I248" s="16">
        <f>IF(HistoricalStockProgress[[#This Row],[No. of Shares]]&lt;&gt;0,HistoricalStockProgress[[#This Row],[Price of Shares]]*HistoricalStockProgress[[#This Row],[No. of Shares]],0)</f>
        <v>8613.5</v>
      </c>
      <c r="J248" s="16">
        <f>IF(HistoricalStockProgress[[#This Row],[No. of Shares]]&lt;&gt;0,HistoricalStockProgress[[#This Row],[Price of Shares]]-HistoricalStockProgress[[#This Row],[Cost of Shares]]/HistoricalStockProgress[[#This Row],[No. of Shares]],0)</f>
        <v>-4.5187553830371172</v>
      </c>
      <c r="K248" s="17">
        <f>IF(HistoricalStockProgress[[#This Row],[Total Price of Shares]]&lt;&gt;0,HistoricalStockProgress[[#This Row],[Total Price of Shares]]-HistoricalStockProgress[[#This Row],[Cost of Shares]],0)</f>
        <v>-483.50682598497224</v>
      </c>
      <c r="L248" s="34" t="b" cm="1">
        <f t="array" ref="L248">IFERROR(IF(HistoricalStockProgress[[#This Row],[Price of Shares]]="",_xlfn.STOCKHISTORY(HistoricalStockProgress[[#This Row],[Full Company Name]],HistoricalStockProgress[[#This Row],[Date]],,2,0,1)),0)</f>
        <v>0</v>
      </c>
      <c r="M248" s="34">
        <f>YEAR(HistoricalStockProgress[[#This Row],[Date]])</f>
        <v>2017</v>
      </c>
      <c r="N248" s="34">
        <f>MONTH(HistoricalStockProgress[[#This Row],[Date]])</f>
        <v>5</v>
      </c>
    </row>
    <row r="249" spans="2:14">
      <c r="B249" s="15">
        <v>42886</v>
      </c>
      <c r="C249" s="34" t="s">
        <v>95</v>
      </c>
      <c r="D249" s="34" t="e" vm="13">
        <f>_xlfn.XLOOKUP(HistoricalStockProgress[[#This Row],[Company Ticker]],CompanyDetailsList[Company Ticker],CompanyDetailsList[Official Name],,0)</f>
        <v>#VALUE!</v>
      </c>
      <c r="E2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2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249" s="17">
        <f>IFERROR(HistoricalStockProgress[[#This Row],[Cost of Shares]]/HistoricalStockProgress[[#This Row],[No. of Shares]],0)</f>
        <v>143.29758396474452</v>
      </c>
      <c r="H249" s="16" vm="800">
        <v>153.51</v>
      </c>
      <c r="I249" s="16">
        <f>IF(HistoricalStockProgress[[#This Row],[No. of Shares]]&lt;&gt;0,HistoricalStockProgress[[#This Row],[Price of Shares]]*HistoricalStockProgress[[#This Row],[No. of Shares]],0)</f>
        <v>6600.9299999999994</v>
      </c>
      <c r="J249" s="16">
        <f>IF(HistoricalStockProgress[[#This Row],[No. of Shares]]&lt;&gt;0,HistoricalStockProgress[[#This Row],[Price of Shares]]-HistoricalStockProgress[[#This Row],[Cost of Shares]]/HistoricalStockProgress[[#This Row],[No. of Shares]],0)</f>
        <v>10.212416035255472</v>
      </c>
      <c r="K249" s="17">
        <f>IF(HistoricalStockProgress[[#This Row],[Total Price of Shares]]&lt;&gt;0,HistoricalStockProgress[[#This Row],[Total Price of Shares]]-HistoricalStockProgress[[#This Row],[Cost of Shares]],0)</f>
        <v>439.13388951598517</v>
      </c>
      <c r="L249" s="34" t="b" cm="1">
        <f t="array" ref="L249">IFERROR(IF(HistoricalStockProgress[[#This Row],[Price of Shares]]="",_xlfn.STOCKHISTORY(HistoricalStockProgress[[#This Row],[Full Company Name]],HistoricalStockProgress[[#This Row],[Date]],,2,0,1)),0)</f>
        <v>0</v>
      </c>
      <c r="M249" s="34">
        <f>YEAR(HistoricalStockProgress[[#This Row],[Date]])</f>
        <v>2017</v>
      </c>
      <c r="N249" s="34">
        <f>MONTH(HistoricalStockProgress[[#This Row],[Date]])</f>
        <v>5</v>
      </c>
    </row>
    <row r="250" spans="2:14">
      <c r="B250" s="15">
        <v>42886</v>
      </c>
      <c r="C250" s="34" t="s">
        <v>17</v>
      </c>
      <c r="D250" s="34" t="e" vm="14">
        <f>_xlfn.XLOOKUP(HistoricalStockProgress[[#This Row],[Company Ticker]],CompanyDetailsList[Company Ticker],CompanyDetailsList[Official Name],,0)</f>
        <v>#VALUE!</v>
      </c>
      <c r="E2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v>
      </c>
      <c r="F2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2797.1749688808613</v>
      </c>
      <c r="G250" s="17">
        <f>IFERROR(HistoricalStockProgress[[#This Row],[Cost of Shares]]/HistoricalStockProgress[[#This Row],[No. of Shares]],0)</f>
        <v>155.39860938227008</v>
      </c>
      <c r="H250" s="16" vm="801">
        <v>152.63</v>
      </c>
      <c r="I250" s="16">
        <f>IF(HistoricalStockProgress[[#This Row],[No. of Shares]]&lt;&gt;0,HistoricalStockProgress[[#This Row],[Price of Shares]]*HistoricalStockProgress[[#This Row],[No. of Shares]],0)</f>
        <v>2747.34</v>
      </c>
      <c r="J250" s="16">
        <f>IF(HistoricalStockProgress[[#This Row],[No. of Shares]]&lt;&gt;0,HistoricalStockProgress[[#This Row],[Price of Shares]]-HistoricalStockProgress[[#This Row],[Cost of Shares]]/HistoricalStockProgress[[#This Row],[No. of Shares]],0)</f>
        <v>-2.7686093822700855</v>
      </c>
      <c r="K250" s="17">
        <f>IF(HistoricalStockProgress[[#This Row],[Total Price of Shares]]&lt;&gt;0,HistoricalStockProgress[[#This Row],[Total Price of Shares]]-HistoricalStockProgress[[#This Row],[Cost of Shares]],0)</f>
        <v>-49.834968880861197</v>
      </c>
      <c r="L250" s="34" t="b" cm="1">
        <f t="array" ref="L250">IFERROR(IF(HistoricalStockProgress[[#This Row],[Price of Shares]]="",_xlfn.STOCKHISTORY(HistoricalStockProgress[[#This Row],[Full Company Name]],HistoricalStockProgress[[#This Row],[Date]],,2,0,1)),0)</f>
        <v>0</v>
      </c>
      <c r="M250" s="34">
        <f>YEAR(HistoricalStockProgress[[#This Row],[Date]])</f>
        <v>2017</v>
      </c>
      <c r="N250" s="34">
        <f>MONTH(HistoricalStockProgress[[#This Row],[Date]])</f>
        <v>5</v>
      </c>
    </row>
    <row r="251" spans="2:14">
      <c r="B251" s="15">
        <v>42886</v>
      </c>
      <c r="C251" s="34" t="s">
        <v>98</v>
      </c>
      <c r="D251" s="34" t="e" vm="15">
        <f>_xlfn.XLOOKUP(HistoricalStockProgress[[#This Row],[Company Ticker]],CompanyDetailsList[Company Ticker],CompanyDetailsList[Official Name],,0)</f>
        <v>#VALUE!</v>
      </c>
      <c r="E2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v>
      </c>
      <c r="F2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300.19997526510906</v>
      </c>
      <c r="G251" s="17">
        <f>IFERROR(HistoricalStockProgress[[#This Row],[Cost of Shares]]/HistoricalStockProgress[[#This Row],[No. of Shares]],0)</f>
        <v>33.355552807234339</v>
      </c>
      <c r="H251" s="16" vm="802">
        <v>35.36</v>
      </c>
      <c r="I251" s="16">
        <f>IF(HistoricalStockProgress[[#This Row],[No. of Shares]]&lt;&gt;0,HistoricalStockProgress[[#This Row],[Price of Shares]]*HistoricalStockProgress[[#This Row],[No. of Shares]],0)</f>
        <v>318.24</v>
      </c>
      <c r="J251" s="16">
        <f>IF(HistoricalStockProgress[[#This Row],[No. of Shares]]&lt;&gt;0,HistoricalStockProgress[[#This Row],[Price of Shares]]-HistoricalStockProgress[[#This Row],[Cost of Shares]]/HistoricalStockProgress[[#This Row],[No. of Shares]],0)</f>
        <v>2.0044471927656602</v>
      </c>
      <c r="K251" s="17">
        <f>IF(HistoricalStockProgress[[#This Row],[Total Price of Shares]]&lt;&gt;0,HistoricalStockProgress[[#This Row],[Total Price of Shares]]-HistoricalStockProgress[[#This Row],[Cost of Shares]],0)</f>
        <v>18.040024734890949</v>
      </c>
      <c r="L251" s="34" t="b" cm="1">
        <f t="array" ref="L251">IFERROR(IF(HistoricalStockProgress[[#This Row],[Price of Shares]]="",_xlfn.STOCKHISTORY(HistoricalStockProgress[[#This Row],[Full Company Name]],HistoricalStockProgress[[#This Row],[Date]],,2,0,1)),0)</f>
        <v>0</v>
      </c>
      <c r="M251" s="34">
        <f>YEAR(HistoricalStockProgress[[#This Row],[Date]])</f>
        <v>2017</v>
      </c>
      <c r="N251" s="34">
        <f>MONTH(HistoricalStockProgress[[#This Row],[Date]])</f>
        <v>5</v>
      </c>
    </row>
    <row r="252" spans="2:14">
      <c r="B252" s="15">
        <v>42886</v>
      </c>
      <c r="C252" s="34" t="s">
        <v>100</v>
      </c>
      <c r="D252" s="34" t="e" vm="16">
        <f>_xlfn.XLOOKUP(HistoricalStockProgress[[#This Row],[Company Ticker]],CompanyDetailsList[Company Ticker],CompanyDetailsList[Official Name],,0)</f>
        <v>#VALUE!</v>
      </c>
      <c r="E2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2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252" s="17">
        <f>IFERROR(HistoricalStockProgress[[#This Row],[Cost of Shares]]/HistoricalStockProgress[[#This Row],[No. of Shares]],0)</f>
        <v>84.509035134678101</v>
      </c>
      <c r="H252" s="16" vm="803">
        <v>85.68</v>
      </c>
      <c r="I252" s="16">
        <f>IF(HistoricalStockProgress[[#This Row],[No. of Shares]]&lt;&gt;0,HistoricalStockProgress[[#This Row],[Price of Shares]]*HistoricalStockProgress[[#This Row],[No. of Shares]],0)</f>
        <v>2827.44</v>
      </c>
      <c r="J252" s="16">
        <f>IF(HistoricalStockProgress[[#This Row],[No. of Shares]]&lt;&gt;0,HistoricalStockProgress[[#This Row],[Price of Shares]]-HistoricalStockProgress[[#This Row],[Cost of Shares]]/HistoricalStockProgress[[#This Row],[No. of Shares]],0)</f>
        <v>1.1709648653219062</v>
      </c>
      <c r="K252" s="17">
        <f>IF(HistoricalStockProgress[[#This Row],[Total Price of Shares]]&lt;&gt;0,HistoricalStockProgress[[#This Row],[Total Price of Shares]]-HistoricalStockProgress[[#This Row],[Cost of Shares]],0)</f>
        <v>38.641840555622821</v>
      </c>
      <c r="L252" s="34" t="b" cm="1">
        <f t="array" ref="L252">IFERROR(IF(HistoricalStockProgress[[#This Row],[Price of Shares]]="",_xlfn.STOCKHISTORY(HistoricalStockProgress[[#This Row],[Full Company Name]],HistoricalStockProgress[[#This Row],[Date]],,2,0,1)),0)</f>
        <v>0</v>
      </c>
      <c r="M252" s="34">
        <f>YEAR(HistoricalStockProgress[[#This Row],[Date]])</f>
        <v>2017</v>
      </c>
      <c r="N252" s="34">
        <f>MONTH(HistoricalStockProgress[[#This Row],[Date]])</f>
        <v>5</v>
      </c>
    </row>
    <row r="253" spans="2:14">
      <c r="B253" s="15">
        <v>42886</v>
      </c>
      <c r="C253" s="34" t="s">
        <v>15</v>
      </c>
      <c r="D253" s="34" t="e" vm="17">
        <f>_xlfn.XLOOKUP(HistoricalStockProgress[[#This Row],[Company Ticker]],CompanyDetailsList[Company Ticker],CompanyDetailsList[Official Name],,0)</f>
        <v>#VALUE!</v>
      </c>
      <c r="E2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2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253" s="17">
        <f>IFERROR(HistoricalStockProgress[[#This Row],[Cost of Shares]]/HistoricalStockProgress[[#This Row],[No. of Shares]],0)</f>
        <v>26.481400454992627</v>
      </c>
      <c r="H253" s="16" vm="804">
        <v>29.097100000000001</v>
      </c>
      <c r="I253" s="16">
        <f>IF(HistoricalStockProgress[[#This Row],[No. of Shares]]&lt;&gt;0,HistoricalStockProgress[[#This Row],[Price of Shares]]*HistoricalStockProgress[[#This Row],[No. of Shares]],0)</f>
        <v>2793.3216000000002</v>
      </c>
      <c r="J253" s="16">
        <f>IF(HistoricalStockProgress[[#This Row],[No. of Shares]]&lt;&gt;0,HistoricalStockProgress[[#This Row],[Price of Shares]]-HistoricalStockProgress[[#This Row],[Cost of Shares]]/HistoricalStockProgress[[#This Row],[No. of Shares]],0)</f>
        <v>2.6156995450073737</v>
      </c>
      <c r="K253" s="17">
        <f>IF(HistoricalStockProgress[[#This Row],[Total Price of Shares]]&lt;&gt;0,HistoricalStockProgress[[#This Row],[Total Price of Shares]]-HistoricalStockProgress[[#This Row],[Cost of Shares]],0)</f>
        <v>251.10715632070787</v>
      </c>
      <c r="L253" s="34" t="b" cm="1">
        <f t="array" ref="L253">IFERROR(IF(HistoricalStockProgress[[#This Row],[Price of Shares]]="",_xlfn.STOCKHISTORY(HistoricalStockProgress[[#This Row],[Full Company Name]],HistoricalStockProgress[[#This Row],[Date]],,2,0,1)),0)</f>
        <v>0</v>
      </c>
      <c r="M253" s="34">
        <f>YEAR(HistoricalStockProgress[[#This Row],[Date]])</f>
        <v>2017</v>
      </c>
      <c r="N253" s="34">
        <f>MONTH(HistoricalStockProgress[[#This Row],[Date]])</f>
        <v>5</v>
      </c>
    </row>
    <row r="254" spans="2:14">
      <c r="B254" s="15">
        <v>42886</v>
      </c>
      <c r="C254" s="34" t="s">
        <v>13</v>
      </c>
      <c r="D254" s="34" t="e" vm="18">
        <f>_xlfn.XLOOKUP(HistoricalStockProgress[[#This Row],[Company Ticker]],CompanyDetailsList[Company Ticker],CompanyDetailsList[Official Name],,0)</f>
        <v>#VALUE!</v>
      </c>
      <c r="E2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2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254" s="17">
        <f>IFERROR(HistoricalStockProgress[[#This Row],[Cost of Shares]]/HistoricalStockProgress[[#This Row],[No. of Shares]],0)</f>
        <v>31.383479678650293</v>
      </c>
      <c r="H254" s="16" vm="805">
        <v>30.950600000000001</v>
      </c>
      <c r="I254" s="16">
        <f>IF(HistoricalStockProgress[[#This Row],[No. of Shares]]&lt;&gt;0,HistoricalStockProgress[[#This Row],[Price of Shares]]*HistoricalStockProgress[[#This Row],[No. of Shares]],0)</f>
        <v>773.76499999999999</v>
      </c>
      <c r="J254" s="16">
        <f>IF(HistoricalStockProgress[[#This Row],[No. of Shares]]&lt;&gt;0,HistoricalStockProgress[[#This Row],[Price of Shares]]-HistoricalStockProgress[[#This Row],[Cost of Shares]]/HistoricalStockProgress[[#This Row],[No. of Shares]],0)</f>
        <v>-0.43287967865029131</v>
      </c>
      <c r="K254" s="17">
        <f>IF(HistoricalStockProgress[[#This Row],[Total Price of Shares]]&lt;&gt;0,HistoricalStockProgress[[#This Row],[Total Price of Shares]]-HistoricalStockProgress[[#This Row],[Cost of Shares]],0)</f>
        <v>-10.821991966257315</v>
      </c>
      <c r="L254" s="34" t="b" cm="1">
        <f t="array" ref="L254">IFERROR(IF(HistoricalStockProgress[[#This Row],[Price of Shares]]="",_xlfn.STOCKHISTORY(HistoricalStockProgress[[#This Row],[Full Company Name]],HistoricalStockProgress[[#This Row],[Date]],,2,0,1)),0)</f>
        <v>0</v>
      </c>
      <c r="M254" s="34">
        <f>YEAR(HistoricalStockProgress[[#This Row],[Date]])</f>
        <v>2017</v>
      </c>
      <c r="N254" s="34">
        <f>MONTH(HistoricalStockProgress[[#This Row],[Date]])</f>
        <v>5</v>
      </c>
    </row>
    <row r="255" spans="2:14">
      <c r="B255" s="15">
        <v>42886</v>
      </c>
      <c r="C255" s="34" t="s">
        <v>20</v>
      </c>
      <c r="D255" s="34" t="e" vm="19">
        <f>_xlfn.XLOOKUP(HistoricalStockProgress[[#This Row],[Company Ticker]],CompanyDetailsList[Company Ticker],CompanyDetailsList[Official Name],,0)</f>
        <v>#VALUE!</v>
      </c>
      <c r="E2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2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1854.4807473772971</v>
      </c>
      <c r="G255" s="17">
        <f>IFERROR(HistoricalStockProgress[[#This Row],[Cost of Shares]]/HistoricalStockProgress[[#This Row],[No. of Shares]],0)</f>
        <v>74.179229895091879</v>
      </c>
      <c r="H255" s="16" vm="806">
        <v>82.15</v>
      </c>
      <c r="I255" s="16">
        <f>IF(HistoricalStockProgress[[#This Row],[No. of Shares]]&lt;&gt;0,HistoricalStockProgress[[#This Row],[Price of Shares]]*HistoricalStockProgress[[#This Row],[No. of Shares]],0)</f>
        <v>2053.75</v>
      </c>
      <c r="J255" s="16">
        <f>IF(HistoricalStockProgress[[#This Row],[No. of Shares]]&lt;&gt;0,HistoricalStockProgress[[#This Row],[Price of Shares]]-HistoricalStockProgress[[#This Row],[Cost of Shares]]/HistoricalStockProgress[[#This Row],[No. of Shares]],0)</f>
        <v>7.9707701049081265</v>
      </c>
      <c r="K255" s="17">
        <f>IF(HistoricalStockProgress[[#This Row],[Total Price of Shares]]&lt;&gt;0,HistoricalStockProgress[[#This Row],[Total Price of Shares]]-HistoricalStockProgress[[#This Row],[Cost of Shares]],0)</f>
        <v>199.26925262270288</v>
      </c>
      <c r="L255" s="34" t="b" cm="1">
        <f t="array" ref="L255">IFERROR(IF(HistoricalStockProgress[[#This Row],[Price of Shares]]="",_xlfn.STOCKHISTORY(HistoricalStockProgress[[#This Row],[Full Company Name]],HistoricalStockProgress[[#This Row],[Date]],,2,0,1)),0)</f>
        <v>0</v>
      </c>
      <c r="M255" s="34">
        <f>YEAR(HistoricalStockProgress[[#This Row],[Date]])</f>
        <v>2017</v>
      </c>
      <c r="N255" s="34">
        <f>MONTH(HistoricalStockProgress[[#This Row],[Date]])</f>
        <v>5</v>
      </c>
    </row>
    <row r="256" spans="2:14">
      <c r="B256" s="15">
        <v>42886</v>
      </c>
      <c r="C256" s="34" t="s">
        <v>106</v>
      </c>
      <c r="D256" s="34" t="e" vm="20">
        <f>_xlfn.XLOOKUP(HistoricalStockProgress[[#This Row],[Company Ticker]],CompanyDetailsList[Company Ticker],CompanyDetailsList[Official Name],,0)</f>
        <v>#VALUE!</v>
      </c>
      <c r="E2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2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256" s="17">
        <f>IFERROR(HistoricalStockProgress[[#This Row],[Cost of Shares]]/HistoricalStockProgress[[#This Row],[No. of Shares]],0)</f>
        <v>104.71316390485761</v>
      </c>
      <c r="H256" s="16" vm="807">
        <v>106.36</v>
      </c>
      <c r="I256" s="16">
        <f>IF(HistoricalStockProgress[[#This Row],[No. of Shares]]&lt;&gt;0,HistoricalStockProgress[[#This Row],[Price of Shares]]*HistoricalStockProgress[[#This Row],[No. of Shares]],0)</f>
        <v>3722.6</v>
      </c>
      <c r="J256" s="16">
        <f>IF(HistoricalStockProgress[[#This Row],[No. of Shares]]&lt;&gt;0,HistoricalStockProgress[[#This Row],[Price of Shares]]-HistoricalStockProgress[[#This Row],[Cost of Shares]]/HistoricalStockProgress[[#This Row],[No. of Shares]],0)</f>
        <v>1.6468360951423904</v>
      </c>
      <c r="K256" s="17">
        <f>IF(HistoricalStockProgress[[#This Row],[Total Price of Shares]]&lt;&gt;0,HistoricalStockProgress[[#This Row],[Total Price of Shares]]-HistoricalStockProgress[[#This Row],[Cost of Shares]],0)</f>
        <v>57.639263329983351</v>
      </c>
      <c r="L256" s="34" t="b" cm="1">
        <f t="array" ref="L256">IFERROR(IF(HistoricalStockProgress[[#This Row],[Price of Shares]]="",_xlfn.STOCKHISTORY(HistoricalStockProgress[[#This Row],[Full Company Name]],HistoricalStockProgress[[#This Row],[Date]],,2,0,1)),0)</f>
        <v>0</v>
      </c>
      <c r="M256" s="34">
        <f>YEAR(HistoricalStockProgress[[#This Row],[Date]])</f>
        <v>2017</v>
      </c>
      <c r="N256" s="34">
        <f>MONTH(HistoricalStockProgress[[#This Row],[Date]])</f>
        <v>5</v>
      </c>
    </row>
    <row r="257" spans="2:14">
      <c r="B257" s="15">
        <v>42916</v>
      </c>
      <c r="C257" s="34" t="s">
        <v>84</v>
      </c>
      <c r="D257" s="34" t="e" vm="7">
        <f>_xlfn.XLOOKUP(HistoricalStockProgress[[#This Row],[Company Ticker]],CompanyDetailsList[Company Ticker],CompanyDetailsList[Official Name],,0)</f>
        <v>#VALUE!</v>
      </c>
      <c r="E2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2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257" s="17">
        <f>IFERROR(HistoricalStockProgress[[#This Row],[Cost of Shares]]/HistoricalStockProgress[[#This Row],[No. of Shares]],0)</f>
        <v>104.18087504950869</v>
      </c>
      <c r="H257" s="16" vm="808">
        <v>132.29</v>
      </c>
      <c r="I257" s="16">
        <f>IF(HistoricalStockProgress[[#This Row],[No. of Shares]]&lt;&gt;0,HistoricalStockProgress[[#This Row],[Price of Shares]]*HistoricalStockProgress[[#This Row],[No. of Shares]],0)</f>
        <v>6746.79</v>
      </c>
      <c r="J257" s="16">
        <f>IF(HistoricalStockProgress[[#This Row],[No. of Shares]]&lt;&gt;0,HistoricalStockProgress[[#This Row],[Price of Shares]]-HistoricalStockProgress[[#This Row],[Cost of Shares]]/HistoricalStockProgress[[#This Row],[No. of Shares]],0)</f>
        <v>28.109124950491307</v>
      </c>
      <c r="K257" s="17">
        <f>IF(HistoricalStockProgress[[#This Row],[Total Price of Shares]]&lt;&gt;0,HistoricalStockProgress[[#This Row],[Total Price of Shares]]-HistoricalStockProgress[[#This Row],[Cost of Shares]],0)</f>
        <v>1433.5653724750573</v>
      </c>
      <c r="L257" s="34" t="b" cm="1">
        <f t="array" ref="L257">IFERROR(IF(HistoricalStockProgress[[#This Row],[Price of Shares]]="",_xlfn.STOCKHISTORY(HistoricalStockProgress[[#This Row],[Full Company Name]],HistoricalStockProgress[[#This Row],[Date]],,2,0,1)),0)</f>
        <v>0</v>
      </c>
      <c r="M257" s="34">
        <f>YEAR(HistoricalStockProgress[[#This Row],[Date]])</f>
        <v>2017</v>
      </c>
      <c r="N257" s="34">
        <f>MONTH(HistoricalStockProgress[[#This Row],[Date]])</f>
        <v>6</v>
      </c>
    </row>
    <row r="258" spans="2:14">
      <c r="B258" s="15">
        <v>42916</v>
      </c>
      <c r="C258" s="34" t="s">
        <v>86</v>
      </c>
      <c r="D258" s="34" t="e" vm="8">
        <f>_xlfn.XLOOKUP(HistoricalStockProgress[[#This Row],[Company Ticker]],CompanyDetailsList[Company Ticker],CompanyDetailsList[Official Name],,0)</f>
        <v>#VALUE!</v>
      </c>
      <c r="E2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31</v>
      </c>
      <c r="F2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1940.995245840923</v>
      </c>
      <c r="G258" s="17">
        <f>IFERROR(HistoricalStockProgress[[#This Row],[Cost of Shares]]/HistoricalStockProgress[[#This Row],[No. of Shares]],0)</f>
        <v>62.612749865836221</v>
      </c>
      <c r="H258" s="16" vm="661">
        <v>72.510000000000005</v>
      </c>
      <c r="I258" s="16">
        <f>IF(HistoricalStockProgress[[#This Row],[No. of Shares]]&lt;&gt;0,HistoricalStockProgress[[#This Row],[Price of Shares]]*HistoricalStockProgress[[#This Row],[No. of Shares]],0)</f>
        <v>2247.81</v>
      </c>
      <c r="J258" s="16">
        <f>IF(HistoricalStockProgress[[#This Row],[No. of Shares]]&lt;&gt;0,HistoricalStockProgress[[#This Row],[Price of Shares]]-HistoricalStockProgress[[#This Row],[Cost of Shares]]/HistoricalStockProgress[[#This Row],[No. of Shares]],0)</f>
        <v>9.8972501341637837</v>
      </c>
      <c r="K258" s="17">
        <f>IF(HistoricalStockProgress[[#This Row],[Total Price of Shares]]&lt;&gt;0,HistoricalStockProgress[[#This Row],[Total Price of Shares]]-HistoricalStockProgress[[#This Row],[Cost of Shares]],0)</f>
        <v>306.81475415907698</v>
      </c>
      <c r="L258" s="34" t="b" cm="1">
        <f t="array" ref="L258">IFERROR(IF(HistoricalStockProgress[[#This Row],[Price of Shares]]="",_xlfn.STOCKHISTORY(HistoricalStockProgress[[#This Row],[Full Company Name]],HistoricalStockProgress[[#This Row],[Date]],,2,0,1)),0)</f>
        <v>0</v>
      </c>
      <c r="M258" s="34">
        <f>YEAR(HistoricalStockProgress[[#This Row],[Date]])</f>
        <v>2017</v>
      </c>
      <c r="N258" s="34">
        <f>MONTH(HistoricalStockProgress[[#This Row],[Date]])</f>
        <v>6</v>
      </c>
    </row>
    <row r="259" spans="2:14">
      <c r="B259" s="15">
        <v>42916</v>
      </c>
      <c r="C259" s="34" t="s">
        <v>22</v>
      </c>
      <c r="D259" s="34" t="e" vm="10">
        <f>_xlfn.XLOOKUP(HistoricalStockProgress[[#This Row],[Company Ticker]],CompanyDetailsList[Company Ticker],CompanyDetailsList[Official Name],,0)</f>
        <v>#VALUE!</v>
      </c>
      <c r="E2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2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259" s="17">
        <f>IFERROR(HistoricalStockProgress[[#This Row],[Cost of Shares]]/HistoricalStockProgress[[#This Row],[No. of Shares]],0)</f>
        <v>83.61275075159574</v>
      </c>
      <c r="H259" s="16" vm="809">
        <v>107.46</v>
      </c>
      <c r="I259" s="16">
        <f>IF(HistoricalStockProgress[[#This Row],[No. of Shares]]&lt;&gt;0,HistoricalStockProgress[[#This Row],[Price of Shares]]*HistoricalStockProgress[[#This Row],[No. of Shares]],0)</f>
        <v>6555.0599999999995</v>
      </c>
      <c r="J259" s="16">
        <f>IF(HistoricalStockProgress[[#This Row],[No. of Shares]]&lt;&gt;0,HistoricalStockProgress[[#This Row],[Price of Shares]]-HistoricalStockProgress[[#This Row],[Cost of Shares]]/HistoricalStockProgress[[#This Row],[No. of Shares]],0)</f>
        <v>23.847249248404253</v>
      </c>
      <c r="K259" s="17">
        <f>IF(HistoricalStockProgress[[#This Row],[Total Price of Shares]]&lt;&gt;0,HistoricalStockProgress[[#This Row],[Total Price of Shares]]-HistoricalStockProgress[[#This Row],[Cost of Shares]],0)</f>
        <v>1454.6822041526593</v>
      </c>
      <c r="L259" s="34" t="b" cm="1">
        <f t="array" ref="L259">IFERROR(IF(HistoricalStockProgress[[#This Row],[Price of Shares]]="",_xlfn.STOCKHISTORY(HistoricalStockProgress[[#This Row],[Full Company Name]],HistoricalStockProgress[[#This Row],[Date]],,2,0,1)),0)</f>
        <v>0</v>
      </c>
      <c r="M259" s="34">
        <f>YEAR(HistoricalStockProgress[[#This Row],[Date]])</f>
        <v>2017</v>
      </c>
      <c r="N259" s="34">
        <f>MONTH(HistoricalStockProgress[[#This Row],[Date]])</f>
        <v>6</v>
      </c>
    </row>
    <row r="260" spans="2:14">
      <c r="B260" s="15">
        <v>42916</v>
      </c>
      <c r="C260" s="34" t="s">
        <v>91</v>
      </c>
      <c r="D260" s="34" t="e" vm="11">
        <f>_xlfn.XLOOKUP(HistoricalStockProgress[[#This Row],[Company Ticker]],CompanyDetailsList[Company Ticker],CompanyDetailsList[Official Name],,0)</f>
        <v>#VALUE!</v>
      </c>
      <c r="E2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2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4641.1780084974125</v>
      </c>
      <c r="G260" s="17">
        <f>IFERROR(HistoricalStockProgress[[#This Row],[Cost of Shares]]/HistoricalStockProgress[[#This Row],[No. of Shares]],0)</f>
        <v>58.749088715157121</v>
      </c>
      <c r="H260" s="16" vm="810">
        <v>68.930000000000007</v>
      </c>
      <c r="I260" s="16">
        <f>IF(HistoricalStockProgress[[#This Row],[No. of Shares]]&lt;&gt;0,HistoricalStockProgress[[#This Row],[Price of Shares]]*HistoricalStockProgress[[#This Row],[No. of Shares]],0)</f>
        <v>5445.47</v>
      </c>
      <c r="J260" s="16">
        <f>IF(HistoricalStockProgress[[#This Row],[No. of Shares]]&lt;&gt;0,HistoricalStockProgress[[#This Row],[Price of Shares]]-HistoricalStockProgress[[#This Row],[Cost of Shares]]/HistoricalStockProgress[[#This Row],[No. of Shares]],0)</f>
        <v>10.180911284842885</v>
      </c>
      <c r="K260" s="17">
        <f>IF(HistoricalStockProgress[[#This Row],[Total Price of Shares]]&lt;&gt;0,HistoricalStockProgress[[#This Row],[Total Price of Shares]]-HistoricalStockProgress[[#This Row],[Cost of Shares]],0)</f>
        <v>804.29199150258773</v>
      </c>
      <c r="L260" s="34" t="b" cm="1">
        <f t="array" ref="L260">IFERROR(IF(HistoricalStockProgress[[#This Row],[Price of Shares]]="",_xlfn.STOCKHISTORY(HistoricalStockProgress[[#This Row],[Full Company Name]],HistoricalStockProgress[[#This Row],[Date]],,2,0,1)),0)</f>
        <v>0</v>
      </c>
      <c r="M260" s="34">
        <f>YEAR(HistoricalStockProgress[[#This Row],[Date]])</f>
        <v>2017</v>
      </c>
      <c r="N260" s="34">
        <f>MONTH(HistoricalStockProgress[[#This Row],[Date]])</f>
        <v>6</v>
      </c>
    </row>
    <row r="261" spans="2:14">
      <c r="B261" s="15">
        <v>42916</v>
      </c>
      <c r="C261" s="34" t="s">
        <v>16</v>
      </c>
      <c r="D261" s="34" t="e" vm="12">
        <f>_xlfn.XLOOKUP(HistoricalStockProgress[[#This Row],[Company Ticker]],CompanyDetailsList[Company Ticker],CompanyDetailsList[Official Name],,0)</f>
        <v>#VALUE!</v>
      </c>
      <c r="E2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107</v>
      </c>
      <c r="F2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9097.0068259849722</v>
      </c>
      <c r="G261" s="17">
        <f>IFERROR(HistoricalStockProgress[[#This Row],[Cost of Shares]]/HistoricalStockProgress[[#This Row],[No. of Shares]],0)</f>
        <v>85.018755383037117</v>
      </c>
      <c r="H261" s="16" vm="811">
        <v>80.73</v>
      </c>
      <c r="I261" s="16">
        <f>IF(HistoricalStockProgress[[#This Row],[No. of Shares]]&lt;&gt;0,HistoricalStockProgress[[#This Row],[Price of Shares]]*HistoricalStockProgress[[#This Row],[No. of Shares]],0)</f>
        <v>8638.11</v>
      </c>
      <c r="J261" s="16">
        <f>IF(HistoricalStockProgress[[#This Row],[No. of Shares]]&lt;&gt;0,HistoricalStockProgress[[#This Row],[Price of Shares]]-HistoricalStockProgress[[#This Row],[Cost of Shares]]/HistoricalStockProgress[[#This Row],[No. of Shares]],0)</f>
        <v>-4.2887553830371132</v>
      </c>
      <c r="K261" s="17">
        <f>IF(HistoricalStockProgress[[#This Row],[Total Price of Shares]]&lt;&gt;0,HistoricalStockProgress[[#This Row],[Total Price of Shares]]-HistoricalStockProgress[[#This Row],[Cost of Shares]],0)</f>
        <v>-458.89682598497166</v>
      </c>
      <c r="L261" s="34" t="b" cm="1">
        <f t="array" ref="L261">IFERROR(IF(HistoricalStockProgress[[#This Row],[Price of Shares]]="",_xlfn.STOCKHISTORY(HistoricalStockProgress[[#This Row],[Full Company Name]],HistoricalStockProgress[[#This Row],[Date]],,2,0,1)),0)</f>
        <v>0</v>
      </c>
      <c r="M261" s="34">
        <f>YEAR(HistoricalStockProgress[[#This Row],[Date]])</f>
        <v>2017</v>
      </c>
      <c r="N261" s="34">
        <f>MONTH(HistoricalStockProgress[[#This Row],[Date]])</f>
        <v>6</v>
      </c>
    </row>
    <row r="262" spans="2:14">
      <c r="B262" s="15">
        <v>42916</v>
      </c>
      <c r="C262" s="34" t="s">
        <v>95</v>
      </c>
      <c r="D262" s="34" t="e" vm="13">
        <f>_xlfn.XLOOKUP(HistoricalStockProgress[[#This Row],[Company Ticker]],CompanyDetailsList[Company Ticker],CompanyDetailsList[Official Name],,0)</f>
        <v>#VALUE!</v>
      </c>
      <c r="E2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2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262" s="17">
        <f>IFERROR(HistoricalStockProgress[[#This Row],[Cost of Shares]]/HistoricalStockProgress[[#This Row],[No. of Shares]],0)</f>
        <v>143.29758396474452</v>
      </c>
      <c r="H262" s="16" vm="812">
        <v>153.4</v>
      </c>
      <c r="I262" s="16">
        <f>IF(HistoricalStockProgress[[#This Row],[No. of Shares]]&lt;&gt;0,HistoricalStockProgress[[#This Row],[Price of Shares]]*HistoricalStockProgress[[#This Row],[No. of Shares]],0)</f>
        <v>6596.2</v>
      </c>
      <c r="J262" s="16">
        <f>IF(HistoricalStockProgress[[#This Row],[No. of Shares]]&lt;&gt;0,HistoricalStockProgress[[#This Row],[Price of Shares]]-HistoricalStockProgress[[#This Row],[Cost of Shares]]/HistoricalStockProgress[[#This Row],[No. of Shares]],0)</f>
        <v>10.102416035255487</v>
      </c>
      <c r="K262" s="17">
        <f>IF(HistoricalStockProgress[[#This Row],[Total Price of Shares]]&lt;&gt;0,HistoricalStockProgress[[#This Row],[Total Price of Shares]]-HistoricalStockProgress[[#This Row],[Cost of Shares]],0)</f>
        <v>434.40388951598561</v>
      </c>
      <c r="L262" s="34" t="b" cm="1">
        <f t="array" ref="L262">IFERROR(IF(HistoricalStockProgress[[#This Row],[Price of Shares]]="",_xlfn.STOCKHISTORY(HistoricalStockProgress[[#This Row],[Full Company Name]],HistoricalStockProgress[[#This Row],[Date]],,2,0,1)),0)</f>
        <v>0</v>
      </c>
      <c r="M262" s="34">
        <f>YEAR(HistoricalStockProgress[[#This Row],[Date]])</f>
        <v>2017</v>
      </c>
      <c r="N262" s="34">
        <f>MONTH(HistoricalStockProgress[[#This Row],[Date]])</f>
        <v>6</v>
      </c>
    </row>
    <row r="263" spans="2:14">
      <c r="B263" s="15">
        <v>42916</v>
      </c>
      <c r="C263" s="34" t="s">
        <v>17</v>
      </c>
      <c r="D263" s="34" t="e" vm="14">
        <f>_xlfn.XLOOKUP(HistoricalStockProgress[[#This Row],[Company Ticker]],CompanyDetailsList[Company Ticker],CompanyDetailsList[Official Name],,0)</f>
        <v>#VALUE!</v>
      </c>
      <c r="E2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v>
      </c>
      <c r="F2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2797.1749688808613</v>
      </c>
      <c r="G263" s="17">
        <f>IFERROR(HistoricalStockProgress[[#This Row],[Cost of Shares]]/HistoricalStockProgress[[#This Row],[No. of Shares]],0)</f>
        <v>155.39860938227008</v>
      </c>
      <c r="H263" s="16" vm="813">
        <v>153.83000000000001</v>
      </c>
      <c r="I263" s="16">
        <f>IF(HistoricalStockProgress[[#This Row],[No. of Shares]]&lt;&gt;0,HistoricalStockProgress[[#This Row],[Price of Shares]]*HistoricalStockProgress[[#This Row],[No. of Shares]],0)</f>
        <v>2768.94</v>
      </c>
      <c r="J263" s="16">
        <f>IF(HistoricalStockProgress[[#This Row],[No. of Shares]]&lt;&gt;0,HistoricalStockProgress[[#This Row],[Price of Shares]]-HistoricalStockProgress[[#This Row],[Cost of Shares]]/HistoricalStockProgress[[#This Row],[No. of Shares]],0)</f>
        <v>-1.5686093822700684</v>
      </c>
      <c r="K263" s="17">
        <f>IF(HistoricalStockProgress[[#This Row],[Total Price of Shares]]&lt;&gt;0,HistoricalStockProgress[[#This Row],[Total Price of Shares]]-HistoricalStockProgress[[#This Row],[Cost of Shares]],0)</f>
        <v>-28.234968880861288</v>
      </c>
      <c r="L263" s="34" t="b" cm="1">
        <f t="array" ref="L263">IFERROR(IF(HistoricalStockProgress[[#This Row],[Price of Shares]]="",_xlfn.STOCKHISTORY(HistoricalStockProgress[[#This Row],[Full Company Name]],HistoricalStockProgress[[#This Row],[Date]],,2,0,1)),0)</f>
        <v>0</v>
      </c>
      <c r="M263" s="34">
        <f>YEAR(HistoricalStockProgress[[#This Row],[Date]])</f>
        <v>2017</v>
      </c>
      <c r="N263" s="34">
        <f>MONTH(HistoricalStockProgress[[#This Row],[Date]])</f>
        <v>6</v>
      </c>
    </row>
    <row r="264" spans="2:14">
      <c r="B264" s="15">
        <v>42916</v>
      </c>
      <c r="C264" s="34" t="s">
        <v>98</v>
      </c>
      <c r="D264" s="34" t="e" vm="15">
        <f>_xlfn.XLOOKUP(HistoricalStockProgress[[#This Row],[Company Ticker]],CompanyDetailsList[Company Ticker],CompanyDetailsList[Official Name],,0)</f>
        <v>#VALUE!</v>
      </c>
      <c r="E2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v>
      </c>
      <c r="F2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300.19997526510906</v>
      </c>
      <c r="G264" s="17">
        <f>IFERROR(HistoricalStockProgress[[#This Row],[Cost of Shares]]/HistoricalStockProgress[[#This Row],[No. of Shares]],0)</f>
        <v>33.355552807234339</v>
      </c>
      <c r="H264" s="16" vm="814">
        <v>35.032499999999999</v>
      </c>
      <c r="I264" s="16">
        <f>IF(HistoricalStockProgress[[#This Row],[No. of Shares]]&lt;&gt;0,HistoricalStockProgress[[#This Row],[Price of Shares]]*HistoricalStockProgress[[#This Row],[No. of Shares]],0)</f>
        <v>315.29250000000002</v>
      </c>
      <c r="J264" s="16">
        <f>IF(HistoricalStockProgress[[#This Row],[No. of Shares]]&lt;&gt;0,HistoricalStockProgress[[#This Row],[Price of Shares]]-HistoricalStockProgress[[#This Row],[Cost of Shares]]/HistoricalStockProgress[[#This Row],[No. of Shares]],0)</f>
        <v>1.6769471927656596</v>
      </c>
      <c r="K264" s="17">
        <f>IF(HistoricalStockProgress[[#This Row],[Total Price of Shares]]&lt;&gt;0,HistoricalStockProgress[[#This Row],[Total Price of Shares]]-HistoricalStockProgress[[#This Row],[Cost of Shares]],0)</f>
        <v>15.092524734890958</v>
      </c>
      <c r="L264" s="34" t="b" cm="1">
        <f t="array" ref="L264">IFERROR(IF(HistoricalStockProgress[[#This Row],[Price of Shares]]="",_xlfn.STOCKHISTORY(HistoricalStockProgress[[#This Row],[Full Company Name]],HistoricalStockProgress[[#This Row],[Date]],,2,0,1)),0)</f>
        <v>0</v>
      </c>
      <c r="M264" s="34">
        <f>YEAR(HistoricalStockProgress[[#This Row],[Date]])</f>
        <v>2017</v>
      </c>
      <c r="N264" s="34">
        <f>MONTH(HistoricalStockProgress[[#This Row],[Date]])</f>
        <v>6</v>
      </c>
    </row>
    <row r="265" spans="2:14">
      <c r="B265" s="15">
        <v>42916</v>
      </c>
      <c r="C265" s="34" t="s">
        <v>100</v>
      </c>
      <c r="D265" s="34" t="e" vm="16">
        <f>_xlfn.XLOOKUP(HistoricalStockProgress[[#This Row],[Company Ticker]],CompanyDetailsList[Company Ticker],CompanyDetailsList[Official Name],,0)</f>
        <v>#VALUE!</v>
      </c>
      <c r="E2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2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265" s="17">
        <f>IFERROR(HistoricalStockProgress[[#This Row],[Cost of Shares]]/HistoricalStockProgress[[#This Row],[No. of Shares]],0)</f>
        <v>84.509035134678101</v>
      </c>
      <c r="H265" s="16" vm="643">
        <v>83.59</v>
      </c>
      <c r="I265" s="16">
        <f>IF(HistoricalStockProgress[[#This Row],[No. of Shares]]&lt;&gt;0,HistoricalStockProgress[[#This Row],[Price of Shares]]*HistoricalStockProgress[[#This Row],[No. of Shares]],0)</f>
        <v>2758.4700000000003</v>
      </c>
      <c r="J265" s="16">
        <f>IF(HistoricalStockProgress[[#This Row],[No. of Shares]]&lt;&gt;0,HistoricalStockProgress[[#This Row],[Price of Shares]]-HistoricalStockProgress[[#This Row],[Cost of Shares]]/HistoricalStockProgress[[#This Row],[No. of Shares]],0)</f>
        <v>-0.91903513467809717</v>
      </c>
      <c r="K265" s="17">
        <f>IF(HistoricalStockProgress[[#This Row],[Total Price of Shares]]&lt;&gt;0,HistoricalStockProgress[[#This Row],[Total Price of Shares]]-HistoricalStockProgress[[#This Row],[Cost of Shares]],0)</f>
        <v>-30.328159444376979</v>
      </c>
      <c r="L265" s="34" t="b" cm="1">
        <f t="array" ref="L265">IFERROR(IF(HistoricalStockProgress[[#This Row],[Price of Shares]]="",_xlfn.STOCKHISTORY(HistoricalStockProgress[[#This Row],[Full Company Name]],HistoricalStockProgress[[#This Row],[Date]],,2,0,1)),0)</f>
        <v>0</v>
      </c>
      <c r="M265" s="34">
        <f>YEAR(HistoricalStockProgress[[#This Row],[Date]])</f>
        <v>2017</v>
      </c>
      <c r="N265" s="34">
        <f>MONTH(HistoricalStockProgress[[#This Row],[Date]])</f>
        <v>6</v>
      </c>
    </row>
    <row r="266" spans="2:14">
      <c r="B266" s="15">
        <v>42916</v>
      </c>
      <c r="C266" s="34" t="s">
        <v>15</v>
      </c>
      <c r="D266" s="34" t="e" vm="17">
        <f>_xlfn.XLOOKUP(HistoricalStockProgress[[#This Row],[Company Ticker]],CompanyDetailsList[Company Ticker],CompanyDetailsList[Official Name],,0)</f>
        <v>#VALUE!</v>
      </c>
      <c r="E2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2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266" s="17">
        <f>IFERROR(HistoricalStockProgress[[#This Row],[Cost of Shares]]/HistoricalStockProgress[[#This Row],[No. of Shares]],0)</f>
        <v>26.481400454992627</v>
      </c>
      <c r="H266" s="16" vm="815">
        <v>28.492899999999999</v>
      </c>
      <c r="I266" s="16">
        <f>IF(HistoricalStockProgress[[#This Row],[No. of Shares]]&lt;&gt;0,HistoricalStockProgress[[#This Row],[Price of Shares]]*HistoricalStockProgress[[#This Row],[No. of Shares]],0)</f>
        <v>2735.3184000000001</v>
      </c>
      <c r="J266" s="16">
        <f>IF(HistoricalStockProgress[[#This Row],[No. of Shares]]&lt;&gt;0,HistoricalStockProgress[[#This Row],[Price of Shares]]-HistoricalStockProgress[[#This Row],[Cost of Shares]]/HistoricalStockProgress[[#This Row],[No. of Shares]],0)</f>
        <v>2.0114995450073714</v>
      </c>
      <c r="K266" s="17">
        <f>IF(HistoricalStockProgress[[#This Row],[Total Price of Shares]]&lt;&gt;0,HistoricalStockProgress[[#This Row],[Total Price of Shares]]-HistoricalStockProgress[[#This Row],[Cost of Shares]],0)</f>
        <v>193.10395632070777</v>
      </c>
      <c r="L266" s="34" t="b" cm="1">
        <f t="array" ref="L266">IFERROR(IF(HistoricalStockProgress[[#This Row],[Price of Shares]]="",_xlfn.STOCKHISTORY(HistoricalStockProgress[[#This Row],[Full Company Name]],HistoricalStockProgress[[#This Row],[Date]],,2,0,1)),0)</f>
        <v>0</v>
      </c>
      <c r="M266" s="34">
        <f>YEAR(HistoricalStockProgress[[#This Row],[Date]])</f>
        <v>2017</v>
      </c>
      <c r="N266" s="34">
        <f>MONTH(HistoricalStockProgress[[#This Row],[Date]])</f>
        <v>6</v>
      </c>
    </row>
    <row r="267" spans="2:14">
      <c r="B267" s="15">
        <v>42916</v>
      </c>
      <c r="C267" s="34" t="s">
        <v>13</v>
      </c>
      <c r="D267" s="34" t="e" vm="18">
        <f>_xlfn.XLOOKUP(HistoricalStockProgress[[#This Row],[Company Ticker]],CompanyDetailsList[Company Ticker],CompanyDetailsList[Official Name],,0)</f>
        <v>#VALUE!</v>
      </c>
      <c r="E2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2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267" s="17">
        <f>IFERROR(HistoricalStockProgress[[#This Row],[Cost of Shares]]/HistoricalStockProgress[[#This Row],[No. of Shares]],0)</f>
        <v>31.383479678650293</v>
      </c>
      <c r="H267" s="16" vm="816">
        <v>31.8416</v>
      </c>
      <c r="I267" s="16">
        <f>IF(HistoricalStockProgress[[#This Row],[No. of Shares]]&lt;&gt;0,HistoricalStockProgress[[#This Row],[Price of Shares]]*HistoricalStockProgress[[#This Row],[No. of Shares]],0)</f>
        <v>796.04</v>
      </c>
      <c r="J267" s="16">
        <f>IF(HistoricalStockProgress[[#This Row],[No. of Shares]]&lt;&gt;0,HistoricalStockProgress[[#This Row],[Price of Shares]]-HistoricalStockProgress[[#This Row],[Cost of Shares]]/HistoricalStockProgress[[#This Row],[No. of Shares]],0)</f>
        <v>0.45812032134970693</v>
      </c>
      <c r="K267" s="17">
        <f>IF(HistoricalStockProgress[[#This Row],[Total Price of Shares]]&lt;&gt;0,HistoricalStockProgress[[#This Row],[Total Price of Shares]]-HistoricalStockProgress[[#This Row],[Cost of Shares]],0)</f>
        <v>11.453008033742663</v>
      </c>
      <c r="L267" s="34" t="b" cm="1">
        <f t="array" ref="L267">IFERROR(IF(HistoricalStockProgress[[#This Row],[Price of Shares]]="",_xlfn.STOCKHISTORY(HistoricalStockProgress[[#This Row],[Full Company Name]],HistoricalStockProgress[[#This Row],[Date]],,2,0,1)),0)</f>
        <v>0</v>
      </c>
      <c r="M267" s="34">
        <f>YEAR(HistoricalStockProgress[[#This Row],[Date]])</f>
        <v>2017</v>
      </c>
      <c r="N267" s="34">
        <f>MONTH(HistoricalStockProgress[[#This Row],[Date]])</f>
        <v>6</v>
      </c>
    </row>
    <row r="268" spans="2:14">
      <c r="B268" s="15">
        <v>42916</v>
      </c>
      <c r="C268" s="34" t="s">
        <v>20</v>
      </c>
      <c r="D268" s="34" t="e" vm="19">
        <f>_xlfn.XLOOKUP(HistoricalStockProgress[[#This Row],[Company Ticker]],CompanyDetailsList[Company Ticker],CompanyDetailsList[Official Name],,0)</f>
        <v>#VALUE!</v>
      </c>
      <c r="E2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2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1854.4807473772971</v>
      </c>
      <c r="G268" s="17">
        <f>IFERROR(HistoricalStockProgress[[#This Row],[Cost of Shares]]/HistoricalStockProgress[[#This Row],[No. of Shares]],0)</f>
        <v>74.179229895091879</v>
      </c>
      <c r="H268" s="16" vm="817">
        <v>91.4</v>
      </c>
      <c r="I268" s="16">
        <f>IF(HistoricalStockProgress[[#This Row],[No. of Shares]]&lt;&gt;0,HistoricalStockProgress[[#This Row],[Price of Shares]]*HistoricalStockProgress[[#This Row],[No. of Shares]],0)</f>
        <v>2285</v>
      </c>
      <c r="J268" s="16">
        <f>IF(HistoricalStockProgress[[#This Row],[No. of Shares]]&lt;&gt;0,HistoricalStockProgress[[#This Row],[Price of Shares]]-HistoricalStockProgress[[#This Row],[Cost of Shares]]/HistoricalStockProgress[[#This Row],[No. of Shares]],0)</f>
        <v>17.220770104908127</v>
      </c>
      <c r="K268" s="17">
        <f>IF(HistoricalStockProgress[[#This Row],[Total Price of Shares]]&lt;&gt;0,HistoricalStockProgress[[#This Row],[Total Price of Shares]]-HistoricalStockProgress[[#This Row],[Cost of Shares]],0)</f>
        <v>430.51925262270288</v>
      </c>
      <c r="L268" s="34" t="b" cm="1">
        <f t="array" ref="L268">IFERROR(IF(HistoricalStockProgress[[#This Row],[Price of Shares]]="",_xlfn.STOCKHISTORY(HistoricalStockProgress[[#This Row],[Full Company Name]],HistoricalStockProgress[[#This Row],[Date]],,2,0,1)),0)</f>
        <v>0</v>
      </c>
      <c r="M268" s="34">
        <f>YEAR(HistoricalStockProgress[[#This Row],[Date]])</f>
        <v>2017</v>
      </c>
      <c r="N268" s="34">
        <f>MONTH(HistoricalStockProgress[[#This Row],[Date]])</f>
        <v>6</v>
      </c>
    </row>
    <row r="269" spans="2:14">
      <c r="B269" s="15">
        <v>42916</v>
      </c>
      <c r="C269" s="34" t="s">
        <v>106</v>
      </c>
      <c r="D269" s="34" t="e" vm="20">
        <f>_xlfn.XLOOKUP(HistoricalStockProgress[[#This Row],[Company Ticker]],CompanyDetailsList[Company Ticker],CompanyDetailsList[Official Name],,0)</f>
        <v>#VALUE!</v>
      </c>
      <c r="E2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2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269" s="17">
        <f>IFERROR(HistoricalStockProgress[[#This Row],[Cost of Shares]]/HistoricalStockProgress[[#This Row],[No. of Shares]],0)</f>
        <v>104.71316390485761</v>
      </c>
      <c r="H269" s="16" vm="818">
        <v>109.96</v>
      </c>
      <c r="I269" s="16">
        <f>IF(HistoricalStockProgress[[#This Row],[No. of Shares]]&lt;&gt;0,HistoricalStockProgress[[#This Row],[Price of Shares]]*HistoricalStockProgress[[#This Row],[No. of Shares]],0)</f>
        <v>3848.6</v>
      </c>
      <c r="J269" s="16">
        <f>IF(HistoricalStockProgress[[#This Row],[No. of Shares]]&lt;&gt;0,HistoricalStockProgress[[#This Row],[Price of Shares]]-HistoricalStockProgress[[#This Row],[Cost of Shares]]/HistoricalStockProgress[[#This Row],[No. of Shares]],0)</f>
        <v>5.2468360951423847</v>
      </c>
      <c r="K269" s="17">
        <f>IF(HistoricalStockProgress[[#This Row],[Total Price of Shares]]&lt;&gt;0,HistoricalStockProgress[[#This Row],[Total Price of Shares]]-HistoricalStockProgress[[#This Row],[Cost of Shares]],0)</f>
        <v>183.63926332998335</v>
      </c>
      <c r="L269" s="34" t="b" cm="1">
        <f t="array" ref="L269">IFERROR(IF(HistoricalStockProgress[[#This Row],[Price of Shares]]="",_xlfn.STOCKHISTORY(HistoricalStockProgress[[#This Row],[Full Company Name]],HistoricalStockProgress[[#This Row],[Date]],,2,0,1)),0)</f>
        <v>0</v>
      </c>
      <c r="M269" s="34">
        <f>YEAR(HistoricalStockProgress[[#This Row],[Date]])</f>
        <v>2017</v>
      </c>
      <c r="N269" s="34">
        <f>MONTH(HistoricalStockProgress[[#This Row],[Date]])</f>
        <v>6</v>
      </c>
    </row>
    <row r="270" spans="2:14">
      <c r="B270" s="15">
        <v>42947</v>
      </c>
      <c r="C270" s="34" t="s">
        <v>12</v>
      </c>
      <c r="D270" s="34" t="e" vm="1">
        <f>_xlfn.XLOOKUP(HistoricalStockProgress[[#This Row],[Company Ticker]],CompanyDetailsList[Company Ticker],CompanyDetailsList[Official Name],,0)</f>
        <v>#VALUE!</v>
      </c>
      <c r="E2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2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270" s="17">
        <f>IFERROR(HistoricalStockProgress[[#This Row],[Cost of Shares]]/HistoricalStockProgress[[#This Row],[No. of Shares]],0)</f>
        <v>57.188485025896703</v>
      </c>
      <c r="H270" s="16" vm="819">
        <v>57.06</v>
      </c>
      <c r="I270" s="16">
        <f>IF(HistoricalStockProgress[[#This Row],[No. of Shares]]&lt;&gt;0,HistoricalStockProgress[[#This Row],[Price of Shares]]*HistoricalStockProgress[[#This Row],[No. of Shares]],0)</f>
        <v>342.36</v>
      </c>
      <c r="J270" s="16">
        <f>IF(HistoricalStockProgress[[#This Row],[No. of Shares]]&lt;&gt;0,HistoricalStockProgress[[#This Row],[Price of Shares]]-HistoricalStockProgress[[#This Row],[Cost of Shares]]/HistoricalStockProgress[[#This Row],[No. of Shares]],0)</f>
        <v>-0.12848502589670119</v>
      </c>
      <c r="K270" s="17">
        <f>IF(HistoricalStockProgress[[#This Row],[Total Price of Shares]]&lt;&gt;0,HistoricalStockProgress[[#This Row],[Total Price of Shares]]-HistoricalStockProgress[[#This Row],[Cost of Shares]],0)</f>
        <v>-0.77091015538019292</v>
      </c>
      <c r="L270" s="34" t="b" cm="1">
        <f t="array" ref="L270">IFERROR(IF(HistoricalStockProgress[[#This Row],[Price of Shares]]="",_xlfn.STOCKHISTORY(HistoricalStockProgress[[#This Row],[Full Company Name]],HistoricalStockProgress[[#This Row],[Date]],,2,0,1)),0)</f>
        <v>0</v>
      </c>
      <c r="M270" s="34">
        <f>YEAR(HistoricalStockProgress[[#This Row],[Date]])</f>
        <v>2017</v>
      </c>
      <c r="N270" s="34">
        <f>MONTH(HistoricalStockProgress[[#This Row],[Date]])</f>
        <v>7</v>
      </c>
    </row>
    <row r="271" spans="2:14">
      <c r="B271" s="15">
        <v>42947</v>
      </c>
      <c r="C271" s="34" t="s">
        <v>84</v>
      </c>
      <c r="D271" s="34" t="e" vm="7">
        <f>_xlfn.XLOOKUP(HistoricalStockProgress[[#This Row],[Company Ticker]],CompanyDetailsList[Company Ticker],CompanyDetailsList[Official Name],,0)</f>
        <v>#VALUE!</v>
      </c>
      <c r="E2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2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271" s="17">
        <f>IFERROR(HistoricalStockProgress[[#This Row],[Cost of Shares]]/HistoricalStockProgress[[#This Row],[No. of Shares]],0)</f>
        <v>104.18087504950869</v>
      </c>
      <c r="H271" s="16" vm="820">
        <v>132.72</v>
      </c>
      <c r="I271" s="16">
        <f>IF(HistoricalStockProgress[[#This Row],[No. of Shares]]&lt;&gt;0,HistoricalStockProgress[[#This Row],[Price of Shares]]*HistoricalStockProgress[[#This Row],[No. of Shares]],0)</f>
        <v>6768.72</v>
      </c>
      <c r="J271" s="16">
        <f>IF(HistoricalStockProgress[[#This Row],[No. of Shares]]&lt;&gt;0,HistoricalStockProgress[[#This Row],[Price of Shares]]-HistoricalStockProgress[[#This Row],[Cost of Shares]]/HistoricalStockProgress[[#This Row],[No. of Shares]],0)</f>
        <v>28.539124950491313</v>
      </c>
      <c r="K271" s="17">
        <f>IF(HistoricalStockProgress[[#This Row],[Total Price of Shares]]&lt;&gt;0,HistoricalStockProgress[[#This Row],[Total Price of Shares]]-HistoricalStockProgress[[#This Row],[Cost of Shares]],0)</f>
        <v>1455.4953724750576</v>
      </c>
      <c r="L271" s="34" t="b" cm="1">
        <f t="array" ref="L271">IFERROR(IF(HistoricalStockProgress[[#This Row],[Price of Shares]]="",_xlfn.STOCKHISTORY(HistoricalStockProgress[[#This Row],[Full Company Name]],HistoricalStockProgress[[#This Row],[Date]],,2,0,1)),0)</f>
        <v>0</v>
      </c>
      <c r="M271" s="34">
        <f>YEAR(HistoricalStockProgress[[#This Row],[Date]])</f>
        <v>2017</v>
      </c>
      <c r="N271" s="34">
        <f>MONTH(HistoricalStockProgress[[#This Row],[Date]])</f>
        <v>7</v>
      </c>
    </row>
    <row r="272" spans="2:14">
      <c r="B272" s="15">
        <v>42947</v>
      </c>
      <c r="C272" s="34" t="s">
        <v>86</v>
      </c>
      <c r="D272" s="34" t="e" vm="8">
        <f>_xlfn.XLOOKUP(HistoricalStockProgress[[#This Row],[Company Ticker]],CompanyDetailsList[Company Ticker],CompanyDetailsList[Official Name],,0)</f>
        <v>#VALUE!</v>
      </c>
      <c r="E2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31</v>
      </c>
      <c r="F2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1940.995245840923</v>
      </c>
      <c r="G272" s="17">
        <f>IFERROR(HistoricalStockProgress[[#This Row],[Cost of Shares]]/HistoricalStockProgress[[#This Row],[No. of Shares]],0)</f>
        <v>62.612749865836221</v>
      </c>
      <c r="H272" s="16" vm="821">
        <v>69.91</v>
      </c>
      <c r="I272" s="16">
        <f>IF(HistoricalStockProgress[[#This Row],[No. of Shares]]&lt;&gt;0,HistoricalStockProgress[[#This Row],[Price of Shares]]*HistoricalStockProgress[[#This Row],[No. of Shares]],0)</f>
        <v>2167.21</v>
      </c>
      <c r="J272" s="16">
        <f>IF(HistoricalStockProgress[[#This Row],[No. of Shares]]&lt;&gt;0,HistoricalStockProgress[[#This Row],[Price of Shares]]-HistoricalStockProgress[[#This Row],[Cost of Shares]]/HistoricalStockProgress[[#This Row],[No. of Shares]],0)</f>
        <v>7.2972501341637752</v>
      </c>
      <c r="K272" s="17">
        <f>IF(HistoricalStockProgress[[#This Row],[Total Price of Shares]]&lt;&gt;0,HistoricalStockProgress[[#This Row],[Total Price of Shares]]-HistoricalStockProgress[[#This Row],[Cost of Shares]],0)</f>
        <v>226.21475415907707</v>
      </c>
      <c r="L272" s="34" t="b" cm="1">
        <f t="array" ref="L272">IFERROR(IF(HistoricalStockProgress[[#This Row],[Price of Shares]]="",_xlfn.STOCKHISTORY(HistoricalStockProgress[[#This Row],[Full Company Name]],HistoricalStockProgress[[#This Row],[Date]],,2,0,1)),0)</f>
        <v>0</v>
      </c>
      <c r="M272" s="34">
        <f>YEAR(HistoricalStockProgress[[#This Row],[Date]])</f>
        <v>2017</v>
      </c>
      <c r="N272" s="34">
        <f>MONTH(HistoricalStockProgress[[#This Row],[Date]])</f>
        <v>7</v>
      </c>
    </row>
    <row r="273" spans="2:14">
      <c r="B273" s="15">
        <v>42947</v>
      </c>
      <c r="C273" s="34" t="s">
        <v>22</v>
      </c>
      <c r="D273" s="34" t="e" vm="10">
        <f>_xlfn.XLOOKUP(HistoricalStockProgress[[#This Row],[Company Ticker]],CompanyDetailsList[Company Ticker],CompanyDetailsList[Official Name],,0)</f>
        <v>#VALUE!</v>
      </c>
      <c r="E2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2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273" s="17">
        <f>IFERROR(HistoricalStockProgress[[#This Row],[Cost of Shares]]/HistoricalStockProgress[[#This Row],[No. of Shares]],0)</f>
        <v>83.61275075159574</v>
      </c>
      <c r="H273" s="16" vm="822">
        <v>113.95</v>
      </c>
      <c r="I273" s="16">
        <f>IF(HistoricalStockProgress[[#This Row],[No. of Shares]]&lt;&gt;0,HistoricalStockProgress[[#This Row],[Price of Shares]]*HistoricalStockProgress[[#This Row],[No. of Shares]],0)</f>
        <v>6950.95</v>
      </c>
      <c r="J273" s="16">
        <f>IF(HistoricalStockProgress[[#This Row],[No. of Shares]]&lt;&gt;0,HistoricalStockProgress[[#This Row],[Price of Shares]]-HistoricalStockProgress[[#This Row],[Cost of Shares]]/HistoricalStockProgress[[#This Row],[No. of Shares]],0)</f>
        <v>30.337249248404262</v>
      </c>
      <c r="K273" s="17">
        <f>IF(HistoricalStockProgress[[#This Row],[Total Price of Shares]]&lt;&gt;0,HistoricalStockProgress[[#This Row],[Total Price of Shares]]-HistoricalStockProgress[[#This Row],[Cost of Shares]],0)</f>
        <v>1850.5722041526597</v>
      </c>
      <c r="L273" s="34" t="b" cm="1">
        <f t="array" ref="L273">IFERROR(IF(HistoricalStockProgress[[#This Row],[Price of Shares]]="",_xlfn.STOCKHISTORY(HistoricalStockProgress[[#This Row],[Full Company Name]],HistoricalStockProgress[[#This Row],[Date]],,2,0,1)),0)</f>
        <v>0</v>
      </c>
      <c r="M273" s="34">
        <f>YEAR(HistoricalStockProgress[[#This Row],[Date]])</f>
        <v>2017</v>
      </c>
      <c r="N273" s="34">
        <f>MONTH(HistoricalStockProgress[[#This Row],[Date]])</f>
        <v>7</v>
      </c>
    </row>
    <row r="274" spans="2:14">
      <c r="B274" s="15">
        <v>42947</v>
      </c>
      <c r="C274" s="34" t="s">
        <v>91</v>
      </c>
      <c r="D274" s="34" t="e" vm="11">
        <f>_xlfn.XLOOKUP(HistoricalStockProgress[[#This Row],[Company Ticker]],CompanyDetailsList[Company Ticker],CompanyDetailsList[Official Name],,0)</f>
        <v>#VALUE!</v>
      </c>
      <c r="E2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2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4641.1780084974125</v>
      </c>
      <c r="G274" s="17">
        <f>IFERROR(HistoricalStockProgress[[#This Row],[Cost of Shares]]/HistoricalStockProgress[[#This Row],[No. of Shares]],0)</f>
        <v>58.749088715157121</v>
      </c>
      <c r="H274" s="16" vm="823">
        <v>72.7</v>
      </c>
      <c r="I274" s="16">
        <f>IF(HistoricalStockProgress[[#This Row],[No. of Shares]]&lt;&gt;0,HistoricalStockProgress[[#This Row],[Price of Shares]]*HistoricalStockProgress[[#This Row],[No. of Shares]],0)</f>
        <v>5743.3</v>
      </c>
      <c r="J274" s="16">
        <f>IF(HistoricalStockProgress[[#This Row],[No. of Shares]]&lt;&gt;0,HistoricalStockProgress[[#This Row],[Price of Shares]]-HistoricalStockProgress[[#This Row],[Cost of Shares]]/HistoricalStockProgress[[#This Row],[No. of Shares]],0)</f>
        <v>13.950911284842881</v>
      </c>
      <c r="K274" s="17">
        <f>IF(HistoricalStockProgress[[#This Row],[Total Price of Shares]]&lt;&gt;0,HistoricalStockProgress[[#This Row],[Total Price of Shares]]-HistoricalStockProgress[[#This Row],[Cost of Shares]],0)</f>
        <v>1102.1219915025877</v>
      </c>
      <c r="L274" s="34" t="b" cm="1">
        <f t="array" ref="L274">IFERROR(IF(HistoricalStockProgress[[#This Row],[Price of Shares]]="",_xlfn.STOCKHISTORY(HistoricalStockProgress[[#This Row],[Full Company Name]],HistoricalStockProgress[[#This Row],[Date]],,2,0,1)),0)</f>
        <v>0</v>
      </c>
      <c r="M274" s="34">
        <f>YEAR(HistoricalStockProgress[[#This Row],[Date]])</f>
        <v>2017</v>
      </c>
      <c r="N274" s="34">
        <f>MONTH(HistoricalStockProgress[[#This Row],[Date]])</f>
        <v>7</v>
      </c>
    </row>
    <row r="275" spans="2:14">
      <c r="B275" s="15">
        <v>42947</v>
      </c>
      <c r="C275" s="34" t="s">
        <v>16</v>
      </c>
      <c r="D275" s="34" t="e" vm="12">
        <f>_xlfn.XLOOKUP(HistoricalStockProgress[[#This Row],[Company Ticker]],CompanyDetailsList[Company Ticker],CompanyDetailsList[Official Name],,0)</f>
        <v>#VALUE!</v>
      </c>
      <c r="E2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107</v>
      </c>
      <c r="F2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9097.0068259849722</v>
      </c>
      <c r="G275" s="17">
        <f>IFERROR(HistoricalStockProgress[[#This Row],[Cost of Shares]]/HistoricalStockProgress[[#This Row],[No. of Shares]],0)</f>
        <v>85.018755383037117</v>
      </c>
      <c r="H275" s="16" vm="708">
        <v>80.040000000000006</v>
      </c>
      <c r="I275" s="16">
        <f>IF(HistoricalStockProgress[[#This Row],[No. of Shares]]&lt;&gt;0,HistoricalStockProgress[[#This Row],[Price of Shares]]*HistoricalStockProgress[[#This Row],[No. of Shares]],0)</f>
        <v>8564.2800000000007</v>
      </c>
      <c r="J275" s="16">
        <f>IF(HistoricalStockProgress[[#This Row],[No. of Shares]]&lt;&gt;0,HistoricalStockProgress[[#This Row],[Price of Shares]]-HistoricalStockProgress[[#This Row],[Cost of Shares]]/HistoricalStockProgress[[#This Row],[No. of Shares]],0)</f>
        <v>-4.978755383037111</v>
      </c>
      <c r="K275" s="17">
        <f>IF(HistoricalStockProgress[[#This Row],[Total Price of Shares]]&lt;&gt;0,HistoricalStockProgress[[#This Row],[Total Price of Shares]]-HistoricalStockProgress[[#This Row],[Cost of Shares]],0)</f>
        <v>-532.72682598497158</v>
      </c>
      <c r="L275" s="34" t="b" cm="1">
        <f t="array" ref="L275">IFERROR(IF(HistoricalStockProgress[[#This Row],[Price of Shares]]="",_xlfn.STOCKHISTORY(HistoricalStockProgress[[#This Row],[Full Company Name]],HistoricalStockProgress[[#This Row],[Date]],,2,0,1)),0)</f>
        <v>0</v>
      </c>
      <c r="M275" s="34">
        <f>YEAR(HistoricalStockProgress[[#This Row],[Date]])</f>
        <v>2017</v>
      </c>
      <c r="N275" s="34">
        <f>MONTH(HistoricalStockProgress[[#This Row],[Date]])</f>
        <v>7</v>
      </c>
    </row>
    <row r="276" spans="2:14">
      <c r="B276" s="15">
        <v>42947</v>
      </c>
      <c r="C276" s="34" t="s">
        <v>95</v>
      </c>
      <c r="D276" s="34" t="e" vm="13">
        <f>_xlfn.XLOOKUP(HistoricalStockProgress[[#This Row],[Company Ticker]],CompanyDetailsList[Company Ticker],CompanyDetailsList[Official Name],,0)</f>
        <v>#VALUE!</v>
      </c>
      <c r="E2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2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276" s="17">
        <f>IFERROR(HistoricalStockProgress[[#This Row],[Cost of Shares]]/HistoricalStockProgress[[#This Row],[No. of Shares]],0)</f>
        <v>143.29758396474452</v>
      </c>
      <c r="H276" s="16" vm="824">
        <v>149.6</v>
      </c>
      <c r="I276" s="16">
        <f>IF(HistoricalStockProgress[[#This Row],[No. of Shares]]&lt;&gt;0,HistoricalStockProgress[[#This Row],[Price of Shares]]*HistoricalStockProgress[[#This Row],[No. of Shares]],0)</f>
        <v>6432.8</v>
      </c>
      <c r="J276" s="16">
        <f>IF(HistoricalStockProgress[[#This Row],[No. of Shares]]&lt;&gt;0,HistoricalStockProgress[[#This Row],[Price of Shares]]-HistoricalStockProgress[[#This Row],[Cost of Shares]]/HistoricalStockProgress[[#This Row],[No. of Shares]],0)</f>
        <v>6.3024160352554759</v>
      </c>
      <c r="K276" s="17">
        <f>IF(HistoricalStockProgress[[#This Row],[Total Price of Shares]]&lt;&gt;0,HistoricalStockProgress[[#This Row],[Total Price of Shares]]-HistoricalStockProgress[[#This Row],[Cost of Shares]],0)</f>
        <v>271.00388951598597</v>
      </c>
      <c r="L276" s="34" t="b" cm="1">
        <f t="array" ref="L276">IFERROR(IF(HistoricalStockProgress[[#This Row],[Price of Shares]]="",_xlfn.STOCKHISTORY(HistoricalStockProgress[[#This Row],[Full Company Name]],HistoricalStockProgress[[#This Row],[Date]],,2,0,1)),0)</f>
        <v>0</v>
      </c>
      <c r="M276" s="34">
        <f>YEAR(HistoricalStockProgress[[#This Row],[Date]])</f>
        <v>2017</v>
      </c>
      <c r="N276" s="34">
        <f>MONTH(HistoricalStockProgress[[#This Row],[Date]])</f>
        <v>7</v>
      </c>
    </row>
    <row r="277" spans="2:14">
      <c r="B277" s="15">
        <v>42947</v>
      </c>
      <c r="C277" s="34" t="s">
        <v>17</v>
      </c>
      <c r="D277" s="34" t="e" vm="14">
        <f>_xlfn.XLOOKUP(HistoricalStockProgress[[#This Row],[Company Ticker]],CompanyDetailsList[Company Ticker],CompanyDetailsList[Official Name],,0)</f>
        <v>#VALUE!</v>
      </c>
      <c r="E2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v>
      </c>
      <c r="F2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2797.1749688808613</v>
      </c>
      <c r="G277" s="17">
        <f>IFERROR(HistoricalStockProgress[[#This Row],[Cost of Shares]]/HistoricalStockProgress[[#This Row],[No. of Shares]],0)</f>
        <v>155.39860938227008</v>
      </c>
      <c r="H277" s="16" vm="825">
        <v>144.66999999999999</v>
      </c>
      <c r="I277" s="16">
        <f>IF(HistoricalStockProgress[[#This Row],[No. of Shares]]&lt;&gt;0,HistoricalStockProgress[[#This Row],[Price of Shares]]*HistoricalStockProgress[[#This Row],[No. of Shares]],0)</f>
        <v>2604.06</v>
      </c>
      <c r="J277" s="16">
        <f>IF(HistoricalStockProgress[[#This Row],[No. of Shares]]&lt;&gt;0,HistoricalStockProgress[[#This Row],[Price of Shares]]-HistoricalStockProgress[[#This Row],[Cost of Shares]]/HistoricalStockProgress[[#This Row],[No. of Shares]],0)</f>
        <v>-10.728609382270093</v>
      </c>
      <c r="K277" s="17">
        <f>IF(HistoricalStockProgress[[#This Row],[Total Price of Shares]]&lt;&gt;0,HistoricalStockProgress[[#This Row],[Total Price of Shares]]-HistoricalStockProgress[[#This Row],[Cost of Shares]],0)</f>
        <v>-193.1149688808614</v>
      </c>
      <c r="L277" s="34" t="b" cm="1">
        <f t="array" ref="L277">IFERROR(IF(HistoricalStockProgress[[#This Row],[Price of Shares]]="",_xlfn.STOCKHISTORY(HistoricalStockProgress[[#This Row],[Full Company Name]],HistoricalStockProgress[[#This Row],[Date]],,2,0,1)),0)</f>
        <v>0</v>
      </c>
      <c r="M277" s="34">
        <f>YEAR(HistoricalStockProgress[[#This Row],[Date]])</f>
        <v>2017</v>
      </c>
      <c r="N277" s="34">
        <f>MONTH(HistoricalStockProgress[[#This Row],[Date]])</f>
        <v>7</v>
      </c>
    </row>
    <row r="278" spans="2:14">
      <c r="B278" s="15">
        <v>42947</v>
      </c>
      <c r="C278" s="34" t="s">
        <v>98</v>
      </c>
      <c r="D278" s="34" t="e" vm="15">
        <f>_xlfn.XLOOKUP(HistoricalStockProgress[[#This Row],[Company Ticker]],CompanyDetailsList[Company Ticker],CompanyDetailsList[Official Name],,0)</f>
        <v>#VALUE!</v>
      </c>
      <c r="E2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v>
      </c>
      <c r="F2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300.19997526510906</v>
      </c>
      <c r="G278" s="17">
        <f>IFERROR(HistoricalStockProgress[[#This Row],[Cost of Shares]]/HistoricalStockProgress[[#This Row],[No. of Shares]],0)</f>
        <v>33.355552807234339</v>
      </c>
      <c r="H278" s="16" vm="826">
        <v>36.522500000000001</v>
      </c>
      <c r="I278" s="16">
        <f>IF(HistoricalStockProgress[[#This Row],[No. of Shares]]&lt;&gt;0,HistoricalStockProgress[[#This Row],[Price of Shares]]*HistoricalStockProgress[[#This Row],[No. of Shares]],0)</f>
        <v>328.70249999999999</v>
      </c>
      <c r="J278" s="16">
        <f>IF(HistoricalStockProgress[[#This Row],[No. of Shares]]&lt;&gt;0,HistoricalStockProgress[[#This Row],[Price of Shares]]-HistoricalStockProgress[[#This Row],[Cost of Shares]]/HistoricalStockProgress[[#This Row],[No. of Shares]],0)</f>
        <v>3.1669471927656616</v>
      </c>
      <c r="K278" s="17">
        <f>IF(HistoricalStockProgress[[#This Row],[Total Price of Shares]]&lt;&gt;0,HistoricalStockProgress[[#This Row],[Total Price of Shares]]-HistoricalStockProgress[[#This Row],[Cost of Shares]],0)</f>
        <v>28.502524734890926</v>
      </c>
      <c r="L278" s="34" t="b" cm="1">
        <f t="array" ref="L278">IFERROR(IF(HistoricalStockProgress[[#This Row],[Price of Shares]]="",_xlfn.STOCKHISTORY(HistoricalStockProgress[[#This Row],[Full Company Name]],HistoricalStockProgress[[#This Row],[Date]],,2,0,1)),0)</f>
        <v>0</v>
      </c>
      <c r="M278" s="34">
        <f>YEAR(HistoricalStockProgress[[#This Row],[Date]])</f>
        <v>2017</v>
      </c>
      <c r="N278" s="34">
        <f>MONTH(HistoricalStockProgress[[#This Row],[Date]])</f>
        <v>7</v>
      </c>
    </row>
    <row r="279" spans="2:14">
      <c r="B279" s="15">
        <v>42947</v>
      </c>
      <c r="C279" s="34" t="s">
        <v>100</v>
      </c>
      <c r="D279" s="34" t="e" vm="16">
        <f>_xlfn.XLOOKUP(HistoricalStockProgress[[#This Row],[Company Ticker]],CompanyDetailsList[Company Ticker],CompanyDetailsList[Official Name],,0)</f>
        <v>#VALUE!</v>
      </c>
      <c r="E2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2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279" s="17">
        <f>IFERROR(HistoricalStockProgress[[#This Row],[Cost of Shares]]/HistoricalStockProgress[[#This Row],[No. of Shares]],0)</f>
        <v>84.509035134678101</v>
      </c>
      <c r="H279" s="16" vm="827">
        <v>85.12</v>
      </c>
      <c r="I279" s="16">
        <f>IF(HistoricalStockProgress[[#This Row],[No. of Shares]]&lt;&gt;0,HistoricalStockProgress[[#This Row],[Price of Shares]]*HistoricalStockProgress[[#This Row],[No. of Shares]],0)</f>
        <v>2808.96</v>
      </c>
      <c r="J279" s="16">
        <f>IF(HistoricalStockProgress[[#This Row],[No. of Shares]]&lt;&gt;0,HistoricalStockProgress[[#This Row],[Price of Shares]]-HistoricalStockProgress[[#This Row],[Cost of Shares]]/HistoricalStockProgress[[#This Row],[No. of Shares]],0)</f>
        <v>0.61096486532190397</v>
      </c>
      <c r="K279" s="17">
        <f>IF(HistoricalStockProgress[[#This Row],[Total Price of Shares]]&lt;&gt;0,HistoricalStockProgress[[#This Row],[Total Price of Shares]]-HistoricalStockProgress[[#This Row],[Cost of Shares]],0)</f>
        <v>20.161840555622803</v>
      </c>
      <c r="L279" s="34" t="b" cm="1">
        <f t="array" ref="L279">IFERROR(IF(HistoricalStockProgress[[#This Row],[Price of Shares]]="",_xlfn.STOCKHISTORY(HistoricalStockProgress[[#This Row],[Full Company Name]],HistoricalStockProgress[[#This Row],[Date]],,2,0,1)),0)</f>
        <v>0</v>
      </c>
      <c r="M279" s="34">
        <f>YEAR(HistoricalStockProgress[[#This Row],[Date]])</f>
        <v>2017</v>
      </c>
      <c r="N279" s="34">
        <f>MONTH(HistoricalStockProgress[[#This Row],[Date]])</f>
        <v>7</v>
      </c>
    </row>
    <row r="280" spans="2:14">
      <c r="B280" s="15">
        <v>42947</v>
      </c>
      <c r="C280" s="34" t="s">
        <v>15</v>
      </c>
      <c r="D280" s="34" t="e" vm="17">
        <f>_xlfn.XLOOKUP(HistoricalStockProgress[[#This Row],[Company Ticker]],CompanyDetailsList[Company Ticker],CompanyDetailsList[Official Name],,0)</f>
        <v>#VALUE!</v>
      </c>
      <c r="E2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2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280" s="17">
        <f>IFERROR(HistoricalStockProgress[[#This Row],[Cost of Shares]]/HistoricalStockProgress[[#This Row],[No. of Shares]],0)</f>
        <v>26.481400454992627</v>
      </c>
      <c r="H280" s="16" vm="828">
        <v>29.452000000000002</v>
      </c>
      <c r="I280" s="16">
        <f>IF(HistoricalStockProgress[[#This Row],[No. of Shares]]&lt;&gt;0,HistoricalStockProgress[[#This Row],[Price of Shares]]*HistoricalStockProgress[[#This Row],[No. of Shares]],0)</f>
        <v>2827.3920000000003</v>
      </c>
      <c r="J280" s="16">
        <f>IF(HistoricalStockProgress[[#This Row],[No. of Shares]]&lt;&gt;0,HistoricalStockProgress[[#This Row],[Price of Shares]]-HistoricalStockProgress[[#This Row],[Cost of Shares]]/HistoricalStockProgress[[#This Row],[No. of Shares]],0)</f>
        <v>2.9705995450073743</v>
      </c>
      <c r="K280" s="17">
        <f>IF(HistoricalStockProgress[[#This Row],[Total Price of Shares]]&lt;&gt;0,HistoricalStockProgress[[#This Row],[Total Price of Shares]]-HistoricalStockProgress[[#This Row],[Cost of Shares]],0)</f>
        <v>285.17755632070794</v>
      </c>
      <c r="L280" s="34" t="b" cm="1">
        <f t="array" ref="L280">IFERROR(IF(HistoricalStockProgress[[#This Row],[Price of Shares]]="",_xlfn.STOCKHISTORY(HistoricalStockProgress[[#This Row],[Full Company Name]],HistoricalStockProgress[[#This Row],[Date]],,2,0,1)),0)</f>
        <v>0</v>
      </c>
      <c r="M280" s="34">
        <f>YEAR(HistoricalStockProgress[[#This Row],[Date]])</f>
        <v>2017</v>
      </c>
      <c r="N280" s="34">
        <f>MONTH(HistoricalStockProgress[[#This Row],[Date]])</f>
        <v>7</v>
      </c>
    </row>
    <row r="281" spans="2:14">
      <c r="B281" s="15">
        <v>42947</v>
      </c>
      <c r="C281" s="34" t="s">
        <v>13</v>
      </c>
      <c r="D281" s="34" t="e" vm="18">
        <f>_xlfn.XLOOKUP(HistoricalStockProgress[[#This Row],[Company Ticker]],CompanyDetailsList[Company Ticker],CompanyDetailsList[Official Name],,0)</f>
        <v>#VALUE!</v>
      </c>
      <c r="E2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2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281" s="17">
        <f>IFERROR(HistoricalStockProgress[[#This Row],[Cost of Shares]]/HistoricalStockProgress[[#This Row],[No. of Shares]],0)</f>
        <v>31.383479678650293</v>
      </c>
      <c r="H281" s="16" vm="829">
        <v>31.434000000000001</v>
      </c>
      <c r="I281" s="16">
        <f>IF(HistoricalStockProgress[[#This Row],[No. of Shares]]&lt;&gt;0,HistoricalStockProgress[[#This Row],[Price of Shares]]*HistoricalStockProgress[[#This Row],[No. of Shares]],0)</f>
        <v>785.85</v>
      </c>
      <c r="J281" s="16">
        <f>IF(HistoricalStockProgress[[#This Row],[No. of Shares]]&lt;&gt;0,HistoricalStockProgress[[#This Row],[Price of Shares]]-HistoricalStockProgress[[#This Row],[Cost of Shares]]/HistoricalStockProgress[[#This Row],[No. of Shares]],0)</f>
        <v>5.0520321349708297E-2</v>
      </c>
      <c r="K281" s="17">
        <f>IF(HistoricalStockProgress[[#This Row],[Total Price of Shares]]&lt;&gt;0,HistoricalStockProgress[[#This Row],[Total Price of Shares]]-HistoricalStockProgress[[#This Row],[Cost of Shares]],0)</f>
        <v>1.2630080337427216</v>
      </c>
      <c r="L281" s="34" t="b" cm="1">
        <f t="array" ref="L281">IFERROR(IF(HistoricalStockProgress[[#This Row],[Price of Shares]]="",_xlfn.STOCKHISTORY(HistoricalStockProgress[[#This Row],[Full Company Name]],HistoricalStockProgress[[#This Row],[Date]],,2,0,1)),0)</f>
        <v>0</v>
      </c>
      <c r="M281" s="34">
        <f>YEAR(HistoricalStockProgress[[#This Row],[Date]])</f>
        <v>2017</v>
      </c>
      <c r="N281" s="34">
        <f>MONTH(HistoricalStockProgress[[#This Row],[Date]])</f>
        <v>7</v>
      </c>
    </row>
    <row r="282" spans="2:14">
      <c r="B282" s="15">
        <v>42947</v>
      </c>
      <c r="C282" s="34" t="s">
        <v>20</v>
      </c>
      <c r="D282" s="34" t="e" vm="19">
        <f>_xlfn.XLOOKUP(HistoricalStockProgress[[#This Row],[Company Ticker]],CompanyDetailsList[Company Ticker],CompanyDetailsList[Official Name],,0)</f>
        <v>#VALUE!</v>
      </c>
      <c r="E2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2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1854.4807473772971</v>
      </c>
      <c r="G282" s="17">
        <f>IFERROR(HistoricalStockProgress[[#This Row],[Cost of Shares]]/HistoricalStockProgress[[#This Row],[No. of Shares]],0)</f>
        <v>74.179229895091879</v>
      </c>
      <c r="H282" s="16" vm="830">
        <v>91.8</v>
      </c>
      <c r="I282" s="16">
        <f>IF(HistoricalStockProgress[[#This Row],[No. of Shares]]&lt;&gt;0,HistoricalStockProgress[[#This Row],[Price of Shares]]*HistoricalStockProgress[[#This Row],[No. of Shares]],0)</f>
        <v>2295</v>
      </c>
      <c r="J282" s="16">
        <f>IF(HistoricalStockProgress[[#This Row],[No. of Shares]]&lt;&gt;0,HistoricalStockProgress[[#This Row],[Price of Shares]]-HistoricalStockProgress[[#This Row],[Cost of Shares]]/HistoricalStockProgress[[#This Row],[No. of Shares]],0)</f>
        <v>17.620770104908118</v>
      </c>
      <c r="K282" s="17">
        <f>IF(HistoricalStockProgress[[#This Row],[Total Price of Shares]]&lt;&gt;0,HistoricalStockProgress[[#This Row],[Total Price of Shares]]-HistoricalStockProgress[[#This Row],[Cost of Shares]],0)</f>
        <v>440.51925262270288</v>
      </c>
      <c r="L282" s="34" t="b" cm="1">
        <f t="array" ref="L282">IFERROR(IF(HistoricalStockProgress[[#This Row],[Price of Shares]]="",_xlfn.STOCKHISTORY(HistoricalStockProgress[[#This Row],[Full Company Name]],HistoricalStockProgress[[#This Row],[Date]],,2,0,1)),0)</f>
        <v>0</v>
      </c>
      <c r="M282" s="34">
        <f>YEAR(HistoricalStockProgress[[#This Row],[Date]])</f>
        <v>2017</v>
      </c>
      <c r="N282" s="34">
        <f>MONTH(HistoricalStockProgress[[#This Row],[Date]])</f>
        <v>7</v>
      </c>
    </row>
    <row r="283" spans="2:14">
      <c r="B283" s="15">
        <v>42947</v>
      </c>
      <c r="C283" s="34" t="s">
        <v>106</v>
      </c>
      <c r="D283" s="34" t="e" vm="20">
        <f>_xlfn.XLOOKUP(HistoricalStockProgress[[#This Row],[Company Ticker]],CompanyDetailsList[Company Ticker],CompanyDetailsList[Official Name],,0)</f>
        <v>#VALUE!</v>
      </c>
      <c r="E2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2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283" s="17">
        <f>IFERROR(HistoricalStockProgress[[#This Row],[Cost of Shares]]/HistoricalStockProgress[[#This Row],[No. of Shares]],0)</f>
        <v>104.71316390485761</v>
      </c>
      <c r="H283" s="16" vm="831">
        <v>105.25</v>
      </c>
      <c r="I283" s="16">
        <f>IF(HistoricalStockProgress[[#This Row],[No. of Shares]]&lt;&gt;0,HistoricalStockProgress[[#This Row],[Price of Shares]]*HistoricalStockProgress[[#This Row],[No. of Shares]],0)</f>
        <v>3683.75</v>
      </c>
      <c r="J283" s="16">
        <f>IF(HistoricalStockProgress[[#This Row],[No. of Shares]]&lt;&gt;0,HistoricalStockProgress[[#This Row],[Price of Shares]]-HistoricalStockProgress[[#This Row],[Cost of Shares]]/HistoricalStockProgress[[#This Row],[No. of Shares]],0)</f>
        <v>0.53683609514239095</v>
      </c>
      <c r="K283" s="17">
        <f>IF(HistoricalStockProgress[[#This Row],[Total Price of Shares]]&lt;&gt;0,HistoricalStockProgress[[#This Row],[Total Price of Shares]]-HistoricalStockProgress[[#This Row],[Cost of Shares]],0)</f>
        <v>18.789263329983442</v>
      </c>
      <c r="L283" s="34" t="b" cm="1">
        <f t="array" ref="L283">IFERROR(IF(HistoricalStockProgress[[#This Row],[Price of Shares]]="",_xlfn.STOCKHISTORY(HistoricalStockProgress[[#This Row],[Full Company Name]],HistoricalStockProgress[[#This Row],[Date]],,2,0,1)),0)</f>
        <v>0</v>
      </c>
      <c r="M283" s="34">
        <f>YEAR(HistoricalStockProgress[[#This Row],[Date]])</f>
        <v>2017</v>
      </c>
      <c r="N283" s="34">
        <f>MONTH(HistoricalStockProgress[[#This Row],[Date]])</f>
        <v>7</v>
      </c>
    </row>
    <row r="284" spans="2:14">
      <c r="B284" s="15">
        <v>42978</v>
      </c>
      <c r="C284" s="34" t="s">
        <v>12</v>
      </c>
      <c r="D284" s="34" t="e" vm="1">
        <f>_xlfn.XLOOKUP(HistoricalStockProgress[[#This Row],[Company Ticker]],CompanyDetailsList[Company Ticker],CompanyDetailsList[Official Name],,0)</f>
        <v>#VALUE!</v>
      </c>
      <c r="E2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2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284" s="17">
        <f>IFERROR(HistoricalStockProgress[[#This Row],[Cost of Shares]]/HistoricalStockProgress[[#This Row],[No. of Shares]],0)</f>
        <v>57.188485025896703</v>
      </c>
      <c r="H284" s="16" vm="832">
        <v>57.56</v>
      </c>
      <c r="I284" s="16">
        <f>IF(HistoricalStockProgress[[#This Row],[No. of Shares]]&lt;&gt;0,HistoricalStockProgress[[#This Row],[Price of Shares]]*HistoricalStockProgress[[#This Row],[No. of Shares]],0)</f>
        <v>345.36</v>
      </c>
      <c r="J284" s="16">
        <f>IF(HistoricalStockProgress[[#This Row],[No. of Shares]]&lt;&gt;0,HistoricalStockProgress[[#This Row],[Price of Shares]]-HistoricalStockProgress[[#This Row],[Cost of Shares]]/HistoricalStockProgress[[#This Row],[No. of Shares]],0)</f>
        <v>0.37151497410329881</v>
      </c>
      <c r="K284" s="17">
        <f>IF(HistoricalStockProgress[[#This Row],[Total Price of Shares]]&lt;&gt;0,HistoricalStockProgress[[#This Row],[Total Price of Shares]]-HistoricalStockProgress[[#This Row],[Cost of Shares]],0)</f>
        <v>2.2290898446198071</v>
      </c>
      <c r="L284" s="34" t="b" cm="1">
        <f t="array" ref="L284">IFERROR(IF(HistoricalStockProgress[[#This Row],[Price of Shares]]="",_xlfn.STOCKHISTORY(HistoricalStockProgress[[#This Row],[Full Company Name]],HistoricalStockProgress[[#This Row],[Date]],,2,0,1)),0)</f>
        <v>0</v>
      </c>
      <c r="M284" s="34">
        <f>YEAR(HistoricalStockProgress[[#This Row],[Date]])</f>
        <v>2017</v>
      </c>
      <c r="N284" s="34">
        <f>MONTH(HistoricalStockProgress[[#This Row],[Date]])</f>
        <v>8</v>
      </c>
    </row>
    <row r="285" spans="2:14">
      <c r="B285" s="15">
        <v>42978</v>
      </c>
      <c r="C285" s="34" t="s">
        <v>84</v>
      </c>
      <c r="D285" s="34" t="e" vm="7">
        <f>_xlfn.XLOOKUP(HistoricalStockProgress[[#This Row],[Company Ticker]],CompanyDetailsList[Company Ticker],CompanyDetailsList[Official Name],,0)</f>
        <v>#VALUE!</v>
      </c>
      <c r="E2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2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285" s="17">
        <f>IFERROR(HistoricalStockProgress[[#This Row],[Cost of Shares]]/HistoricalStockProgress[[#This Row],[No. of Shares]],0)</f>
        <v>104.18087504950869</v>
      </c>
      <c r="H285" s="16" vm="833">
        <v>132.37</v>
      </c>
      <c r="I285" s="16">
        <f>IF(HistoricalStockProgress[[#This Row],[No. of Shares]]&lt;&gt;0,HistoricalStockProgress[[#This Row],[Price of Shares]]*HistoricalStockProgress[[#This Row],[No. of Shares]],0)</f>
        <v>6750.87</v>
      </c>
      <c r="J285" s="16">
        <f>IF(HistoricalStockProgress[[#This Row],[No. of Shares]]&lt;&gt;0,HistoricalStockProgress[[#This Row],[Price of Shares]]-HistoricalStockProgress[[#This Row],[Cost of Shares]]/HistoricalStockProgress[[#This Row],[No. of Shares]],0)</f>
        <v>28.189124950491319</v>
      </c>
      <c r="K285" s="17">
        <f>IF(HistoricalStockProgress[[#This Row],[Total Price of Shares]]&lt;&gt;0,HistoricalStockProgress[[#This Row],[Total Price of Shares]]-HistoricalStockProgress[[#This Row],[Cost of Shares]],0)</f>
        <v>1437.6453724750572</v>
      </c>
      <c r="L285" s="34" t="b" cm="1">
        <f t="array" ref="L285">IFERROR(IF(HistoricalStockProgress[[#This Row],[Price of Shares]]="",_xlfn.STOCKHISTORY(HistoricalStockProgress[[#This Row],[Full Company Name]],HistoricalStockProgress[[#This Row],[Date]],,2,0,1)),0)</f>
        <v>0</v>
      </c>
      <c r="M285" s="34">
        <f>YEAR(HistoricalStockProgress[[#This Row],[Date]])</f>
        <v>2017</v>
      </c>
      <c r="N285" s="34">
        <f>MONTH(HistoricalStockProgress[[#This Row],[Date]])</f>
        <v>8</v>
      </c>
    </row>
    <row r="286" spans="2:14">
      <c r="B286" s="15">
        <v>42978</v>
      </c>
      <c r="C286" s="34" t="s">
        <v>86</v>
      </c>
      <c r="D286" s="34" t="e" vm="8">
        <f>_xlfn.XLOOKUP(HistoricalStockProgress[[#This Row],[Company Ticker]],CompanyDetailsList[Company Ticker],CompanyDetailsList[Official Name],,0)</f>
        <v>#VALUE!</v>
      </c>
      <c r="E2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31</v>
      </c>
      <c r="F2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1940.995245840923</v>
      </c>
      <c r="G286" s="17">
        <f>IFERROR(HistoricalStockProgress[[#This Row],[Cost of Shares]]/HistoricalStockProgress[[#This Row],[No. of Shares]],0)</f>
        <v>62.612749865836221</v>
      </c>
      <c r="H286" s="16" vm="625">
        <v>75.3</v>
      </c>
      <c r="I286" s="16">
        <f>IF(HistoricalStockProgress[[#This Row],[No. of Shares]]&lt;&gt;0,HistoricalStockProgress[[#This Row],[Price of Shares]]*HistoricalStockProgress[[#This Row],[No. of Shares]],0)</f>
        <v>2334.2999999999997</v>
      </c>
      <c r="J286" s="16">
        <f>IF(HistoricalStockProgress[[#This Row],[No. of Shares]]&lt;&gt;0,HistoricalStockProgress[[#This Row],[Price of Shares]]-HistoricalStockProgress[[#This Row],[Cost of Shares]]/HistoricalStockProgress[[#This Row],[No. of Shares]],0)</f>
        <v>12.687250134163776</v>
      </c>
      <c r="K286" s="17">
        <f>IF(HistoricalStockProgress[[#This Row],[Total Price of Shares]]&lt;&gt;0,HistoricalStockProgress[[#This Row],[Total Price of Shares]]-HistoricalStockProgress[[#This Row],[Cost of Shares]],0)</f>
        <v>393.30475415907677</v>
      </c>
      <c r="L286" s="34" t="b" cm="1">
        <f t="array" ref="L286">IFERROR(IF(HistoricalStockProgress[[#This Row],[Price of Shares]]="",_xlfn.STOCKHISTORY(HistoricalStockProgress[[#This Row],[Full Company Name]],HistoricalStockProgress[[#This Row],[Date]],,2,0,1)),0)</f>
        <v>0</v>
      </c>
      <c r="M286" s="34">
        <f>YEAR(HistoricalStockProgress[[#This Row],[Date]])</f>
        <v>2017</v>
      </c>
      <c r="N286" s="34">
        <f>MONTH(HistoricalStockProgress[[#This Row],[Date]])</f>
        <v>8</v>
      </c>
    </row>
    <row r="287" spans="2:14">
      <c r="B287" s="15">
        <v>42978</v>
      </c>
      <c r="C287" s="34" t="s">
        <v>22</v>
      </c>
      <c r="D287" s="34" t="e" vm="10">
        <f>_xlfn.XLOOKUP(HistoricalStockProgress[[#This Row],[Company Ticker]],CompanyDetailsList[Company Ticker],CompanyDetailsList[Official Name],,0)</f>
        <v>#VALUE!</v>
      </c>
      <c r="E2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2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287" s="17">
        <f>IFERROR(HistoricalStockProgress[[#This Row],[Cost of Shares]]/HistoricalStockProgress[[#This Row],[No. of Shares]],0)</f>
        <v>83.61275075159574</v>
      </c>
      <c r="H287" s="16" vm="834">
        <v>117.49</v>
      </c>
      <c r="I287" s="16">
        <f>IF(HistoricalStockProgress[[#This Row],[No. of Shares]]&lt;&gt;0,HistoricalStockProgress[[#This Row],[Price of Shares]]*HistoricalStockProgress[[#This Row],[No. of Shares]],0)</f>
        <v>7166.8899999999994</v>
      </c>
      <c r="J287" s="16">
        <f>IF(HistoricalStockProgress[[#This Row],[No. of Shares]]&lt;&gt;0,HistoricalStockProgress[[#This Row],[Price of Shares]]-HistoricalStockProgress[[#This Row],[Cost of Shares]]/HistoricalStockProgress[[#This Row],[No. of Shares]],0)</f>
        <v>33.877249248404254</v>
      </c>
      <c r="K287" s="17">
        <f>IF(HistoricalStockProgress[[#This Row],[Total Price of Shares]]&lt;&gt;0,HistoricalStockProgress[[#This Row],[Total Price of Shares]]-HistoricalStockProgress[[#This Row],[Cost of Shares]],0)</f>
        <v>2066.5122041526593</v>
      </c>
      <c r="L287" s="34" t="b" cm="1">
        <f t="array" ref="L287">IFERROR(IF(HistoricalStockProgress[[#This Row],[Price of Shares]]="",_xlfn.STOCKHISTORY(HistoricalStockProgress[[#This Row],[Full Company Name]],HistoricalStockProgress[[#This Row],[Date]],,2,0,1)),0)</f>
        <v>0</v>
      </c>
      <c r="M287" s="34">
        <f>YEAR(HistoricalStockProgress[[#This Row],[Date]])</f>
        <v>2017</v>
      </c>
      <c r="N287" s="34">
        <f>MONTH(HistoricalStockProgress[[#This Row],[Date]])</f>
        <v>8</v>
      </c>
    </row>
    <row r="288" spans="2:14">
      <c r="B288" s="15">
        <v>42978</v>
      </c>
      <c r="C288" s="34" t="s">
        <v>91</v>
      </c>
      <c r="D288" s="34" t="e" vm="11">
        <f>_xlfn.XLOOKUP(HistoricalStockProgress[[#This Row],[Company Ticker]],CompanyDetailsList[Company Ticker],CompanyDetailsList[Official Name],,0)</f>
        <v>#VALUE!</v>
      </c>
      <c r="E2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2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4641.1780084974125</v>
      </c>
      <c r="G288" s="17">
        <f>IFERROR(HistoricalStockProgress[[#This Row],[Cost of Shares]]/HistoricalStockProgress[[#This Row],[No. of Shares]],0)</f>
        <v>58.749088715157121</v>
      </c>
      <c r="H288" s="16" vm="835">
        <v>74.77</v>
      </c>
      <c r="I288" s="16">
        <f>IF(HistoricalStockProgress[[#This Row],[No. of Shares]]&lt;&gt;0,HistoricalStockProgress[[#This Row],[Price of Shares]]*HistoricalStockProgress[[#This Row],[No. of Shares]],0)</f>
        <v>5906.83</v>
      </c>
      <c r="J288" s="16">
        <f>IF(HistoricalStockProgress[[#This Row],[No. of Shares]]&lt;&gt;0,HistoricalStockProgress[[#This Row],[Price of Shares]]-HistoricalStockProgress[[#This Row],[Cost of Shares]]/HistoricalStockProgress[[#This Row],[No. of Shares]],0)</f>
        <v>16.020911284842875</v>
      </c>
      <c r="K288" s="17">
        <f>IF(HistoricalStockProgress[[#This Row],[Total Price of Shares]]&lt;&gt;0,HistoricalStockProgress[[#This Row],[Total Price of Shares]]-HistoricalStockProgress[[#This Row],[Cost of Shares]],0)</f>
        <v>1265.6519915025874</v>
      </c>
      <c r="L288" s="34" t="b" cm="1">
        <f t="array" ref="L288">IFERROR(IF(HistoricalStockProgress[[#This Row],[Price of Shares]]="",_xlfn.STOCKHISTORY(HistoricalStockProgress[[#This Row],[Full Company Name]],HistoricalStockProgress[[#This Row],[Date]],,2,0,1)),0)</f>
        <v>0</v>
      </c>
      <c r="M288" s="34">
        <f>YEAR(HistoricalStockProgress[[#This Row],[Date]])</f>
        <v>2017</v>
      </c>
      <c r="N288" s="34">
        <f>MONTH(HistoricalStockProgress[[#This Row],[Date]])</f>
        <v>8</v>
      </c>
    </row>
    <row r="289" spans="2:14">
      <c r="B289" s="15">
        <v>42978</v>
      </c>
      <c r="C289" s="34" t="s">
        <v>16</v>
      </c>
      <c r="D289" s="34" t="e" vm="12">
        <f>_xlfn.XLOOKUP(HistoricalStockProgress[[#This Row],[Company Ticker]],CompanyDetailsList[Company Ticker],CompanyDetailsList[Official Name],,0)</f>
        <v>#VALUE!</v>
      </c>
      <c r="E2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107</v>
      </c>
      <c r="F2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9097.0068259849722</v>
      </c>
      <c r="G289" s="17">
        <f>IFERROR(HistoricalStockProgress[[#This Row],[Cost of Shares]]/HistoricalStockProgress[[#This Row],[No. of Shares]],0)</f>
        <v>85.018755383037117</v>
      </c>
      <c r="H289" s="16" vm="836">
        <v>76.33</v>
      </c>
      <c r="I289" s="16">
        <f>IF(HistoricalStockProgress[[#This Row],[No. of Shares]]&lt;&gt;0,HistoricalStockProgress[[#This Row],[Price of Shares]]*HistoricalStockProgress[[#This Row],[No. of Shares]],0)</f>
        <v>8167.3099999999995</v>
      </c>
      <c r="J289" s="16">
        <f>IF(HistoricalStockProgress[[#This Row],[No. of Shares]]&lt;&gt;0,HistoricalStockProgress[[#This Row],[Price of Shares]]-HistoricalStockProgress[[#This Row],[Cost of Shares]]/HistoricalStockProgress[[#This Row],[No. of Shares]],0)</f>
        <v>-8.6887553830371189</v>
      </c>
      <c r="K289" s="17">
        <f>IF(HistoricalStockProgress[[#This Row],[Total Price of Shares]]&lt;&gt;0,HistoricalStockProgress[[#This Row],[Total Price of Shares]]-HistoricalStockProgress[[#This Row],[Cost of Shares]],0)</f>
        <v>-929.69682598497275</v>
      </c>
      <c r="L289" s="34" t="b" cm="1">
        <f t="array" ref="L289">IFERROR(IF(HistoricalStockProgress[[#This Row],[Price of Shares]]="",_xlfn.STOCKHISTORY(HistoricalStockProgress[[#This Row],[Full Company Name]],HistoricalStockProgress[[#This Row],[Date]],,2,0,1)),0)</f>
        <v>0</v>
      </c>
      <c r="M289" s="34">
        <f>YEAR(HistoricalStockProgress[[#This Row],[Date]])</f>
        <v>2017</v>
      </c>
      <c r="N289" s="34">
        <f>MONTH(HistoricalStockProgress[[#This Row],[Date]])</f>
        <v>8</v>
      </c>
    </row>
    <row r="290" spans="2:14">
      <c r="B290" s="15">
        <v>42978</v>
      </c>
      <c r="C290" s="34" t="s">
        <v>95</v>
      </c>
      <c r="D290" s="34" t="e" vm="13">
        <f>_xlfn.XLOOKUP(HistoricalStockProgress[[#This Row],[Company Ticker]],CompanyDetailsList[Company Ticker],CompanyDetailsList[Official Name],,0)</f>
        <v>#VALUE!</v>
      </c>
      <c r="E2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2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290" s="17">
        <f>IFERROR(HistoricalStockProgress[[#This Row],[Cost of Shares]]/HistoricalStockProgress[[#This Row],[No. of Shares]],0)</f>
        <v>143.29758396474452</v>
      </c>
      <c r="H290" s="16" vm="837">
        <v>149.87</v>
      </c>
      <c r="I290" s="16">
        <f>IF(HistoricalStockProgress[[#This Row],[No. of Shares]]&lt;&gt;0,HistoricalStockProgress[[#This Row],[Price of Shares]]*HistoricalStockProgress[[#This Row],[No. of Shares]],0)</f>
        <v>6444.41</v>
      </c>
      <c r="J290" s="16">
        <f>IF(HistoricalStockProgress[[#This Row],[No. of Shares]]&lt;&gt;0,HistoricalStockProgress[[#This Row],[Price of Shares]]-HistoricalStockProgress[[#This Row],[Cost of Shares]]/HistoricalStockProgress[[#This Row],[No. of Shares]],0)</f>
        <v>6.5724160352554861</v>
      </c>
      <c r="K290" s="17">
        <f>IF(HistoricalStockProgress[[#This Row],[Total Price of Shares]]&lt;&gt;0,HistoricalStockProgress[[#This Row],[Total Price of Shares]]-HistoricalStockProgress[[#This Row],[Cost of Shares]],0)</f>
        <v>282.61388951598565</v>
      </c>
      <c r="L290" s="34" t="b" cm="1">
        <f t="array" ref="L290">IFERROR(IF(HistoricalStockProgress[[#This Row],[Price of Shares]]="",_xlfn.STOCKHISTORY(HistoricalStockProgress[[#This Row],[Full Company Name]],HistoricalStockProgress[[#This Row],[Date]],,2,0,1)),0)</f>
        <v>0</v>
      </c>
      <c r="M290" s="34">
        <f>YEAR(HistoricalStockProgress[[#This Row],[Date]])</f>
        <v>2017</v>
      </c>
      <c r="N290" s="34">
        <f>MONTH(HistoricalStockProgress[[#This Row],[Date]])</f>
        <v>8</v>
      </c>
    </row>
    <row r="291" spans="2:14">
      <c r="B291" s="15">
        <v>42978</v>
      </c>
      <c r="C291" s="34" t="s">
        <v>17</v>
      </c>
      <c r="D291" s="34" t="e" vm="14">
        <f>_xlfn.XLOOKUP(HistoricalStockProgress[[#This Row],[Company Ticker]],CompanyDetailsList[Company Ticker],CompanyDetailsList[Official Name],,0)</f>
        <v>#VALUE!</v>
      </c>
      <c r="E2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v>
      </c>
      <c r="F2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2797.1749688808613</v>
      </c>
      <c r="G291" s="17">
        <f>IFERROR(HistoricalStockProgress[[#This Row],[Cost of Shares]]/HistoricalStockProgress[[#This Row],[No. of Shares]],0)</f>
        <v>155.39860938227008</v>
      </c>
      <c r="H291" s="16" vm="838">
        <v>143.03</v>
      </c>
      <c r="I291" s="16">
        <f>IF(HistoricalStockProgress[[#This Row],[No. of Shares]]&lt;&gt;0,HistoricalStockProgress[[#This Row],[Price of Shares]]*HistoricalStockProgress[[#This Row],[No. of Shares]],0)</f>
        <v>2574.54</v>
      </c>
      <c r="J291" s="16">
        <f>IF(HistoricalStockProgress[[#This Row],[No. of Shares]]&lt;&gt;0,HistoricalStockProgress[[#This Row],[Price of Shares]]-HistoricalStockProgress[[#This Row],[Cost of Shares]]/HistoricalStockProgress[[#This Row],[No. of Shares]],0)</f>
        <v>-12.36860938227008</v>
      </c>
      <c r="K291" s="17">
        <f>IF(HistoricalStockProgress[[#This Row],[Total Price of Shares]]&lt;&gt;0,HistoricalStockProgress[[#This Row],[Total Price of Shares]]-HistoricalStockProgress[[#This Row],[Cost of Shares]],0)</f>
        <v>-222.63496888086138</v>
      </c>
      <c r="L291" s="34" t="b" cm="1">
        <f t="array" ref="L291">IFERROR(IF(HistoricalStockProgress[[#This Row],[Price of Shares]]="",_xlfn.STOCKHISTORY(HistoricalStockProgress[[#This Row],[Full Company Name]],HistoricalStockProgress[[#This Row],[Date]],,2,0,1)),0)</f>
        <v>0</v>
      </c>
      <c r="M291" s="34">
        <f>YEAR(HistoricalStockProgress[[#This Row],[Date]])</f>
        <v>2017</v>
      </c>
      <c r="N291" s="34">
        <f>MONTH(HistoricalStockProgress[[#This Row],[Date]])</f>
        <v>8</v>
      </c>
    </row>
    <row r="292" spans="2:14">
      <c r="B292" s="15">
        <v>42978</v>
      </c>
      <c r="C292" s="34" t="s">
        <v>98</v>
      </c>
      <c r="D292" s="34" t="e" vm="15">
        <f>_xlfn.XLOOKUP(HistoricalStockProgress[[#This Row],[Company Ticker]],CompanyDetailsList[Company Ticker],CompanyDetailsList[Official Name],,0)</f>
        <v>#VALUE!</v>
      </c>
      <c r="E2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v>
      </c>
      <c r="F2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600.18351669052322</v>
      </c>
      <c r="G292" s="17">
        <f>IFERROR(HistoricalStockProgress[[#This Row],[Cost of Shares]]/HistoricalStockProgress[[#This Row],[No. of Shares]],0)</f>
        <v>35.304912746501365</v>
      </c>
      <c r="H292" s="16" vm="839">
        <v>37.627499999999998</v>
      </c>
      <c r="I292" s="16">
        <f>IF(HistoricalStockProgress[[#This Row],[No. of Shares]]&lt;&gt;0,HistoricalStockProgress[[#This Row],[Price of Shares]]*HistoricalStockProgress[[#This Row],[No. of Shares]],0)</f>
        <v>639.66750000000002</v>
      </c>
      <c r="J292" s="16">
        <f>IF(HistoricalStockProgress[[#This Row],[No. of Shares]]&lt;&gt;0,HistoricalStockProgress[[#This Row],[Price of Shares]]-HistoricalStockProgress[[#This Row],[Cost of Shares]]/HistoricalStockProgress[[#This Row],[No. of Shares]],0)</f>
        <v>2.3225872534986323</v>
      </c>
      <c r="K292" s="17">
        <f>IF(HistoricalStockProgress[[#This Row],[Total Price of Shares]]&lt;&gt;0,HistoricalStockProgress[[#This Row],[Total Price of Shares]]-HistoricalStockProgress[[#This Row],[Cost of Shares]],0)</f>
        <v>39.483983309476798</v>
      </c>
      <c r="L292" s="34" t="b" cm="1">
        <f t="array" ref="L292">IFERROR(IF(HistoricalStockProgress[[#This Row],[Price of Shares]]="",_xlfn.STOCKHISTORY(HistoricalStockProgress[[#This Row],[Full Company Name]],HistoricalStockProgress[[#This Row],[Date]],,2,0,1)),0)</f>
        <v>0</v>
      </c>
      <c r="M292" s="34">
        <f>YEAR(HistoricalStockProgress[[#This Row],[Date]])</f>
        <v>2017</v>
      </c>
      <c r="N292" s="34">
        <f>MONTH(HistoricalStockProgress[[#This Row],[Date]])</f>
        <v>8</v>
      </c>
    </row>
    <row r="293" spans="2:14">
      <c r="B293" s="15">
        <v>42978</v>
      </c>
      <c r="C293" s="34" t="s">
        <v>100</v>
      </c>
      <c r="D293" s="34" t="e" vm="16">
        <f>_xlfn.XLOOKUP(HistoricalStockProgress[[#This Row],[Company Ticker]],CompanyDetailsList[Company Ticker],CompanyDetailsList[Official Name],,0)</f>
        <v>#VALUE!</v>
      </c>
      <c r="E2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2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293" s="17">
        <f>IFERROR(HistoricalStockProgress[[#This Row],[Cost of Shares]]/HistoricalStockProgress[[#This Row],[No. of Shares]],0)</f>
        <v>84.509035134678101</v>
      </c>
      <c r="H293" s="16" vm="729">
        <v>87.3</v>
      </c>
      <c r="I293" s="16">
        <f>IF(HistoricalStockProgress[[#This Row],[No. of Shares]]&lt;&gt;0,HistoricalStockProgress[[#This Row],[Price of Shares]]*HistoricalStockProgress[[#This Row],[No. of Shares]],0)</f>
        <v>2880.9</v>
      </c>
      <c r="J293" s="16">
        <f>IF(HistoricalStockProgress[[#This Row],[No. of Shares]]&lt;&gt;0,HistoricalStockProgress[[#This Row],[Price of Shares]]-HistoricalStockProgress[[#This Row],[Cost of Shares]]/HistoricalStockProgress[[#This Row],[No. of Shares]],0)</f>
        <v>2.7909648653218966</v>
      </c>
      <c r="K293" s="17">
        <f>IF(HistoricalStockProgress[[#This Row],[Total Price of Shares]]&lt;&gt;0,HistoricalStockProgress[[#This Row],[Total Price of Shares]]-HistoricalStockProgress[[#This Row],[Cost of Shares]],0)</f>
        <v>92.101840555622857</v>
      </c>
      <c r="L293" s="34" t="b" cm="1">
        <f t="array" ref="L293">IFERROR(IF(HistoricalStockProgress[[#This Row],[Price of Shares]]="",_xlfn.STOCKHISTORY(HistoricalStockProgress[[#This Row],[Full Company Name]],HistoricalStockProgress[[#This Row],[Date]],,2,0,1)),0)</f>
        <v>0</v>
      </c>
      <c r="M293" s="34">
        <f>YEAR(HistoricalStockProgress[[#This Row],[Date]])</f>
        <v>2017</v>
      </c>
      <c r="N293" s="34">
        <f>MONTH(HistoricalStockProgress[[#This Row],[Date]])</f>
        <v>8</v>
      </c>
    </row>
    <row r="294" spans="2:14">
      <c r="B294" s="15">
        <v>42978</v>
      </c>
      <c r="C294" s="34" t="s">
        <v>15</v>
      </c>
      <c r="D294" s="34" t="e" vm="17">
        <f>_xlfn.XLOOKUP(HistoricalStockProgress[[#This Row],[Company Ticker]],CompanyDetailsList[Company Ticker],CompanyDetailsList[Official Name],,0)</f>
        <v>#VALUE!</v>
      </c>
      <c r="E2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2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294" s="17">
        <f>IFERROR(HistoricalStockProgress[[#This Row],[Cost of Shares]]/HistoricalStockProgress[[#This Row],[No. of Shares]],0)</f>
        <v>26.481400454992627</v>
      </c>
      <c r="H294" s="16" vm="840">
        <v>28.289000000000001</v>
      </c>
      <c r="I294" s="16">
        <f>IF(HistoricalStockProgress[[#This Row],[No. of Shares]]&lt;&gt;0,HistoricalStockProgress[[#This Row],[Price of Shares]]*HistoricalStockProgress[[#This Row],[No. of Shares]],0)</f>
        <v>2715.7440000000001</v>
      </c>
      <c r="J294" s="16">
        <f>IF(HistoricalStockProgress[[#This Row],[No. of Shares]]&lt;&gt;0,HistoricalStockProgress[[#This Row],[Price of Shares]]-HistoricalStockProgress[[#This Row],[Cost of Shares]]/HistoricalStockProgress[[#This Row],[No. of Shares]],0)</f>
        <v>1.8075995450073741</v>
      </c>
      <c r="K294" s="17">
        <f>IF(HistoricalStockProgress[[#This Row],[Total Price of Shares]]&lt;&gt;0,HistoricalStockProgress[[#This Row],[Total Price of Shares]]-HistoricalStockProgress[[#This Row],[Cost of Shares]],0)</f>
        <v>173.5295563207078</v>
      </c>
      <c r="L294" s="34" t="b" cm="1">
        <f t="array" ref="L294">IFERROR(IF(HistoricalStockProgress[[#This Row],[Price of Shares]]="",_xlfn.STOCKHISTORY(HistoricalStockProgress[[#This Row],[Full Company Name]],HistoricalStockProgress[[#This Row],[Date]],,2,0,1)),0)</f>
        <v>0</v>
      </c>
      <c r="M294" s="34">
        <f>YEAR(HistoricalStockProgress[[#This Row],[Date]])</f>
        <v>2017</v>
      </c>
      <c r="N294" s="34">
        <f>MONTH(HistoricalStockProgress[[#This Row],[Date]])</f>
        <v>8</v>
      </c>
    </row>
    <row r="295" spans="2:14">
      <c r="B295" s="15">
        <v>42978</v>
      </c>
      <c r="C295" s="34" t="s">
        <v>13</v>
      </c>
      <c r="D295" s="34" t="e" vm="18">
        <f>_xlfn.XLOOKUP(HistoricalStockProgress[[#This Row],[Company Ticker]],CompanyDetailsList[Company Ticker],CompanyDetailsList[Official Name],,0)</f>
        <v>#VALUE!</v>
      </c>
      <c r="E2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2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295" s="17">
        <f>IFERROR(HistoricalStockProgress[[#This Row],[Cost of Shares]]/HistoricalStockProgress[[#This Row],[No. of Shares]],0)</f>
        <v>31.383479678650293</v>
      </c>
      <c r="H295" s="16" vm="792">
        <v>32.154499999999999</v>
      </c>
      <c r="I295" s="16">
        <f>IF(HistoricalStockProgress[[#This Row],[No. of Shares]]&lt;&gt;0,HistoricalStockProgress[[#This Row],[Price of Shares]]*HistoricalStockProgress[[#This Row],[No. of Shares]],0)</f>
        <v>803.86249999999995</v>
      </c>
      <c r="J295" s="16">
        <f>IF(HistoricalStockProgress[[#This Row],[No. of Shares]]&lt;&gt;0,HistoricalStockProgress[[#This Row],[Price of Shares]]-HistoricalStockProgress[[#This Row],[Cost of Shares]]/HistoricalStockProgress[[#This Row],[No. of Shares]],0)</f>
        <v>0.77102032134970599</v>
      </c>
      <c r="K295" s="17">
        <f>IF(HistoricalStockProgress[[#This Row],[Total Price of Shares]]&lt;&gt;0,HistoricalStockProgress[[#This Row],[Total Price of Shares]]-HistoricalStockProgress[[#This Row],[Cost of Shares]],0)</f>
        <v>19.275508033742653</v>
      </c>
      <c r="L295" s="34" t="b" cm="1">
        <f t="array" ref="L295">IFERROR(IF(HistoricalStockProgress[[#This Row],[Price of Shares]]="",_xlfn.STOCKHISTORY(HistoricalStockProgress[[#This Row],[Full Company Name]],HistoricalStockProgress[[#This Row],[Date]],,2,0,1)),0)</f>
        <v>0</v>
      </c>
      <c r="M295" s="34">
        <f>YEAR(HistoricalStockProgress[[#This Row],[Date]])</f>
        <v>2017</v>
      </c>
      <c r="N295" s="34">
        <f>MONTH(HistoricalStockProgress[[#This Row],[Date]])</f>
        <v>8</v>
      </c>
    </row>
    <row r="296" spans="2:14">
      <c r="B296" s="15">
        <v>42978</v>
      </c>
      <c r="C296" s="34" t="s">
        <v>20</v>
      </c>
      <c r="D296" s="34" t="e" vm="19">
        <f>_xlfn.XLOOKUP(HistoricalStockProgress[[#This Row],[Company Ticker]],CompanyDetailsList[Company Ticker],CompanyDetailsList[Official Name],,0)</f>
        <v>#VALUE!</v>
      </c>
      <c r="E2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2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1854.4807473772971</v>
      </c>
      <c r="G296" s="17">
        <f>IFERROR(HistoricalStockProgress[[#This Row],[Cost of Shares]]/HistoricalStockProgress[[#This Row],[No. of Shares]],0)</f>
        <v>74.179229895091879</v>
      </c>
      <c r="H296" s="16" vm="841">
        <v>90.89</v>
      </c>
      <c r="I296" s="16">
        <f>IF(HistoricalStockProgress[[#This Row],[No. of Shares]]&lt;&gt;0,HistoricalStockProgress[[#This Row],[Price of Shares]]*HistoricalStockProgress[[#This Row],[No. of Shares]],0)</f>
        <v>2272.25</v>
      </c>
      <c r="J296" s="16">
        <f>IF(HistoricalStockProgress[[#This Row],[No. of Shares]]&lt;&gt;0,HistoricalStockProgress[[#This Row],[Price of Shares]]-HistoricalStockProgress[[#This Row],[Cost of Shares]]/HistoricalStockProgress[[#This Row],[No. of Shares]],0)</f>
        <v>16.710770104908121</v>
      </c>
      <c r="K296" s="17">
        <f>IF(HistoricalStockProgress[[#This Row],[Total Price of Shares]]&lt;&gt;0,HistoricalStockProgress[[#This Row],[Total Price of Shares]]-HistoricalStockProgress[[#This Row],[Cost of Shares]],0)</f>
        <v>417.76925262270288</v>
      </c>
      <c r="L296" s="34" t="b" cm="1">
        <f t="array" ref="L296">IFERROR(IF(HistoricalStockProgress[[#This Row],[Price of Shares]]="",_xlfn.STOCKHISTORY(HistoricalStockProgress[[#This Row],[Full Company Name]],HistoricalStockProgress[[#This Row],[Date]],,2,0,1)),0)</f>
        <v>0</v>
      </c>
      <c r="M296" s="34">
        <f>YEAR(HistoricalStockProgress[[#This Row],[Date]])</f>
        <v>2017</v>
      </c>
      <c r="N296" s="34">
        <f>MONTH(HistoricalStockProgress[[#This Row],[Date]])</f>
        <v>8</v>
      </c>
    </row>
    <row r="297" spans="2:14">
      <c r="B297" s="15">
        <v>42978</v>
      </c>
      <c r="C297" s="34" t="s">
        <v>106</v>
      </c>
      <c r="D297" s="34" t="e" vm="20">
        <f>_xlfn.XLOOKUP(HistoricalStockProgress[[#This Row],[Company Ticker]],CompanyDetailsList[Company Ticker],CompanyDetailsList[Official Name],,0)</f>
        <v>#VALUE!</v>
      </c>
      <c r="E2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2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297" s="17">
        <f>IFERROR(HistoricalStockProgress[[#This Row],[Cost of Shares]]/HistoricalStockProgress[[#This Row],[No. of Shares]],0)</f>
        <v>104.71316390485761</v>
      </c>
      <c r="H297" s="16" vm="842">
        <v>104.32</v>
      </c>
      <c r="I297" s="16">
        <f>IF(HistoricalStockProgress[[#This Row],[No. of Shares]]&lt;&gt;0,HistoricalStockProgress[[#This Row],[Price of Shares]]*HistoricalStockProgress[[#This Row],[No. of Shares]],0)</f>
        <v>3651.2</v>
      </c>
      <c r="J297" s="16">
        <f>IF(HistoricalStockProgress[[#This Row],[No. of Shares]]&lt;&gt;0,HistoricalStockProgress[[#This Row],[Price of Shares]]-HistoricalStockProgress[[#This Row],[Cost of Shares]]/HistoricalStockProgress[[#This Row],[No. of Shares]],0)</f>
        <v>-0.39316390485761588</v>
      </c>
      <c r="K297" s="17">
        <f>IF(HistoricalStockProgress[[#This Row],[Total Price of Shares]]&lt;&gt;0,HistoricalStockProgress[[#This Row],[Total Price of Shares]]-HistoricalStockProgress[[#This Row],[Cost of Shares]],0)</f>
        <v>-13.76073667001674</v>
      </c>
      <c r="L297" s="34" t="b" cm="1">
        <f t="array" ref="L297">IFERROR(IF(HistoricalStockProgress[[#This Row],[Price of Shares]]="",_xlfn.STOCKHISTORY(HistoricalStockProgress[[#This Row],[Full Company Name]],HistoricalStockProgress[[#This Row],[Date]],,2,0,1)),0)</f>
        <v>0</v>
      </c>
      <c r="M297" s="34">
        <f>YEAR(HistoricalStockProgress[[#This Row],[Date]])</f>
        <v>2017</v>
      </c>
      <c r="N297" s="34">
        <f>MONTH(HistoricalStockProgress[[#This Row],[Date]])</f>
        <v>8</v>
      </c>
    </row>
    <row r="298" spans="2:14">
      <c r="B298" s="15">
        <v>43008</v>
      </c>
      <c r="C298" s="34" t="s">
        <v>12</v>
      </c>
      <c r="D298" s="34" t="e" vm="1">
        <f>_xlfn.XLOOKUP(HistoricalStockProgress[[#This Row],[Company Ticker]],CompanyDetailsList[Company Ticker],CompanyDetailsList[Official Name],,0)</f>
        <v>#VALUE!</v>
      </c>
      <c r="E2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2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298" s="17">
        <f>IFERROR(HistoricalStockProgress[[#This Row],[Cost of Shares]]/HistoricalStockProgress[[#This Row],[No. of Shares]],0)</f>
        <v>57.188485025896703</v>
      </c>
      <c r="H298" s="16" vm="843">
        <v>57.19</v>
      </c>
      <c r="I298" s="16">
        <f>IF(HistoricalStockProgress[[#This Row],[No. of Shares]]&lt;&gt;0,HistoricalStockProgress[[#This Row],[Price of Shares]]*HistoricalStockProgress[[#This Row],[No. of Shares]],0)</f>
        <v>343.14</v>
      </c>
      <c r="J298" s="16">
        <f>IF(HistoricalStockProgress[[#This Row],[No. of Shares]]&lt;&gt;0,HistoricalStockProgress[[#This Row],[Price of Shares]]-HistoricalStockProgress[[#This Row],[Cost of Shares]]/HistoricalStockProgress[[#This Row],[No. of Shares]],0)</f>
        <v>1.5149741032942643E-3</v>
      </c>
      <c r="K298" s="17">
        <f>IF(HistoricalStockProgress[[#This Row],[Total Price of Shares]]&lt;&gt;0,HistoricalStockProgress[[#This Row],[Total Price of Shares]]-HistoricalStockProgress[[#This Row],[Cost of Shares]],0)</f>
        <v>9.0898446197797966E-3</v>
      </c>
      <c r="L298" s="34" t="b" cm="1">
        <f t="array" ref="L298">IFERROR(IF(HistoricalStockProgress[[#This Row],[Price of Shares]]="",_xlfn.STOCKHISTORY(HistoricalStockProgress[[#This Row],[Full Company Name]],HistoricalStockProgress[[#This Row],[Date]],,2,0,1)),0)</f>
        <v>0</v>
      </c>
      <c r="M298" s="34">
        <f>YEAR(HistoricalStockProgress[[#This Row],[Date]])</f>
        <v>2017</v>
      </c>
      <c r="N298" s="34">
        <f>MONTH(HistoricalStockProgress[[#This Row],[Date]])</f>
        <v>9</v>
      </c>
    </row>
    <row r="299" spans="2:14">
      <c r="B299" s="15">
        <v>43008</v>
      </c>
      <c r="C299" s="34" t="s">
        <v>84</v>
      </c>
      <c r="D299" s="34" t="e" vm="7">
        <f>_xlfn.XLOOKUP(HistoricalStockProgress[[#This Row],[Company Ticker]],CompanyDetailsList[Company Ticker],CompanyDetailsList[Official Name],,0)</f>
        <v>#VALUE!</v>
      </c>
      <c r="E2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2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299" s="17">
        <f>IFERROR(HistoricalStockProgress[[#This Row],[Cost of Shares]]/HistoricalStockProgress[[#This Row],[No. of Shares]],0)</f>
        <v>104.18087504950869</v>
      </c>
      <c r="H299" s="16" vm="844">
        <v>130.01</v>
      </c>
      <c r="I299" s="16">
        <f>IF(HistoricalStockProgress[[#This Row],[No. of Shares]]&lt;&gt;0,HistoricalStockProgress[[#This Row],[Price of Shares]]*HistoricalStockProgress[[#This Row],[No. of Shares]],0)</f>
        <v>6630.5099999999993</v>
      </c>
      <c r="J299" s="16">
        <f>IF(HistoricalStockProgress[[#This Row],[No. of Shares]]&lt;&gt;0,HistoricalStockProgress[[#This Row],[Price of Shares]]-HistoricalStockProgress[[#This Row],[Cost of Shares]]/HistoricalStockProgress[[#This Row],[No. of Shares]],0)</f>
        <v>25.829124950491305</v>
      </c>
      <c r="K299" s="17">
        <f>IF(HistoricalStockProgress[[#This Row],[Total Price of Shares]]&lt;&gt;0,HistoricalStockProgress[[#This Row],[Total Price of Shares]]-HistoricalStockProgress[[#This Row],[Cost of Shares]],0)</f>
        <v>1317.2853724750566</v>
      </c>
      <c r="L299" s="34" t="b" cm="1">
        <f t="array" ref="L299">IFERROR(IF(HistoricalStockProgress[[#This Row],[Price of Shares]]="",_xlfn.STOCKHISTORY(HistoricalStockProgress[[#This Row],[Full Company Name]],HistoricalStockProgress[[#This Row],[Date]],,2,0,1)),0)</f>
        <v>0</v>
      </c>
      <c r="M299" s="34">
        <f>YEAR(HistoricalStockProgress[[#This Row],[Date]])</f>
        <v>2017</v>
      </c>
      <c r="N299" s="34">
        <f>MONTH(HistoricalStockProgress[[#This Row],[Date]])</f>
        <v>9</v>
      </c>
    </row>
    <row r="300" spans="2:14">
      <c r="B300" s="15">
        <v>43008</v>
      </c>
      <c r="C300" s="34" t="s">
        <v>86</v>
      </c>
      <c r="D300" s="34" t="e" vm="8">
        <f>_xlfn.XLOOKUP(HistoricalStockProgress[[#This Row],[Company Ticker]],CompanyDetailsList[Company Ticker],CompanyDetailsList[Official Name],,0)</f>
        <v>#VALUE!</v>
      </c>
      <c r="E3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31</v>
      </c>
      <c r="F3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1940.995245840923</v>
      </c>
      <c r="G300" s="17">
        <f>IFERROR(HistoricalStockProgress[[#This Row],[Cost of Shares]]/HistoricalStockProgress[[#This Row],[No. of Shares]],0)</f>
        <v>62.612749865836221</v>
      </c>
      <c r="H300" s="16" vm="845">
        <v>88.86</v>
      </c>
      <c r="I300" s="16">
        <f>IF(HistoricalStockProgress[[#This Row],[No. of Shares]]&lt;&gt;0,HistoricalStockProgress[[#This Row],[Price of Shares]]*HistoricalStockProgress[[#This Row],[No. of Shares]],0)</f>
        <v>2754.66</v>
      </c>
      <c r="J300" s="16">
        <f>IF(HistoricalStockProgress[[#This Row],[No. of Shares]]&lt;&gt;0,HistoricalStockProgress[[#This Row],[Price of Shares]]-HistoricalStockProgress[[#This Row],[Cost of Shares]]/HistoricalStockProgress[[#This Row],[No. of Shares]],0)</f>
        <v>26.247250134163778</v>
      </c>
      <c r="K300" s="17">
        <f>IF(HistoricalStockProgress[[#This Row],[Total Price of Shares]]&lt;&gt;0,HistoricalStockProgress[[#This Row],[Total Price of Shares]]-HistoricalStockProgress[[#This Row],[Cost of Shares]],0)</f>
        <v>813.66475415907689</v>
      </c>
      <c r="L300" s="34" t="b" cm="1">
        <f t="array" ref="L300">IFERROR(IF(HistoricalStockProgress[[#This Row],[Price of Shares]]="",_xlfn.STOCKHISTORY(HistoricalStockProgress[[#This Row],[Full Company Name]],HistoricalStockProgress[[#This Row],[Date]],,2,0,1)),0)</f>
        <v>0</v>
      </c>
      <c r="M300" s="34">
        <f>YEAR(HistoricalStockProgress[[#This Row],[Date]])</f>
        <v>2017</v>
      </c>
      <c r="N300" s="34">
        <f>MONTH(HistoricalStockProgress[[#This Row],[Date]])</f>
        <v>9</v>
      </c>
    </row>
    <row r="301" spans="2:14">
      <c r="B301" s="15">
        <v>43008</v>
      </c>
      <c r="C301" s="34" t="s">
        <v>22</v>
      </c>
      <c r="D301" s="34" t="e" vm="10">
        <f>_xlfn.XLOOKUP(HistoricalStockProgress[[#This Row],[Company Ticker]],CompanyDetailsList[Company Ticker],CompanyDetailsList[Official Name],,0)</f>
        <v>#VALUE!</v>
      </c>
      <c r="E3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3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301" s="17">
        <f>IFERROR(HistoricalStockProgress[[#This Row],[Cost of Shares]]/HistoricalStockProgress[[#This Row],[No. of Shares]],0)</f>
        <v>83.61275075159574</v>
      </c>
      <c r="H301" s="16" vm="846">
        <v>124.71</v>
      </c>
      <c r="I301" s="16">
        <f>IF(HistoricalStockProgress[[#This Row],[No. of Shares]]&lt;&gt;0,HistoricalStockProgress[[#This Row],[Price of Shares]]*HistoricalStockProgress[[#This Row],[No. of Shares]],0)</f>
        <v>7607.3099999999995</v>
      </c>
      <c r="J301" s="16">
        <f>IF(HistoricalStockProgress[[#This Row],[No. of Shares]]&lt;&gt;0,HistoricalStockProgress[[#This Row],[Price of Shares]]-HistoricalStockProgress[[#This Row],[Cost of Shares]]/HistoricalStockProgress[[#This Row],[No. of Shares]],0)</f>
        <v>41.097249248404253</v>
      </c>
      <c r="K301" s="17">
        <f>IF(HistoricalStockProgress[[#This Row],[Total Price of Shares]]&lt;&gt;0,HistoricalStockProgress[[#This Row],[Total Price of Shares]]-HistoricalStockProgress[[#This Row],[Cost of Shares]],0)</f>
        <v>2506.9322041526593</v>
      </c>
      <c r="L301" s="34" t="b" cm="1">
        <f t="array" ref="L301">IFERROR(IF(HistoricalStockProgress[[#This Row],[Price of Shares]]="",_xlfn.STOCKHISTORY(HistoricalStockProgress[[#This Row],[Full Company Name]],HistoricalStockProgress[[#This Row],[Date]],,2,0,1)),0)</f>
        <v>0</v>
      </c>
      <c r="M301" s="34">
        <f>YEAR(HistoricalStockProgress[[#This Row],[Date]])</f>
        <v>2017</v>
      </c>
      <c r="N301" s="34">
        <f>MONTH(HistoricalStockProgress[[#This Row],[Date]])</f>
        <v>9</v>
      </c>
    </row>
    <row r="302" spans="2:14">
      <c r="B302" s="15">
        <v>43008</v>
      </c>
      <c r="C302" s="34" t="s">
        <v>91</v>
      </c>
      <c r="D302" s="34" t="e" vm="11">
        <f>_xlfn.XLOOKUP(HistoricalStockProgress[[#This Row],[Company Ticker]],CompanyDetailsList[Company Ticker],CompanyDetailsList[Official Name],,0)</f>
        <v>#VALUE!</v>
      </c>
      <c r="E3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3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4641.1780084974125</v>
      </c>
      <c r="G302" s="17">
        <f>IFERROR(HistoricalStockProgress[[#This Row],[Cost of Shares]]/HistoricalStockProgress[[#This Row],[No. of Shares]],0)</f>
        <v>58.749088715157121</v>
      </c>
      <c r="H302" s="16" vm="847">
        <v>74.489999999999995</v>
      </c>
      <c r="I302" s="16">
        <f>IF(HistoricalStockProgress[[#This Row],[No. of Shares]]&lt;&gt;0,HistoricalStockProgress[[#This Row],[Price of Shares]]*HistoricalStockProgress[[#This Row],[No. of Shares]],0)</f>
        <v>5884.71</v>
      </c>
      <c r="J302" s="16">
        <f>IF(HistoricalStockProgress[[#This Row],[No. of Shares]]&lt;&gt;0,HistoricalStockProgress[[#This Row],[Price of Shares]]-HistoricalStockProgress[[#This Row],[Cost of Shares]]/HistoricalStockProgress[[#This Row],[No. of Shares]],0)</f>
        <v>15.740911284842873</v>
      </c>
      <c r="K302" s="17">
        <f>IF(HistoricalStockProgress[[#This Row],[Total Price of Shares]]&lt;&gt;0,HistoricalStockProgress[[#This Row],[Total Price of Shares]]-HistoricalStockProgress[[#This Row],[Cost of Shares]],0)</f>
        <v>1243.5319915025875</v>
      </c>
      <c r="L302" s="34" t="b" cm="1">
        <f t="array" ref="L302">IFERROR(IF(HistoricalStockProgress[[#This Row],[Price of Shares]]="",_xlfn.STOCKHISTORY(HistoricalStockProgress[[#This Row],[Full Company Name]],HistoricalStockProgress[[#This Row],[Date]],,2,0,1)),0)</f>
        <v>0</v>
      </c>
      <c r="M302" s="34">
        <f>YEAR(HistoricalStockProgress[[#This Row],[Date]])</f>
        <v>2017</v>
      </c>
      <c r="N302" s="34">
        <f>MONTH(HistoricalStockProgress[[#This Row],[Date]])</f>
        <v>9</v>
      </c>
    </row>
    <row r="303" spans="2:14">
      <c r="B303" s="15">
        <v>43008</v>
      </c>
      <c r="C303" s="34" t="s">
        <v>16</v>
      </c>
      <c r="D303" s="34" t="e" vm="12">
        <f>_xlfn.XLOOKUP(HistoricalStockProgress[[#This Row],[Company Ticker]],CompanyDetailsList[Company Ticker],CompanyDetailsList[Official Name],,0)</f>
        <v>#VALUE!</v>
      </c>
      <c r="E3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107</v>
      </c>
      <c r="F3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9097.0068259849722</v>
      </c>
      <c r="G303" s="17">
        <f>IFERROR(HistoricalStockProgress[[#This Row],[Cost of Shares]]/HistoricalStockProgress[[#This Row],[No. of Shares]],0)</f>
        <v>85.018755383037117</v>
      </c>
      <c r="H303" s="16" vm="848">
        <v>81.98</v>
      </c>
      <c r="I303" s="16">
        <f>IF(HistoricalStockProgress[[#This Row],[No. of Shares]]&lt;&gt;0,HistoricalStockProgress[[#This Row],[Price of Shares]]*HistoricalStockProgress[[#This Row],[No. of Shares]],0)</f>
        <v>8771.86</v>
      </c>
      <c r="J303" s="16">
        <f>IF(HistoricalStockProgress[[#This Row],[No. of Shares]]&lt;&gt;0,HistoricalStockProgress[[#This Row],[Price of Shares]]-HistoricalStockProgress[[#This Row],[Cost of Shares]]/HistoricalStockProgress[[#This Row],[No. of Shares]],0)</f>
        <v>-3.0387553830371132</v>
      </c>
      <c r="K303" s="17">
        <f>IF(HistoricalStockProgress[[#This Row],[Total Price of Shares]]&lt;&gt;0,HistoricalStockProgress[[#This Row],[Total Price of Shares]]-HistoricalStockProgress[[#This Row],[Cost of Shares]],0)</f>
        <v>-325.14682598497166</v>
      </c>
      <c r="L303" s="34" t="b" cm="1">
        <f t="array" ref="L303">IFERROR(IF(HistoricalStockProgress[[#This Row],[Price of Shares]]="",_xlfn.STOCKHISTORY(HistoricalStockProgress[[#This Row],[Full Company Name]],HistoricalStockProgress[[#This Row],[Date]],,2,0,1)),0)</f>
        <v>0</v>
      </c>
      <c r="M303" s="34">
        <f>YEAR(HistoricalStockProgress[[#This Row],[Date]])</f>
        <v>2017</v>
      </c>
      <c r="N303" s="34">
        <f>MONTH(HistoricalStockProgress[[#This Row],[Date]])</f>
        <v>9</v>
      </c>
    </row>
    <row r="304" spans="2:14">
      <c r="B304" s="15">
        <v>43008</v>
      </c>
      <c r="C304" s="34" t="s">
        <v>95</v>
      </c>
      <c r="D304" s="34" t="e" vm="13">
        <f>_xlfn.XLOOKUP(HistoricalStockProgress[[#This Row],[Company Ticker]],CompanyDetailsList[Company Ticker],CompanyDetailsList[Official Name],,0)</f>
        <v>#VALUE!</v>
      </c>
      <c r="E3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3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304" s="17">
        <f>IFERROR(HistoricalStockProgress[[#This Row],[Cost of Shares]]/HistoricalStockProgress[[#This Row],[No. of Shares]],0)</f>
        <v>143.29758396474452</v>
      </c>
      <c r="H304" s="16" vm="849">
        <v>163.56</v>
      </c>
      <c r="I304" s="16">
        <f>IF(HistoricalStockProgress[[#This Row],[No. of Shares]]&lt;&gt;0,HistoricalStockProgress[[#This Row],[Price of Shares]]*HistoricalStockProgress[[#This Row],[No. of Shares]],0)</f>
        <v>7033.08</v>
      </c>
      <c r="J304" s="16">
        <f>IF(HistoricalStockProgress[[#This Row],[No. of Shares]]&lt;&gt;0,HistoricalStockProgress[[#This Row],[Price of Shares]]-HistoricalStockProgress[[#This Row],[Cost of Shares]]/HistoricalStockProgress[[#This Row],[No. of Shares]],0)</f>
        <v>20.262416035255484</v>
      </c>
      <c r="K304" s="17">
        <f>IF(HistoricalStockProgress[[#This Row],[Total Price of Shares]]&lt;&gt;0,HistoricalStockProgress[[#This Row],[Total Price of Shares]]-HistoricalStockProgress[[#This Row],[Cost of Shares]],0)</f>
        <v>871.28388951598572</v>
      </c>
      <c r="L304" s="34" t="b" cm="1">
        <f t="array" ref="L304">IFERROR(IF(HistoricalStockProgress[[#This Row],[Price of Shares]]="",_xlfn.STOCKHISTORY(HistoricalStockProgress[[#This Row],[Full Company Name]],HistoricalStockProgress[[#This Row],[Date]],,2,0,1)),0)</f>
        <v>0</v>
      </c>
      <c r="M304" s="34">
        <f>YEAR(HistoricalStockProgress[[#This Row],[Date]])</f>
        <v>2017</v>
      </c>
      <c r="N304" s="34">
        <f>MONTH(HistoricalStockProgress[[#This Row],[Date]])</f>
        <v>9</v>
      </c>
    </row>
    <row r="305" spans="2:14">
      <c r="B305" s="15">
        <v>43008</v>
      </c>
      <c r="C305" s="34" t="s">
        <v>17</v>
      </c>
      <c r="D305" s="34" t="e" vm="14">
        <f>_xlfn.XLOOKUP(HistoricalStockProgress[[#This Row],[Company Ticker]],CompanyDetailsList[Company Ticker],CompanyDetailsList[Official Name],,0)</f>
        <v>#VALUE!</v>
      </c>
      <c r="E3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v>
      </c>
      <c r="F3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2797.1749688808613</v>
      </c>
      <c r="G305" s="17">
        <f>IFERROR(HistoricalStockProgress[[#This Row],[Cost of Shares]]/HistoricalStockProgress[[#This Row],[No. of Shares]],0)</f>
        <v>155.39860938227008</v>
      </c>
      <c r="H305" s="16" vm="850">
        <v>145.08000000000001</v>
      </c>
      <c r="I305" s="16">
        <f>IF(HistoricalStockProgress[[#This Row],[No. of Shares]]&lt;&gt;0,HistoricalStockProgress[[#This Row],[Price of Shares]]*HistoricalStockProgress[[#This Row],[No. of Shares]],0)</f>
        <v>2611.44</v>
      </c>
      <c r="J305" s="16">
        <f>IF(HistoricalStockProgress[[#This Row],[No. of Shares]]&lt;&gt;0,HistoricalStockProgress[[#This Row],[Price of Shares]]-HistoricalStockProgress[[#This Row],[Cost of Shares]]/HistoricalStockProgress[[#This Row],[No. of Shares]],0)</f>
        <v>-10.318609382270068</v>
      </c>
      <c r="K305" s="17">
        <f>IF(HistoricalStockProgress[[#This Row],[Total Price of Shares]]&lt;&gt;0,HistoricalStockProgress[[#This Row],[Total Price of Shares]]-HistoricalStockProgress[[#This Row],[Cost of Shares]],0)</f>
        <v>-185.73496888086129</v>
      </c>
      <c r="L305" s="34" t="b" cm="1">
        <f t="array" ref="L305">IFERROR(IF(HistoricalStockProgress[[#This Row],[Price of Shares]]="",_xlfn.STOCKHISTORY(HistoricalStockProgress[[#This Row],[Full Company Name]],HistoricalStockProgress[[#This Row],[Date]],,2,0,1)),0)</f>
        <v>0</v>
      </c>
      <c r="M305" s="34">
        <f>YEAR(HistoricalStockProgress[[#This Row],[Date]])</f>
        <v>2017</v>
      </c>
      <c r="N305" s="34">
        <f>MONTH(HistoricalStockProgress[[#This Row],[Date]])</f>
        <v>9</v>
      </c>
    </row>
    <row r="306" spans="2:14">
      <c r="B306" s="15">
        <v>43008</v>
      </c>
      <c r="C306" s="34" t="s">
        <v>98</v>
      </c>
      <c r="D306" s="34" t="e" vm="15">
        <f>_xlfn.XLOOKUP(HistoricalStockProgress[[#This Row],[Company Ticker]],CompanyDetailsList[Company Ticker],CompanyDetailsList[Official Name],,0)</f>
        <v>#VALUE!</v>
      </c>
      <c r="E3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v>
      </c>
      <c r="F3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600.18351669052322</v>
      </c>
      <c r="G306" s="17">
        <f>IFERROR(HistoricalStockProgress[[#This Row],[Cost of Shares]]/HistoricalStockProgress[[#This Row],[No. of Shares]],0)</f>
        <v>35.304912746501365</v>
      </c>
      <c r="H306" s="16" vm="851">
        <v>36.637500000000003</v>
      </c>
      <c r="I306" s="16">
        <f>IF(HistoricalStockProgress[[#This Row],[No. of Shares]]&lt;&gt;0,HistoricalStockProgress[[#This Row],[Price of Shares]]*HistoricalStockProgress[[#This Row],[No. of Shares]],0)</f>
        <v>622.83750000000009</v>
      </c>
      <c r="J306" s="16">
        <f>IF(HistoricalStockProgress[[#This Row],[No. of Shares]]&lt;&gt;0,HistoricalStockProgress[[#This Row],[Price of Shares]]-HistoricalStockProgress[[#This Row],[Cost of Shares]]/HistoricalStockProgress[[#This Row],[No. of Shares]],0)</f>
        <v>1.3325872534986374</v>
      </c>
      <c r="K306" s="17">
        <f>IF(HistoricalStockProgress[[#This Row],[Total Price of Shares]]&lt;&gt;0,HistoricalStockProgress[[#This Row],[Total Price of Shares]]-HistoricalStockProgress[[#This Row],[Cost of Shares]],0)</f>
        <v>22.653983309476871</v>
      </c>
      <c r="L306" s="34" t="b" cm="1">
        <f t="array" ref="L306">IFERROR(IF(HistoricalStockProgress[[#This Row],[Price of Shares]]="",_xlfn.STOCKHISTORY(HistoricalStockProgress[[#This Row],[Full Company Name]],HistoricalStockProgress[[#This Row],[Date]],,2,0,1)),0)</f>
        <v>0</v>
      </c>
      <c r="M306" s="34">
        <f>YEAR(HistoricalStockProgress[[#This Row],[Date]])</f>
        <v>2017</v>
      </c>
      <c r="N306" s="34">
        <f>MONTH(HistoricalStockProgress[[#This Row],[Date]])</f>
        <v>9</v>
      </c>
    </row>
    <row r="307" spans="2:14">
      <c r="B307" s="15">
        <v>43008</v>
      </c>
      <c r="C307" s="34" t="s">
        <v>100</v>
      </c>
      <c r="D307" s="34" t="e" vm="16">
        <f>_xlfn.XLOOKUP(HistoricalStockProgress[[#This Row],[Company Ticker]],CompanyDetailsList[Company Ticker],CompanyDetailsList[Official Name],,0)</f>
        <v>#VALUE!</v>
      </c>
      <c r="E3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3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307" s="17">
        <f>IFERROR(HistoricalStockProgress[[#This Row],[Cost of Shares]]/HistoricalStockProgress[[#This Row],[No. of Shares]],0)</f>
        <v>84.509035134678101</v>
      </c>
      <c r="H307" s="16" vm="852">
        <v>83.92</v>
      </c>
      <c r="I307" s="16">
        <f>IF(HistoricalStockProgress[[#This Row],[No. of Shares]]&lt;&gt;0,HistoricalStockProgress[[#This Row],[Price of Shares]]*HistoricalStockProgress[[#This Row],[No. of Shares]],0)</f>
        <v>2769.36</v>
      </c>
      <c r="J307" s="16">
        <f>IF(HistoricalStockProgress[[#This Row],[No. of Shares]]&lt;&gt;0,HistoricalStockProgress[[#This Row],[Price of Shares]]-HistoricalStockProgress[[#This Row],[Cost of Shares]]/HistoricalStockProgress[[#This Row],[No. of Shares]],0)</f>
        <v>-0.58903513467809887</v>
      </c>
      <c r="K307" s="17">
        <f>IF(HistoricalStockProgress[[#This Row],[Total Price of Shares]]&lt;&gt;0,HistoricalStockProgress[[#This Row],[Total Price of Shares]]-HistoricalStockProgress[[#This Row],[Cost of Shares]],0)</f>
        <v>-19.438159444377106</v>
      </c>
      <c r="L307" s="34" t="b" cm="1">
        <f t="array" ref="L307">IFERROR(IF(HistoricalStockProgress[[#This Row],[Price of Shares]]="",_xlfn.STOCKHISTORY(HistoricalStockProgress[[#This Row],[Full Company Name]],HistoricalStockProgress[[#This Row],[Date]],,2,0,1)),0)</f>
        <v>0</v>
      </c>
      <c r="M307" s="34">
        <f>YEAR(HistoricalStockProgress[[#This Row],[Date]])</f>
        <v>2017</v>
      </c>
      <c r="N307" s="34">
        <f>MONTH(HistoricalStockProgress[[#This Row],[Date]])</f>
        <v>9</v>
      </c>
    </row>
    <row r="308" spans="2:14">
      <c r="B308" s="15">
        <v>43008</v>
      </c>
      <c r="C308" s="34" t="s">
        <v>15</v>
      </c>
      <c r="D308" s="34" t="e" vm="17">
        <f>_xlfn.XLOOKUP(HistoricalStockProgress[[#This Row],[Company Ticker]],CompanyDetailsList[Company Ticker],CompanyDetailsList[Official Name],,0)</f>
        <v>#VALUE!</v>
      </c>
      <c r="E3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3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308" s="17">
        <f>IFERROR(HistoricalStockProgress[[#This Row],[Cost of Shares]]/HistoricalStockProgress[[#This Row],[No. of Shares]],0)</f>
        <v>26.481400454992627</v>
      </c>
      <c r="H308" s="16" vm="646">
        <v>29.580400000000001</v>
      </c>
      <c r="I308" s="16">
        <f>IF(HistoricalStockProgress[[#This Row],[No. of Shares]]&lt;&gt;0,HistoricalStockProgress[[#This Row],[Price of Shares]]*HistoricalStockProgress[[#This Row],[No. of Shares]],0)</f>
        <v>2839.7184000000002</v>
      </c>
      <c r="J308" s="16">
        <f>IF(HistoricalStockProgress[[#This Row],[No. of Shares]]&lt;&gt;0,HistoricalStockProgress[[#This Row],[Price of Shares]]-HistoricalStockProgress[[#This Row],[Cost of Shares]]/HistoricalStockProgress[[#This Row],[No. of Shares]],0)</f>
        <v>3.0989995450073735</v>
      </c>
      <c r="K308" s="17">
        <f>IF(HistoricalStockProgress[[#This Row],[Total Price of Shares]]&lt;&gt;0,HistoricalStockProgress[[#This Row],[Total Price of Shares]]-HistoricalStockProgress[[#This Row],[Cost of Shares]],0)</f>
        <v>297.50395632070786</v>
      </c>
      <c r="L308" s="34" t="b" cm="1">
        <f t="array" ref="L308">IFERROR(IF(HistoricalStockProgress[[#This Row],[Price of Shares]]="",_xlfn.STOCKHISTORY(HistoricalStockProgress[[#This Row],[Full Company Name]],HistoricalStockProgress[[#This Row],[Date]],,2,0,1)),0)</f>
        <v>0</v>
      </c>
      <c r="M308" s="34">
        <f>YEAR(HistoricalStockProgress[[#This Row],[Date]])</f>
        <v>2017</v>
      </c>
      <c r="N308" s="34">
        <f>MONTH(HistoricalStockProgress[[#This Row],[Date]])</f>
        <v>9</v>
      </c>
    </row>
    <row r="309" spans="2:14">
      <c r="B309" s="15">
        <v>43008</v>
      </c>
      <c r="C309" s="34" t="s">
        <v>13</v>
      </c>
      <c r="D309" s="34" t="e" vm="18">
        <f>_xlfn.XLOOKUP(HistoricalStockProgress[[#This Row],[Company Ticker]],CompanyDetailsList[Company Ticker],CompanyDetailsList[Official Name],,0)</f>
        <v>#VALUE!</v>
      </c>
      <c r="E3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3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309" s="17">
        <f>IFERROR(HistoricalStockProgress[[#This Row],[Cost of Shares]]/HistoricalStockProgress[[#This Row],[No. of Shares]],0)</f>
        <v>31.383479678650293</v>
      </c>
      <c r="H309" s="16" vm="853">
        <v>33.841799999999999</v>
      </c>
      <c r="I309" s="16">
        <f>IF(HistoricalStockProgress[[#This Row],[No. of Shares]]&lt;&gt;0,HistoricalStockProgress[[#This Row],[Price of Shares]]*HistoricalStockProgress[[#This Row],[No. of Shares]],0)</f>
        <v>846.04499999999996</v>
      </c>
      <c r="J309" s="16">
        <f>IF(HistoricalStockProgress[[#This Row],[No. of Shares]]&lt;&gt;0,HistoricalStockProgress[[#This Row],[Price of Shares]]-HistoricalStockProgress[[#This Row],[Cost of Shares]]/HistoricalStockProgress[[#This Row],[No. of Shares]],0)</f>
        <v>2.4583203213497065</v>
      </c>
      <c r="K309" s="17">
        <f>IF(HistoricalStockProgress[[#This Row],[Total Price of Shares]]&lt;&gt;0,HistoricalStockProgress[[#This Row],[Total Price of Shares]]-HistoricalStockProgress[[#This Row],[Cost of Shares]],0)</f>
        <v>61.458008033742658</v>
      </c>
      <c r="L309" s="34" t="b" cm="1">
        <f t="array" ref="L309">IFERROR(IF(HistoricalStockProgress[[#This Row],[Price of Shares]]="",_xlfn.STOCKHISTORY(HistoricalStockProgress[[#This Row],[Full Company Name]],HistoricalStockProgress[[#This Row],[Date]],,2,0,1)),0)</f>
        <v>0</v>
      </c>
      <c r="M309" s="34">
        <f>YEAR(HistoricalStockProgress[[#This Row],[Date]])</f>
        <v>2017</v>
      </c>
      <c r="N309" s="34">
        <f>MONTH(HistoricalStockProgress[[#This Row],[Date]])</f>
        <v>9</v>
      </c>
    </row>
    <row r="310" spans="2:14">
      <c r="B310" s="15">
        <v>43008</v>
      </c>
      <c r="C310" s="34" t="s">
        <v>20</v>
      </c>
      <c r="D310" s="34" t="e" vm="19">
        <f>_xlfn.XLOOKUP(HistoricalStockProgress[[#This Row],[Company Ticker]],CompanyDetailsList[Company Ticker],CompanyDetailsList[Official Name],,0)</f>
        <v>#VALUE!</v>
      </c>
      <c r="E3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48</v>
      </c>
      <c r="F3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4016.1684127784297</v>
      </c>
      <c r="G310" s="17">
        <f>IFERROR(HistoricalStockProgress[[#This Row],[Cost of Shares]]/HistoricalStockProgress[[#This Row],[No. of Shares]],0)</f>
        <v>83.670175266217285</v>
      </c>
      <c r="H310" s="16" vm="854">
        <v>95.51</v>
      </c>
      <c r="I310" s="16">
        <f>IF(HistoricalStockProgress[[#This Row],[No. of Shares]]&lt;&gt;0,HistoricalStockProgress[[#This Row],[Price of Shares]]*HistoricalStockProgress[[#This Row],[No. of Shares]],0)</f>
        <v>4584.4800000000005</v>
      </c>
      <c r="J310" s="16">
        <f>IF(HistoricalStockProgress[[#This Row],[No. of Shares]]&lt;&gt;0,HistoricalStockProgress[[#This Row],[Price of Shares]]-HistoricalStockProgress[[#This Row],[Cost of Shares]]/HistoricalStockProgress[[#This Row],[No. of Shares]],0)</f>
        <v>11.83982473378272</v>
      </c>
      <c r="K310" s="17">
        <f>IF(HistoricalStockProgress[[#This Row],[Total Price of Shares]]&lt;&gt;0,HistoricalStockProgress[[#This Row],[Total Price of Shares]]-HistoricalStockProgress[[#This Row],[Cost of Shares]],0)</f>
        <v>568.31158722157079</v>
      </c>
      <c r="L310" s="34" t="b" cm="1">
        <f t="array" ref="L310">IFERROR(IF(HistoricalStockProgress[[#This Row],[Price of Shares]]="",_xlfn.STOCKHISTORY(HistoricalStockProgress[[#This Row],[Full Company Name]],HistoricalStockProgress[[#This Row],[Date]],,2,0,1)),0)</f>
        <v>0</v>
      </c>
      <c r="M310" s="34">
        <f>YEAR(HistoricalStockProgress[[#This Row],[Date]])</f>
        <v>2017</v>
      </c>
      <c r="N310" s="34">
        <f>MONTH(HistoricalStockProgress[[#This Row],[Date]])</f>
        <v>9</v>
      </c>
    </row>
    <row r="311" spans="2:14">
      <c r="B311" s="15">
        <v>43008</v>
      </c>
      <c r="C311" s="34" t="s">
        <v>106</v>
      </c>
      <c r="D311" s="34" t="e" vm="20">
        <f>_xlfn.XLOOKUP(HistoricalStockProgress[[#This Row],[Company Ticker]],CompanyDetailsList[Company Ticker],CompanyDetailsList[Official Name],,0)</f>
        <v>#VALUE!</v>
      </c>
      <c r="E3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3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311" s="17">
        <f>IFERROR(HistoricalStockProgress[[#This Row],[Cost of Shares]]/HistoricalStockProgress[[#This Row],[No. of Shares]],0)</f>
        <v>104.71316390485761</v>
      </c>
      <c r="H311" s="16" vm="855">
        <v>108.66</v>
      </c>
      <c r="I311" s="16">
        <f>IF(HistoricalStockProgress[[#This Row],[No. of Shares]]&lt;&gt;0,HistoricalStockProgress[[#This Row],[Price of Shares]]*HistoricalStockProgress[[#This Row],[No. of Shares]],0)</f>
        <v>3803.1</v>
      </c>
      <c r="J311" s="16">
        <f>IF(HistoricalStockProgress[[#This Row],[No. of Shares]]&lt;&gt;0,HistoricalStockProgress[[#This Row],[Price of Shares]]-HistoricalStockProgress[[#This Row],[Cost of Shares]]/HistoricalStockProgress[[#This Row],[No. of Shares]],0)</f>
        <v>3.9468360951423875</v>
      </c>
      <c r="K311" s="17">
        <f>IF(HistoricalStockProgress[[#This Row],[Total Price of Shares]]&lt;&gt;0,HistoricalStockProgress[[#This Row],[Total Price of Shares]]-HistoricalStockProgress[[#This Row],[Cost of Shares]],0)</f>
        <v>138.13926332998335</v>
      </c>
      <c r="L311" s="34" t="b" cm="1">
        <f t="array" ref="L311">IFERROR(IF(HistoricalStockProgress[[#This Row],[Price of Shares]]="",_xlfn.STOCKHISTORY(HistoricalStockProgress[[#This Row],[Full Company Name]],HistoricalStockProgress[[#This Row],[Date]],,2,0,1)),0)</f>
        <v>0</v>
      </c>
      <c r="M311" s="34">
        <f>YEAR(HistoricalStockProgress[[#This Row],[Date]])</f>
        <v>2017</v>
      </c>
      <c r="N311" s="34">
        <f>MONTH(HistoricalStockProgress[[#This Row],[Date]])</f>
        <v>9</v>
      </c>
    </row>
    <row r="312" spans="2:14">
      <c r="B312" s="15">
        <v>43039</v>
      </c>
      <c r="C312" s="34" t="s">
        <v>12</v>
      </c>
      <c r="D312" s="34" t="e" vm="1">
        <f>_xlfn.XLOOKUP(HistoricalStockProgress[[#This Row],[Company Ticker]],CompanyDetailsList[Company Ticker],CompanyDetailsList[Official Name],,0)</f>
        <v>#VALUE!</v>
      </c>
      <c r="E3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3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312" s="17">
        <f>IFERROR(HistoricalStockProgress[[#This Row],[Cost of Shares]]/HistoricalStockProgress[[#This Row],[No. of Shares]],0)</f>
        <v>57.188485025896703</v>
      </c>
      <c r="H312" s="16" vm="856">
        <v>53.67</v>
      </c>
      <c r="I312" s="16">
        <f>IF(HistoricalStockProgress[[#This Row],[No. of Shares]]&lt;&gt;0,HistoricalStockProgress[[#This Row],[Price of Shares]]*HistoricalStockProgress[[#This Row],[No. of Shares]],0)</f>
        <v>322.02</v>
      </c>
      <c r="J312" s="16">
        <f>IF(HistoricalStockProgress[[#This Row],[No. of Shares]]&lt;&gt;0,HistoricalStockProgress[[#This Row],[Price of Shares]]-HistoricalStockProgress[[#This Row],[Cost of Shares]]/HistoricalStockProgress[[#This Row],[No. of Shares]],0)</f>
        <v>-3.5184850258967018</v>
      </c>
      <c r="K312" s="17">
        <f>IF(HistoricalStockProgress[[#This Row],[Total Price of Shares]]&lt;&gt;0,HistoricalStockProgress[[#This Row],[Total Price of Shares]]-HistoricalStockProgress[[#This Row],[Cost of Shares]],0)</f>
        <v>-21.110910155380225</v>
      </c>
      <c r="L312" s="34" t="b" cm="1">
        <f t="array" ref="L312">IFERROR(IF(HistoricalStockProgress[[#This Row],[Price of Shares]]="",_xlfn.STOCKHISTORY(HistoricalStockProgress[[#This Row],[Full Company Name]],HistoricalStockProgress[[#This Row],[Date]],,2,0,1)),0)</f>
        <v>0</v>
      </c>
      <c r="M312" s="34">
        <f>YEAR(HistoricalStockProgress[[#This Row],[Date]])</f>
        <v>2017</v>
      </c>
      <c r="N312" s="34">
        <f>MONTH(HistoricalStockProgress[[#This Row],[Date]])</f>
        <v>10</v>
      </c>
    </row>
    <row r="313" spans="2:14">
      <c r="B313" s="15">
        <v>43039</v>
      </c>
      <c r="C313" s="34" t="s">
        <v>84</v>
      </c>
      <c r="D313" s="34" t="e" vm="7">
        <f>_xlfn.XLOOKUP(HistoricalStockProgress[[#This Row],[Company Ticker]],CompanyDetailsList[Company Ticker],CompanyDetailsList[Official Name],,0)</f>
        <v>#VALUE!</v>
      </c>
      <c r="E3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3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313" s="17">
        <f>IFERROR(HistoricalStockProgress[[#This Row],[Cost of Shares]]/HistoricalStockProgress[[#This Row],[No. of Shares]],0)</f>
        <v>104.18087504950869</v>
      </c>
      <c r="H313" s="16" vm="857">
        <v>139.41</v>
      </c>
      <c r="I313" s="16">
        <f>IF(HistoricalStockProgress[[#This Row],[No. of Shares]]&lt;&gt;0,HistoricalStockProgress[[#This Row],[Price of Shares]]*HistoricalStockProgress[[#This Row],[No. of Shares]],0)</f>
        <v>7109.91</v>
      </c>
      <c r="J313" s="16">
        <f>IF(HistoricalStockProgress[[#This Row],[No. of Shares]]&lt;&gt;0,HistoricalStockProgress[[#This Row],[Price of Shares]]-HistoricalStockProgress[[#This Row],[Cost of Shares]]/HistoricalStockProgress[[#This Row],[No. of Shares]],0)</f>
        <v>35.229124950491311</v>
      </c>
      <c r="K313" s="17">
        <f>IF(HistoricalStockProgress[[#This Row],[Total Price of Shares]]&lt;&gt;0,HistoricalStockProgress[[#This Row],[Total Price of Shares]]-HistoricalStockProgress[[#This Row],[Cost of Shares]],0)</f>
        <v>1796.6853724750572</v>
      </c>
      <c r="L313" s="34" t="b" cm="1">
        <f t="array" ref="L313">IFERROR(IF(HistoricalStockProgress[[#This Row],[Price of Shares]]="",_xlfn.STOCKHISTORY(HistoricalStockProgress[[#This Row],[Full Company Name]],HistoricalStockProgress[[#This Row],[Date]],,2,0,1)),0)</f>
        <v>0</v>
      </c>
      <c r="M313" s="34">
        <f>YEAR(HistoricalStockProgress[[#This Row],[Date]])</f>
        <v>2017</v>
      </c>
      <c r="N313" s="34">
        <f>MONTH(HistoricalStockProgress[[#This Row],[Date]])</f>
        <v>10</v>
      </c>
    </row>
    <row r="314" spans="2:14">
      <c r="B314" s="15">
        <v>43039</v>
      </c>
      <c r="C314" s="34" t="s">
        <v>86</v>
      </c>
      <c r="D314" s="34" t="e" vm="8">
        <f>_xlfn.XLOOKUP(HistoricalStockProgress[[#This Row],[Company Ticker]],CompanyDetailsList[Company Ticker],CompanyDetailsList[Official Name],,0)</f>
        <v>#VALUE!</v>
      </c>
      <c r="E3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31</v>
      </c>
      <c r="F3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1940.995245840923</v>
      </c>
      <c r="G314" s="17">
        <f>IFERROR(HistoricalStockProgress[[#This Row],[Cost of Shares]]/HistoricalStockProgress[[#This Row],[No. of Shares]],0)</f>
        <v>62.612749865836221</v>
      </c>
      <c r="H314" s="16" vm="858">
        <v>90.25</v>
      </c>
      <c r="I314" s="16">
        <f>IF(HistoricalStockProgress[[#This Row],[No. of Shares]]&lt;&gt;0,HistoricalStockProgress[[#This Row],[Price of Shares]]*HistoricalStockProgress[[#This Row],[No. of Shares]],0)</f>
        <v>2797.75</v>
      </c>
      <c r="J314" s="16">
        <f>IF(HistoricalStockProgress[[#This Row],[No. of Shares]]&lt;&gt;0,HistoricalStockProgress[[#This Row],[Price of Shares]]-HistoricalStockProgress[[#This Row],[Cost of Shares]]/HistoricalStockProgress[[#This Row],[No. of Shares]],0)</f>
        <v>27.637250134163779</v>
      </c>
      <c r="K314" s="17">
        <f>IF(HistoricalStockProgress[[#This Row],[Total Price of Shares]]&lt;&gt;0,HistoricalStockProgress[[#This Row],[Total Price of Shares]]-HistoricalStockProgress[[#This Row],[Cost of Shares]],0)</f>
        <v>856.75475415907704</v>
      </c>
      <c r="L314" s="34" t="b" cm="1">
        <f t="array" ref="L314">IFERROR(IF(HistoricalStockProgress[[#This Row],[Price of Shares]]="",_xlfn.STOCKHISTORY(HistoricalStockProgress[[#This Row],[Full Company Name]],HistoricalStockProgress[[#This Row],[Date]],,2,0,1)),0)</f>
        <v>0</v>
      </c>
      <c r="M314" s="34">
        <f>YEAR(HistoricalStockProgress[[#This Row],[Date]])</f>
        <v>2017</v>
      </c>
      <c r="N314" s="34">
        <f>MONTH(HistoricalStockProgress[[#This Row],[Date]])</f>
        <v>10</v>
      </c>
    </row>
    <row r="315" spans="2:14">
      <c r="B315" s="15">
        <v>43039</v>
      </c>
      <c r="C315" s="34" t="s">
        <v>22</v>
      </c>
      <c r="D315" s="34" t="e" vm="10">
        <f>_xlfn.XLOOKUP(HistoricalStockProgress[[#This Row],[Company Ticker]],CompanyDetailsList[Company Ticker],CompanyDetailsList[Official Name],,0)</f>
        <v>#VALUE!</v>
      </c>
      <c r="E3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3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315" s="17">
        <f>IFERROR(HistoricalStockProgress[[#This Row],[Cost of Shares]]/HistoricalStockProgress[[#This Row],[No. of Shares]],0)</f>
        <v>83.61275075159574</v>
      </c>
      <c r="H315" s="16" vm="859">
        <v>135.80000000000001</v>
      </c>
      <c r="I315" s="16">
        <f>IF(HistoricalStockProgress[[#This Row],[No. of Shares]]&lt;&gt;0,HistoricalStockProgress[[#This Row],[Price of Shares]]*HistoricalStockProgress[[#This Row],[No. of Shares]],0)</f>
        <v>8283.8000000000011</v>
      </c>
      <c r="J315" s="16">
        <f>IF(HistoricalStockProgress[[#This Row],[No. of Shares]]&lt;&gt;0,HistoricalStockProgress[[#This Row],[Price of Shares]]-HistoricalStockProgress[[#This Row],[Cost of Shares]]/HistoricalStockProgress[[#This Row],[No. of Shares]],0)</f>
        <v>52.187249248404271</v>
      </c>
      <c r="K315" s="17">
        <f>IF(HistoricalStockProgress[[#This Row],[Total Price of Shares]]&lt;&gt;0,HistoricalStockProgress[[#This Row],[Total Price of Shares]]-HistoricalStockProgress[[#This Row],[Cost of Shares]],0)</f>
        <v>3183.4222041526609</v>
      </c>
      <c r="L315" s="34" t="b" cm="1">
        <f t="array" ref="L315">IFERROR(IF(HistoricalStockProgress[[#This Row],[Price of Shares]]="",_xlfn.STOCKHISTORY(HistoricalStockProgress[[#This Row],[Full Company Name]],HistoricalStockProgress[[#This Row],[Date]],,2,0,1)),0)</f>
        <v>0</v>
      </c>
      <c r="M315" s="34">
        <f>YEAR(HistoricalStockProgress[[#This Row],[Date]])</f>
        <v>2017</v>
      </c>
      <c r="N315" s="34">
        <f>MONTH(HistoricalStockProgress[[#This Row],[Date]])</f>
        <v>10</v>
      </c>
    </row>
    <row r="316" spans="2:14">
      <c r="B316" s="15">
        <v>43039</v>
      </c>
      <c r="C316" s="34" t="s">
        <v>91</v>
      </c>
      <c r="D316" s="34" t="e" vm="11">
        <f>_xlfn.XLOOKUP(HistoricalStockProgress[[#This Row],[Company Ticker]],CompanyDetailsList[Company Ticker],CompanyDetailsList[Official Name],,0)</f>
        <v>#VALUE!</v>
      </c>
      <c r="E3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3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4641.1780084974125</v>
      </c>
      <c r="G316" s="17">
        <f>IFERROR(HistoricalStockProgress[[#This Row],[Cost of Shares]]/HistoricalStockProgress[[#This Row],[No. of Shares]],0)</f>
        <v>58.749088715157121</v>
      </c>
      <c r="H316" s="16" vm="860">
        <v>83.18</v>
      </c>
      <c r="I316" s="16">
        <f>IF(HistoricalStockProgress[[#This Row],[No. of Shares]]&lt;&gt;0,HistoricalStockProgress[[#This Row],[Price of Shares]]*HistoricalStockProgress[[#This Row],[No. of Shares]],0)</f>
        <v>6571.22</v>
      </c>
      <c r="J316" s="16">
        <f>IF(HistoricalStockProgress[[#This Row],[No. of Shares]]&lt;&gt;0,HistoricalStockProgress[[#This Row],[Price of Shares]]-HistoricalStockProgress[[#This Row],[Cost of Shares]]/HistoricalStockProgress[[#This Row],[No. of Shares]],0)</f>
        <v>24.430911284842885</v>
      </c>
      <c r="K316" s="17">
        <f>IF(HistoricalStockProgress[[#This Row],[Total Price of Shares]]&lt;&gt;0,HistoricalStockProgress[[#This Row],[Total Price of Shares]]-HistoricalStockProgress[[#This Row],[Cost of Shares]],0)</f>
        <v>1930.0419915025877</v>
      </c>
      <c r="L316" s="34" t="b" cm="1">
        <f t="array" ref="L316">IFERROR(IF(HistoricalStockProgress[[#This Row],[Price of Shares]]="",_xlfn.STOCKHISTORY(HistoricalStockProgress[[#This Row],[Full Company Name]],HistoricalStockProgress[[#This Row],[Date]],,2,0,1)),0)</f>
        <v>0</v>
      </c>
      <c r="M316" s="34">
        <f>YEAR(HistoricalStockProgress[[#This Row],[Date]])</f>
        <v>2017</v>
      </c>
      <c r="N316" s="34">
        <f>MONTH(HistoricalStockProgress[[#This Row],[Date]])</f>
        <v>10</v>
      </c>
    </row>
    <row r="317" spans="2:14">
      <c r="B317" s="15">
        <v>43039</v>
      </c>
      <c r="C317" s="34" t="s">
        <v>16</v>
      </c>
      <c r="D317" s="34" t="e" vm="12">
        <f>_xlfn.XLOOKUP(HistoricalStockProgress[[#This Row],[Company Ticker]],CompanyDetailsList[Company Ticker],CompanyDetailsList[Official Name],,0)</f>
        <v>#VALUE!</v>
      </c>
      <c r="E3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107</v>
      </c>
      <c r="F3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9097.0068259849722</v>
      </c>
      <c r="G317" s="17">
        <f>IFERROR(HistoricalStockProgress[[#This Row],[Cost of Shares]]/HistoricalStockProgress[[#This Row],[No. of Shares]],0)</f>
        <v>85.018755383037117</v>
      </c>
      <c r="H317" s="16" vm="861">
        <v>83.35</v>
      </c>
      <c r="I317" s="16">
        <f>IF(HistoricalStockProgress[[#This Row],[No. of Shares]]&lt;&gt;0,HistoricalStockProgress[[#This Row],[Price of Shares]]*HistoricalStockProgress[[#This Row],[No. of Shares]],0)</f>
        <v>8918.4499999999989</v>
      </c>
      <c r="J317" s="16">
        <f>IF(HistoricalStockProgress[[#This Row],[No. of Shares]]&lt;&gt;0,HistoricalStockProgress[[#This Row],[Price of Shares]]-HistoricalStockProgress[[#This Row],[Cost of Shares]]/HistoricalStockProgress[[#This Row],[No. of Shares]],0)</f>
        <v>-1.6687553830371229</v>
      </c>
      <c r="K317" s="17">
        <f>IF(HistoricalStockProgress[[#This Row],[Total Price of Shares]]&lt;&gt;0,HistoricalStockProgress[[#This Row],[Total Price of Shares]]-HistoricalStockProgress[[#This Row],[Cost of Shares]],0)</f>
        <v>-178.55682598497333</v>
      </c>
      <c r="L317" s="34" t="b" cm="1">
        <f t="array" ref="L317">IFERROR(IF(HistoricalStockProgress[[#This Row],[Price of Shares]]="",_xlfn.STOCKHISTORY(HistoricalStockProgress[[#This Row],[Full Company Name]],HistoricalStockProgress[[#This Row],[Date]],,2,0,1)),0)</f>
        <v>0</v>
      </c>
      <c r="M317" s="34">
        <f>YEAR(HistoricalStockProgress[[#This Row],[Date]])</f>
        <v>2017</v>
      </c>
      <c r="N317" s="34">
        <f>MONTH(HistoricalStockProgress[[#This Row],[Date]])</f>
        <v>10</v>
      </c>
    </row>
    <row r="318" spans="2:14">
      <c r="B318" s="15">
        <v>43039</v>
      </c>
      <c r="C318" s="34" t="s">
        <v>95</v>
      </c>
      <c r="D318" s="34" t="e" vm="13">
        <f>_xlfn.XLOOKUP(HistoricalStockProgress[[#This Row],[Company Ticker]],CompanyDetailsList[Company Ticker],CompanyDetailsList[Official Name],,0)</f>
        <v>#VALUE!</v>
      </c>
      <c r="E3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3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318" s="17">
        <f>IFERROR(HistoricalStockProgress[[#This Row],[Cost of Shares]]/HistoricalStockProgress[[#This Row],[No. of Shares]],0)</f>
        <v>143.29758396474452</v>
      </c>
      <c r="H318" s="16" vm="862">
        <v>165.78</v>
      </c>
      <c r="I318" s="16">
        <f>IF(HistoricalStockProgress[[#This Row],[No. of Shares]]&lt;&gt;0,HistoricalStockProgress[[#This Row],[Price of Shares]]*HistoricalStockProgress[[#This Row],[No. of Shares]],0)</f>
        <v>7128.54</v>
      </c>
      <c r="J318" s="16">
        <f>IF(HistoricalStockProgress[[#This Row],[No. of Shares]]&lt;&gt;0,HistoricalStockProgress[[#This Row],[Price of Shares]]-HistoricalStockProgress[[#This Row],[Cost of Shares]]/HistoricalStockProgress[[#This Row],[No. of Shares]],0)</f>
        <v>22.482416035255483</v>
      </c>
      <c r="K318" s="17">
        <f>IF(HistoricalStockProgress[[#This Row],[Total Price of Shares]]&lt;&gt;0,HistoricalStockProgress[[#This Row],[Total Price of Shares]]-HistoricalStockProgress[[#This Row],[Cost of Shares]],0)</f>
        <v>966.74388951598576</v>
      </c>
      <c r="L318" s="34" t="b" cm="1">
        <f t="array" ref="L318">IFERROR(IF(HistoricalStockProgress[[#This Row],[Price of Shares]]="",_xlfn.STOCKHISTORY(HistoricalStockProgress[[#This Row],[Full Company Name]],HistoricalStockProgress[[#This Row],[Date]],,2,0,1)),0)</f>
        <v>0</v>
      </c>
      <c r="M318" s="34">
        <f>YEAR(HistoricalStockProgress[[#This Row],[Date]])</f>
        <v>2017</v>
      </c>
      <c r="N318" s="34">
        <f>MONTH(HistoricalStockProgress[[#This Row],[Date]])</f>
        <v>10</v>
      </c>
    </row>
    <row r="319" spans="2:14">
      <c r="B319" s="15">
        <v>43039</v>
      </c>
      <c r="C319" s="34" t="s">
        <v>17</v>
      </c>
      <c r="D319" s="34" t="e" vm="14">
        <f>_xlfn.XLOOKUP(HistoricalStockProgress[[#This Row],[Company Ticker]],CompanyDetailsList[Company Ticker],CompanyDetailsList[Official Name],,0)</f>
        <v>#VALUE!</v>
      </c>
      <c r="E3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3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5103.4501354761906</v>
      </c>
      <c r="G319" s="17">
        <f>IFERROR(HistoricalStockProgress[[#This Row],[Cost of Shares]]/HistoricalStockProgress[[#This Row],[No. of Shares]],0)</f>
        <v>154.65000410533912</v>
      </c>
      <c r="H319" s="16" vm="863">
        <v>154.06</v>
      </c>
      <c r="I319" s="16">
        <f>IF(HistoricalStockProgress[[#This Row],[No. of Shares]]&lt;&gt;0,HistoricalStockProgress[[#This Row],[Price of Shares]]*HistoricalStockProgress[[#This Row],[No. of Shares]],0)</f>
        <v>5083.9800000000005</v>
      </c>
      <c r="J319" s="16">
        <f>IF(HistoricalStockProgress[[#This Row],[No. of Shares]]&lt;&gt;0,HistoricalStockProgress[[#This Row],[Price of Shares]]-HistoricalStockProgress[[#This Row],[Cost of Shares]]/HistoricalStockProgress[[#This Row],[No. of Shares]],0)</f>
        <v>-0.59000410533911918</v>
      </c>
      <c r="K319" s="17">
        <f>IF(HistoricalStockProgress[[#This Row],[Total Price of Shares]]&lt;&gt;0,HistoricalStockProgress[[#This Row],[Total Price of Shares]]-HistoricalStockProgress[[#This Row],[Cost of Shares]],0)</f>
        <v>-19.47013547619008</v>
      </c>
      <c r="L319" s="34" t="b" cm="1">
        <f t="array" ref="L319">IFERROR(IF(HistoricalStockProgress[[#This Row],[Price of Shares]]="",_xlfn.STOCKHISTORY(HistoricalStockProgress[[#This Row],[Full Company Name]],HistoricalStockProgress[[#This Row],[Date]],,2,0,1)),0)</f>
        <v>0</v>
      </c>
      <c r="M319" s="34">
        <f>YEAR(HistoricalStockProgress[[#This Row],[Date]])</f>
        <v>2017</v>
      </c>
      <c r="N319" s="34">
        <f>MONTH(HistoricalStockProgress[[#This Row],[Date]])</f>
        <v>10</v>
      </c>
    </row>
    <row r="320" spans="2:14">
      <c r="B320" s="15">
        <v>43039</v>
      </c>
      <c r="C320" s="34" t="s">
        <v>98</v>
      </c>
      <c r="D320" s="34" t="e" vm="15">
        <f>_xlfn.XLOOKUP(HistoricalStockProgress[[#This Row],[Company Ticker]],CompanyDetailsList[Company Ticker],CompanyDetailsList[Official Name],,0)</f>
        <v>#VALUE!</v>
      </c>
      <c r="E3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v>
      </c>
      <c r="F3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600.18351669052322</v>
      </c>
      <c r="G320" s="17">
        <f>IFERROR(HistoricalStockProgress[[#This Row],[Cost of Shares]]/HistoricalStockProgress[[#This Row],[No. of Shares]],0)</f>
        <v>35.304912746501365</v>
      </c>
      <c r="H320" s="16" vm="864">
        <v>38.767499999999998</v>
      </c>
      <c r="I320" s="16">
        <f>IF(HistoricalStockProgress[[#This Row],[No. of Shares]]&lt;&gt;0,HistoricalStockProgress[[#This Row],[Price of Shares]]*HistoricalStockProgress[[#This Row],[No. of Shares]],0)</f>
        <v>659.04750000000001</v>
      </c>
      <c r="J320" s="16">
        <f>IF(HistoricalStockProgress[[#This Row],[No. of Shares]]&lt;&gt;0,HistoricalStockProgress[[#This Row],[Price of Shares]]-HistoricalStockProgress[[#This Row],[Cost of Shares]]/HistoricalStockProgress[[#This Row],[No. of Shares]],0)</f>
        <v>3.4625872534986328</v>
      </c>
      <c r="K320" s="17">
        <f>IF(HistoricalStockProgress[[#This Row],[Total Price of Shares]]&lt;&gt;0,HistoricalStockProgress[[#This Row],[Total Price of Shares]]-HistoricalStockProgress[[#This Row],[Cost of Shares]],0)</f>
        <v>58.863983309476794</v>
      </c>
      <c r="L320" s="34" t="b" cm="1">
        <f t="array" ref="L320">IFERROR(IF(HistoricalStockProgress[[#This Row],[Price of Shares]]="",_xlfn.STOCKHISTORY(HistoricalStockProgress[[#This Row],[Full Company Name]],HistoricalStockProgress[[#This Row],[Date]],,2,0,1)),0)</f>
        <v>0</v>
      </c>
      <c r="M320" s="34">
        <f>YEAR(HistoricalStockProgress[[#This Row],[Date]])</f>
        <v>2017</v>
      </c>
      <c r="N320" s="34">
        <f>MONTH(HistoricalStockProgress[[#This Row],[Date]])</f>
        <v>10</v>
      </c>
    </row>
    <row r="321" spans="2:14">
      <c r="B321" s="15">
        <v>43039</v>
      </c>
      <c r="C321" s="34" t="s">
        <v>100</v>
      </c>
      <c r="D321" s="34" t="e" vm="16">
        <f>_xlfn.XLOOKUP(HistoricalStockProgress[[#This Row],[Company Ticker]],CompanyDetailsList[Company Ticker],CompanyDetailsList[Official Name],,0)</f>
        <v>#VALUE!</v>
      </c>
      <c r="E3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3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321" s="17">
        <f>IFERROR(HistoricalStockProgress[[#This Row],[Cost of Shares]]/HistoricalStockProgress[[#This Row],[No. of Shares]],0)</f>
        <v>84.509035134678101</v>
      </c>
      <c r="H321" s="16" vm="865">
        <v>88.31</v>
      </c>
      <c r="I321" s="16">
        <f>IF(HistoricalStockProgress[[#This Row],[No. of Shares]]&lt;&gt;0,HistoricalStockProgress[[#This Row],[Price of Shares]]*HistoricalStockProgress[[#This Row],[No. of Shares]],0)</f>
        <v>2914.23</v>
      </c>
      <c r="J321" s="16">
        <f>IF(HistoricalStockProgress[[#This Row],[No. of Shares]]&lt;&gt;0,HistoricalStockProgress[[#This Row],[Price of Shares]]-HistoricalStockProgress[[#This Row],[Cost of Shares]]/HistoricalStockProgress[[#This Row],[No. of Shares]],0)</f>
        <v>3.8009648653219017</v>
      </c>
      <c r="K321" s="17">
        <f>IF(HistoricalStockProgress[[#This Row],[Total Price of Shares]]&lt;&gt;0,HistoricalStockProgress[[#This Row],[Total Price of Shares]]-HistoricalStockProgress[[#This Row],[Cost of Shares]],0)</f>
        <v>125.43184055562278</v>
      </c>
      <c r="L321" s="34" t="b" cm="1">
        <f t="array" ref="L321">IFERROR(IF(HistoricalStockProgress[[#This Row],[Price of Shares]]="",_xlfn.STOCKHISTORY(HistoricalStockProgress[[#This Row],[Full Company Name]],HistoricalStockProgress[[#This Row],[Date]],,2,0,1)),0)</f>
        <v>0</v>
      </c>
      <c r="M321" s="34">
        <f>YEAR(HistoricalStockProgress[[#This Row],[Date]])</f>
        <v>2017</v>
      </c>
      <c r="N321" s="34">
        <f>MONTH(HistoricalStockProgress[[#This Row],[Date]])</f>
        <v>10</v>
      </c>
    </row>
    <row r="322" spans="2:14">
      <c r="B322" s="15">
        <v>43039</v>
      </c>
      <c r="C322" s="34" t="s">
        <v>15</v>
      </c>
      <c r="D322" s="34" t="e" vm="17">
        <f>_xlfn.XLOOKUP(HistoricalStockProgress[[#This Row],[Company Ticker]],CompanyDetailsList[Company Ticker],CompanyDetailsList[Official Name],,0)</f>
        <v>#VALUE!</v>
      </c>
      <c r="E3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3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322" s="17">
        <f>IFERROR(HistoricalStockProgress[[#This Row],[Cost of Shares]]/HistoricalStockProgress[[#This Row],[No. of Shares]],0)</f>
        <v>26.481400454992627</v>
      </c>
      <c r="H322" s="16" vm="866">
        <v>25.411799999999999</v>
      </c>
      <c r="I322" s="16">
        <f>IF(HistoricalStockProgress[[#This Row],[No. of Shares]]&lt;&gt;0,HistoricalStockProgress[[#This Row],[Price of Shares]]*HistoricalStockProgress[[#This Row],[No. of Shares]],0)</f>
        <v>2439.5328</v>
      </c>
      <c r="J322" s="16">
        <f>IF(HistoricalStockProgress[[#This Row],[No. of Shares]]&lt;&gt;0,HistoricalStockProgress[[#This Row],[Price of Shares]]-HistoricalStockProgress[[#This Row],[Cost of Shares]]/HistoricalStockProgress[[#This Row],[No. of Shares]],0)</f>
        <v>-1.0696004549926279</v>
      </c>
      <c r="K322" s="17">
        <f>IF(HistoricalStockProgress[[#This Row],[Total Price of Shares]]&lt;&gt;0,HistoricalStockProgress[[#This Row],[Total Price of Shares]]-HistoricalStockProgress[[#This Row],[Cost of Shares]],0)</f>
        <v>-102.68164367929239</v>
      </c>
      <c r="L322" s="34" t="b" cm="1">
        <f t="array" ref="L322">IFERROR(IF(HistoricalStockProgress[[#This Row],[Price of Shares]]="",_xlfn.STOCKHISTORY(HistoricalStockProgress[[#This Row],[Full Company Name]],HistoricalStockProgress[[#This Row],[Date]],,2,0,1)),0)</f>
        <v>0</v>
      </c>
      <c r="M322" s="34">
        <f>YEAR(HistoricalStockProgress[[#This Row],[Date]])</f>
        <v>2017</v>
      </c>
      <c r="N322" s="34">
        <f>MONTH(HistoricalStockProgress[[#This Row],[Date]])</f>
        <v>10</v>
      </c>
    </row>
    <row r="323" spans="2:14">
      <c r="B323" s="15">
        <v>43039</v>
      </c>
      <c r="C323" s="34" t="s">
        <v>13</v>
      </c>
      <c r="D323" s="34" t="e" vm="18">
        <f>_xlfn.XLOOKUP(HistoricalStockProgress[[#This Row],[Company Ticker]],CompanyDetailsList[Company Ticker],CompanyDetailsList[Official Name],,0)</f>
        <v>#VALUE!</v>
      </c>
      <c r="E3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3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323" s="17">
        <f>IFERROR(HistoricalStockProgress[[#This Row],[Cost of Shares]]/HistoricalStockProgress[[#This Row],[No. of Shares]],0)</f>
        <v>31.383479678650293</v>
      </c>
      <c r="H323" s="16" vm="867">
        <v>33.235100000000003</v>
      </c>
      <c r="I323" s="16">
        <f>IF(HistoricalStockProgress[[#This Row],[No. of Shares]]&lt;&gt;0,HistoricalStockProgress[[#This Row],[Price of Shares]]*HistoricalStockProgress[[#This Row],[No. of Shares]],0)</f>
        <v>830.87750000000005</v>
      </c>
      <c r="J323" s="16">
        <f>IF(HistoricalStockProgress[[#This Row],[No. of Shares]]&lt;&gt;0,HistoricalStockProgress[[#This Row],[Price of Shares]]-HistoricalStockProgress[[#This Row],[Cost of Shares]]/HistoricalStockProgress[[#This Row],[No. of Shares]],0)</f>
        <v>1.85162032134971</v>
      </c>
      <c r="K323" s="17">
        <f>IF(HistoricalStockProgress[[#This Row],[Total Price of Shares]]&lt;&gt;0,HistoricalStockProgress[[#This Row],[Total Price of Shares]]-HistoricalStockProgress[[#This Row],[Cost of Shares]],0)</f>
        <v>46.290508033742753</v>
      </c>
      <c r="L323" s="34" t="b" cm="1">
        <f t="array" ref="L323">IFERROR(IF(HistoricalStockProgress[[#This Row],[Price of Shares]]="",_xlfn.STOCKHISTORY(HistoricalStockProgress[[#This Row],[Full Company Name]],HistoricalStockProgress[[#This Row],[Date]],,2,0,1)),0)</f>
        <v>0</v>
      </c>
      <c r="M323" s="34">
        <f>YEAR(HistoricalStockProgress[[#This Row],[Date]])</f>
        <v>2017</v>
      </c>
      <c r="N323" s="34">
        <f>MONTH(HistoricalStockProgress[[#This Row],[Date]])</f>
        <v>10</v>
      </c>
    </row>
    <row r="324" spans="2:14">
      <c r="B324" s="15">
        <v>43039</v>
      </c>
      <c r="C324" s="34" t="s">
        <v>20</v>
      </c>
      <c r="D324" s="34" t="e" vm="19">
        <f>_xlfn.XLOOKUP(HistoricalStockProgress[[#This Row],[Company Ticker]],CompanyDetailsList[Company Ticker],CompanyDetailsList[Official Name],,0)</f>
        <v>#VALUE!</v>
      </c>
      <c r="E3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48</v>
      </c>
      <c r="F3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4016.1684127784297</v>
      </c>
      <c r="G324" s="17">
        <f>IFERROR(HistoricalStockProgress[[#This Row],[Cost of Shares]]/HistoricalStockProgress[[#This Row],[No. of Shares]],0)</f>
        <v>83.670175266217285</v>
      </c>
      <c r="H324" s="16" vm="868">
        <v>100.61</v>
      </c>
      <c r="I324" s="16">
        <f>IF(HistoricalStockProgress[[#This Row],[No. of Shares]]&lt;&gt;0,HistoricalStockProgress[[#This Row],[Price of Shares]]*HistoricalStockProgress[[#This Row],[No. of Shares]],0)</f>
        <v>4829.28</v>
      </c>
      <c r="J324" s="16">
        <f>IF(HistoricalStockProgress[[#This Row],[No. of Shares]]&lt;&gt;0,HistoricalStockProgress[[#This Row],[Price of Shares]]-HistoricalStockProgress[[#This Row],[Cost of Shares]]/HistoricalStockProgress[[#This Row],[No. of Shares]],0)</f>
        <v>16.939824733782714</v>
      </c>
      <c r="K324" s="17">
        <f>IF(HistoricalStockProgress[[#This Row],[Total Price of Shares]]&lt;&gt;0,HistoricalStockProgress[[#This Row],[Total Price of Shares]]-HistoricalStockProgress[[#This Row],[Cost of Shares]],0)</f>
        <v>813.11158722157006</v>
      </c>
      <c r="L324" s="34" t="b" cm="1">
        <f t="array" ref="L324">IFERROR(IF(HistoricalStockProgress[[#This Row],[Price of Shares]]="",_xlfn.STOCKHISTORY(HistoricalStockProgress[[#This Row],[Full Company Name]],HistoricalStockProgress[[#This Row],[Date]],,2,0,1)),0)</f>
        <v>0</v>
      </c>
      <c r="M324" s="34">
        <f>YEAR(HistoricalStockProgress[[#This Row],[Date]])</f>
        <v>2017</v>
      </c>
      <c r="N324" s="34">
        <f>MONTH(HistoricalStockProgress[[#This Row],[Date]])</f>
        <v>10</v>
      </c>
    </row>
    <row r="325" spans="2:14">
      <c r="B325" s="15">
        <v>43039</v>
      </c>
      <c r="C325" s="34" t="s">
        <v>106</v>
      </c>
      <c r="D325" s="34" t="e" vm="20">
        <f>_xlfn.XLOOKUP(HistoricalStockProgress[[#This Row],[Company Ticker]],CompanyDetailsList[Company Ticker],CompanyDetailsList[Official Name],,0)</f>
        <v>#VALUE!</v>
      </c>
      <c r="E3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3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325" s="17">
        <f>IFERROR(HistoricalStockProgress[[#This Row],[Cost of Shares]]/HistoricalStockProgress[[#This Row],[No. of Shares]],0)</f>
        <v>104.71316390485761</v>
      </c>
      <c r="H325" s="16" vm="869">
        <v>116.24</v>
      </c>
      <c r="I325" s="16">
        <f>IF(HistoricalStockProgress[[#This Row],[No. of Shares]]&lt;&gt;0,HistoricalStockProgress[[#This Row],[Price of Shares]]*HistoricalStockProgress[[#This Row],[No. of Shares]],0)</f>
        <v>4068.3999999999996</v>
      </c>
      <c r="J325" s="16">
        <f>IF(HistoricalStockProgress[[#This Row],[No. of Shares]]&lt;&gt;0,HistoricalStockProgress[[#This Row],[Price of Shares]]-HistoricalStockProgress[[#This Row],[Cost of Shares]]/HistoricalStockProgress[[#This Row],[No. of Shares]],0)</f>
        <v>11.526836095142386</v>
      </c>
      <c r="K325" s="17">
        <f>IF(HistoricalStockProgress[[#This Row],[Total Price of Shares]]&lt;&gt;0,HistoricalStockProgress[[#This Row],[Total Price of Shares]]-HistoricalStockProgress[[#This Row],[Cost of Shares]],0)</f>
        <v>403.43926332998308</v>
      </c>
      <c r="L325" s="34" t="b" cm="1">
        <f t="array" ref="L325">IFERROR(IF(HistoricalStockProgress[[#This Row],[Price of Shares]]="",_xlfn.STOCKHISTORY(HistoricalStockProgress[[#This Row],[Full Company Name]],HistoricalStockProgress[[#This Row],[Date]],,2,0,1)),0)</f>
        <v>0</v>
      </c>
      <c r="M325" s="34">
        <f>YEAR(HistoricalStockProgress[[#This Row],[Date]])</f>
        <v>2017</v>
      </c>
      <c r="N325" s="34">
        <f>MONTH(HistoricalStockProgress[[#This Row],[Date]])</f>
        <v>10</v>
      </c>
    </row>
    <row r="326" spans="2:14">
      <c r="B326" s="15">
        <v>43069</v>
      </c>
      <c r="C326" s="34" t="s">
        <v>12</v>
      </c>
      <c r="D326" s="34" t="e" vm="1">
        <f>_xlfn.XLOOKUP(HistoricalStockProgress[[#This Row],[Company Ticker]],CompanyDetailsList[Company Ticker],CompanyDetailsList[Official Name],,0)</f>
        <v>#VALUE!</v>
      </c>
      <c r="E3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3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326" s="17">
        <f>IFERROR(HistoricalStockProgress[[#This Row],[Cost of Shares]]/HistoricalStockProgress[[#This Row],[No. of Shares]],0)</f>
        <v>57.188485025896703</v>
      </c>
      <c r="H326" s="16" vm="870">
        <v>55.3</v>
      </c>
      <c r="I326" s="16">
        <f>IF(HistoricalStockProgress[[#This Row],[No. of Shares]]&lt;&gt;0,HistoricalStockProgress[[#This Row],[Price of Shares]]*HistoricalStockProgress[[#This Row],[No. of Shares]],0)</f>
        <v>331.79999999999995</v>
      </c>
      <c r="J326" s="16">
        <f>IF(HistoricalStockProgress[[#This Row],[No. of Shares]]&lt;&gt;0,HistoricalStockProgress[[#This Row],[Price of Shares]]-HistoricalStockProgress[[#This Row],[Cost of Shares]]/HistoricalStockProgress[[#This Row],[No. of Shares]],0)</f>
        <v>-1.8884850258967063</v>
      </c>
      <c r="K326" s="17">
        <f>IF(HistoricalStockProgress[[#This Row],[Total Price of Shares]]&lt;&gt;0,HistoricalStockProgress[[#This Row],[Total Price of Shares]]-HistoricalStockProgress[[#This Row],[Cost of Shares]],0)</f>
        <v>-11.330910155380252</v>
      </c>
      <c r="L326" s="34" t="b" cm="1">
        <f t="array" ref="L326">IFERROR(IF(HistoricalStockProgress[[#This Row],[Price of Shares]]="",_xlfn.STOCKHISTORY(HistoricalStockProgress[[#This Row],[Full Company Name]],HistoricalStockProgress[[#This Row],[Date]],,2,0,1)),0)</f>
        <v>0</v>
      </c>
      <c r="M326" s="34">
        <f>YEAR(HistoricalStockProgress[[#This Row],[Date]])</f>
        <v>2017</v>
      </c>
      <c r="N326" s="34">
        <f>MONTH(HistoricalStockProgress[[#This Row],[Date]])</f>
        <v>11</v>
      </c>
    </row>
    <row r="327" spans="2:14">
      <c r="B327" s="15">
        <v>43069</v>
      </c>
      <c r="C327" s="34" t="s">
        <v>84</v>
      </c>
      <c r="D327" s="34" t="e" vm="7">
        <f>_xlfn.XLOOKUP(HistoricalStockProgress[[#This Row],[Company Ticker]],CompanyDetailsList[Company Ticker],CompanyDetailsList[Official Name],,0)</f>
        <v>#VALUE!</v>
      </c>
      <c r="E3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3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327" s="17">
        <f>IFERROR(HistoricalStockProgress[[#This Row],[Cost of Shares]]/HistoricalStockProgress[[#This Row],[No. of Shares]],0)</f>
        <v>104.18087504950869</v>
      </c>
      <c r="H327" s="16" vm="871">
        <v>139.33000000000001</v>
      </c>
      <c r="I327" s="16">
        <f>IF(HistoricalStockProgress[[#This Row],[No. of Shares]]&lt;&gt;0,HistoricalStockProgress[[#This Row],[Price of Shares]]*HistoricalStockProgress[[#This Row],[No. of Shares]],0)</f>
        <v>7105.8300000000008</v>
      </c>
      <c r="J327" s="16">
        <f>IF(HistoricalStockProgress[[#This Row],[No. of Shares]]&lt;&gt;0,HistoricalStockProgress[[#This Row],[Price of Shares]]-HistoricalStockProgress[[#This Row],[Cost of Shares]]/HistoricalStockProgress[[#This Row],[No. of Shares]],0)</f>
        <v>35.149124950491327</v>
      </c>
      <c r="K327" s="17">
        <f>IF(HistoricalStockProgress[[#This Row],[Total Price of Shares]]&lt;&gt;0,HistoricalStockProgress[[#This Row],[Total Price of Shares]]-HistoricalStockProgress[[#This Row],[Cost of Shares]],0)</f>
        <v>1792.6053724750582</v>
      </c>
      <c r="L327" s="34" t="b" cm="1">
        <f t="array" ref="L327">IFERROR(IF(HistoricalStockProgress[[#This Row],[Price of Shares]]="",_xlfn.STOCKHISTORY(HistoricalStockProgress[[#This Row],[Full Company Name]],HistoricalStockProgress[[#This Row],[Date]],,2,0,1)),0)</f>
        <v>0</v>
      </c>
      <c r="M327" s="34">
        <f>YEAR(HistoricalStockProgress[[#This Row],[Date]])</f>
        <v>2017</v>
      </c>
      <c r="N327" s="34">
        <f>MONTH(HistoricalStockProgress[[#This Row],[Date]])</f>
        <v>11</v>
      </c>
    </row>
    <row r="328" spans="2:14">
      <c r="B328" s="15">
        <v>43069</v>
      </c>
      <c r="C328" s="34" t="s">
        <v>86</v>
      </c>
      <c r="D328" s="34" t="e" vm="8">
        <f>_xlfn.XLOOKUP(HistoricalStockProgress[[#This Row],[Company Ticker]],CompanyDetailsList[Company Ticker],CompanyDetailsList[Official Name],,0)</f>
        <v>#VALUE!</v>
      </c>
      <c r="E3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31</v>
      </c>
      <c r="F3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1940.995245840923</v>
      </c>
      <c r="G328" s="17">
        <f>IFERROR(HistoricalStockProgress[[#This Row],[Cost of Shares]]/HistoricalStockProgress[[#This Row],[No. of Shares]],0)</f>
        <v>62.612749865836221</v>
      </c>
      <c r="H328" s="16" vm="527">
        <v>96.92</v>
      </c>
      <c r="I328" s="16">
        <f>IF(HistoricalStockProgress[[#This Row],[No. of Shares]]&lt;&gt;0,HistoricalStockProgress[[#This Row],[Price of Shares]]*HistoricalStockProgress[[#This Row],[No. of Shares]],0)</f>
        <v>3004.52</v>
      </c>
      <c r="J328" s="16">
        <f>IF(HistoricalStockProgress[[#This Row],[No. of Shares]]&lt;&gt;0,HistoricalStockProgress[[#This Row],[Price of Shares]]-HistoricalStockProgress[[#This Row],[Cost of Shares]]/HistoricalStockProgress[[#This Row],[No. of Shares]],0)</f>
        <v>34.30725013416378</v>
      </c>
      <c r="K328" s="17">
        <f>IF(HistoricalStockProgress[[#This Row],[Total Price of Shares]]&lt;&gt;0,HistoricalStockProgress[[#This Row],[Total Price of Shares]]-HistoricalStockProgress[[#This Row],[Cost of Shares]],0)</f>
        <v>1063.524754159077</v>
      </c>
      <c r="L328" s="34" t="b" cm="1">
        <f t="array" ref="L328">IFERROR(IF(HistoricalStockProgress[[#This Row],[Price of Shares]]="",_xlfn.STOCKHISTORY(HistoricalStockProgress[[#This Row],[Full Company Name]],HistoricalStockProgress[[#This Row],[Date]],,2,0,1)),0)</f>
        <v>0</v>
      </c>
      <c r="M328" s="34">
        <f>YEAR(HistoricalStockProgress[[#This Row],[Date]])</f>
        <v>2017</v>
      </c>
      <c r="N328" s="34">
        <f>MONTH(HistoricalStockProgress[[#This Row],[Date]])</f>
        <v>11</v>
      </c>
    </row>
    <row r="329" spans="2:14">
      <c r="B329" s="15">
        <v>43069</v>
      </c>
      <c r="C329" s="34" t="s">
        <v>22</v>
      </c>
      <c r="D329" s="34" t="e" vm="10">
        <f>_xlfn.XLOOKUP(HistoricalStockProgress[[#This Row],[Company Ticker]],CompanyDetailsList[Company Ticker],CompanyDetailsList[Official Name],,0)</f>
        <v>#VALUE!</v>
      </c>
      <c r="E3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3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329" s="17">
        <f>IFERROR(HistoricalStockProgress[[#This Row],[Cost of Shares]]/HistoricalStockProgress[[#This Row],[No. of Shares]],0)</f>
        <v>83.61275075159574</v>
      </c>
      <c r="H329" s="16" vm="872">
        <v>141.15</v>
      </c>
      <c r="I329" s="16">
        <f>IF(HistoricalStockProgress[[#This Row],[No. of Shares]]&lt;&gt;0,HistoricalStockProgress[[#This Row],[Price of Shares]]*HistoricalStockProgress[[#This Row],[No. of Shares]],0)</f>
        <v>8610.15</v>
      </c>
      <c r="J329" s="16">
        <f>IF(HistoricalStockProgress[[#This Row],[No. of Shares]]&lt;&gt;0,HistoricalStockProgress[[#This Row],[Price of Shares]]-HistoricalStockProgress[[#This Row],[Cost of Shares]]/HistoricalStockProgress[[#This Row],[No. of Shares]],0)</f>
        <v>57.537249248404265</v>
      </c>
      <c r="K329" s="17">
        <f>IF(HistoricalStockProgress[[#This Row],[Total Price of Shares]]&lt;&gt;0,HistoricalStockProgress[[#This Row],[Total Price of Shares]]-HistoricalStockProgress[[#This Row],[Cost of Shares]],0)</f>
        <v>3509.7722041526595</v>
      </c>
      <c r="L329" s="34" t="b" cm="1">
        <f t="array" ref="L329">IFERROR(IF(HistoricalStockProgress[[#This Row],[Price of Shares]]="",_xlfn.STOCKHISTORY(HistoricalStockProgress[[#This Row],[Full Company Name]],HistoricalStockProgress[[#This Row],[Date]],,2,0,1)),0)</f>
        <v>0</v>
      </c>
      <c r="M329" s="34">
        <f>YEAR(HistoricalStockProgress[[#This Row],[Date]])</f>
        <v>2017</v>
      </c>
      <c r="N329" s="34">
        <f>MONTH(HistoricalStockProgress[[#This Row],[Date]])</f>
        <v>11</v>
      </c>
    </row>
    <row r="330" spans="2:14">
      <c r="B330" s="15">
        <v>43069</v>
      </c>
      <c r="C330" s="34" t="s">
        <v>91</v>
      </c>
      <c r="D330" s="34" t="e" vm="11">
        <f>_xlfn.XLOOKUP(HistoricalStockProgress[[#This Row],[Company Ticker]],CompanyDetailsList[Company Ticker],CompanyDetailsList[Official Name],,0)</f>
        <v>#VALUE!</v>
      </c>
      <c r="E3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3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4641.1780084974125</v>
      </c>
      <c r="G330" s="17">
        <f>IFERROR(HistoricalStockProgress[[#This Row],[Cost of Shares]]/HistoricalStockProgress[[#This Row],[No. of Shares]],0)</f>
        <v>58.749088715157121</v>
      </c>
      <c r="H330" s="16" vm="873">
        <v>84.17</v>
      </c>
      <c r="I330" s="16">
        <f>IF(HistoricalStockProgress[[#This Row],[No. of Shares]]&lt;&gt;0,HistoricalStockProgress[[#This Row],[Price of Shares]]*HistoricalStockProgress[[#This Row],[No. of Shares]],0)</f>
        <v>6649.43</v>
      </c>
      <c r="J330" s="16">
        <f>IF(HistoricalStockProgress[[#This Row],[No. of Shares]]&lt;&gt;0,HistoricalStockProgress[[#This Row],[Price of Shares]]-HistoricalStockProgress[[#This Row],[Cost of Shares]]/HistoricalStockProgress[[#This Row],[No. of Shares]],0)</f>
        <v>25.42091128484288</v>
      </c>
      <c r="K330" s="17">
        <f>IF(HistoricalStockProgress[[#This Row],[Total Price of Shares]]&lt;&gt;0,HistoricalStockProgress[[#This Row],[Total Price of Shares]]-HistoricalStockProgress[[#This Row],[Cost of Shares]],0)</f>
        <v>2008.2519915025878</v>
      </c>
      <c r="L330" s="34" t="b" cm="1">
        <f t="array" ref="L330">IFERROR(IF(HistoricalStockProgress[[#This Row],[Price of Shares]]="",_xlfn.STOCKHISTORY(HistoricalStockProgress[[#This Row],[Full Company Name]],HistoricalStockProgress[[#This Row],[Date]],,2,0,1)),0)</f>
        <v>0</v>
      </c>
      <c r="M330" s="34">
        <f>YEAR(HistoricalStockProgress[[#This Row],[Date]])</f>
        <v>2017</v>
      </c>
      <c r="N330" s="34">
        <f>MONTH(HistoricalStockProgress[[#This Row],[Date]])</f>
        <v>11</v>
      </c>
    </row>
    <row r="331" spans="2:14">
      <c r="B331" s="15">
        <v>43069</v>
      </c>
      <c r="C331" s="34" t="s">
        <v>16</v>
      </c>
      <c r="D331" s="34" t="e" vm="12">
        <f>_xlfn.XLOOKUP(HistoricalStockProgress[[#This Row],[Company Ticker]],CompanyDetailsList[Company Ticker],CompanyDetailsList[Official Name],,0)</f>
        <v>#VALUE!</v>
      </c>
      <c r="E3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107</v>
      </c>
      <c r="F3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9097.0068259849722</v>
      </c>
      <c r="G331" s="17">
        <f>IFERROR(HistoricalStockProgress[[#This Row],[Cost of Shares]]/HistoricalStockProgress[[#This Row],[No. of Shares]],0)</f>
        <v>85.018755383037117</v>
      </c>
      <c r="H331" s="16" vm="874">
        <v>83.29</v>
      </c>
      <c r="I331" s="16">
        <f>IF(HistoricalStockProgress[[#This Row],[No. of Shares]]&lt;&gt;0,HistoricalStockProgress[[#This Row],[Price of Shares]]*HistoricalStockProgress[[#This Row],[No. of Shares]],0)</f>
        <v>8912.0300000000007</v>
      </c>
      <c r="J331" s="16">
        <f>IF(HistoricalStockProgress[[#This Row],[No. of Shares]]&lt;&gt;0,HistoricalStockProgress[[#This Row],[Price of Shares]]-HistoricalStockProgress[[#This Row],[Cost of Shares]]/HistoricalStockProgress[[#This Row],[No. of Shares]],0)</f>
        <v>-1.728755383037111</v>
      </c>
      <c r="K331" s="17">
        <f>IF(HistoricalStockProgress[[#This Row],[Total Price of Shares]]&lt;&gt;0,HistoricalStockProgress[[#This Row],[Total Price of Shares]]-HistoricalStockProgress[[#This Row],[Cost of Shares]],0)</f>
        <v>-184.97682598497158</v>
      </c>
      <c r="L331" s="34" t="b" cm="1">
        <f t="array" ref="L331">IFERROR(IF(HistoricalStockProgress[[#This Row],[Price of Shares]]="",_xlfn.STOCKHISTORY(HistoricalStockProgress[[#This Row],[Full Company Name]],HistoricalStockProgress[[#This Row],[Date]],,2,0,1)),0)</f>
        <v>0</v>
      </c>
      <c r="M331" s="34">
        <f>YEAR(HistoricalStockProgress[[#This Row],[Date]])</f>
        <v>2017</v>
      </c>
      <c r="N331" s="34">
        <f>MONTH(HistoricalStockProgress[[#This Row],[Date]])</f>
        <v>11</v>
      </c>
    </row>
    <row r="332" spans="2:14">
      <c r="B332" s="15">
        <v>43069</v>
      </c>
      <c r="C332" s="34" t="s">
        <v>95</v>
      </c>
      <c r="D332" s="34" t="e" vm="13">
        <f>_xlfn.XLOOKUP(HistoricalStockProgress[[#This Row],[Company Ticker]],CompanyDetailsList[Company Ticker],CompanyDetailsList[Official Name],,0)</f>
        <v>#VALUE!</v>
      </c>
      <c r="E3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3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332" s="17">
        <f>IFERROR(HistoricalStockProgress[[#This Row],[Cost of Shares]]/HistoricalStockProgress[[#This Row],[No. of Shares]],0)</f>
        <v>143.29758396474452</v>
      </c>
      <c r="H332" s="16" vm="766">
        <v>179.82</v>
      </c>
      <c r="I332" s="16">
        <f>IF(HistoricalStockProgress[[#This Row],[No. of Shares]]&lt;&gt;0,HistoricalStockProgress[[#This Row],[Price of Shares]]*HistoricalStockProgress[[#This Row],[No. of Shares]],0)</f>
        <v>7732.2599999999993</v>
      </c>
      <c r="J332" s="16">
        <f>IF(HistoricalStockProgress[[#This Row],[No. of Shares]]&lt;&gt;0,HistoricalStockProgress[[#This Row],[Price of Shares]]-HistoricalStockProgress[[#This Row],[Cost of Shares]]/HistoricalStockProgress[[#This Row],[No. of Shares]],0)</f>
        <v>36.522416035255475</v>
      </c>
      <c r="K332" s="17">
        <f>IF(HistoricalStockProgress[[#This Row],[Total Price of Shares]]&lt;&gt;0,HistoricalStockProgress[[#This Row],[Total Price of Shares]]-HistoricalStockProgress[[#This Row],[Cost of Shares]],0)</f>
        <v>1570.4638895159851</v>
      </c>
      <c r="L332" s="34" t="b" cm="1">
        <f t="array" ref="L332">IFERROR(IF(HistoricalStockProgress[[#This Row],[Price of Shares]]="",_xlfn.STOCKHISTORY(HistoricalStockProgress[[#This Row],[Full Company Name]],HistoricalStockProgress[[#This Row],[Date]],,2,0,1)),0)</f>
        <v>0</v>
      </c>
      <c r="M332" s="34">
        <f>YEAR(HistoricalStockProgress[[#This Row],[Date]])</f>
        <v>2017</v>
      </c>
      <c r="N332" s="34">
        <f>MONTH(HistoricalStockProgress[[#This Row],[Date]])</f>
        <v>11</v>
      </c>
    </row>
    <row r="333" spans="2:14">
      <c r="B333" s="15">
        <v>43069</v>
      </c>
      <c r="C333" s="34" t="s">
        <v>17</v>
      </c>
      <c r="D333" s="34" t="e" vm="14">
        <f>_xlfn.XLOOKUP(HistoricalStockProgress[[#This Row],[Company Ticker]],CompanyDetailsList[Company Ticker],CompanyDetailsList[Official Name],,0)</f>
        <v>#VALUE!</v>
      </c>
      <c r="E3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3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5103.4501354761906</v>
      </c>
      <c r="G333" s="17">
        <f>IFERROR(HistoricalStockProgress[[#This Row],[Cost of Shares]]/HistoricalStockProgress[[#This Row],[No. of Shares]],0)</f>
        <v>154.65000410533912</v>
      </c>
      <c r="H333" s="16" vm="875">
        <v>153.97</v>
      </c>
      <c r="I333" s="16">
        <f>IF(HistoricalStockProgress[[#This Row],[No. of Shares]]&lt;&gt;0,HistoricalStockProgress[[#This Row],[Price of Shares]]*HistoricalStockProgress[[#This Row],[No. of Shares]],0)</f>
        <v>5081.01</v>
      </c>
      <c r="J333" s="16">
        <f>IF(HistoricalStockProgress[[#This Row],[No. of Shares]]&lt;&gt;0,HistoricalStockProgress[[#This Row],[Price of Shares]]-HistoricalStockProgress[[#This Row],[Cost of Shares]]/HistoricalStockProgress[[#This Row],[No. of Shares]],0)</f>
        <v>-0.68000410533912259</v>
      </c>
      <c r="K333" s="17">
        <f>IF(HistoricalStockProgress[[#This Row],[Total Price of Shares]]&lt;&gt;0,HistoricalStockProgress[[#This Row],[Total Price of Shares]]-HistoricalStockProgress[[#This Row],[Cost of Shares]],0)</f>
        <v>-22.440135476190335</v>
      </c>
      <c r="L333" s="34" t="b" cm="1">
        <f t="array" ref="L333">IFERROR(IF(HistoricalStockProgress[[#This Row],[Price of Shares]]="",_xlfn.STOCKHISTORY(HistoricalStockProgress[[#This Row],[Full Company Name]],HistoricalStockProgress[[#This Row],[Date]],,2,0,1)),0)</f>
        <v>0</v>
      </c>
      <c r="M333" s="34">
        <f>YEAR(HistoricalStockProgress[[#This Row],[Date]])</f>
        <v>2017</v>
      </c>
      <c r="N333" s="34">
        <f>MONTH(HistoricalStockProgress[[#This Row],[Date]])</f>
        <v>11</v>
      </c>
    </row>
    <row r="334" spans="2:14">
      <c r="B334" s="15">
        <v>43069</v>
      </c>
      <c r="C334" s="34" t="s">
        <v>98</v>
      </c>
      <c r="D334" s="34" t="e" vm="15">
        <f>_xlfn.XLOOKUP(HistoricalStockProgress[[#This Row],[Company Ticker]],CompanyDetailsList[Company Ticker],CompanyDetailsList[Official Name],,0)</f>
        <v>#VALUE!</v>
      </c>
      <c r="E3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3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1941.9842250911215</v>
      </c>
      <c r="G334" s="17">
        <f>IFERROR(HistoricalStockProgress[[#This Row],[Cost of Shares]]/HistoricalStockProgress[[#This Row],[No. of Shares]],0)</f>
        <v>38.078122060610227</v>
      </c>
      <c r="H334" s="16" vm="876">
        <v>39.51</v>
      </c>
      <c r="I334" s="16">
        <f>IF(HistoricalStockProgress[[#This Row],[No. of Shares]]&lt;&gt;0,HistoricalStockProgress[[#This Row],[Price of Shares]]*HistoricalStockProgress[[#This Row],[No. of Shares]],0)</f>
        <v>2015.01</v>
      </c>
      <c r="J334" s="16">
        <f>IF(HistoricalStockProgress[[#This Row],[No. of Shares]]&lt;&gt;0,HistoricalStockProgress[[#This Row],[Price of Shares]]-HistoricalStockProgress[[#This Row],[Cost of Shares]]/HistoricalStockProgress[[#This Row],[No. of Shares]],0)</f>
        <v>1.4318779393897714</v>
      </c>
      <c r="K334" s="17">
        <f>IF(HistoricalStockProgress[[#This Row],[Total Price of Shares]]&lt;&gt;0,HistoricalStockProgress[[#This Row],[Total Price of Shares]]-HistoricalStockProgress[[#This Row],[Cost of Shares]],0)</f>
        <v>73.025774908878475</v>
      </c>
      <c r="L334" s="34" t="b" cm="1">
        <f t="array" ref="L334">IFERROR(IF(HistoricalStockProgress[[#This Row],[Price of Shares]]="",_xlfn.STOCKHISTORY(HistoricalStockProgress[[#This Row],[Full Company Name]],HistoricalStockProgress[[#This Row],[Date]],,2,0,1)),0)</f>
        <v>0</v>
      </c>
      <c r="M334" s="34">
        <f>YEAR(HistoricalStockProgress[[#This Row],[Date]])</f>
        <v>2017</v>
      </c>
      <c r="N334" s="34">
        <f>MONTH(HistoricalStockProgress[[#This Row],[Date]])</f>
        <v>11</v>
      </c>
    </row>
    <row r="335" spans="2:14">
      <c r="B335" s="15">
        <v>43069</v>
      </c>
      <c r="C335" s="34" t="s">
        <v>100</v>
      </c>
      <c r="D335" s="34" t="e" vm="16">
        <f>_xlfn.XLOOKUP(HistoricalStockProgress[[#This Row],[Company Ticker]],CompanyDetailsList[Company Ticker],CompanyDetailsList[Official Name],,0)</f>
        <v>#VALUE!</v>
      </c>
      <c r="E3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3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335" s="17">
        <f>IFERROR(HistoricalStockProgress[[#This Row],[Cost of Shares]]/HistoricalStockProgress[[#This Row],[No. of Shares]],0)</f>
        <v>84.509035134678101</v>
      </c>
      <c r="H335" s="16" vm="877">
        <v>89.18</v>
      </c>
      <c r="I335" s="16">
        <f>IF(HistoricalStockProgress[[#This Row],[No. of Shares]]&lt;&gt;0,HistoricalStockProgress[[#This Row],[Price of Shares]]*HistoricalStockProgress[[#This Row],[No. of Shares]],0)</f>
        <v>2942.94</v>
      </c>
      <c r="J335" s="16">
        <f>IF(HistoricalStockProgress[[#This Row],[No. of Shares]]&lt;&gt;0,HistoricalStockProgress[[#This Row],[Price of Shares]]-HistoricalStockProgress[[#This Row],[Cost of Shares]]/HistoricalStockProgress[[#This Row],[No. of Shares]],0)</f>
        <v>4.6709648653219062</v>
      </c>
      <c r="K335" s="17">
        <f>IF(HistoricalStockProgress[[#This Row],[Total Price of Shares]]&lt;&gt;0,HistoricalStockProgress[[#This Row],[Total Price of Shares]]-HistoricalStockProgress[[#This Row],[Cost of Shares]],0)</f>
        <v>154.14184055562282</v>
      </c>
      <c r="L335" s="34" t="b" cm="1">
        <f t="array" ref="L335">IFERROR(IF(HistoricalStockProgress[[#This Row],[Price of Shares]]="",_xlfn.STOCKHISTORY(HistoricalStockProgress[[#This Row],[Full Company Name]],HistoricalStockProgress[[#This Row],[Date]],,2,0,1)),0)</f>
        <v>0</v>
      </c>
      <c r="M335" s="34">
        <f>YEAR(HistoricalStockProgress[[#This Row],[Date]])</f>
        <v>2017</v>
      </c>
      <c r="N335" s="34">
        <f>MONTH(HistoricalStockProgress[[#This Row],[Date]])</f>
        <v>11</v>
      </c>
    </row>
    <row r="336" spans="2:14">
      <c r="B336" s="15">
        <v>43069</v>
      </c>
      <c r="C336" s="34" t="s">
        <v>15</v>
      </c>
      <c r="D336" s="34" t="e" vm="17">
        <f>_xlfn.XLOOKUP(HistoricalStockProgress[[#This Row],[Company Ticker]],CompanyDetailsList[Company Ticker],CompanyDetailsList[Official Name],,0)</f>
        <v>#VALUE!</v>
      </c>
      <c r="E3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3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336" s="17">
        <f>IFERROR(HistoricalStockProgress[[#This Row],[Cost of Shares]]/HistoricalStockProgress[[#This Row],[No. of Shares]],0)</f>
        <v>26.481400454992627</v>
      </c>
      <c r="H336" s="16" vm="878">
        <v>27.473400000000002</v>
      </c>
      <c r="I336" s="16">
        <f>IF(HistoricalStockProgress[[#This Row],[No. of Shares]]&lt;&gt;0,HistoricalStockProgress[[#This Row],[Price of Shares]]*HistoricalStockProgress[[#This Row],[No. of Shares]],0)</f>
        <v>2637.4464000000003</v>
      </c>
      <c r="J336" s="16">
        <f>IF(HistoricalStockProgress[[#This Row],[No. of Shares]]&lt;&gt;0,HistoricalStockProgress[[#This Row],[Price of Shares]]-HistoricalStockProgress[[#This Row],[Cost of Shares]]/HistoricalStockProgress[[#This Row],[No. of Shares]],0)</f>
        <v>0.99199954500737419</v>
      </c>
      <c r="K336" s="17">
        <f>IF(HistoricalStockProgress[[#This Row],[Total Price of Shares]]&lt;&gt;0,HistoricalStockProgress[[#This Row],[Total Price of Shares]]-HistoricalStockProgress[[#This Row],[Cost of Shares]],0)</f>
        <v>95.231956320707923</v>
      </c>
      <c r="L336" s="34" t="b" cm="1">
        <f t="array" ref="L336">IFERROR(IF(HistoricalStockProgress[[#This Row],[Price of Shares]]="",_xlfn.STOCKHISTORY(HistoricalStockProgress[[#This Row],[Full Company Name]],HistoricalStockProgress[[#This Row],[Date]],,2,0,1)),0)</f>
        <v>0</v>
      </c>
      <c r="M336" s="34">
        <f>YEAR(HistoricalStockProgress[[#This Row],[Date]])</f>
        <v>2017</v>
      </c>
      <c r="N336" s="34">
        <f>MONTH(HistoricalStockProgress[[#This Row],[Date]])</f>
        <v>11</v>
      </c>
    </row>
    <row r="337" spans="2:14">
      <c r="B337" s="15">
        <v>43069</v>
      </c>
      <c r="C337" s="34" t="s">
        <v>13</v>
      </c>
      <c r="D337" s="34" t="e" vm="18">
        <f>_xlfn.XLOOKUP(HistoricalStockProgress[[#This Row],[Company Ticker]],CompanyDetailsList[Company Ticker],CompanyDetailsList[Official Name],,0)</f>
        <v>#VALUE!</v>
      </c>
      <c r="E3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3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337" s="17">
        <f>IFERROR(HistoricalStockProgress[[#This Row],[Cost of Shares]]/HistoricalStockProgress[[#This Row],[No. of Shares]],0)</f>
        <v>31.383479678650293</v>
      </c>
      <c r="H337" s="16" vm="879">
        <v>34.372700000000002</v>
      </c>
      <c r="I337" s="16">
        <f>IF(HistoricalStockProgress[[#This Row],[No. of Shares]]&lt;&gt;0,HistoricalStockProgress[[#This Row],[Price of Shares]]*HistoricalStockProgress[[#This Row],[No. of Shares]],0)</f>
        <v>859.3175</v>
      </c>
      <c r="J337" s="16">
        <f>IF(HistoricalStockProgress[[#This Row],[No. of Shares]]&lt;&gt;0,HistoricalStockProgress[[#This Row],[Price of Shares]]-HistoricalStockProgress[[#This Row],[Cost of Shares]]/HistoricalStockProgress[[#This Row],[No. of Shares]],0)</f>
        <v>2.9892203213497091</v>
      </c>
      <c r="K337" s="17">
        <f>IF(HistoricalStockProgress[[#This Row],[Total Price of Shares]]&lt;&gt;0,HistoricalStockProgress[[#This Row],[Total Price of Shares]]-HistoricalStockProgress[[#This Row],[Cost of Shares]],0)</f>
        <v>74.730508033742694</v>
      </c>
      <c r="L337" s="34" t="b" cm="1">
        <f t="array" ref="L337">IFERROR(IF(HistoricalStockProgress[[#This Row],[Price of Shares]]="",_xlfn.STOCKHISTORY(HistoricalStockProgress[[#This Row],[Full Company Name]],HistoricalStockProgress[[#This Row],[Date]],,2,0,1)),0)</f>
        <v>0</v>
      </c>
      <c r="M337" s="34">
        <f>YEAR(HistoricalStockProgress[[#This Row],[Date]])</f>
        <v>2017</v>
      </c>
      <c r="N337" s="34">
        <f>MONTH(HistoricalStockProgress[[#This Row],[Date]])</f>
        <v>11</v>
      </c>
    </row>
    <row r="338" spans="2:14">
      <c r="B338" s="15">
        <v>43069</v>
      </c>
      <c r="C338" s="34" t="s">
        <v>20</v>
      </c>
      <c r="D338" s="34" t="e" vm="19">
        <f>_xlfn.XLOOKUP(HistoricalStockProgress[[#This Row],[Company Ticker]],CompanyDetailsList[Company Ticker],CompanyDetailsList[Official Name],,0)</f>
        <v>#VALUE!</v>
      </c>
      <c r="E3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48</v>
      </c>
      <c r="F3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4016.1684127784297</v>
      </c>
      <c r="G338" s="17">
        <f>IFERROR(HistoricalStockProgress[[#This Row],[Cost of Shares]]/HistoricalStockProgress[[#This Row],[No. of Shares]],0)</f>
        <v>83.670175266217285</v>
      </c>
      <c r="H338" s="16" vm="880">
        <v>104.52</v>
      </c>
      <c r="I338" s="16">
        <f>IF(HistoricalStockProgress[[#This Row],[No. of Shares]]&lt;&gt;0,HistoricalStockProgress[[#This Row],[Price of Shares]]*HistoricalStockProgress[[#This Row],[No. of Shares]],0)</f>
        <v>5016.96</v>
      </c>
      <c r="J338" s="16">
        <f>IF(HistoricalStockProgress[[#This Row],[No. of Shares]]&lt;&gt;0,HistoricalStockProgress[[#This Row],[Price of Shares]]-HistoricalStockProgress[[#This Row],[Cost of Shares]]/HistoricalStockProgress[[#This Row],[No. of Shares]],0)</f>
        <v>20.849824733782711</v>
      </c>
      <c r="K338" s="17">
        <f>IF(HistoricalStockProgress[[#This Row],[Total Price of Shares]]&lt;&gt;0,HistoricalStockProgress[[#This Row],[Total Price of Shares]]-HistoricalStockProgress[[#This Row],[Cost of Shares]],0)</f>
        <v>1000.7915872215704</v>
      </c>
      <c r="L338" s="34" t="b" cm="1">
        <f t="array" ref="L338">IFERROR(IF(HistoricalStockProgress[[#This Row],[Price of Shares]]="",_xlfn.STOCKHISTORY(HistoricalStockProgress[[#This Row],[Full Company Name]],HistoricalStockProgress[[#This Row],[Date]],,2,0,1)),0)</f>
        <v>0</v>
      </c>
      <c r="M338" s="34">
        <f>YEAR(HistoricalStockProgress[[#This Row],[Date]])</f>
        <v>2017</v>
      </c>
      <c r="N338" s="34">
        <f>MONTH(HistoricalStockProgress[[#This Row],[Date]])</f>
        <v>11</v>
      </c>
    </row>
    <row r="339" spans="2:14">
      <c r="B339" s="15">
        <v>43069</v>
      </c>
      <c r="C339" s="34" t="s">
        <v>106</v>
      </c>
      <c r="D339" s="34" t="e" vm="20">
        <f>_xlfn.XLOOKUP(HistoricalStockProgress[[#This Row],[Company Ticker]],CompanyDetailsList[Company Ticker],CompanyDetailsList[Official Name],,0)</f>
        <v>#VALUE!</v>
      </c>
      <c r="E3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3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339" s="17">
        <f>IFERROR(HistoricalStockProgress[[#This Row],[Cost of Shares]]/HistoricalStockProgress[[#This Row],[No. of Shares]],0)</f>
        <v>104.71316390485761</v>
      </c>
      <c r="H339" s="16" vm="881">
        <v>116.85</v>
      </c>
      <c r="I339" s="16">
        <f>IF(HistoricalStockProgress[[#This Row],[No. of Shares]]&lt;&gt;0,HistoricalStockProgress[[#This Row],[Price of Shares]]*HistoricalStockProgress[[#This Row],[No. of Shares]],0)</f>
        <v>4089.75</v>
      </c>
      <c r="J339" s="16">
        <f>IF(HistoricalStockProgress[[#This Row],[No. of Shares]]&lt;&gt;0,HistoricalStockProgress[[#This Row],[Price of Shares]]-HistoricalStockProgress[[#This Row],[Cost of Shares]]/HistoricalStockProgress[[#This Row],[No. of Shares]],0)</f>
        <v>12.136836095142385</v>
      </c>
      <c r="K339" s="17">
        <f>IF(HistoricalStockProgress[[#This Row],[Total Price of Shares]]&lt;&gt;0,HistoricalStockProgress[[#This Row],[Total Price of Shares]]-HistoricalStockProgress[[#This Row],[Cost of Shares]],0)</f>
        <v>424.78926332998344</v>
      </c>
      <c r="L339" s="34" t="b" cm="1">
        <f t="array" ref="L339">IFERROR(IF(HistoricalStockProgress[[#This Row],[Price of Shares]]="",_xlfn.STOCKHISTORY(HistoricalStockProgress[[#This Row],[Full Company Name]],HistoricalStockProgress[[#This Row],[Date]],,2,0,1)),0)</f>
        <v>0</v>
      </c>
      <c r="M339" s="34">
        <f>YEAR(HistoricalStockProgress[[#This Row],[Date]])</f>
        <v>2017</v>
      </c>
      <c r="N339" s="34">
        <f>MONTH(HistoricalStockProgress[[#This Row],[Date]])</f>
        <v>11</v>
      </c>
    </row>
    <row r="340" spans="2:14">
      <c r="B340" s="15">
        <v>43100</v>
      </c>
      <c r="C340" s="34" t="s">
        <v>12</v>
      </c>
      <c r="D340" s="34" t="e" vm="1">
        <f>_xlfn.XLOOKUP(HistoricalStockProgress[[#This Row],[Company Ticker]],CompanyDetailsList[Company Ticker],CompanyDetailsList[Official Name],,0)</f>
        <v>#VALUE!</v>
      </c>
      <c r="E3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3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340" s="17">
        <f>IFERROR(HistoricalStockProgress[[#This Row],[Cost of Shares]]/HistoricalStockProgress[[#This Row],[No. of Shares]],0)</f>
        <v>57.188485025896703</v>
      </c>
      <c r="H340" s="16" vm="882">
        <v>57.02</v>
      </c>
      <c r="I340" s="16">
        <f>IF(HistoricalStockProgress[[#This Row],[No. of Shares]]&lt;&gt;0,HistoricalStockProgress[[#This Row],[Price of Shares]]*HistoricalStockProgress[[#This Row],[No. of Shares]],0)</f>
        <v>342.12</v>
      </c>
      <c r="J340" s="16">
        <f>IF(HistoricalStockProgress[[#This Row],[No. of Shares]]&lt;&gt;0,HistoricalStockProgress[[#This Row],[Price of Shares]]-HistoricalStockProgress[[#This Row],[Cost of Shares]]/HistoricalStockProgress[[#This Row],[No. of Shares]],0)</f>
        <v>-0.16848502589670034</v>
      </c>
      <c r="K340" s="17">
        <f>IF(HistoricalStockProgress[[#This Row],[Total Price of Shares]]&lt;&gt;0,HistoricalStockProgress[[#This Row],[Total Price of Shares]]-HistoricalStockProgress[[#This Row],[Cost of Shares]],0)</f>
        <v>-1.010910155380202</v>
      </c>
      <c r="L340" s="34" t="b" cm="1">
        <f t="array" ref="L340">IFERROR(IF(HistoricalStockProgress[[#This Row],[Price of Shares]]="",_xlfn.STOCKHISTORY(HistoricalStockProgress[[#This Row],[Full Company Name]],HistoricalStockProgress[[#This Row],[Date]],,2,0,1)),0)</f>
        <v>0</v>
      </c>
      <c r="M340" s="34">
        <f>YEAR(HistoricalStockProgress[[#This Row],[Date]])</f>
        <v>2017</v>
      </c>
      <c r="N340" s="34">
        <f>MONTH(HistoricalStockProgress[[#This Row],[Date]])</f>
        <v>12</v>
      </c>
    </row>
    <row r="341" spans="2:14">
      <c r="B341" s="15">
        <v>43100</v>
      </c>
      <c r="C341" s="34" t="s">
        <v>84</v>
      </c>
      <c r="D341" s="34" t="e" vm="7">
        <f>_xlfn.XLOOKUP(HistoricalStockProgress[[#This Row],[Company Ticker]],CompanyDetailsList[Company Ticker],CompanyDetailsList[Official Name],,0)</f>
        <v>#VALUE!</v>
      </c>
      <c r="E3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3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341" s="17">
        <f>IFERROR(HistoricalStockProgress[[#This Row],[Cost of Shares]]/HistoricalStockProgress[[#This Row],[No. of Shares]],0)</f>
        <v>104.18087504950869</v>
      </c>
      <c r="H341" s="16" vm="883">
        <v>139.72</v>
      </c>
      <c r="I341" s="16">
        <f>IF(HistoricalStockProgress[[#This Row],[No. of Shares]]&lt;&gt;0,HistoricalStockProgress[[#This Row],[Price of Shares]]*HistoricalStockProgress[[#This Row],[No. of Shares]],0)</f>
        <v>7125.72</v>
      </c>
      <c r="J341" s="16">
        <f>IF(HistoricalStockProgress[[#This Row],[No. of Shares]]&lt;&gt;0,HistoricalStockProgress[[#This Row],[Price of Shares]]-HistoricalStockProgress[[#This Row],[Cost of Shares]]/HistoricalStockProgress[[#This Row],[No. of Shares]],0)</f>
        <v>35.539124950491313</v>
      </c>
      <c r="K341" s="17">
        <f>IF(HistoricalStockProgress[[#This Row],[Total Price of Shares]]&lt;&gt;0,HistoricalStockProgress[[#This Row],[Total Price of Shares]]-HistoricalStockProgress[[#This Row],[Cost of Shares]],0)</f>
        <v>1812.4953724750576</v>
      </c>
      <c r="L341" s="34" t="b" cm="1">
        <f t="array" ref="L341">IFERROR(IF(HistoricalStockProgress[[#This Row],[Price of Shares]]="",_xlfn.STOCKHISTORY(HistoricalStockProgress[[#This Row],[Full Company Name]],HistoricalStockProgress[[#This Row],[Date]],,2,0,1)),0)</f>
        <v>0</v>
      </c>
      <c r="M341" s="34">
        <f>YEAR(HistoricalStockProgress[[#This Row],[Date]])</f>
        <v>2017</v>
      </c>
      <c r="N341" s="34">
        <f>MONTH(HistoricalStockProgress[[#This Row],[Date]])</f>
        <v>12</v>
      </c>
    </row>
    <row r="342" spans="2:14">
      <c r="B342" s="15">
        <v>43100</v>
      </c>
      <c r="C342" s="34" t="s">
        <v>86</v>
      </c>
      <c r="D342" s="34" t="e" vm="8">
        <f>_xlfn.XLOOKUP(HistoricalStockProgress[[#This Row],[Company Ticker]],CompanyDetailsList[Company Ticker],CompanyDetailsList[Official Name],,0)</f>
        <v>#VALUE!</v>
      </c>
      <c r="E3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31</v>
      </c>
      <c r="F3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1940.995245840923</v>
      </c>
      <c r="G342" s="17">
        <f>IFERROR(HistoricalStockProgress[[#This Row],[Cost of Shares]]/HistoricalStockProgress[[#This Row],[No. of Shares]],0)</f>
        <v>62.612749865836221</v>
      </c>
      <c r="H342" s="16" vm="884">
        <v>96.71</v>
      </c>
      <c r="I342" s="16">
        <f>IF(HistoricalStockProgress[[#This Row],[No. of Shares]]&lt;&gt;0,HistoricalStockProgress[[#This Row],[Price of Shares]]*HistoricalStockProgress[[#This Row],[No. of Shares]],0)</f>
        <v>2998.0099999999998</v>
      </c>
      <c r="J342" s="16">
        <f>IF(HistoricalStockProgress[[#This Row],[No. of Shares]]&lt;&gt;0,HistoricalStockProgress[[#This Row],[Price of Shares]]-HistoricalStockProgress[[#This Row],[Cost of Shares]]/HistoricalStockProgress[[#This Row],[No. of Shares]],0)</f>
        <v>34.097250134163772</v>
      </c>
      <c r="K342" s="17">
        <f>IF(HistoricalStockProgress[[#This Row],[Total Price of Shares]]&lt;&gt;0,HistoricalStockProgress[[#This Row],[Total Price of Shares]]-HistoricalStockProgress[[#This Row],[Cost of Shares]],0)</f>
        <v>1057.0147541590768</v>
      </c>
      <c r="L342" s="34" t="b" cm="1">
        <f t="array" ref="L342">IFERROR(IF(HistoricalStockProgress[[#This Row],[Price of Shares]]="",_xlfn.STOCKHISTORY(HistoricalStockProgress[[#This Row],[Full Company Name]],HistoricalStockProgress[[#This Row],[Date]],,2,0,1)),0)</f>
        <v>0</v>
      </c>
      <c r="M342" s="34">
        <f>YEAR(HistoricalStockProgress[[#This Row],[Date]])</f>
        <v>2017</v>
      </c>
      <c r="N342" s="34">
        <f>MONTH(HistoricalStockProgress[[#This Row],[Date]])</f>
        <v>12</v>
      </c>
    </row>
    <row r="343" spans="2:14">
      <c r="B343" s="15">
        <v>43100</v>
      </c>
      <c r="C343" s="34" t="s">
        <v>22</v>
      </c>
      <c r="D343" s="34" t="e" vm="10">
        <f>_xlfn.XLOOKUP(HistoricalStockProgress[[#This Row],[Company Ticker]],CompanyDetailsList[Company Ticker],CompanyDetailsList[Official Name],,0)</f>
        <v>#VALUE!</v>
      </c>
      <c r="E3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3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343" s="17">
        <f>IFERROR(HistoricalStockProgress[[#This Row],[Cost of Shares]]/HistoricalStockProgress[[#This Row],[No. of Shares]],0)</f>
        <v>83.61275075159574</v>
      </c>
      <c r="H343" s="16" vm="885">
        <v>157.58000000000001</v>
      </c>
      <c r="I343" s="16">
        <f>IF(HistoricalStockProgress[[#This Row],[No. of Shares]]&lt;&gt;0,HistoricalStockProgress[[#This Row],[Price of Shares]]*HistoricalStockProgress[[#This Row],[No. of Shares]],0)</f>
        <v>9612.380000000001</v>
      </c>
      <c r="J343" s="16">
        <f>IF(HistoricalStockProgress[[#This Row],[No. of Shares]]&lt;&gt;0,HistoricalStockProgress[[#This Row],[Price of Shares]]-HistoricalStockProgress[[#This Row],[Cost of Shares]]/HistoricalStockProgress[[#This Row],[No. of Shares]],0)</f>
        <v>73.967249248404272</v>
      </c>
      <c r="K343" s="17">
        <f>IF(HistoricalStockProgress[[#This Row],[Total Price of Shares]]&lt;&gt;0,HistoricalStockProgress[[#This Row],[Total Price of Shares]]-HistoricalStockProgress[[#This Row],[Cost of Shares]],0)</f>
        <v>4512.0022041526609</v>
      </c>
      <c r="L343" s="34" t="b" cm="1">
        <f t="array" ref="L343">IFERROR(IF(HistoricalStockProgress[[#This Row],[Price of Shares]]="",_xlfn.STOCKHISTORY(HistoricalStockProgress[[#This Row],[Full Company Name]],HistoricalStockProgress[[#This Row],[Date]],,2,0,1)),0)</f>
        <v>0</v>
      </c>
      <c r="M343" s="34">
        <f>YEAR(HistoricalStockProgress[[#This Row],[Date]])</f>
        <v>2017</v>
      </c>
      <c r="N343" s="34">
        <f>MONTH(HistoricalStockProgress[[#This Row],[Date]])</f>
        <v>12</v>
      </c>
    </row>
    <row r="344" spans="2:14">
      <c r="B344" s="15">
        <v>43100</v>
      </c>
      <c r="C344" s="34" t="s">
        <v>91</v>
      </c>
      <c r="D344" s="34" t="e" vm="11">
        <f>_xlfn.XLOOKUP(HistoricalStockProgress[[#This Row],[Company Ticker]],CompanyDetailsList[Company Ticker],CompanyDetailsList[Official Name],,0)</f>
        <v>#VALUE!</v>
      </c>
      <c r="E3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3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4641.1780084974125</v>
      </c>
      <c r="G344" s="17">
        <f>IFERROR(HistoricalStockProgress[[#This Row],[Cost of Shares]]/HistoricalStockProgress[[#This Row],[No. of Shares]],0)</f>
        <v>58.749088715157121</v>
      </c>
      <c r="H344" s="16" vm="886">
        <v>85.54</v>
      </c>
      <c r="I344" s="16">
        <f>IF(HistoricalStockProgress[[#This Row],[No. of Shares]]&lt;&gt;0,HistoricalStockProgress[[#This Row],[Price of Shares]]*HistoricalStockProgress[[#This Row],[No. of Shares]],0)</f>
        <v>6757.6600000000008</v>
      </c>
      <c r="J344" s="16">
        <f>IF(HistoricalStockProgress[[#This Row],[No. of Shares]]&lt;&gt;0,HistoricalStockProgress[[#This Row],[Price of Shares]]-HistoricalStockProgress[[#This Row],[Cost of Shares]]/HistoricalStockProgress[[#This Row],[No. of Shares]],0)</f>
        <v>26.790911284842885</v>
      </c>
      <c r="K344" s="17">
        <f>IF(HistoricalStockProgress[[#This Row],[Total Price of Shares]]&lt;&gt;0,HistoricalStockProgress[[#This Row],[Total Price of Shares]]-HistoricalStockProgress[[#This Row],[Cost of Shares]],0)</f>
        <v>2116.4819915025882</v>
      </c>
      <c r="L344" s="34" t="b" cm="1">
        <f t="array" ref="L344">IFERROR(IF(HistoricalStockProgress[[#This Row],[Price of Shares]]="",_xlfn.STOCKHISTORY(HistoricalStockProgress[[#This Row],[Full Company Name]],HistoricalStockProgress[[#This Row],[Date]],,2,0,1)),0)</f>
        <v>0</v>
      </c>
      <c r="M344" s="34">
        <f>YEAR(HistoricalStockProgress[[#This Row],[Date]])</f>
        <v>2017</v>
      </c>
      <c r="N344" s="34">
        <f>MONTH(HistoricalStockProgress[[#This Row],[Date]])</f>
        <v>12</v>
      </c>
    </row>
    <row r="345" spans="2:14">
      <c r="B345" s="15">
        <v>43100</v>
      </c>
      <c r="C345" s="34" t="s">
        <v>16</v>
      </c>
      <c r="D345" s="34" t="e" vm="12">
        <f>_xlfn.XLOOKUP(HistoricalStockProgress[[#This Row],[Company Ticker]],CompanyDetailsList[Company Ticker],CompanyDetailsList[Official Name],,0)</f>
        <v>#VALUE!</v>
      </c>
      <c r="E3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107</v>
      </c>
      <c r="F3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9097.0068259849722</v>
      </c>
      <c r="G345" s="17">
        <f>IFERROR(HistoricalStockProgress[[#This Row],[Cost of Shares]]/HistoricalStockProgress[[#This Row],[No. of Shares]],0)</f>
        <v>85.018755383037117</v>
      </c>
      <c r="H345" s="16" vm="887">
        <v>83.64</v>
      </c>
      <c r="I345" s="16">
        <f>IF(HistoricalStockProgress[[#This Row],[No. of Shares]]&lt;&gt;0,HistoricalStockProgress[[#This Row],[Price of Shares]]*HistoricalStockProgress[[#This Row],[No. of Shares]],0)</f>
        <v>8949.48</v>
      </c>
      <c r="J345" s="16">
        <f>IF(HistoricalStockProgress[[#This Row],[No. of Shares]]&lt;&gt;0,HistoricalStockProgress[[#This Row],[Price of Shares]]-HistoricalStockProgress[[#This Row],[Cost of Shares]]/HistoricalStockProgress[[#This Row],[No. of Shares]],0)</f>
        <v>-1.3787553830371166</v>
      </c>
      <c r="K345" s="17">
        <f>IF(HistoricalStockProgress[[#This Row],[Total Price of Shares]]&lt;&gt;0,HistoricalStockProgress[[#This Row],[Total Price of Shares]]-HistoricalStockProgress[[#This Row],[Cost of Shares]],0)</f>
        <v>-147.52682598497267</v>
      </c>
      <c r="L345" s="34" t="b" cm="1">
        <f t="array" ref="L345">IFERROR(IF(HistoricalStockProgress[[#This Row],[Price of Shares]]="",_xlfn.STOCKHISTORY(HistoricalStockProgress[[#This Row],[Full Company Name]],HistoricalStockProgress[[#This Row],[Date]],,2,0,1)),0)</f>
        <v>0</v>
      </c>
      <c r="M345" s="34">
        <f>YEAR(HistoricalStockProgress[[#This Row],[Date]])</f>
        <v>2017</v>
      </c>
      <c r="N345" s="34">
        <f>MONTH(HistoricalStockProgress[[#This Row],[Date]])</f>
        <v>12</v>
      </c>
    </row>
    <row r="346" spans="2:14">
      <c r="B346" s="15">
        <v>43100</v>
      </c>
      <c r="C346" s="34" t="s">
        <v>95</v>
      </c>
      <c r="D346" s="34" t="e" vm="13">
        <f>_xlfn.XLOOKUP(HistoricalStockProgress[[#This Row],[Company Ticker]],CompanyDetailsList[Company Ticker],CompanyDetailsList[Official Name],,0)</f>
        <v>#VALUE!</v>
      </c>
      <c r="E3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3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346" s="17">
        <f>IFERROR(HistoricalStockProgress[[#This Row],[Cost of Shares]]/HistoricalStockProgress[[#This Row],[No. of Shares]],0)</f>
        <v>143.29758396474452</v>
      </c>
      <c r="H346" s="16" vm="888">
        <v>189.53</v>
      </c>
      <c r="I346" s="16">
        <f>IF(HistoricalStockProgress[[#This Row],[No. of Shares]]&lt;&gt;0,HistoricalStockProgress[[#This Row],[Price of Shares]]*HistoricalStockProgress[[#This Row],[No. of Shares]],0)</f>
        <v>8149.79</v>
      </c>
      <c r="J346" s="16">
        <f>IF(HistoricalStockProgress[[#This Row],[No. of Shares]]&lt;&gt;0,HistoricalStockProgress[[#This Row],[Price of Shares]]-HistoricalStockProgress[[#This Row],[Cost of Shares]]/HistoricalStockProgress[[#This Row],[No. of Shares]],0)</f>
        <v>46.232416035255483</v>
      </c>
      <c r="K346" s="17">
        <f>IF(HistoricalStockProgress[[#This Row],[Total Price of Shares]]&lt;&gt;0,HistoricalStockProgress[[#This Row],[Total Price of Shares]]-HistoricalStockProgress[[#This Row],[Cost of Shares]],0)</f>
        <v>1987.9938895159858</v>
      </c>
      <c r="L346" s="34" t="b" cm="1">
        <f t="array" ref="L346">IFERROR(IF(HistoricalStockProgress[[#This Row],[Price of Shares]]="",_xlfn.STOCKHISTORY(HistoricalStockProgress[[#This Row],[Full Company Name]],HistoricalStockProgress[[#This Row],[Date]],,2,0,1)),0)</f>
        <v>0</v>
      </c>
      <c r="M346" s="34">
        <f>YEAR(HistoricalStockProgress[[#This Row],[Date]])</f>
        <v>2017</v>
      </c>
      <c r="N346" s="34">
        <f>MONTH(HistoricalStockProgress[[#This Row],[Date]])</f>
        <v>12</v>
      </c>
    </row>
    <row r="347" spans="2:14">
      <c r="B347" s="15">
        <v>43100</v>
      </c>
      <c r="C347" s="34" t="s">
        <v>17</v>
      </c>
      <c r="D347" s="34" t="e" vm="14">
        <f>_xlfn.XLOOKUP(HistoricalStockProgress[[#This Row],[Company Ticker]],CompanyDetailsList[Company Ticker],CompanyDetailsList[Official Name],,0)</f>
        <v>#VALUE!</v>
      </c>
      <c r="E3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3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5103.4501354761906</v>
      </c>
      <c r="G347" s="17">
        <f>IFERROR(HistoricalStockProgress[[#This Row],[Cost of Shares]]/HistoricalStockProgress[[#This Row],[No. of Shares]],0)</f>
        <v>154.65000410533912</v>
      </c>
      <c r="H347" s="16" vm="889">
        <v>153.41999999999999</v>
      </c>
      <c r="I347" s="16">
        <f>IF(HistoricalStockProgress[[#This Row],[No. of Shares]]&lt;&gt;0,HistoricalStockProgress[[#This Row],[Price of Shares]]*HistoricalStockProgress[[#This Row],[No. of Shares]],0)</f>
        <v>5062.8599999999997</v>
      </c>
      <c r="J347" s="16">
        <f>IF(HistoricalStockProgress[[#This Row],[No. of Shares]]&lt;&gt;0,HistoricalStockProgress[[#This Row],[Price of Shares]]-HistoricalStockProgress[[#This Row],[Cost of Shares]]/HistoricalStockProgress[[#This Row],[No. of Shares]],0)</f>
        <v>-1.230004105339134</v>
      </c>
      <c r="K347" s="17">
        <f>IF(HistoricalStockProgress[[#This Row],[Total Price of Shares]]&lt;&gt;0,HistoricalStockProgress[[#This Row],[Total Price of Shares]]-HistoricalStockProgress[[#This Row],[Cost of Shares]],0)</f>
        <v>-40.590135476190881</v>
      </c>
      <c r="L347" s="34" t="b" cm="1">
        <f t="array" ref="L347">IFERROR(IF(HistoricalStockProgress[[#This Row],[Price of Shares]]="",_xlfn.STOCKHISTORY(HistoricalStockProgress[[#This Row],[Full Company Name]],HistoricalStockProgress[[#This Row],[Date]],,2,0,1)),0)</f>
        <v>0</v>
      </c>
      <c r="M347" s="34">
        <f>YEAR(HistoricalStockProgress[[#This Row],[Date]])</f>
        <v>2017</v>
      </c>
      <c r="N347" s="34">
        <f>MONTH(HistoricalStockProgress[[#This Row],[Date]])</f>
        <v>12</v>
      </c>
    </row>
    <row r="348" spans="2:14">
      <c r="B348" s="15">
        <v>43100</v>
      </c>
      <c r="C348" s="34" t="s">
        <v>98</v>
      </c>
      <c r="D348" s="34" t="e" vm="15">
        <f>_xlfn.XLOOKUP(HistoricalStockProgress[[#This Row],[Company Ticker]],CompanyDetailsList[Company Ticker],CompanyDetailsList[Official Name],,0)</f>
        <v>#VALUE!</v>
      </c>
      <c r="E3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3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1941.9842250911215</v>
      </c>
      <c r="G348" s="17">
        <f>IFERROR(HistoricalStockProgress[[#This Row],[Cost of Shares]]/HistoricalStockProgress[[#This Row],[No. of Shares]],0)</f>
        <v>38.078122060610227</v>
      </c>
      <c r="H348" s="16" vm="890">
        <v>39.047499999999999</v>
      </c>
      <c r="I348" s="16">
        <f>IF(HistoricalStockProgress[[#This Row],[No. of Shares]]&lt;&gt;0,HistoricalStockProgress[[#This Row],[Price of Shares]]*HistoricalStockProgress[[#This Row],[No. of Shares]],0)</f>
        <v>1991.4224999999999</v>
      </c>
      <c r="J348" s="16">
        <f>IF(HistoricalStockProgress[[#This Row],[No. of Shares]]&lt;&gt;0,HistoricalStockProgress[[#This Row],[Price of Shares]]-HistoricalStockProgress[[#This Row],[Cost of Shares]]/HistoricalStockProgress[[#This Row],[No. of Shares]],0)</f>
        <v>0.96937793938977279</v>
      </c>
      <c r="K348" s="17">
        <f>IF(HistoricalStockProgress[[#This Row],[Total Price of Shares]]&lt;&gt;0,HistoricalStockProgress[[#This Row],[Total Price of Shares]]-HistoricalStockProgress[[#This Row],[Cost of Shares]],0)</f>
        <v>49.438274908878384</v>
      </c>
      <c r="L348" s="34" t="b" cm="1">
        <f t="array" ref="L348">IFERROR(IF(HistoricalStockProgress[[#This Row],[Price of Shares]]="",_xlfn.STOCKHISTORY(HistoricalStockProgress[[#This Row],[Full Company Name]],HistoricalStockProgress[[#This Row],[Date]],,2,0,1)),0)</f>
        <v>0</v>
      </c>
      <c r="M348" s="34">
        <f>YEAR(HistoricalStockProgress[[#This Row],[Date]])</f>
        <v>2017</v>
      </c>
      <c r="N348" s="34">
        <f>MONTH(HistoricalStockProgress[[#This Row],[Date]])</f>
        <v>12</v>
      </c>
    </row>
    <row r="349" spans="2:14">
      <c r="B349" s="15">
        <v>43100</v>
      </c>
      <c r="C349" s="34" t="s">
        <v>100</v>
      </c>
      <c r="D349" s="34" t="e" vm="16">
        <f>_xlfn.XLOOKUP(HistoricalStockProgress[[#This Row],[Company Ticker]],CompanyDetailsList[Company Ticker],CompanyDetailsList[Official Name],,0)</f>
        <v>#VALUE!</v>
      </c>
      <c r="E3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3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349" s="17">
        <f>IFERROR(HistoricalStockProgress[[#This Row],[Cost of Shares]]/HistoricalStockProgress[[#This Row],[No. of Shares]],0)</f>
        <v>84.509035134678101</v>
      </c>
      <c r="H349" s="16" vm="891">
        <v>84.11</v>
      </c>
      <c r="I349" s="16">
        <f>IF(HistoricalStockProgress[[#This Row],[No. of Shares]]&lt;&gt;0,HistoricalStockProgress[[#This Row],[Price of Shares]]*HistoricalStockProgress[[#This Row],[No. of Shares]],0)</f>
        <v>2775.63</v>
      </c>
      <c r="J349" s="16">
        <f>IF(HistoricalStockProgress[[#This Row],[No. of Shares]]&lt;&gt;0,HistoricalStockProgress[[#This Row],[Price of Shares]]-HistoricalStockProgress[[#This Row],[Cost of Shares]]/HistoricalStockProgress[[#This Row],[No. of Shares]],0)</f>
        <v>-0.39903513467810114</v>
      </c>
      <c r="K349" s="17">
        <f>IF(HistoricalStockProgress[[#This Row],[Total Price of Shares]]&lt;&gt;0,HistoricalStockProgress[[#This Row],[Total Price of Shares]]-HistoricalStockProgress[[#This Row],[Cost of Shares]],0)</f>
        <v>-13.168159444377125</v>
      </c>
      <c r="L349" s="34" t="b" cm="1">
        <f t="array" ref="L349">IFERROR(IF(HistoricalStockProgress[[#This Row],[Price of Shares]]="",_xlfn.STOCKHISTORY(HistoricalStockProgress[[#This Row],[Full Company Name]],HistoricalStockProgress[[#This Row],[Date]],,2,0,1)),0)</f>
        <v>0</v>
      </c>
      <c r="M349" s="34">
        <f>YEAR(HistoricalStockProgress[[#This Row],[Date]])</f>
        <v>2017</v>
      </c>
      <c r="N349" s="34">
        <f>MONTH(HistoricalStockProgress[[#This Row],[Date]])</f>
        <v>12</v>
      </c>
    </row>
    <row r="350" spans="2:14">
      <c r="B350" s="15">
        <v>43100</v>
      </c>
      <c r="C350" s="34" t="s">
        <v>15</v>
      </c>
      <c r="D350" s="34" t="e" vm="17">
        <f>_xlfn.XLOOKUP(HistoricalStockProgress[[#This Row],[Company Ticker]],CompanyDetailsList[Company Ticker],CompanyDetailsList[Official Name],,0)</f>
        <v>#VALUE!</v>
      </c>
      <c r="E3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3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350" s="17">
        <f>IFERROR(HistoricalStockProgress[[#This Row],[Cost of Shares]]/HistoricalStockProgress[[#This Row],[No. of Shares]],0)</f>
        <v>26.481400454992627</v>
      </c>
      <c r="H350" s="16" vm="892">
        <v>29.3614</v>
      </c>
      <c r="I350" s="16">
        <f>IF(HistoricalStockProgress[[#This Row],[No. of Shares]]&lt;&gt;0,HistoricalStockProgress[[#This Row],[Price of Shares]]*HistoricalStockProgress[[#This Row],[No. of Shares]],0)</f>
        <v>2818.6943999999999</v>
      </c>
      <c r="J350" s="16">
        <f>IF(HistoricalStockProgress[[#This Row],[No. of Shares]]&lt;&gt;0,HistoricalStockProgress[[#This Row],[Price of Shares]]-HistoricalStockProgress[[#This Row],[Cost of Shares]]/HistoricalStockProgress[[#This Row],[No. of Shares]],0)</f>
        <v>2.8799995450073723</v>
      </c>
      <c r="K350" s="17">
        <f>IF(HistoricalStockProgress[[#This Row],[Total Price of Shares]]&lt;&gt;0,HistoricalStockProgress[[#This Row],[Total Price of Shares]]-HistoricalStockProgress[[#This Row],[Cost of Shares]],0)</f>
        <v>276.47995632070752</v>
      </c>
      <c r="L350" s="34" t="b" cm="1">
        <f t="array" ref="L350">IFERROR(IF(HistoricalStockProgress[[#This Row],[Price of Shares]]="",_xlfn.STOCKHISTORY(HistoricalStockProgress[[#This Row],[Full Company Name]],HistoricalStockProgress[[#This Row],[Date]],,2,0,1)),0)</f>
        <v>0</v>
      </c>
      <c r="M350" s="34">
        <f>YEAR(HistoricalStockProgress[[#This Row],[Date]])</f>
        <v>2017</v>
      </c>
      <c r="N350" s="34">
        <f>MONTH(HistoricalStockProgress[[#This Row],[Date]])</f>
        <v>12</v>
      </c>
    </row>
    <row r="351" spans="2:14">
      <c r="B351" s="15">
        <v>43100</v>
      </c>
      <c r="C351" s="34" t="s">
        <v>13</v>
      </c>
      <c r="D351" s="34" t="e" vm="18">
        <f>_xlfn.XLOOKUP(HistoricalStockProgress[[#This Row],[Company Ticker]],CompanyDetailsList[Company Ticker],CompanyDetailsList[Official Name],,0)</f>
        <v>#VALUE!</v>
      </c>
      <c r="E3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3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351" s="17">
        <f>IFERROR(HistoricalStockProgress[[#This Row],[Cost of Shares]]/HistoricalStockProgress[[#This Row],[No. of Shares]],0)</f>
        <v>31.383479678650293</v>
      </c>
      <c r="H351" s="16" vm="893">
        <v>34.334699999999998</v>
      </c>
      <c r="I351" s="16">
        <f>IF(HistoricalStockProgress[[#This Row],[No. of Shares]]&lt;&gt;0,HistoricalStockProgress[[#This Row],[Price of Shares]]*HistoricalStockProgress[[#This Row],[No. of Shares]],0)</f>
        <v>858.36749999999995</v>
      </c>
      <c r="J351" s="16">
        <f>IF(HistoricalStockProgress[[#This Row],[No. of Shares]]&lt;&gt;0,HistoricalStockProgress[[#This Row],[Price of Shares]]-HistoricalStockProgress[[#This Row],[Cost of Shares]]/HistoricalStockProgress[[#This Row],[No. of Shares]],0)</f>
        <v>2.9512203213497052</v>
      </c>
      <c r="K351" s="17">
        <f>IF(HistoricalStockProgress[[#This Row],[Total Price of Shares]]&lt;&gt;0,HistoricalStockProgress[[#This Row],[Total Price of Shares]]-HistoricalStockProgress[[#This Row],[Cost of Shares]],0)</f>
        <v>73.780508033742649</v>
      </c>
      <c r="L351" s="34" t="b" cm="1">
        <f t="array" ref="L351">IFERROR(IF(HistoricalStockProgress[[#This Row],[Price of Shares]]="",_xlfn.STOCKHISTORY(HistoricalStockProgress[[#This Row],[Full Company Name]],HistoricalStockProgress[[#This Row],[Date]],,2,0,1)),0)</f>
        <v>0</v>
      </c>
      <c r="M351" s="34">
        <f>YEAR(HistoricalStockProgress[[#This Row],[Date]])</f>
        <v>2017</v>
      </c>
      <c r="N351" s="34">
        <f>MONTH(HistoricalStockProgress[[#This Row],[Date]])</f>
        <v>12</v>
      </c>
    </row>
    <row r="352" spans="2:14">
      <c r="B352" s="15">
        <v>43100</v>
      </c>
      <c r="C352" s="34" t="s">
        <v>20</v>
      </c>
      <c r="D352" s="34" t="e" vm="19">
        <f>_xlfn.XLOOKUP(HistoricalStockProgress[[#This Row],[Company Ticker]],CompanyDetailsList[Company Ticker],CompanyDetailsList[Official Name],,0)</f>
        <v>#VALUE!</v>
      </c>
      <c r="E3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48</v>
      </c>
      <c r="F3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4016.1684127784297</v>
      </c>
      <c r="G352" s="17">
        <f>IFERROR(HistoricalStockProgress[[#This Row],[Cost of Shares]]/HistoricalStockProgress[[#This Row],[No. of Shares]],0)</f>
        <v>83.670175266217285</v>
      </c>
      <c r="H352" s="16" vm="894">
        <v>106.94</v>
      </c>
      <c r="I352" s="16">
        <f>IF(HistoricalStockProgress[[#This Row],[No. of Shares]]&lt;&gt;0,HistoricalStockProgress[[#This Row],[Price of Shares]]*HistoricalStockProgress[[#This Row],[No. of Shares]],0)</f>
        <v>5133.12</v>
      </c>
      <c r="J352" s="16">
        <f>IF(HistoricalStockProgress[[#This Row],[No. of Shares]]&lt;&gt;0,HistoricalStockProgress[[#This Row],[Price of Shares]]-HistoricalStockProgress[[#This Row],[Cost of Shares]]/HistoricalStockProgress[[#This Row],[No. of Shares]],0)</f>
        <v>23.269824733782713</v>
      </c>
      <c r="K352" s="17">
        <f>IF(HistoricalStockProgress[[#This Row],[Total Price of Shares]]&lt;&gt;0,HistoricalStockProgress[[#This Row],[Total Price of Shares]]-HistoricalStockProgress[[#This Row],[Cost of Shares]],0)</f>
        <v>1116.9515872215702</v>
      </c>
      <c r="L352" s="34" t="b" cm="1">
        <f t="array" ref="L352">IFERROR(IF(HistoricalStockProgress[[#This Row],[Price of Shares]]="",_xlfn.STOCKHISTORY(HistoricalStockProgress[[#This Row],[Full Company Name]],HistoricalStockProgress[[#This Row],[Date]],,2,0,1)),0)</f>
        <v>0</v>
      </c>
      <c r="M352" s="34">
        <f>YEAR(HistoricalStockProgress[[#This Row],[Date]])</f>
        <v>2017</v>
      </c>
      <c r="N352" s="34">
        <f>MONTH(HistoricalStockProgress[[#This Row],[Date]])</f>
        <v>12</v>
      </c>
    </row>
    <row r="353" spans="2:14">
      <c r="B353" s="15">
        <v>43100</v>
      </c>
      <c r="C353" s="34" t="s">
        <v>106</v>
      </c>
      <c r="D353" s="34" t="e" vm="20">
        <f>_xlfn.XLOOKUP(HistoricalStockProgress[[#This Row],[Company Ticker]],CompanyDetailsList[Company Ticker],CompanyDetailsList[Official Name],,0)</f>
        <v>#VALUE!</v>
      </c>
      <c r="E3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3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353" s="17">
        <f>IFERROR(HistoricalStockProgress[[#This Row],[Cost of Shares]]/HistoricalStockProgress[[#This Row],[No. of Shares]],0)</f>
        <v>104.71316390485761</v>
      </c>
      <c r="H353" s="16" vm="895">
        <v>116.82</v>
      </c>
      <c r="I353" s="16">
        <f>IF(HistoricalStockProgress[[#This Row],[No. of Shares]]&lt;&gt;0,HistoricalStockProgress[[#This Row],[Price of Shares]]*HistoricalStockProgress[[#This Row],[No. of Shares]],0)</f>
        <v>4088.7</v>
      </c>
      <c r="J353" s="16">
        <f>IF(HistoricalStockProgress[[#This Row],[No. of Shares]]&lt;&gt;0,HistoricalStockProgress[[#This Row],[Price of Shares]]-HistoricalStockProgress[[#This Row],[Cost of Shares]]/HistoricalStockProgress[[#This Row],[No. of Shares]],0)</f>
        <v>12.106836095142384</v>
      </c>
      <c r="K353" s="17">
        <f>IF(HistoricalStockProgress[[#This Row],[Total Price of Shares]]&lt;&gt;0,HistoricalStockProgress[[#This Row],[Total Price of Shares]]-HistoricalStockProgress[[#This Row],[Cost of Shares]],0)</f>
        <v>423.73926332998326</v>
      </c>
      <c r="L353" s="34" t="b" cm="1">
        <f t="array" ref="L353">IFERROR(IF(HistoricalStockProgress[[#This Row],[Price of Shares]]="",_xlfn.STOCKHISTORY(HistoricalStockProgress[[#This Row],[Full Company Name]],HistoricalStockProgress[[#This Row],[Date]],,2,0,1)),0)</f>
        <v>0</v>
      </c>
      <c r="M353" s="34">
        <f>YEAR(HistoricalStockProgress[[#This Row],[Date]])</f>
        <v>2017</v>
      </c>
      <c r="N353" s="34">
        <f>MONTH(HistoricalStockProgress[[#This Row],[Date]])</f>
        <v>12</v>
      </c>
    </row>
    <row r="354" spans="2:14">
      <c r="B354" s="15">
        <v>43131</v>
      </c>
      <c r="C354" s="34" t="s">
        <v>12</v>
      </c>
      <c r="D354" s="34" t="e" vm="1">
        <f>_xlfn.XLOOKUP(HistoricalStockProgress[[#This Row],[Company Ticker]],CompanyDetailsList[Company Ticker],CompanyDetailsList[Official Name],,0)</f>
        <v>#VALUE!</v>
      </c>
      <c r="E3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3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354" s="17">
        <f>IFERROR(HistoricalStockProgress[[#This Row],[Cost of Shares]]/HistoricalStockProgress[[#This Row],[No. of Shares]],0)</f>
        <v>57.188485025896703</v>
      </c>
      <c r="H354" s="16" vm="896">
        <v>53.19</v>
      </c>
      <c r="I354" s="16">
        <f>IF(HistoricalStockProgress[[#This Row],[No. of Shares]]&lt;&gt;0,HistoricalStockProgress[[#This Row],[Price of Shares]]*HistoricalStockProgress[[#This Row],[No. of Shares]],0)</f>
        <v>319.14</v>
      </c>
      <c r="J354" s="16">
        <f>IF(HistoricalStockProgress[[#This Row],[No. of Shares]]&lt;&gt;0,HistoricalStockProgress[[#This Row],[Price of Shares]]-HistoricalStockProgress[[#This Row],[Cost of Shares]]/HistoricalStockProgress[[#This Row],[No. of Shares]],0)</f>
        <v>-3.9984850258967057</v>
      </c>
      <c r="K354" s="17">
        <f>IF(HistoricalStockProgress[[#This Row],[Total Price of Shares]]&lt;&gt;0,HistoricalStockProgress[[#This Row],[Total Price of Shares]]-HistoricalStockProgress[[#This Row],[Cost of Shares]],0)</f>
        <v>-23.99091015538022</v>
      </c>
      <c r="L354" s="34" t="b" cm="1">
        <f t="array" ref="L354">IFERROR(IF(HistoricalStockProgress[[#This Row],[Price of Shares]]="",_xlfn.STOCKHISTORY(HistoricalStockProgress[[#This Row],[Full Company Name]],HistoricalStockProgress[[#This Row],[Date]],,2,0,1)),0)</f>
        <v>0</v>
      </c>
      <c r="M354" s="34">
        <f>YEAR(HistoricalStockProgress[[#This Row],[Date]])</f>
        <v>2018</v>
      </c>
      <c r="N354" s="34">
        <f>MONTH(HistoricalStockProgress[[#This Row],[Date]])</f>
        <v>1</v>
      </c>
    </row>
    <row r="355" spans="2:14">
      <c r="B355" s="15">
        <v>43131</v>
      </c>
      <c r="C355" s="34" t="s">
        <v>84</v>
      </c>
      <c r="D355" s="34" t="e" vm="7">
        <f>_xlfn.XLOOKUP(HistoricalStockProgress[[#This Row],[Company Ticker]],CompanyDetailsList[Company Ticker],CompanyDetailsList[Official Name],,0)</f>
        <v>#VALUE!</v>
      </c>
      <c r="E3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3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355" s="17">
        <f>IFERROR(HistoricalStockProgress[[#This Row],[Cost of Shares]]/HistoricalStockProgress[[#This Row],[No. of Shares]],0)</f>
        <v>104.18087504950869</v>
      </c>
      <c r="H355" s="16" vm="897">
        <v>138.19</v>
      </c>
      <c r="I355" s="16">
        <f>IF(HistoricalStockProgress[[#This Row],[No. of Shares]]&lt;&gt;0,HistoricalStockProgress[[#This Row],[Price of Shares]]*HistoricalStockProgress[[#This Row],[No. of Shares]],0)</f>
        <v>7047.69</v>
      </c>
      <c r="J355" s="16">
        <f>IF(HistoricalStockProgress[[#This Row],[No. of Shares]]&lt;&gt;0,HistoricalStockProgress[[#This Row],[Price of Shares]]-HistoricalStockProgress[[#This Row],[Cost of Shares]]/HistoricalStockProgress[[#This Row],[No. of Shares]],0)</f>
        <v>34.009124950491312</v>
      </c>
      <c r="K355" s="17">
        <f>IF(HistoricalStockProgress[[#This Row],[Total Price of Shares]]&lt;&gt;0,HistoricalStockProgress[[#This Row],[Total Price of Shares]]-HistoricalStockProgress[[#This Row],[Cost of Shares]],0)</f>
        <v>1734.4653724750569</v>
      </c>
      <c r="L355" s="34" t="b" cm="1">
        <f t="array" ref="L355">IFERROR(IF(HistoricalStockProgress[[#This Row],[Price of Shares]]="",_xlfn.STOCKHISTORY(HistoricalStockProgress[[#This Row],[Full Company Name]],HistoricalStockProgress[[#This Row],[Date]],,2,0,1)),0)</f>
        <v>0</v>
      </c>
      <c r="M355" s="34">
        <f>YEAR(HistoricalStockProgress[[#This Row],[Date]])</f>
        <v>2018</v>
      </c>
      <c r="N355" s="34">
        <f>MONTH(HistoricalStockProgress[[#This Row],[Date]])</f>
        <v>1</v>
      </c>
    </row>
    <row r="356" spans="2:14">
      <c r="B356" s="15">
        <v>43131</v>
      </c>
      <c r="C356" s="34" t="s">
        <v>86</v>
      </c>
      <c r="D356" s="34" t="e" vm="8">
        <f>_xlfn.XLOOKUP(HistoricalStockProgress[[#This Row],[Company Ticker]],CompanyDetailsList[Company Ticker],CompanyDetailsList[Official Name],,0)</f>
        <v>#VALUE!</v>
      </c>
      <c r="E3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31</v>
      </c>
      <c r="F3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1940.995245840923</v>
      </c>
      <c r="G356" s="17">
        <f>IFERROR(HistoricalStockProgress[[#This Row],[Cost of Shares]]/HistoricalStockProgress[[#This Row],[No. of Shares]],0)</f>
        <v>62.612749865836221</v>
      </c>
      <c r="H356" s="16" vm="898">
        <v>112.22</v>
      </c>
      <c r="I356" s="16">
        <f>IF(HistoricalStockProgress[[#This Row],[No. of Shares]]&lt;&gt;0,HistoricalStockProgress[[#This Row],[Price of Shares]]*HistoricalStockProgress[[#This Row],[No. of Shares]],0)</f>
        <v>3478.82</v>
      </c>
      <c r="J356" s="16">
        <f>IF(HistoricalStockProgress[[#This Row],[No. of Shares]]&lt;&gt;0,HistoricalStockProgress[[#This Row],[Price of Shares]]-HistoricalStockProgress[[#This Row],[Cost of Shares]]/HistoricalStockProgress[[#This Row],[No. of Shares]],0)</f>
        <v>49.607250134163777</v>
      </c>
      <c r="K356" s="17">
        <f>IF(HistoricalStockProgress[[#This Row],[Total Price of Shares]]&lt;&gt;0,HistoricalStockProgress[[#This Row],[Total Price of Shares]]-HistoricalStockProgress[[#This Row],[Cost of Shares]],0)</f>
        <v>1537.8247541590772</v>
      </c>
      <c r="L356" s="34" t="b" cm="1">
        <f t="array" ref="L356">IFERROR(IF(HistoricalStockProgress[[#This Row],[Price of Shares]]="",_xlfn.STOCKHISTORY(HistoricalStockProgress[[#This Row],[Full Company Name]],HistoricalStockProgress[[#This Row],[Date]],,2,0,1)),0)</f>
        <v>0</v>
      </c>
      <c r="M356" s="34">
        <f>YEAR(HistoricalStockProgress[[#This Row],[Date]])</f>
        <v>2018</v>
      </c>
      <c r="N356" s="34">
        <f>MONTH(HistoricalStockProgress[[#This Row],[Date]])</f>
        <v>1</v>
      </c>
    </row>
    <row r="357" spans="2:14">
      <c r="B357" s="15">
        <v>43131</v>
      </c>
      <c r="C357" s="34" t="s">
        <v>22</v>
      </c>
      <c r="D357" s="34" t="e" vm="10">
        <f>_xlfn.XLOOKUP(HistoricalStockProgress[[#This Row],[Company Ticker]],CompanyDetailsList[Company Ticker],CompanyDetailsList[Official Name],,0)</f>
        <v>#VALUE!</v>
      </c>
      <c r="E3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3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357" s="17">
        <f>IFERROR(HistoricalStockProgress[[#This Row],[Cost of Shares]]/HistoricalStockProgress[[#This Row],[No. of Shares]],0)</f>
        <v>83.61275075159574</v>
      </c>
      <c r="H357" s="16" vm="899">
        <v>162.78</v>
      </c>
      <c r="I357" s="16">
        <f>IF(HistoricalStockProgress[[#This Row],[No. of Shares]]&lt;&gt;0,HistoricalStockProgress[[#This Row],[Price of Shares]]*HistoricalStockProgress[[#This Row],[No. of Shares]],0)</f>
        <v>9929.58</v>
      </c>
      <c r="J357" s="16">
        <f>IF(HistoricalStockProgress[[#This Row],[No. of Shares]]&lt;&gt;0,HistoricalStockProgress[[#This Row],[Price of Shares]]-HistoricalStockProgress[[#This Row],[Cost of Shares]]/HistoricalStockProgress[[#This Row],[No. of Shares]],0)</f>
        <v>79.167249248404261</v>
      </c>
      <c r="K357" s="17">
        <f>IF(HistoricalStockProgress[[#This Row],[Total Price of Shares]]&lt;&gt;0,HistoricalStockProgress[[#This Row],[Total Price of Shares]]-HistoricalStockProgress[[#This Row],[Cost of Shares]],0)</f>
        <v>4829.2022041526598</v>
      </c>
      <c r="L357" s="34" t="b" cm="1">
        <f t="array" ref="L357">IFERROR(IF(HistoricalStockProgress[[#This Row],[Price of Shares]]="",_xlfn.STOCKHISTORY(HistoricalStockProgress[[#This Row],[Full Company Name]],HistoricalStockProgress[[#This Row],[Date]],,2,0,1)),0)</f>
        <v>0</v>
      </c>
      <c r="M357" s="34">
        <f>YEAR(HistoricalStockProgress[[#This Row],[Date]])</f>
        <v>2018</v>
      </c>
      <c r="N357" s="34">
        <f>MONTH(HistoricalStockProgress[[#This Row],[Date]])</f>
        <v>1</v>
      </c>
    </row>
    <row r="358" spans="2:14">
      <c r="B358" s="15">
        <v>43131</v>
      </c>
      <c r="C358" s="34" t="s">
        <v>91</v>
      </c>
      <c r="D358" s="34" t="e" vm="11">
        <f>_xlfn.XLOOKUP(HistoricalStockProgress[[#This Row],[Company Ticker]],CompanyDetailsList[Company Ticker],CompanyDetailsList[Official Name],,0)</f>
        <v>#VALUE!</v>
      </c>
      <c r="E3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3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4641.1780084974125</v>
      </c>
      <c r="G358" s="17">
        <f>IFERROR(HistoricalStockProgress[[#This Row],[Cost of Shares]]/HistoricalStockProgress[[#This Row],[No. of Shares]],0)</f>
        <v>58.749088715157121</v>
      </c>
      <c r="H358" s="16" vm="900">
        <v>95.01</v>
      </c>
      <c r="I358" s="16">
        <f>IF(HistoricalStockProgress[[#This Row],[No. of Shares]]&lt;&gt;0,HistoricalStockProgress[[#This Row],[Price of Shares]]*HistoricalStockProgress[[#This Row],[No. of Shares]],0)</f>
        <v>7505.79</v>
      </c>
      <c r="J358" s="16">
        <f>IF(HistoricalStockProgress[[#This Row],[No. of Shares]]&lt;&gt;0,HistoricalStockProgress[[#This Row],[Price of Shares]]-HistoricalStockProgress[[#This Row],[Cost of Shares]]/HistoricalStockProgress[[#This Row],[No. of Shares]],0)</f>
        <v>36.260911284842884</v>
      </c>
      <c r="K358" s="17">
        <f>IF(HistoricalStockProgress[[#This Row],[Total Price of Shares]]&lt;&gt;0,HistoricalStockProgress[[#This Row],[Total Price of Shares]]-HistoricalStockProgress[[#This Row],[Cost of Shares]],0)</f>
        <v>2864.6119915025874</v>
      </c>
      <c r="L358" s="34" t="b" cm="1">
        <f t="array" ref="L358">IFERROR(IF(HistoricalStockProgress[[#This Row],[Price of Shares]]="",_xlfn.STOCKHISTORY(HistoricalStockProgress[[#This Row],[Full Company Name]],HistoricalStockProgress[[#This Row],[Date]],,2,0,1)),0)</f>
        <v>0</v>
      </c>
      <c r="M358" s="34">
        <f>YEAR(HistoricalStockProgress[[#This Row],[Date]])</f>
        <v>2018</v>
      </c>
      <c r="N358" s="34">
        <f>MONTH(HistoricalStockProgress[[#This Row],[Date]])</f>
        <v>1</v>
      </c>
    </row>
    <row r="359" spans="2:14">
      <c r="B359" s="15">
        <v>43131</v>
      </c>
      <c r="C359" s="34" t="s">
        <v>16</v>
      </c>
      <c r="D359" s="34" t="e" vm="12">
        <f>_xlfn.XLOOKUP(HistoricalStockProgress[[#This Row],[Company Ticker]],CompanyDetailsList[Company Ticker],CompanyDetailsList[Official Name],,0)</f>
        <v>#VALUE!</v>
      </c>
      <c r="E3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107</v>
      </c>
      <c r="F3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9097.0068259849722</v>
      </c>
      <c r="G359" s="17">
        <f>IFERROR(HistoricalStockProgress[[#This Row],[Cost of Shares]]/HistoricalStockProgress[[#This Row],[No. of Shares]],0)</f>
        <v>85.018755383037117</v>
      </c>
      <c r="H359" s="16" vm="729">
        <v>87.3</v>
      </c>
      <c r="I359" s="16">
        <f>IF(HistoricalStockProgress[[#This Row],[No. of Shares]]&lt;&gt;0,HistoricalStockProgress[[#This Row],[Price of Shares]]*HistoricalStockProgress[[#This Row],[No. of Shares]],0)</f>
        <v>9341.1</v>
      </c>
      <c r="J359" s="16">
        <f>IF(HistoricalStockProgress[[#This Row],[No. of Shares]]&lt;&gt;0,HistoricalStockProgress[[#This Row],[Price of Shares]]-HistoricalStockProgress[[#This Row],[Cost of Shares]]/HistoricalStockProgress[[#This Row],[No. of Shares]],0)</f>
        <v>2.2812446169628799</v>
      </c>
      <c r="K359" s="17">
        <f>IF(HistoricalStockProgress[[#This Row],[Total Price of Shares]]&lt;&gt;0,HistoricalStockProgress[[#This Row],[Total Price of Shares]]-HistoricalStockProgress[[#This Row],[Cost of Shares]],0)</f>
        <v>244.09317401502813</v>
      </c>
      <c r="L359" s="34" t="b" cm="1">
        <f t="array" ref="L359">IFERROR(IF(HistoricalStockProgress[[#This Row],[Price of Shares]]="",_xlfn.STOCKHISTORY(HistoricalStockProgress[[#This Row],[Full Company Name]],HistoricalStockProgress[[#This Row],[Date]],,2,0,1)),0)</f>
        <v>0</v>
      </c>
      <c r="M359" s="34">
        <f>YEAR(HistoricalStockProgress[[#This Row],[Date]])</f>
        <v>2018</v>
      </c>
      <c r="N359" s="34">
        <f>MONTH(HistoricalStockProgress[[#This Row],[Date]])</f>
        <v>1</v>
      </c>
    </row>
    <row r="360" spans="2:14">
      <c r="B360" s="15">
        <v>43131</v>
      </c>
      <c r="C360" s="34" t="s">
        <v>95</v>
      </c>
      <c r="D360" s="34" t="e" vm="13">
        <f>_xlfn.XLOOKUP(HistoricalStockProgress[[#This Row],[Company Ticker]],CompanyDetailsList[Company Ticker],CompanyDetailsList[Official Name],,0)</f>
        <v>#VALUE!</v>
      </c>
      <c r="E3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3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360" s="17">
        <f>IFERROR(HistoricalStockProgress[[#This Row],[Cost of Shares]]/HistoricalStockProgress[[#This Row],[No. of Shares]],0)</f>
        <v>143.29758396474452</v>
      </c>
      <c r="H360" s="16" vm="901">
        <v>200.9</v>
      </c>
      <c r="I360" s="16">
        <f>IF(HistoricalStockProgress[[#This Row],[No. of Shares]]&lt;&gt;0,HistoricalStockProgress[[#This Row],[Price of Shares]]*HistoricalStockProgress[[#This Row],[No. of Shares]],0)</f>
        <v>8638.7000000000007</v>
      </c>
      <c r="J360" s="16">
        <f>IF(HistoricalStockProgress[[#This Row],[No. of Shares]]&lt;&gt;0,HistoricalStockProgress[[#This Row],[Price of Shares]]-HistoricalStockProgress[[#This Row],[Cost of Shares]]/HistoricalStockProgress[[#This Row],[No. of Shares]],0)</f>
        <v>57.602416035255487</v>
      </c>
      <c r="K360" s="17">
        <f>IF(HistoricalStockProgress[[#This Row],[Total Price of Shares]]&lt;&gt;0,HistoricalStockProgress[[#This Row],[Total Price of Shares]]-HistoricalStockProgress[[#This Row],[Cost of Shares]],0)</f>
        <v>2476.9038895159865</v>
      </c>
      <c r="L360" s="34" t="b" cm="1">
        <f t="array" ref="L360">IFERROR(IF(HistoricalStockProgress[[#This Row],[Price of Shares]]="",_xlfn.STOCKHISTORY(HistoricalStockProgress[[#This Row],[Full Company Name]],HistoricalStockProgress[[#This Row],[Date]],,2,0,1)),0)</f>
        <v>0</v>
      </c>
      <c r="M360" s="34">
        <f>YEAR(HistoricalStockProgress[[#This Row],[Date]])</f>
        <v>2018</v>
      </c>
      <c r="N360" s="34">
        <f>MONTH(HistoricalStockProgress[[#This Row],[Date]])</f>
        <v>1</v>
      </c>
    </row>
    <row r="361" spans="2:14">
      <c r="B361" s="15">
        <v>43131</v>
      </c>
      <c r="C361" s="34" t="s">
        <v>17</v>
      </c>
      <c r="D361" s="34" t="e" vm="14">
        <f>_xlfn.XLOOKUP(HistoricalStockProgress[[#This Row],[Company Ticker]],CompanyDetailsList[Company Ticker],CompanyDetailsList[Official Name],,0)</f>
        <v>#VALUE!</v>
      </c>
      <c r="E3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3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5103.4501354761906</v>
      </c>
      <c r="G361" s="17">
        <f>IFERROR(HistoricalStockProgress[[#This Row],[Cost of Shares]]/HistoricalStockProgress[[#This Row],[No. of Shares]],0)</f>
        <v>154.65000410533912</v>
      </c>
      <c r="H361" s="16" vm="902">
        <v>163.69999999999999</v>
      </c>
      <c r="I361" s="16">
        <f>IF(HistoricalStockProgress[[#This Row],[No. of Shares]]&lt;&gt;0,HistoricalStockProgress[[#This Row],[Price of Shares]]*HistoricalStockProgress[[#This Row],[No. of Shares]],0)</f>
        <v>5402.0999999999995</v>
      </c>
      <c r="J361" s="16">
        <f>IF(HistoricalStockProgress[[#This Row],[No. of Shares]]&lt;&gt;0,HistoricalStockProgress[[#This Row],[Price of Shares]]-HistoricalStockProgress[[#This Row],[Cost of Shares]]/HistoricalStockProgress[[#This Row],[No. of Shares]],0)</f>
        <v>9.0499958946608672</v>
      </c>
      <c r="K361" s="17">
        <f>IF(HistoricalStockProgress[[#This Row],[Total Price of Shares]]&lt;&gt;0,HistoricalStockProgress[[#This Row],[Total Price of Shares]]-HistoricalStockProgress[[#This Row],[Cost of Shares]],0)</f>
        <v>298.6498645238089</v>
      </c>
      <c r="L361" s="34" t="b" cm="1">
        <f t="array" ref="L361">IFERROR(IF(HistoricalStockProgress[[#This Row],[Price of Shares]]="",_xlfn.STOCKHISTORY(HistoricalStockProgress[[#This Row],[Full Company Name]],HistoricalStockProgress[[#This Row],[Date]],,2,0,1)),0)</f>
        <v>0</v>
      </c>
      <c r="M361" s="34">
        <f>YEAR(HistoricalStockProgress[[#This Row],[Date]])</f>
        <v>2018</v>
      </c>
      <c r="N361" s="34">
        <f>MONTH(HistoricalStockProgress[[#This Row],[Date]])</f>
        <v>1</v>
      </c>
    </row>
    <row r="362" spans="2:14">
      <c r="B362" s="15">
        <v>43131</v>
      </c>
      <c r="C362" s="34" t="s">
        <v>98</v>
      </c>
      <c r="D362" s="34" t="e" vm="15">
        <f>_xlfn.XLOOKUP(HistoricalStockProgress[[#This Row],[Company Ticker]],CompanyDetailsList[Company Ticker],CompanyDetailsList[Official Name],,0)</f>
        <v>#VALUE!</v>
      </c>
      <c r="E3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3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1941.9842250911215</v>
      </c>
      <c r="G362" s="17">
        <f>IFERROR(HistoricalStockProgress[[#This Row],[Cost of Shares]]/HistoricalStockProgress[[#This Row],[No. of Shares]],0)</f>
        <v>38.078122060610227</v>
      </c>
      <c r="H362" s="16" vm="903">
        <v>39.604999999999997</v>
      </c>
      <c r="I362" s="16">
        <f>IF(HistoricalStockProgress[[#This Row],[No. of Shares]]&lt;&gt;0,HistoricalStockProgress[[#This Row],[Price of Shares]]*HistoricalStockProgress[[#This Row],[No. of Shares]],0)</f>
        <v>2019.8549999999998</v>
      </c>
      <c r="J362" s="16">
        <f>IF(HistoricalStockProgress[[#This Row],[No. of Shares]]&lt;&gt;0,HistoricalStockProgress[[#This Row],[Price of Shares]]-HistoricalStockProgress[[#This Row],[Cost of Shares]]/HistoricalStockProgress[[#This Row],[No. of Shares]],0)</f>
        <v>1.5268779393897702</v>
      </c>
      <c r="K362" s="17">
        <f>IF(HistoricalStockProgress[[#This Row],[Total Price of Shares]]&lt;&gt;0,HistoricalStockProgress[[#This Row],[Total Price of Shares]]-HistoricalStockProgress[[#This Row],[Cost of Shares]],0)</f>
        <v>77.870774908878275</v>
      </c>
      <c r="L362" s="34" t="b" cm="1">
        <f t="array" ref="L362">IFERROR(IF(HistoricalStockProgress[[#This Row],[Price of Shares]]="",_xlfn.STOCKHISTORY(HistoricalStockProgress[[#This Row],[Full Company Name]],HistoricalStockProgress[[#This Row],[Date]],,2,0,1)),0)</f>
        <v>0</v>
      </c>
      <c r="M362" s="34">
        <f>YEAR(HistoricalStockProgress[[#This Row],[Date]])</f>
        <v>2018</v>
      </c>
      <c r="N362" s="34">
        <f>MONTH(HistoricalStockProgress[[#This Row],[Date]])</f>
        <v>1</v>
      </c>
    </row>
    <row r="363" spans="2:14">
      <c r="B363" s="15">
        <v>43131</v>
      </c>
      <c r="C363" s="34" t="s">
        <v>100</v>
      </c>
      <c r="D363" s="34" t="e" vm="16">
        <f>_xlfn.XLOOKUP(HistoricalStockProgress[[#This Row],[Company Ticker]],CompanyDetailsList[Company Ticker],CompanyDetailsList[Official Name],,0)</f>
        <v>#VALUE!</v>
      </c>
      <c r="E3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3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363" s="17">
        <f>IFERROR(HistoricalStockProgress[[#This Row],[Cost of Shares]]/HistoricalStockProgress[[#This Row],[No. of Shares]],0)</f>
        <v>84.509035134678101</v>
      </c>
      <c r="H363" s="16" vm="904">
        <v>78.5</v>
      </c>
      <c r="I363" s="16">
        <f>IF(HistoricalStockProgress[[#This Row],[No. of Shares]]&lt;&gt;0,HistoricalStockProgress[[#This Row],[Price of Shares]]*HistoricalStockProgress[[#This Row],[No. of Shares]],0)</f>
        <v>2590.5</v>
      </c>
      <c r="J363" s="16">
        <f>IF(HistoricalStockProgress[[#This Row],[No. of Shares]]&lt;&gt;0,HistoricalStockProgress[[#This Row],[Price of Shares]]-HistoricalStockProgress[[#This Row],[Cost of Shares]]/HistoricalStockProgress[[#This Row],[No. of Shares]],0)</f>
        <v>-6.0090351346781006</v>
      </c>
      <c r="K363" s="17">
        <f>IF(HistoricalStockProgress[[#This Row],[Total Price of Shares]]&lt;&gt;0,HistoricalStockProgress[[#This Row],[Total Price of Shares]]-HistoricalStockProgress[[#This Row],[Cost of Shares]],0)</f>
        <v>-198.29815944437723</v>
      </c>
      <c r="L363" s="34" t="b" cm="1">
        <f t="array" ref="L363">IFERROR(IF(HistoricalStockProgress[[#This Row],[Price of Shares]]="",_xlfn.STOCKHISTORY(HistoricalStockProgress[[#This Row],[Full Company Name]],HistoricalStockProgress[[#This Row],[Date]],,2,0,1)),0)</f>
        <v>0</v>
      </c>
      <c r="M363" s="34">
        <f>YEAR(HistoricalStockProgress[[#This Row],[Date]])</f>
        <v>2018</v>
      </c>
      <c r="N363" s="34">
        <f>MONTH(HistoricalStockProgress[[#This Row],[Date]])</f>
        <v>1</v>
      </c>
    </row>
    <row r="364" spans="2:14">
      <c r="B364" s="15">
        <v>43131</v>
      </c>
      <c r="C364" s="34" t="s">
        <v>15</v>
      </c>
      <c r="D364" s="34" t="e" vm="17">
        <f>_xlfn.XLOOKUP(HistoricalStockProgress[[#This Row],[Company Ticker]],CompanyDetailsList[Company Ticker],CompanyDetailsList[Official Name],,0)</f>
        <v>#VALUE!</v>
      </c>
      <c r="E3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3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364" s="17">
        <f>IFERROR(HistoricalStockProgress[[#This Row],[Cost of Shares]]/HistoricalStockProgress[[#This Row],[No. of Shares]],0)</f>
        <v>26.481400454992627</v>
      </c>
      <c r="H364" s="16" vm="905">
        <v>28.281500000000001</v>
      </c>
      <c r="I364" s="16">
        <f>IF(HistoricalStockProgress[[#This Row],[No. of Shares]]&lt;&gt;0,HistoricalStockProgress[[#This Row],[Price of Shares]]*HistoricalStockProgress[[#This Row],[No. of Shares]],0)</f>
        <v>2715.0240000000003</v>
      </c>
      <c r="J364" s="16">
        <f>IF(HistoricalStockProgress[[#This Row],[No. of Shares]]&lt;&gt;0,HistoricalStockProgress[[#This Row],[Price of Shares]]-HistoricalStockProgress[[#This Row],[Cost of Shares]]/HistoricalStockProgress[[#This Row],[No. of Shares]],0)</f>
        <v>1.8000995450073738</v>
      </c>
      <c r="K364" s="17">
        <f>IF(HistoricalStockProgress[[#This Row],[Total Price of Shares]]&lt;&gt;0,HistoricalStockProgress[[#This Row],[Total Price of Shares]]-HistoricalStockProgress[[#This Row],[Cost of Shares]],0)</f>
        <v>172.809556320708</v>
      </c>
      <c r="L364" s="34" t="b" cm="1">
        <f t="array" ref="L364">IFERROR(IF(HistoricalStockProgress[[#This Row],[Price of Shares]]="",_xlfn.STOCKHISTORY(HistoricalStockProgress[[#This Row],[Full Company Name]],HistoricalStockProgress[[#This Row],[Date]],,2,0,1)),0)</f>
        <v>0</v>
      </c>
      <c r="M364" s="34">
        <f>YEAR(HistoricalStockProgress[[#This Row],[Date]])</f>
        <v>2018</v>
      </c>
      <c r="N364" s="34">
        <f>MONTH(HistoricalStockProgress[[#This Row],[Date]])</f>
        <v>1</v>
      </c>
    </row>
    <row r="365" spans="2:14">
      <c r="B365" s="15">
        <v>43131</v>
      </c>
      <c r="C365" s="34" t="s">
        <v>13</v>
      </c>
      <c r="D365" s="34" t="e" vm="18">
        <f>_xlfn.XLOOKUP(HistoricalStockProgress[[#This Row],[Company Ticker]],CompanyDetailsList[Company Ticker],CompanyDetailsList[Official Name],,0)</f>
        <v>#VALUE!</v>
      </c>
      <c r="E3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3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365" s="17">
        <f>IFERROR(HistoricalStockProgress[[#This Row],[Cost of Shares]]/HistoricalStockProgress[[#This Row],[No. of Shares]],0)</f>
        <v>31.383479678650293</v>
      </c>
      <c r="H365" s="16" vm="906">
        <v>35.112099999999998</v>
      </c>
      <c r="I365" s="16">
        <f>IF(HistoricalStockProgress[[#This Row],[No. of Shares]]&lt;&gt;0,HistoricalStockProgress[[#This Row],[Price of Shares]]*HistoricalStockProgress[[#This Row],[No. of Shares]],0)</f>
        <v>877.80250000000001</v>
      </c>
      <c r="J365" s="16">
        <f>IF(HistoricalStockProgress[[#This Row],[No. of Shares]]&lt;&gt;0,HistoricalStockProgress[[#This Row],[Price of Shares]]-HistoricalStockProgress[[#This Row],[Cost of Shares]]/HistoricalStockProgress[[#This Row],[No. of Shares]],0)</f>
        <v>3.7286203213497053</v>
      </c>
      <c r="K365" s="17">
        <f>IF(HistoricalStockProgress[[#This Row],[Total Price of Shares]]&lt;&gt;0,HistoricalStockProgress[[#This Row],[Total Price of Shares]]-HistoricalStockProgress[[#This Row],[Cost of Shares]],0)</f>
        <v>93.215508033742708</v>
      </c>
      <c r="L365" s="34" t="b" cm="1">
        <f t="array" ref="L365">IFERROR(IF(HistoricalStockProgress[[#This Row],[Price of Shares]]="",_xlfn.STOCKHISTORY(HistoricalStockProgress[[#This Row],[Full Company Name]],HistoricalStockProgress[[#This Row],[Date]],,2,0,1)),0)</f>
        <v>0</v>
      </c>
      <c r="M365" s="34">
        <f>YEAR(HistoricalStockProgress[[#This Row],[Date]])</f>
        <v>2018</v>
      </c>
      <c r="N365" s="34">
        <f>MONTH(HistoricalStockProgress[[#This Row],[Date]])</f>
        <v>1</v>
      </c>
    </row>
    <row r="366" spans="2:14">
      <c r="B366" s="15">
        <v>43131</v>
      </c>
      <c r="C366" s="34" t="s">
        <v>20</v>
      </c>
      <c r="D366" s="34" t="e" vm="19">
        <f>_xlfn.XLOOKUP(HistoricalStockProgress[[#This Row],[Company Ticker]],CompanyDetailsList[Company Ticker],CompanyDetailsList[Official Name],,0)</f>
        <v>#VALUE!</v>
      </c>
      <c r="E3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68</v>
      </c>
      <c r="F3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6178.4485711906345</v>
      </c>
      <c r="G366" s="17">
        <f>IFERROR(HistoricalStockProgress[[#This Row],[Cost of Shares]]/HistoricalStockProgress[[#This Row],[No. of Shares]],0)</f>
        <v>90.859537811626979</v>
      </c>
      <c r="H366" s="16" vm="907">
        <v>115.67</v>
      </c>
      <c r="I366" s="16">
        <f>IF(HistoricalStockProgress[[#This Row],[No. of Shares]]&lt;&gt;0,HistoricalStockProgress[[#This Row],[Price of Shares]]*HistoricalStockProgress[[#This Row],[No. of Shares]],0)</f>
        <v>7865.56</v>
      </c>
      <c r="J366" s="16">
        <f>IF(HistoricalStockProgress[[#This Row],[No. of Shares]]&lt;&gt;0,HistoricalStockProgress[[#This Row],[Price of Shares]]-HistoricalStockProgress[[#This Row],[Cost of Shares]]/HistoricalStockProgress[[#This Row],[No. of Shares]],0)</f>
        <v>24.810462188373023</v>
      </c>
      <c r="K366" s="17">
        <f>IF(HistoricalStockProgress[[#This Row],[Total Price of Shares]]&lt;&gt;0,HistoricalStockProgress[[#This Row],[Total Price of Shares]]-HistoricalStockProgress[[#This Row],[Cost of Shares]],0)</f>
        <v>1687.1114288093659</v>
      </c>
      <c r="L366" s="34" t="b" cm="1">
        <f t="array" ref="L366">IFERROR(IF(HistoricalStockProgress[[#This Row],[Price of Shares]]="",_xlfn.STOCKHISTORY(HistoricalStockProgress[[#This Row],[Full Company Name]],HistoricalStockProgress[[#This Row],[Date]],,2,0,1)),0)</f>
        <v>0</v>
      </c>
      <c r="M366" s="34">
        <f>YEAR(HistoricalStockProgress[[#This Row],[Date]])</f>
        <v>2018</v>
      </c>
      <c r="N366" s="34">
        <f>MONTH(HistoricalStockProgress[[#This Row],[Date]])</f>
        <v>1</v>
      </c>
    </row>
    <row r="367" spans="2:14">
      <c r="B367" s="15">
        <v>43131</v>
      </c>
      <c r="C367" s="34" t="s">
        <v>106</v>
      </c>
      <c r="D367" s="34" t="e" vm="20">
        <f>_xlfn.XLOOKUP(HistoricalStockProgress[[#This Row],[Company Ticker]],CompanyDetailsList[Company Ticker],CompanyDetailsList[Official Name],,0)</f>
        <v>#VALUE!</v>
      </c>
      <c r="E3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3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367" s="17">
        <f>IFERROR(HistoricalStockProgress[[#This Row],[Cost of Shares]]/HistoricalStockProgress[[#This Row],[No. of Shares]],0)</f>
        <v>104.71316390485761</v>
      </c>
      <c r="H367" s="16" vm="908">
        <v>118.73</v>
      </c>
      <c r="I367" s="16">
        <f>IF(HistoricalStockProgress[[#This Row],[No. of Shares]]&lt;&gt;0,HistoricalStockProgress[[#This Row],[Price of Shares]]*HistoricalStockProgress[[#This Row],[No. of Shares]],0)</f>
        <v>4155.55</v>
      </c>
      <c r="J367" s="16">
        <f>IF(HistoricalStockProgress[[#This Row],[No. of Shares]]&lt;&gt;0,HistoricalStockProgress[[#This Row],[Price of Shares]]-HistoricalStockProgress[[#This Row],[Cost of Shares]]/HistoricalStockProgress[[#This Row],[No. of Shares]],0)</f>
        <v>14.016836095142395</v>
      </c>
      <c r="K367" s="17">
        <f>IF(HistoricalStockProgress[[#This Row],[Total Price of Shares]]&lt;&gt;0,HistoricalStockProgress[[#This Row],[Total Price of Shares]]-HistoricalStockProgress[[#This Row],[Cost of Shares]],0)</f>
        <v>490.58926332998362</v>
      </c>
      <c r="L367" s="34" t="b" cm="1">
        <f t="array" ref="L367">IFERROR(IF(HistoricalStockProgress[[#This Row],[Price of Shares]]="",_xlfn.STOCKHISTORY(HistoricalStockProgress[[#This Row],[Full Company Name]],HistoricalStockProgress[[#This Row],[Date]],,2,0,1)),0)</f>
        <v>0</v>
      </c>
      <c r="M367" s="34">
        <f>YEAR(HistoricalStockProgress[[#This Row],[Date]])</f>
        <v>2018</v>
      </c>
      <c r="N367" s="34">
        <f>MONTH(HistoricalStockProgress[[#This Row],[Date]])</f>
        <v>1</v>
      </c>
    </row>
    <row r="368" spans="2:14">
      <c r="B368" s="15">
        <v>43159</v>
      </c>
      <c r="C368" s="34" t="s">
        <v>12</v>
      </c>
      <c r="D368" s="34" t="e" vm="1">
        <f>_xlfn.XLOOKUP(HistoricalStockProgress[[#This Row],[Company Ticker]],CompanyDetailsList[Company Ticker],CompanyDetailsList[Official Name],,0)</f>
        <v>#VALUE!</v>
      </c>
      <c r="E3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3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368" s="17">
        <f>IFERROR(HistoricalStockProgress[[#This Row],[Cost of Shares]]/HistoricalStockProgress[[#This Row],[No. of Shares]],0)</f>
        <v>57.188485025896703</v>
      </c>
      <c r="H368" s="16" vm="909">
        <v>49.18</v>
      </c>
      <c r="I368" s="16">
        <f>IF(HistoricalStockProgress[[#This Row],[No. of Shares]]&lt;&gt;0,HistoricalStockProgress[[#This Row],[Price of Shares]]*HistoricalStockProgress[[#This Row],[No. of Shares]],0)</f>
        <v>295.08</v>
      </c>
      <c r="J368" s="16">
        <f>IF(HistoricalStockProgress[[#This Row],[No. of Shares]]&lt;&gt;0,HistoricalStockProgress[[#This Row],[Price of Shares]]-HistoricalStockProgress[[#This Row],[Cost of Shares]]/HistoricalStockProgress[[#This Row],[No. of Shares]],0)</f>
        <v>-8.0084850258967037</v>
      </c>
      <c r="K368" s="17">
        <f>IF(HistoricalStockProgress[[#This Row],[Total Price of Shares]]&lt;&gt;0,HistoricalStockProgress[[#This Row],[Total Price of Shares]]-HistoricalStockProgress[[#This Row],[Cost of Shares]],0)</f>
        <v>-48.050910155380222</v>
      </c>
      <c r="L368" s="34" t="b" cm="1">
        <f t="array" ref="L368">IFERROR(IF(HistoricalStockProgress[[#This Row],[Price of Shares]]="",_xlfn.STOCKHISTORY(HistoricalStockProgress[[#This Row],[Full Company Name]],HistoricalStockProgress[[#This Row],[Date]],,2,0,1)),0)</f>
        <v>0</v>
      </c>
      <c r="M368" s="34">
        <f>YEAR(HistoricalStockProgress[[#This Row],[Date]])</f>
        <v>2018</v>
      </c>
      <c r="N368" s="34">
        <f>MONTH(HistoricalStockProgress[[#This Row],[Date]])</f>
        <v>2</v>
      </c>
    </row>
    <row r="369" spans="2:14">
      <c r="B369" s="15">
        <v>43159</v>
      </c>
      <c r="C369" s="34" t="s">
        <v>84</v>
      </c>
      <c r="D369" s="34" t="e" vm="7">
        <f>_xlfn.XLOOKUP(HistoricalStockProgress[[#This Row],[Company Ticker]],CompanyDetailsList[Company Ticker],CompanyDetailsList[Official Name],,0)</f>
        <v>#VALUE!</v>
      </c>
      <c r="E3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3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369" s="17">
        <f>IFERROR(HistoricalStockProgress[[#This Row],[Cost of Shares]]/HistoricalStockProgress[[#This Row],[No. of Shares]],0)</f>
        <v>104.18087504950869</v>
      </c>
      <c r="H369" s="16" vm="910">
        <v>129.88</v>
      </c>
      <c r="I369" s="16">
        <f>IF(HistoricalStockProgress[[#This Row],[No. of Shares]]&lt;&gt;0,HistoricalStockProgress[[#This Row],[Price of Shares]]*HistoricalStockProgress[[#This Row],[No. of Shares]],0)</f>
        <v>6623.88</v>
      </c>
      <c r="J369" s="16">
        <f>IF(HistoricalStockProgress[[#This Row],[No. of Shares]]&lt;&gt;0,HistoricalStockProgress[[#This Row],[Price of Shares]]-HistoricalStockProgress[[#This Row],[Cost of Shares]]/HistoricalStockProgress[[#This Row],[No. of Shares]],0)</f>
        <v>25.69912495049131</v>
      </c>
      <c r="K369" s="17">
        <f>IF(HistoricalStockProgress[[#This Row],[Total Price of Shares]]&lt;&gt;0,HistoricalStockProgress[[#This Row],[Total Price of Shares]]-HistoricalStockProgress[[#This Row],[Cost of Shares]],0)</f>
        <v>1310.6553724750574</v>
      </c>
      <c r="L369" s="34" t="b" cm="1">
        <f t="array" ref="L369">IFERROR(IF(HistoricalStockProgress[[#This Row],[Price of Shares]]="",_xlfn.STOCKHISTORY(HistoricalStockProgress[[#This Row],[Full Company Name]],HistoricalStockProgress[[#This Row],[Date]],,2,0,1)),0)</f>
        <v>0</v>
      </c>
      <c r="M369" s="34">
        <f>YEAR(HistoricalStockProgress[[#This Row],[Date]])</f>
        <v>2018</v>
      </c>
      <c r="N369" s="34">
        <f>MONTH(HistoricalStockProgress[[#This Row],[Date]])</f>
        <v>2</v>
      </c>
    </row>
    <row r="370" spans="2:14">
      <c r="B370" s="15">
        <v>43159</v>
      </c>
      <c r="C370" s="34" t="s">
        <v>86</v>
      </c>
      <c r="D370" s="34" t="e" vm="8">
        <f>_xlfn.XLOOKUP(HistoricalStockProgress[[#This Row],[Company Ticker]],CompanyDetailsList[Company Ticker],CompanyDetailsList[Official Name],,0)</f>
        <v>#VALUE!</v>
      </c>
      <c r="E3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3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370" s="17">
        <f>IFERROR(HistoricalStockProgress[[#This Row],[Cost of Shares]]/HistoricalStockProgress[[#This Row],[No. of Shares]],0)</f>
        <v>85.876031764920896</v>
      </c>
      <c r="H370" s="16" vm="911">
        <v>115.83</v>
      </c>
      <c r="I370" s="16">
        <f>IF(HistoricalStockProgress[[#This Row],[No. of Shares]]&lt;&gt;0,HistoricalStockProgress[[#This Row],[Price of Shares]]*HistoricalStockProgress[[#This Row],[No. of Shares]],0)</f>
        <v>6138.99</v>
      </c>
      <c r="J370" s="16">
        <f>IF(HistoricalStockProgress[[#This Row],[No. of Shares]]&lt;&gt;0,HistoricalStockProgress[[#This Row],[Price of Shares]]-HistoricalStockProgress[[#This Row],[Cost of Shares]]/HistoricalStockProgress[[#This Row],[No. of Shares]],0)</f>
        <v>29.953968235079103</v>
      </c>
      <c r="K370" s="17">
        <f>IF(HistoricalStockProgress[[#This Row],[Total Price of Shares]]&lt;&gt;0,HistoricalStockProgress[[#This Row],[Total Price of Shares]]-HistoricalStockProgress[[#This Row],[Cost of Shares]],0)</f>
        <v>1587.5603164591921</v>
      </c>
      <c r="L370" s="34" t="b" cm="1">
        <f t="array" ref="L370">IFERROR(IF(HistoricalStockProgress[[#This Row],[Price of Shares]]="",_xlfn.STOCKHISTORY(HistoricalStockProgress[[#This Row],[Full Company Name]],HistoricalStockProgress[[#This Row],[Date]],,2,0,1)),0)</f>
        <v>0</v>
      </c>
      <c r="M370" s="34">
        <f>YEAR(HistoricalStockProgress[[#This Row],[Date]])</f>
        <v>2018</v>
      </c>
      <c r="N370" s="34">
        <f>MONTH(HistoricalStockProgress[[#This Row],[Date]])</f>
        <v>2</v>
      </c>
    </row>
    <row r="371" spans="2:14">
      <c r="B371" s="15">
        <v>43159</v>
      </c>
      <c r="C371" s="34" t="s">
        <v>22</v>
      </c>
      <c r="D371" s="34" t="e" vm="10">
        <f>_xlfn.XLOOKUP(HistoricalStockProgress[[#This Row],[Company Ticker]],CompanyDetailsList[Company Ticker],CompanyDetailsList[Official Name],,0)</f>
        <v>#VALUE!</v>
      </c>
      <c r="E3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3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371" s="17">
        <f>IFERROR(HistoricalStockProgress[[#This Row],[Cost of Shares]]/HistoricalStockProgress[[#This Row],[No. of Shares]],0)</f>
        <v>83.61275075159574</v>
      </c>
      <c r="H371" s="16" vm="912">
        <v>154.63</v>
      </c>
      <c r="I371" s="16">
        <f>IF(HistoricalStockProgress[[#This Row],[No. of Shares]]&lt;&gt;0,HistoricalStockProgress[[#This Row],[Price of Shares]]*HistoricalStockProgress[[#This Row],[No. of Shares]],0)</f>
        <v>9432.43</v>
      </c>
      <c r="J371" s="16">
        <f>IF(HistoricalStockProgress[[#This Row],[No. of Shares]]&lt;&gt;0,HistoricalStockProgress[[#This Row],[Price of Shares]]-HistoricalStockProgress[[#This Row],[Cost of Shares]]/HistoricalStockProgress[[#This Row],[No. of Shares]],0)</f>
        <v>71.017249248404255</v>
      </c>
      <c r="K371" s="17">
        <f>IF(HistoricalStockProgress[[#This Row],[Total Price of Shares]]&lt;&gt;0,HistoricalStockProgress[[#This Row],[Total Price of Shares]]-HistoricalStockProgress[[#This Row],[Cost of Shares]],0)</f>
        <v>4332.0522041526601</v>
      </c>
      <c r="L371" s="34" t="b" cm="1">
        <f t="array" ref="L371">IFERROR(IF(HistoricalStockProgress[[#This Row],[Price of Shares]]="",_xlfn.STOCKHISTORY(HistoricalStockProgress[[#This Row],[Full Company Name]],HistoricalStockProgress[[#This Row],[Date]],,2,0,1)),0)</f>
        <v>0</v>
      </c>
      <c r="M371" s="34">
        <f>YEAR(HistoricalStockProgress[[#This Row],[Date]])</f>
        <v>2018</v>
      </c>
      <c r="N371" s="34">
        <f>MONTH(HistoricalStockProgress[[#This Row],[Date]])</f>
        <v>2</v>
      </c>
    </row>
    <row r="372" spans="2:14">
      <c r="B372" s="15">
        <v>43159</v>
      </c>
      <c r="C372" s="34" t="s">
        <v>91</v>
      </c>
      <c r="D372" s="34" t="e" vm="11">
        <f>_xlfn.XLOOKUP(HistoricalStockProgress[[#This Row],[Company Ticker]],CompanyDetailsList[Company Ticker],CompanyDetailsList[Official Name],,0)</f>
        <v>#VALUE!</v>
      </c>
      <c r="E3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3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4641.1780084974125</v>
      </c>
      <c r="G372" s="17">
        <f>IFERROR(HistoricalStockProgress[[#This Row],[Cost of Shares]]/HistoricalStockProgress[[#This Row],[No. of Shares]],0)</f>
        <v>58.749088715157121</v>
      </c>
      <c r="H372" s="16" vm="913">
        <v>93.77</v>
      </c>
      <c r="I372" s="16">
        <f>IF(HistoricalStockProgress[[#This Row],[No. of Shares]]&lt;&gt;0,HistoricalStockProgress[[#This Row],[Price of Shares]]*HistoricalStockProgress[[#This Row],[No. of Shares]],0)</f>
        <v>7407.83</v>
      </c>
      <c r="J372" s="16">
        <f>IF(HistoricalStockProgress[[#This Row],[No. of Shares]]&lt;&gt;0,HistoricalStockProgress[[#This Row],[Price of Shares]]-HistoricalStockProgress[[#This Row],[Cost of Shares]]/HistoricalStockProgress[[#This Row],[No. of Shares]],0)</f>
        <v>35.020911284842875</v>
      </c>
      <c r="K372" s="17">
        <f>IF(HistoricalStockProgress[[#This Row],[Total Price of Shares]]&lt;&gt;0,HistoricalStockProgress[[#This Row],[Total Price of Shares]]-HistoricalStockProgress[[#This Row],[Cost of Shares]],0)</f>
        <v>2766.6519915025874</v>
      </c>
      <c r="L372" s="34" t="b" cm="1">
        <f t="array" ref="L372">IFERROR(IF(HistoricalStockProgress[[#This Row],[Price of Shares]]="",_xlfn.STOCKHISTORY(HistoricalStockProgress[[#This Row],[Full Company Name]],HistoricalStockProgress[[#This Row],[Date]],,2,0,1)),0)</f>
        <v>0</v>
      </c>
      <c r="M372" s="34">
        <f>YEAR(HistoricalStockProgress[[#This Row],[Date]])</f>
        <v>2018</v>
      </c>
      <c r="N372" s="34">
        <f>MONTH(HistoricalStockProgress[[#This Row],[Date]])</f>
        <v>2</v>
      </c>
    </row>
    <row r="373" spans="2:14">
      <c r="B373" s="15">
        <v>43159</v>
      </c>
      <c r="C373" s="34" t="s">
        <v>16</v>
      </c>
      <c r="D373" s="34" t="e" vm="12">
        <f>_xlfn.XLOOKUP(HistoricalStockProgress[[#This Row],[Company Ticker]],CompanyDetailsList[Company Ticker],CompanyDetailsList[Official Name],,0)</f>
        <v>#VALUE!</v>
      </c>
      <c r="E3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107</v>
      </c>
      <c r="F3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9097.0068259849722</v>
      </c>
      <c r="G373" s="17">
        <f>IFERROR(HistoricalStockProgress[[#This Row],[Cost of Shares]]/HistoricalStockProgress[[#This Row],[No. of Shares]],0)</f>
        <v>85.018755383037117</v>
      </c>
      <c r="H373" s="16" vm="914">
        <v>75.739999999999995</v>
      </c>
      <c r="I373" s="16">
        <f>IF(HistoricalStockProgress[[#This Row],[No. of Shares]]&lt;&gt;0,HistoricalStockProgress[[#This Row],[Price of Shares]]*HistoricalStockProgress[[#This Row],[No. of Shares]],0)</f>
        <v>8104.1799999999994</v>
      </c>
      <c r="J373" s="16">
        <f>IF(HistoricalStockProgress[[#This Row],[No. of Shares]]&lt;&gt;0,HistoricalStockProgress[[#This Row],[Price of Shares]]-HistoricalStockProgress[[#This Row],[Cost of Shares]]/HistoricalStockProgress[[#This Row],[No. of Shares]],0)</f>
        <v>-9.2787553830371223</v>
      </c>
      <c r="K373" s="17">
        <f>IF(HistoricalStockProgress[[#This Row],[Total Price of Shares]]&lt;&gt;0,HistoricalStockProgress[[#This Row],[Total Price of Shares]]-HistoricalStockProgress[[#This Row],[Cost of Shares]],0)</f>
        <v>-992.82682598497286</v>
      </c>
      <c r="L373" s="34" t="b" cm="1">
        <f t="array" ref="L373">IFERROR(IF(HistoricalStockProgress[[#This Row],[Price of Shares]]="",_xlfn.STOCKHISTORY(HistoricalStockProgress[[#This Row],[Full Company Name]],HistoricalStockProgress[[#This Row],[Date]],,2,0,1)),0)</f>
        <v>0</v>
      </c>
      <c r="M373" s="34">
        <f>YEAR(HistoricalStockProgress[[#This Row],[Date]])</f>
        <v>2018</v>
      </c>
      <c r="N373" s="34">
        <f>MONTH(HistoricalStockProgress[[#This Row],[Date]])</f>
        <v>2</v>
      </c>
    </row>
    <row r="374" spans="2:14">
      <c r="B374" s="15">
        <v>43159</v>
      </c>
      <c r="C374" s="34" t="s">
        <v>95</v>
      </c>
      <c r="D374" s="34" t="e" vm="13">
        <f>_xlfn.XLOOKUP(HistoricalStockProgress[[#This Row],[Company Ticker]],CompanyDetailsList[Company Ticker],CompanyDetailsList[Official Name],,0)</f>
        <v>#VALUE!</v>
      </c>
      <c r="E3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3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374" s="17">
        <f>IFERROR(HistoricalStockProgress[[#This Row],[Cost of Shares]]/HistoricalStockProgress[[#This Row],[No. of Shares]],0)</f>
        <v>143.29758396474452</v>
      </c>
      <c r="H374" s="16" vm="915">
        <v>182.27</v>
      </c>
      <c r="I374" s="16">
        <f>IF(HistoricalStockProgress[[#This Row],[No. of Shares]]&lt;&gt;0,HistoricalStockProgress[[#This Row],[Price of Shares]]*HistoricalStockProgress[[#This Row],[No. of Shares]],0)</f>
        <v>7837.6100000000006</v>
      </c>
      <c r="J374" s="16">
        <f>IF(HistoricalStockProgress[[#This Row],[No. of Shares]]&lt;&gt;0,HistoricalStockProgress[[#This Row],[Price of Shares]]-HistoricalStockProgress[[#This Row],[Cost of Shares]]/HistoricalStockProgress[[#This Row],[No. of Shares]],0)</f>
        <v>38.972416035255492</v>
      </c>
      <c r="K374" s="17">
        <f>IF(HistoricalStockProgress[[#This Row],[Total Price of Shares]]&lt;&gt;0,HistoricalStockProgress[[#This Row],[Total Price of Shares]]-HistoricalStockProgress[[#This Row],[Cost of Shares]],0)</f>
        <v>1675.8138895159864</v>
      </c>
      <c r="L374" s="34" t="b" cm="1">
        <f t="array" ref="L374">IFERROR(IF(HistoricalStockProgress[[#This Row],[Price of Shares]]="",_xlfn.STOCKHISTORY(HistoricalStockProgress[[#This Row],[Full Company Name]],HistoricalStockProgress[[#This Row],[Date]],,2,0,1)),0)</f>
        <v>0</v>
      </c>
      <c r="M374" s="34">
        <f>YEAR(HistoricalStockProgress[[#This Row],[Date]])</f>
        <v>2018</v>
      </c>
      <c r="N374" s="34">
        <f>MONTH(HistoricalStockProgress[[#This Row],[Date]])</f>
        <v>2</v>
      </c>
    </row>
    <row r="375" spans="2:14">
      <c r="B375" s="15">
        <v>43159</v>
      </c>
      <c r="C375" s="34" t="s">
        <v>17</v>
      </c>
      <c r="D375" s="34" t="e" vm="14">
        <f>_xlfn.XLOOKUP(HistoricalStockProgress[[#This Row],[Company Ticker]],CompanyDetailsList[Company Ticker],CompanyDetailsList[Official Name],,0)</f>
        <v>#VALUE!</v>
      </c>
      <c r="E3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3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5103.4501354761906</v>
      </c>
      <c r="G375" s="17">
        <f>IFERROR(HistoricalStockProgress[[#This Row],[Cost of Shares]]/HistoricalStockProgress[[#This Row],[No. of Shares]],0)</f>
        <v>154.65000410533912</v>
      </c>
      <c r="H375" s="16" vm="916">
        <v>155.83000000000001</v>
      </c>
      <c r="I375" s="16">
        <f>IF(HistoricalStockProgress[[#This Row],[No. of Shares]]&lt;&gt;0,HistoricalStockProgress[[#This Row],[Price of Shares]]*HistoricalStockProgress[[#This Row],[No. of Shares]],0)</f>
        <v>5142.3900000000003</v>
      </c>
      <c r="J375" s="16">
        <f>IF(HistoricalStockProgress[[#This Row],[No. of Shares]]&lt;&gt;0,HistoricalStockProgress[[#This Row],[Price of Shares]]-HistoricalStockProgress[[#This Row],[Cost of Shares]]/HistoricalStockProgress[[#This Row],[No. of Shares]],0)</f>
        <v>1.1799958946608911</v>
      </c>
      <c r="K375" s="17">
        <f>IF(HistoricalStockProgress[[#This Row],[Total Price of Shares]]&lt;&gt;0,HistoricalStockProgress[[#This Row],[Total Price of Shares]]-HistoricalStockProgress[[#This Row],[Cost of Shares]],0)</f>
        <v>38.939864523809774</v>
      </c>
      <c r="L375" s="34" t="b" cm="1">
        <f t="array" ref="L375">IFERROR(IF(HistoricalStockProgress[[#This Row],[Price of Shares]]="",_xlfn.STOCKHISTORY(HistoricalStockProgress[[#This Row],[Full Company Name]],HistoricalStockProgress[[#This Row],[Date]],,2,0,1)),0)</f>
        <v>0</v>
      </c>
      <c r="M375" s="34">
        <f>YEAR(HistoricalStockProgress[[#This Row],[Date]])</f>
        <v>2018</v>
      </c>
      <c r="N375" s="34">
        <f>MONTH(HistoricalStockProgress[[#This Row],[Date]])</f>
        <v>2</v>
      </c>
    </row>
    <row r="376" spans="2:14">
      <c r="B376" s="15">
        <v>43159</v>
      </c>
      <c r="C376" s="34" t="s">
        <v>98</v>
      </c>
      <c r="D376" s="34" t="e" vm="15">
        <f>_xlfn.XLOOKUP(HistoricalStockProgress[[#This Row],[Company Ticker]],CompanyDetailsList[Company Ticker],CompanyDetailsList[Official Name],,0)</f>
        <v>#VALUE!</v>
      </c>
      <c r="E3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3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1941.9842250911215</v>
      </c>
      <c r="G376" s="17">
        <f>IFERROR(HistoricalStockProgress[[#This Row],[Cost of Shares]]/HistoricalStockProgress[[#This Row],[No. of Shares]],0)</f>
        <v>38.078122060610227</v>
      </c>
      <c r="H376" s="16" vm="917">
        <v>38.037500000000001</v>
      </c>
      <c r="I376" s="16">
        <f>IF(HistoricalStockProgress[[#This Row],[No. of Shares]]&lt;&gt;0,HistoricalStockProgress[[#This Row],[Price of Shares]]*HistoricalStockProgress[[#This Row],[No. of Shares]],0)</f>
        <v>1939.9125000000001</v>
      </c>
      <c r="J376" s="16">
        <f>IF(HistoricalStockProgress[[#This Row],[No. of Shares]]&lt;&gt;0,HistoricalStockProgress[[#This Row],[Price of Shares]]-HistoricalStockProgress[[#This Row],[Cost of Shares]]/HistoricalStockProgress[[#This Row],[No. of Shares]],0)</f>
        <v>-4.0622060610225219E-2</v>
      </c>
      <c r="K376" s="17">
        <f>IF(HistoricalStockProgress[[#This Row],[Total Price of Shares]]&lt;&gt;0,HistoricalStockProgress[[#This Row],[Total Price of Shares]]-HistoricalStockProgress[[#This Row],[Cost of Shares]],0)</f>
        <v>-2.0717250911213796</v>
      </c>
      <c r="L376" s="34" t="b" cm="1">
        <f t="array" ref="L376">IFERROR(IF(HistoricalStockProgress[[#This Row],[Price of Shares]]="",_xlfn.STOCKHISTORY(HistoricalStockProgress[[#This Row],[Full Company Name]],HistoricalStockProgress[[#This Row],[Date]],,2,0,1)),0)</f>
        <v>0</v>
      </c>
      <c r="M376" s="34">
        <f>YEAR(HistoricalStockProgress[[#This Row],[Date]])</f>
        <v>2018</v>
      </c>
      <c r="N376" s="34">
        <f>MONTH(HistoricalStockProgress[[#This Row],[Date]])</f>
        <v>2</v>
      </c>
    </row>
    <row r="377" spans="2:14">
      <c r="B377" s="15">
        <v>43159</v>
      </c>
      <c r="C377" s="34" t="s">
        <v>100</v>
      </c>
      <c r="D377" s="34" t="e" vm="16">
        <f>_xlfn.XLOOKUP(HistoricalStockProgress[[#This Row],[Company Ticker]],CompanyDetailsList[Company Ticker],CompanyDetailsList[Official Name],,0)</f>
        <v>#VALUE!</v>
      </c>
      <c r="E3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3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377" s="17">
        <f>IFERROR(HistoricalStockProgress[[#This Row],[Cost of Shares]]/HistoricalStockProgress[[#This Row],[No. of Shares]],0)</f>
        <v>84.509035134678101</v>
      </c>
      <c r="H377" s="16" vm="918">
        <v>75.34</v>
      </c>
      <c r="I377" s="16">
        <f>IF(HistoricalStockProgress[[#This Row],[No. of Shares]]&lt;&gt;0,HistoricalStockProgress[[#This Row],[Price of Shares]]*HistoricalStockProgress[[#This Row],[No. of Shares]],0)</f>
        <v>2486.2200000000003</v>
      </c>
      <c r="J377" s="16">
        <f>IF(HistoricalStockProgress[[#This Row],[No. of Shares]]&lt;&gt;0,HistoricalStockProgress[[#This Row],[Price of Shares]]-HistoricalStockProgress[[#This Row],[Cost of Shares]]/HistoricalStockProgress[[#This Row],[No. of Shares]],0)</f>
        <v>-9.1690351346780972</v>
      </c>
      <c r="K377" s="17">
        <f>IF(HistoricalStockProgress[[#This Row],[Total Price of Shares]]&lt;&gt;0,HistoricalStockProgress[[#This Row],[Total Price of Shares]]-HistoricalStockProgress[[#This Row],[Cost of Shares]],0)</f>
        <v>-302.57815944437698</v>
      </c>
      <c r="L377" s="34" t="b" cm="1">
        <f t="array" ref="L377">IFERROR(IF(HistoricalStockProgress[[#This Row],[Price of Shares]]="",_xlfn.STOCKHISTORY(HistoricalStockProgress[[#This Row],[Full Company Name]],HistoricalStockProgress[[#This Row],[Date]],,2,0,1)),0)</f>
        <v>0</v>
      </c>
      <c r="M377" s="34">
        <f>YEAR(HistoricalStockProgress[[#This Row],[Date]])</f>
        <v>2018</v>
      </c>
      <c r="N377" s="34">
        <f>MONTH(HistoricalStockProgress[[#This Row],[Date]])</f>
        <v>2</v>
      </c>
    </row>
    <row r="378" spans="2:14">
      <c r="B378" s="15">
        <v>43159</v>
      </c>
      <c r="C378" s="34" t="s">
        <v>15</v>
      </c>
      <c r="D378" s="34" t="e" vm="17">
        <f>_xlfn.XLOOKUP(HistoricalStockProgress[[#This Row],[Company Ticker]],CompanyDetailsList[Company Ticker],CompanyDetailsList[Official Name],,0)</f>
        <v>#VALUE!</v>
      </c>
      <c r="E3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3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378" s="17">
        <f>IFERROR(HistoricalStockProgress[[#This Row],[Cost of Shares]]/HistoricalStockProgress[[#This Row],[No. of Shares]],0)</f>
        <v>26.481400454992627</v>
      </c>
      <c r="H378" s="16" vm="919">
        <v>27.413</v>
      </c>
      <c r="I378" s="16">
        <f>IF(HistoricalStockProgress[[#This Row],[No. of Shares]]&lt;&gt;0,HistoricalStockProgress[[#This Row],[Price of Shares]]*HistoricalStockProgress[[#This Row],[No. of Shares]],0)</f>
        <v>2631.6480000000001</v>
      </c>
      <c r="J378" s="16">
        <f>IF(HistoricalStockProgress[[#This Row],[No. of Shares]]&lt;&gt;0,HistoricalStockProgress[[#This Row],[Price of Shares]]-HistoricalStockProgress[[#This Row],[Cost of Shares]]/HistoricalStockProgress[[#This Row],[No. of Shares]],0)</f>
        <v>0.93159954500737285</v>
      </c>
      <c r="K378" s="17">
        <f>IF(HistoricalStockProgress[[#This Row],[Total Price of Shares]]&lt;&gt;0,HistoricalStockProgress[[#This Row],[Total Price of Shares]]-HistoricalStockProgress[[#This Row],[Cost of Shares]],0)</f>
        <v>89.433556320707794</v>
      </c>
      <c r="L378" s="34" t="b" cm="1">
        <f t="array" ref="L378">IFERROR(IF(HistoricalStockProgress[[#This Row],[Price of Shares]]="",_xlfn.STOCKHISTORY(HistoricalStockProgress[[#This Row],[Full Company Name]],HistoricalStockProgress[[#This Row],[Date]],,2,0,1)),0)</f>
        <v>0</v>
      </c>
      <c r="M378" s="34">
        <f>YEAR(HistoricalStockProgress[[#This Row],[Date]])</f>
        <v>2018</v>
      </c>
      <c r="N378" s="34">
        <f>MONTH(HistoricalStockProgress[[#This Row],[Date]])</f>
        <v>2</v>
      </c>
    </row>
    <row r="379" spans="2:14">
      <c r="B379" s="15">
        <v>43159</v>
      </c>
      <c r="C379" s="34" t="s">
        <v>13</v>
      </c>
      <c r="D379" s="34" t="e" vm="18">
        <f>_xlfn.XLOOKUP(HistoricalStockProgress[[#This Row],[Company Ticker]],CompanyDetailsList[Company Ticker],CompanyDetailsList[Official Name],,0)</f>
        <v>#VALUE!</v>
      </c>
      <c r="E3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3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379" s="17">
        <f>IFERROR(HistoricalStockProgress[[#This Row],[Cost of Shares]]/HistoricalStockProgress[[#This Row],[No. of Shares]],0)</f>
        <v>31.383479678650293</v>
      </c>
      <c r="H379" s="16" vm="920">
        <v>34.420099999999998</v>
      </c>
      <c r="I379" s="16">
        <f>IF(HistoricalStockProgress[[#This Row],[No. of Shares]]&lt;&gt;0,HistoricalStockProgress[[#This Row],[Price of Shares]]*HistoricalStockProgress[[#This Row],[No. of Shares]],0)</f>
        <v>860.50249999999994</v>
      </c>
      <c r="J379" s="16">
        <f>IF(HistoricalStockProgress[[#This Row],[No. of Shares]]&lt;&gt;0,HistoricalStockProgress[[#This Row],[Price of Shares]]-HistoricalStockProgress[[#This Row],[Cost of Shares]]/HistoricalStockProgress[[#This Row],[No. of Shares]],0)</f>
        <v>3.0366203213497052</v>
      </c>
      <c r="K379" s="17">
        <f>IF(HistoricalStockProgress[[#This Row],[Total Price of Shares]]&lt;&gt;0,HistoricalStockProgress[[#This Row],[Total Price of Shares]]-HistoricalStockProgress[[#This Row],[Cost of Shares]],0)</f>
        <v>75.91550803374264</v>
      </c>
      <c r="L379" s="34" t="b" cm="1">
        <f t="array" ref="L379">IFERROR(IF(HistoricalStockProgress[[#This Row],[Price of Shares]]="",_xlfn.STOCKHISTORY(HistoricalStockProgress[[#This Row],[Full Company Name]],HistoricalStockProgress[[#This Row],[Date]],,2,0,1)),0)</f>
        <v>0</v>
      </c>
      <c r="M379" s="34">
        <f>YEAR(HistoricalStockProgress[[#This Row],[Date]])</f>
        <v>2018</v>
      </c>
      <c r="N379" s="34">
        <f>MONTH(HistoricalStockProgress[[#This Row],[Date]])</f>
        <v>2</v>
      </c>
    </row>
    <row r="380" spans="2:14">
      <c r="B380" s="15">
        <v>43159</v>
      </c>
      <c r="C380" s="34" t="s">
        <v>20</v>
      </c>
      <c r="D380" s="34" t="e" vm="19">
        <f>_xlfn.XLOOKUP(HistoricalStockProgress[[#This Row],[Company Ticker]],CompanyDetailsList[Company Ticker],CompanyDetailsList[Official Name],,0)</f>
        <v>#VALUE!</v>
      </c>
      <c r="E3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68</v>
      </c>
      <c r="F3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6178.4485711906345</v>
      </c>
      <c r="G380" s="17">
        <f>IFERROR(HistoricalStockProgress[[#This Row],[Cost of Shares]]/HistoricalStockProgress[[#This Row],[No. of Shares]],0)</f>
        <v>90.859537811626979</v>
      </c>
      <c r="H380" s="16" vm="921">
        <v>115.5</v>
      </c>
      <c r="I380" s="16">
        <f>IF(HistoricalStockProgress[[#This Row],[No. of Shares]]&lt;&gt;0,HistoricalStockProgress[[#This Row],[Price of Shares]]*HistoricalStockProgress[[#This Row],[No. of Shares]],0)</f>
        <v>7854</v>
      </c>
      <c r="J380" s="16">
        <f>IF(HistoricalStockProgress[[#This Row],[No. of Shares]]&lt;&gt;0,HistoricalStockProgress[[#This Row],[Price of Shares]]-HistoricalStockProgress[[#This Row],[Cost of Shares]]/HistoricalStockProgress[[#This Row],[No. of Shares]],0)</f>
        <v>24.640462188373021</v>
      </c>
      <c r="K380" s="17">
        <f>IF(HistoricalStockProgress[[#This Row],[Total Price of Shares]]&lt;&gt;0,HistoricalStockProgress[[#This Row],[Total Price of Shares]]-HistoricalStockProgress[[#This Row],[Cost of Shares]],0)</f>
        <v>1675.5514288093655</v>
      </c>
      <c r="L380" s="34" t="b" cm="1">
        <f t="array" ref="L380">IFERROR(IF(HistoricalStockProgress[[#This Row],[Price of Shares]]="",_xlfn.STOCKHISTORY(HistoricalStockProgress[[#This Row],[Full Company Name]],HistoricalStockProgress[[#This Row],[Date]],,2,0,1)),0)</f>
        <v>0</v>
      </c>
      <c r="M380" s="34">
        <f>YEAR(HistoricalStockProgress[[#This Row],[Date]])</f>
        <v>2018</v>
      </c>
      <c r="N380" s="34">
        <f>MONTH(HistoricalStockProgress[[#This Row],[Date]])</f>
        <v>2</v>
      </c>
    </row>
    <row r="381" spans="2:14">
      <c r="B381" s="15">
        <v>43159</v>
      </c>
      <c r="C381" s="34" t="s">
        <v>106</v>
      </c>
      <c r="D381" s="34" t="e" vm="20">
        <f>_xlfn.XLOOKUP(HistoricalStockProgress[[#This Row],[Company Ticker]],CompanyDetailsList[Company Ticker],CompanyDetailsList[Official Name],,0)</f>
        <v>#VALUE!</v>
      </c>
      <c r="E3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3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381" s="17">
        <f>IFERROR(HistoricalStockProgress[[#This Row],[Cost of Shares]]/HistoricalStockProgress[[#This Row],[No. of Shares]],0)</f>
        <v>104.71316390485761</v>
      </c>
      <c r="H381" s="16" vm="922">
        <v>112.44</v>
      </c>
      <c r="I381" s="16">
        <f>IF(HistoricalStockProgress[[#This Row],[No. of Shares]]&lt;&gt;0,HistoricalStockProgress[[#This Row],[Price of Shares]]*HistoricalStockProgress[[#This Row],[No. of Shares]],0)</f>
        <v>3935.4</v>
      </c>
      <c r="J381" s="16">
        <f>IF(HistoricalStockProgress[[#This Row],[No. of Shares]]&lt;&gt;0,HistoricalStockProgress[[#This Row],[Price of Shares]]-HistoricalStockProgress[[#This Row],[Cost of Shares]]/HistoricalStockProgress[[#This Row],[No. of Shares]],0)</f>
        <v>7.7268360951423887</v>
      </c>
      <c r="K381" s="17">
        <f>IF(HistoricalStockProgress[[#This Row],[Total Price of Shares]]&lt;&gt;0,HistoricalStockProgress[[#This Row],[Total Price of Shares]]-HistoricalStockProgress[[#This Row],[Cost of Shares]],0)</f>
        <v>270.43926332998353</v>
      </c>
      <c r="L381" s="34" t="b" cm="1">
        <f t="array" ref="L381">IFERROR(IF(HistoricalStockProgress[[#This Row],[Price of Shares]]="",_xlfn.STOCKHISTORY(HistoricalStockProgress[[#This Row],[Full Company Name]],HistoricalStockProgress[[#This Row],[Date]],,2,0,1)),0)</f>
        <v>0</v>
      </c>
      <c r="M381" s="34">
        <f>YEAR(HistoricalStockProgress[[#This Row],[Date]])</f>
        <v>2018</v>
      </c>
      <c r="N381" s="34">
        <f>MONTH(HistoricalStockProgress[[#This Row],[Date]])</f>
        <v>2</v>
      </c>
    </row>
    <row r="382" spans="2:14">
      <c r="B382" s="15">
        <v>43190</v>
      </c>
      <c r="C382" s="34" t="s">
        <v>12</v>
      </c>
      <c r="D382" s="34" t="e" vm="1">
        <f>_xlfn.XLOOKUP(HistoricalStockProgress[[#This Row],[Company Ticker]],CompanyDetailsList[Company Ticker],CompanyDetailsList[Official Name],,0)</f>
        <v>#VALUE!</v>
      </c>
      <c r="E3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3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382" s="17">
        <f>IFERROR(HistoricalStockProgress[[#This Row],[Cost of Shares]]/HistoricalStockProgress[[#This Row],[No. of Shares]],0)</f>
        <v>57.188485025896703</v>
      </c>
      <c r="H382" s="16" vm="923">
        <v>51.73</v>
      </c>
      <c r="I382" s="16">
        <f>IF(HistoricalStockProgress[[#This Row],[No. of Shares]]&lt;&gt;0,HistoricalStockProgress[[#This Row],[Price of Shares]]*HistoricalStockProgress[[#This Row],[No. of Shares]],0)</f>
        <v>310.38</v>
      </c>
      <c r="J382" s="16">
        <f>IF(HistoricalStockProgress[[#This Row],[No. of Shares]]&lt;&gt;0,HistoricalStockProgress[[#This Row],[Price of Shares]]-HistoricalStockProgress[[#This Row],[Cost of Shares]]/HistoricalStockProgress[[#This Row],[No. of Shares]],0)</f>
        <v>-5.4584850258967066</v>
      </c>
      <c r="K382" s="17">
        <f>IF(HistoricalStockProgress[[#This Row],[Total Price of Shares]]&lt;&gt;0,HistoricalStockProgress[[#This Row],[Total Price of Shares]]-HistoricalStockProgress[[#This Row],[Cost of Shares]],0)</f>
        <v>-32.750910155380211</v>
      </c>
      <c r="L382" s="34" t="b" cm="1">
        <f t="array" ref="L382">IFERROR(IF(HistoricalStockProgress[[#This Row],[Price of Shares]]="",_xlfn.STOCKHISTORY(HistoricalStockProgress[[#This Row],[Full Company Name]],HistoricalStockProgress[[#This Row],[Date]],,2,0,1)),0)</f>
        <v>0</v>
      </c>
      <c r="M382" s="34">
        <f>YEAR(HistoricalStockProgress[[#This Row],[Date]])</f>
        <v>2018</v>
      </c>
      <c r="N382" s="34">
        <f>MONTH(HistoricalStockProgress[[#This Row],[Date]])</f>
        <v>3</v>
      </c>
    </row>
    <row r="383" spans="2:14">
      <c r="B383" s="15">
        <v>43190</v>
      </c>
      <c r="C383" s="34" t="s">
        <v>84</v>
      </c>
      <c r="D383" s="34" t="e" vm="7">
        <f>_xlfn.XLOOKUP(HistoricalStockProgress[[#This Row],[Company Ticker]],CompanyDetailsList[Company Ticker],CompanyDetailsList[Official Name],,0)</f>
        <v>#VALUE!</v>
      </c>
      <c r="E3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3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383" s="17">
        <f>IFERROR(HistoricalStockProgress[[#This Row],[Cost of Shares]]/HistoricalStockProgress[[#This Row],[No. of Shares]],0)</f>
        <v>104.18087504950869</v>
      </c>
      <c r="H383" s="16" vm="924">
        <v>128.15</v>
      </c>
      <c r="I383" s="16">
        <f>IF(HistoricalStockProgress[[#This Row],[No. of Shares]]&lt;&gt;0,HistoricalStockProgress[[#This Row],[Price of Shares]]*HistoricalStockProgress[[#This Row],[No. of Shares]],0)</f>
        <v>6535.6500000000005</v>
      </c>
      <c r="J383" s="16">
        <f>IF(HistoricalStockProgress[[#This Row],[No. of Shares]]&lt;&gt;0,HistoricalStockProgress[[#This Row],[Price of Shares]]-HistoricalStockProgress[[#This Row],[Cost of Shares]]/HistoricalStockProgress[[#This Row],[No. of Shares]],0)</f>
        <v>23.96912495049132</v>
      </c>
      <c r="K383" s="17">
        <f>IF(HistoricalStockProgress[[#This Row],[Total Price of Shares]]&lt;&gt;0,HistoricalStockProgress[[#This Row],[Total Price of Shares]]-HistoricalStockProgress[[#This Row],[Cost of Shares]],0)</f>
        <v>1222.4253724750579</v>
      </c>
      <c r="L383" s="34" t="b" cm="1">
        <f t="array" ref="L383">IFERROR(IF(HistoricalStockProgress[[#This Row],[Price of Shares]]="",_xlfn.STOCKHISTORY(HistoricalStockProgress[[#This Row],[Full Company Name]],HistoricalStockProgress[[#This Row],[Date]],,2,0,1)),0)</f>
        <v>0</v>
      </c>
      <c r="M383" s="34">
        <f>YEAR(HistoricalStockProgress[[#This Row],[Date]])</f>
        <v>2018</v>
      </c>
      <c r="N383" s="34">
        <f>MONTH(HistoricalStockProgress[[#This Row],[Date]])</f>
        <v>3</v>
      </c>
    </row>
    <row r="384" spans="2:14">
      <c r="B384" s="15">
        <v>43190</v>
      </c>
      <c r="C384" s="34" t="s">
        <v>86</v>
      </c>
      <c r="D384" s="34" t="e" vm="8">
        <f>_xlfn.XLOOKUP(HistoricalStockProgress[[#This Row],[Company Ticker]],CompanyDetailsList[Company Ticker],CompanyDetailsList[Official Name],,0)</f>
        <v>#VALUE!</v>
      </c>
      <c r="E3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3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384" s="17">
        <f>IFERROR(HistoricalStockProgress[[#This Row],[Cost of Shares]]/HistoricalStockProgress[[#This Row],[No. of Shares]],0)</f>
        <v>85.876031764920896</v>
      </c>
      <c r="H384" s="16" vm="925">
        <v>94.65</v>
      </c>
      <c r="I384" s="16">
        <f>IF(HistoricalStockProgress[[#This Row],[No. of Shares]]&lt;&gt;0,HistoricalStockProgress[[#This Row],[Price of Shares]]*HistoricalStockProgress[[#This Row],[No. of Shares]],0)</f>
        <v>5016.4500000000007</v>
      </c>
      <c r="J384" s="16">
        <f>IF(HistoricalStockProgress[[#This Row],[No. of Shares]]&lt;&gt;0,HistoricalStockProgress[[#This Row],[Price of Shares]]-HistoricalStockProgress[[#This Row],[Cost of Shares]]/HistoricalStockProgress[[#This Row],[No. of Shares]],0)</f>
        <v>8.7739682350791099</v>
      </c>
      <c r="K384" s="17">
        <f>IF(HistoricalStockProgress[[#This Row],[Total Price of Shares]]&lt;&gt;0,HistoricalStockProgress[[#This Row],[Total Price of Shares]]-HistoricalStockProgress[[#This Row],[Cost of Shares]],0)</f>
        <v>465.02031645919305</v>
      </c>
      <c r="L384" s="34" t="b" cm="1">
        <f t="array" ref="L384">IFERROR(IF(HistoricalStockProgress[[#This Row],[Price of Shares]]="",_xlfn.STOCKHISTORY(HistoricalStockProgress[[#This Row],[Full Company Name]],HistoricalStockProgress[[#This Row],[Date]],,2,0,1)),0)</f>
        <v>0</v>
      </c>
      <c r="M384" s="34">
        <f>YEAR(HistoricalStockProgress[[#This Row],[Date]])</f>
        <v>2018</v>
      </c>
      <c r="N384" s="34">
        <f>MONTH(HistoricalStockProgress[[#This Row],[Date]])</f>
        <v>3</v>
      </c>
    </row>
    <row r="385" spans="2:14">
      <c r="B385" s="15">
        <v>43190</v>
      </c>
      <c r="C385" s="34" t="s">
        <v>22</v>
      </c>
      <c r="D385" s="34" t="e" vm="10">
        <f>_xlfn.XLOOKUP(HistoricalStockProgress[[#This Row],[Company Ticker]],CompanyDetailsList[Company Ticker],CompanyDetailsList[Official Name],,0)</f>
        <v>#VALUE!</v>
      </c>
      <c r="E3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3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385" s="17">
        <f>IFERROR(HistoricalStockProgress[[#This Row],[Cost of Shares]]/HistoricalStockProgress[[#This Row],[No. of Shares]],0)</f>
        <v>83.61275075159574</v>
      </c>
      <c r="H385" s="16" vm="926">
        <v>147.38</v>
      </c>
      <c r="I385" s="16">
        <f>IF(HistoricalStockProgress[[#This Row],[No. of Shares]]&lt;&gt;0,HistoricalStockProgress[[#This Row],[Price of Shares]]*HistoricalStockProgress[[#This Row],[No. of Shares]],0)</f>
        <v>8990.18</v>
      </c>
      <c r="J385" s="16">
        <f>IF(HistoricalStockProgress[[#This Row],[No. of Shares]]&lt;&gt;0,HistoricalStockProgress[[#This Row],[Price of Shares]]-HistoricalStockProgress[[#This Row],[Cost of Shares]]/HistoricalStockProgress[[#This Row],[No. of Shares]],0)</f>
        <v>63.767249248404255</v>
      </c>
      <c r="K385" s="17">
        <f>IF(HistoricalStockProgress[[#This Row],[Total Price of Shares]]&lt;&gt;0,HistoricalStockProgress[[#This Row],[Total Price of Shares]]-HistoricalStockProgress[[#This Row],[Cost of Shares]],0)</f>
        <v>3889.8022041526601</v>
      </c>
      <c r="L385" s="34" t="b" cm="1">
        <f t="array" ref="L385">IFERROR(IF(HistoricalStockProgress[[#This Row],[Price of Shares]]="",_xlfn.STOCKHISTORY(HistoricalStockProgress[[#This Row],[Full Company Name]],HistoricalStockProgress[[#This Row],[Date]],,2,0,1)),0)</f>
        <v>0</v>
      </c>
      <c r="M385" s="34">
        <f>YEAR(HistoricalStockProgress[[#This Row],[Date]])</f>
        <v>2018</v>
      </c>
      <c r="N385" s="34">
        <f>MONTH(HistoricalStockProgress[[#This Row],[Date]])</f>
        <v>3</v>
      </c>
    </row>
    <row r="386" spans="2:14">
      <c r="B386" s="15">
        <v>43190</v>
      </c>
      <c r="C386" s="34" t="s">
        <v>91</v>
      </c>
      <c r="D386" s="34" t="e" vm="11">
        <f>_xlfn.XLOOKUP(HistoricalStockProgress[[#This Row],[Company Ticker]],CompanyDetailsList[Company Ticker],CompanyDetailsList[Official Name],,0)</f>
        <v>#VALUE!</v>
      </c>
      <c r="E3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3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4641.1780084974125</v>
      </c>
      <c r="G386" s="17">
        <f>IFERROR(HistoricalStockProgress[[#This Row],[Cost of Shares]]/HistoricalStockProgress[[#This Row],[No. of Shares]],0)</f>
        <v>58.749088715157121</v>
      </c>
      <c r="H386" s="16" vm="927">
        <v>91.27</v>
      </c>
      <c r="I386" s="16">
        <f>IF(HistoricalStockProgress[[#This Row],[No. of Shares]]&lt;&gt;0,HistoricalStockProgress[[#This Row],[Price of Shares]]*HistoricalStockProgress[[#This Row],[No. of Shares]],0)</f>
        <v>7210.33</v>
      </c>
      <c r="J386" s="16">
        <f>IF(HistoricalStockProgress[[#This Row],[No. of Shares]]&lt;&gt;0,HistoricalStockProgress[[#This Row],[Price of Shares]]-HistoricalStockProgress[[#This Row],[Cost of Shares]]/HistoricalStockProgress[[#This Row],[No. of Shares]],0)</f>
        <v>32.520911284842875</v>
      </c>
      <c r="K386" s="17">
        <f>IF(HistoricalStockProgress[[#This Row],[Total Price of Shares]]&lt;&gt;0,HistoricalStockProgress[[#This Row],[Total Price of Shares]]-HistoricalStockProgress[[#This Row],[Cost of Shares]],0)</f>
        <v>2569.1519915025874</v>
      </c>
      <c r="L386" s="34" t="b" cm="1">
        <f t="array" ref="L386">IFERROR(IF(HistoricalStockProgress[[#This Row],[Price of Shares]]="",_xlfn.STOCKHISTORY(HistoricalStockProgress[[#This Row],[Full Company Name]],HistoricalStockProgress[[#This Row],[Date]],,2,0,1)),0)</f>
        <v>0</v>
      </c>
      <c r="M386" s="34">
        <f>YEAR(HistoricalStockProgress[[#This Row],[Date]])</f>
        <v>2018</v>
      </c>
      <c r="N386" s="34">
        <f>MONTH(HistoricalStockProgress[[#This Row],[Date]])</f>
        <v>3</v>
      </c>
    </row>
    <row r="387" spans="2:14">
      <c r="B387" s="15">
        <v>43190</v>
      </c>
      <c r="C387" s="34" t="s">
        <v>16</v>
      </c>
      <c r="D387" s="34" t="e" vm="12">
        <f>_xlfn.XLOOKUP(HistoricalStockProgress[[#This Row],[Company Ticker]],CompanyDetailsList[Company Ticker],CompanyDetailsList[Official Name],,0)</f>
        <v>#VALUE!</v>
      </c>
      <c r="E3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135</v>
      </c>
      <c r="F3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11213.293866466378</v>
      </c>
      <c r="G387" s="17">
        <f>IFERROR(HistoricalStockProgress[[#This Row],[Cost of Shares]]/HistoricalStockProgress[[#This Row],[No. of Shares]],0)</f>
        <v>83.061436047899093</v>
      </c>
      <c r="H387" s="16" vm="928">
        <v>74.61</v>
      </c>
      <c r="I387" s="16">
        <f>IF(HistoricalStockProgress[[#This Row],[No. of Shares]]&lt;&gt;0,HistoricalStockProgress[[#This Row],[Price of Shares]]*HistoricalStockProgress[[#This Row],[No. of Shares]],0)</f>
        <v>10072.35</v>
      </c>
      <c r="J387" s="16">
        <f>IF(HistoricalStockProgress[[#This Row],[No. of Shares]]&lt;&gt;0,HistoricalStockProgress[[#This Row],[Price of Shares]]-HistoricalStockProgress[[#This Row],[Cost of Shares]]/HistoricalStockProgress[[#This Row],[No. of Shares]],0)</f>
        <v>-8.4514360478990938</v>
      </c>
      <c r="K387" s="17">
        <f>IF(HistoricalStockProgress[[#This Row],[Total Price of Shares]]&lt;&gt;0,HistoricalStockProgress[[#This Row],[Total Price of Shares]]-HistoricalStockProgress[[#This Row],[Cost of Shares]],0)</f>
        <v>-1140.9438664663776</v>
      </c>
      <c r="L387" s="34" t="b" cm="1">
        <f t="array" ref="L387">IFERROR(IF(HistoricalStockProgress[[#This Row],[Price of Shares]]="",_xlfn.STOCKHISTORY(HistoricalStockProgress[[#This Row],[Full Company Name]],HistoricalStockProgress[[#This Row],[Date]],,2,0,1)),0)</f>
        <v>0</v>
      </c>
      <c r="M387" s="34">
        <f>YEAR(HistoricalStockProgress[[#This Row],[Date]])</f>
        <v>2018</v>
      </c>
      <c r="N387" s="34">
        <f>MONTH(HistoricalStockProgress[[#This Row],[Date]])</f>
        <v>3</v>
      </c>
    </row>
    <row r="388" spans="2:14">
      <c r="B388" s="15">
        <v>43190</v>
      </c>
      <c r="C388" s="34" t="s">
        <v>95</v>
      </c>
      <c r="D388" s="34" t="e" vm="13">
        <f>_xlfn.XLOOKUP(HistoricalStockProgress[[#This Row],[Company Ticker]],CompanyDetailsList[Company Ticker],CompanyDetailsList[Official Name],,0)</f>
        <v>#VALUE!</v>
      </c>
      <c r="E3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3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388" s="17">
        <f>IFERROR(HistoricalStockProgress[[#This Row],[Cost of Shares]]/HistoricalStockProgress[[#This Row],[No. of Shares]],0)</f>
        <v>143.29758396474452</v>
      </c>
      <c r="H388" s="16" vm="929">
        <v>178.24</v>
      </c>
      <c r="I388" s="16">
        <f>IF(HistoricalStockProgress[[#This Row],[No. of Shares]]&lt;&gt;0,HistoricalStockProgress[[#This Row],[Price of Shares]]*HistoricalStockProgress[[#This Row],[No. of Shares]],0)</f>
        <v>7664.3200000000006</v>
      </c>
      <c r="J388" s="16">
        <f>IF(HistoricalStockProgress[[#This Row],[No. of Shares]]&lt;&gt;0,HistoricalStockProgress[[#This Row],[Price of Shares]]-HistoricalStockProgress[[#This Row],[Cost of Shares]]/HistoricalStockProgress[[#This Row],[No. of Shares]],0)</f>
        <v>34.942416035255491</v>
      </c>
      <c r="K388" s="17">
        <f>IF(HistoricalStockProgress[[#This Row],[Total Price of Shares]]&lt;&gt;0,HistoricalStockProgress[[#This Row],[Total Price of Shares]]-HistoricalStockProgress[[#This Row],[Cost of Shares]],0)</f>
        <v>1502.5238895159864</v>
      </c>
      <c r="L388" s="34" t="b" cm="1">
        <f t="array" ref="L388">IFERROR(IF(HistoricalStockProgress[[#This Row],[Price of Shares]]="",_xlfn.STOCKHISTORY(HistoricalStockProgress[[#This Row],[Full Company Name]],HistoricalStockProgress[[#This Row],[Date]],,2,0,1)),0)</f>
        <v>0</v>
      </c>
      <c r="M388" s="34">
        <f>YEAR(HistoricalStockProgress[[#This Row],[Date]])</f>
        <v>2018</v>
      </c>
      <c r="N388" s="34">
        <f>MONTH(HistoricalStockProgress[[#This Row],[Date]])</f>
        <v>3</v>
      </c>
    </row>
    <row r="389" spans="2:14">
      <c r="B389" s="15">
        <v>43190</v>
      </c>
      <c r="C389" s="34" t="s">
        <v>17</v>
      </c>
      <c r="D389" s="34" t="e" vm="14">
        <f>_xlfn.XLOOKUP(HistoricalStockProgress[[#This Row],[Company Ticker]],CompanyDetailsList[Company Ticker],CompanyDetailsList[Official Name],,0)</f>
        <v>#VALUE!</v>
      </c>
      <c r="E3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3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5103.4501354761906</v>
      </c>
      <c r="G389" s="17">
        <f>IFERROR(HistoricalStockProgress[[#This Row],[Cost of Shares]]/HistoricalStockProgress[[#This Row],[No. of Shares]],0)</f>
        <v>154.65000410533912</v>
      </c>
      <c r="H389" s="16" vm="930">
        <v>153.43</v>
      </c>
      <c r="I389" s="16">
        <f>IF(HistoricalStockProgress[[#This Row],[No. of Shares]]&lt;&gt;0,HistoricalStockProgress[[#This Row],[Price of Shares]]*HistoricalStockProgress[[#This Row],[No. of Shares]],0)</f>
        <v>5063.1900000000005</v>
      </c>
      <c r="J389" s="16">
        <f>IF(HistoricalStockProgress[[#This Row],[No. of Shares]]&lt;&gt;0,HistoricalStockProgress[[#This Row],[Price of Shares]]-HistoricalStockProgress[[#This Row],[Cost of Shares]]/HistoricalStockProgress[[#This Row],[No. of Shares]],0)</f>
        <v>-1.2200041053391146</v>
      </c>
      <c r="K389" s="17">
        <f>IF(HistoricalStockProgress[[#This Row],[Total Price of Shares]]&lt;&gt;0,HistoricalStockProgress[[#This Row],[Total Price of Shares]]-HistoricalStockProgress[[#This Row],[Cost of Shares]],0)</f>
        <v>-40.260135476190044</v>
      </c>
      <c r="L389" s="34" t="b" cm="1">
        <f t="array" ref="L389">IFERROR(IF(HistoricalStockProgress[[#This Row],[Price of Shares]]="",_xlfn.STOCKHISTORY(HistoricalStockProgress[[#This Row],[Full Company Name]],HistoricalStockProgress[[#This Row],[Date]],,2,0,1)),0)</f>
        <v>0</v>
      </c>
      <c r="M389" s="34">
        <f>YEAR(HistoricalStockProgress[[#This Row],[Date]])</f>
        <v>2018</v>
      </c>
      <c r="N389" s="34">
        <f>MONTH(HistoricalStockProgress[[#This Row],[Date]])</f>
        <v>3</v>
      </c>
    </row>
    <row r="390" spans="2:14">
      <c r="B390" s="15">
        <v>43190</v>
      </c>
      <c r="C390" s="34" t="s">
        <v>98</v>
      </c>
      <c r="D390" s="34" t="e" vm="15">
        <f>_xlfn.XLOOKUP(HistoricalStockProgress[[#This Row],[Company Ticker]],CompanyDetailsList[Company Ticker],CompanyDetailsList[Official Name],,0)</f>
        <v>#VALUE!</v>
      </c>
      <c r="E3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3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1941.9842250911215</v>
      </c>
      <c r="G390" s="17">
        <f>IFERROR(HistoricalStockProgress[[#This Row],[Cost of Shares]]/HistoricalStockProgress[[#This Row],[No. of Shares]],0)</f>
        <v>38.078122060610227</v>
      </c>
      <c r="H390" s="16" vm="931">
        <v>40.832500000000003</v>
      </c>
      <c r="I390" s="16">
        <f>IF(HistoricalStockProgress[[#This Row],[No. of Shares]]&lt;&gt;0,HistoricalStockProgress[[#This Row],[Price of Shares]]*HistoricalStockProgress[[#This Row],[No. of Shares]],0)</f>
        <v>2082.4575</v>
      </c>
      <c r="J390" s="16">
        <f>IF(HistoricalStockProgress[[#This Row],[No. of Shares]]&lt;&gt;0,HistoricalStockProgress[[#This Row],[Price of Shares]]-HistoricalStockProgress[[#This Row],[Cost of Shares]]/HistoricalStockProgress[[#This Row],[No. of Shares]],0)</f>
        <v>2.7543779393897765</v>
      </c>
      <c r="K390" s="17">
        <f>IF(HistoricalStockProgress[[#This Row],[Total Price of Shares]]&lt;&gt;0,HistoricalStockProgress[[#This Row],[Total Price of Shares]]-HistoricalStockProgress[[#This Row],[Cost of Shares]],0)</f>
        <v>140.47327490887847</v>
      </c>
      <c r="L390" s="34" t="b" cm="1">
        <f t="array" ref="L390">IFERROR(IF(HistoricalStockProgress[[#This Row],[Price of Shares]]="",_xlfn.STOCKHISTORY(HistoricalStockProgress[[#This Row],[Full Company Name]],HistoricalStockProgress[[#This Row],[Date]],,2,0,1)),0)</f>
        <v>0</v>
      </c>
      <c r="M390" s="34">
        <f>YEAR(HistoricalStockProgress[[#This Row],[Date]])</f>
        <v>2018</v>
      </c>
      <c r="N390" s="34">
        <f>MONTH(HistoricalStockProgress[[#This Row],[Date]])</f>
        <v>3</v>
      </c>
    </row>
    <row r="391" spans="2:14">
      <c r="B391" s="15">
        <v>43190</v>
      </c>
      <c r="C391" s="34" t="s">
        <v>100</v>
      </c>
      <c r="D391" s="34" t="e" vm="16">
        <f>_xlfn.XLOOKUP(HistoricalStockProgress[[#This Row],[Company Ticker]],CompanyDetailsList[Company Ticker],CompanyDetailsList[Official Name],,0)</f>
        <v>#VALUE!</v>
      </c>
      <c r="E3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3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391" s="17">
        <f>IFERROR(HistoricalStockProgress[[#This Row],[Cost of Shares]]/HistoricalStockProgress[[#This Row],[No. of Shares]],0)</f>
        <v>84.509035134678101</v>
      </c>
      <c r="H391" s="16" vm="932">
        <v>77.47</v>
      </c>
      <c r="I391" s="16">
        <f>IF(HistoricalStockProgress[[#This Row],[No. of Shares]]&lt;&gt;0,HistoricalStockProgress[[#This Row],[Price of Shares]]*HistoricalStockProgress[[#This Row],[No. of Shares]],0)</f>
        <v>2556.5099999999998</v>
      </c>
      <c r="J391" s="16">
        <f>IF(HistoricalStockProgress[[#This Row],[No. of Shares]]&lt;&gt;0,HistoricalStockProgress[[#This Row],[Price of Shares]]-HistoricalStockProgress[[#This Row],[Cost of Shares]]/HistoricalStockProgress[[#This Row],[No. of Shares]],0)</f>
        <v>-7.0390351346781017</v>
      </c>
      <c r="K391" s="17">
        <f>IF(HistoricalStockProgress[[#This Row],[Total Price of Shares]]&lt;&gt;0,HistoricalStockProgress[[#This Row],[Total Price of Shares]]-HistoricalStockProgress[[#This Row],[Cost of Shares]],0)</f>
        <v>-232.28815944437747</v>
      </c>
      <c r="L391" s="34" t="b" cm="1">
        <f t="array" ref="L391">IFERROR(IF(HistoricalStockProgress[[#This Row],[Price of Shares]]="",_xlfn.STOCKHISTORY(HistoricalStockProgress[[#This Row],[Full Company Name]],HistoricalStockProgress[[#This Row],[Date]],,2,0,1)),0)</f>
        <v>0</v>
      </c>
      <c r="M391" s="34">
        <f>YEAR(HistoricalStockProgress[[#This Row],[Date]])</f>
        <v>2018</v>
      </c>
      <c r="N391" s="34">
        <f>MONTH(HistoricalStockProgress[[#This Row],[Date]])</f>
        <v>3</v>
      </c>
    </row>
    <row r="392" spans="2:14">
      <c r="B392" s="15">
        <v>43190</v>
      </c>
      <c r="C392" s="34" t="s">
        <v>15</v>
      </c>
      <c r="D392" s="34" t="e" vm="17">
        <f>_xlfn.XLOOKUP(HistoricalStockProgress[[#This Row],[Company Ticker]],CompanyDetailsList[Company Ticker],CompanyDetailsList[Official Name],,0)</f>
        <v>#VALUE!</v>
      </c>
      <c r="E3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3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392" s="17">
        <f>IFERROR(HistoricalStockProgress[[#This Row],[Cost of Shares]]/HistoricalStockProgress[[#This Row],[No. of Shares]],0)</f>
        <v>26.481400454992627</v>
      </c>
      <c r="H392" s="16" vm="933">
        <v>26.9222</v>
      </c>
      <c r="I392" s="16">
        <f>IF(HistoricalStockProgress[[#This Row],[No. of Shares]]&lt;&gt;0,HistoricalStockProgress[[#This Row],[Price of Shares]]*HistoricalStockProgress[[#This Row],[No. of Shares]],0)</f>
        <v>2584.5311999999999</v>
      </c>
      <c r="J392" s="16">
        <f>IF(HistoricalStockProgress[[#This Row],[No. of Shares]]&lt;&gt;0,HistoricalStockProgress[[#This Row],[Price of Shares]]-HistoricalStockProgress[[#This Row],[Cost of Shares]]/HistoricalStockProgress[[#This Row],[No. of Shares]],0)</f>
        <v>0.44079954500737273</v>
      </c>
      <c r="K392" s="17">
        <f>IF(HistoricalStockProgress[[#This Row],[Total Price of Shares]]&lt;&gt;0,HistoricalStockProgress[[#This Row],[Total Price of Shares]]-HistoricalStockProgress[[#This Row],[Cost of Shares]],0)</f>
        <v>42.316756320707555</v>
      </c>
      <c r="L392" s="34" t="b" cm="1">
        <f t="array" ref="L392">IFERROR(IF(HistoricalStockProgress[[#This Row],[Price of Shares]]="",_xlfn.STOCKHISTORY(HistoricalStockProgress[[#This Row],[Full Company Name]],HistoricalStockProgress[[#This Row],[Date]],,2,0,1)),0)</f>
        <v>0</v>
      </c>
      <c r="M392" s="34">
        <f>YEAR(HistoricalStockProgress[[#This Row],[Date]])</f>
        <v>2018</v>
      </c>
      <c r="N392" s="34">
        <f>MONTH(HistoricalStockProgress[[#This Row],[Date]])</f>
        <v>3</v>
      </c>
    </row>
    <row r="393" spans="2:14">
      <c r="B393" s="15">
        <v>43190</v>
      </c>
      <c r="C393" s="34" t="s">
        <v>13</v>
      </c>
      <c r="D393" s="34" t="e" vm="18">
        <f>_xlfn.XLOOKUP(HistoricalStockProgress[[#This Row],[Company Ticker]],CompanyDetailsList[Company Ticker],CompanyDetailsList[Official Name],,0)</f>
        <v>#VALUE!</v>
      </c>
      <c r="E3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3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393" s="17">
        <f>IFERROR(HistoricalStockProgress[[#This Row],[Cost of Shares]]/HistoricalStockProgress[[#This Row],[No. of Shares]],0)</f>
        <v>31.383479678650293</v>
      </c>
      <c r="H393" s="16" vm="934">
        <v>33.642699999999998</v>
      </c>
      <c r="I393" s="16">
        <f>IF(HistoricalStockProgress[[#This Row],[No. of Shares]]&lt;&gt;0,HistoricalStockProgress[[#This Row],[Price of Shares]]*HistoricalStockProgress[[#This Row],[No. of Shares]],0)</f>
        <v>841.0675</v>
      </c>
      <c r="J393" s="16">
        <f>IF(HistoricalStockProgress[[#This Row],[No. of Shares]]&lt;&gt;0,HistoricalStockProgress[[#This Row],[Price of Shares]]-HistoricalStockProgress[[#This Row],[Cost of Shares]]/HistoricalStockProgress[[#This Row],[No. of Shares]],0)</f>
        <v>2.2592203213497051</v>
      </c>
      <c r="K393" s="17">
        <f>IF(HistoricalStockProgress[[#This Row],[Total Price of Shares]]&lt;&gt;0,HistoricalStockProgress[[#This Row],[Total Price of Shares]]-HistoricalStockProgress[[#This Row],[Cost of Shares]],0)</f>
        <v>56.480508033742694</v>
      </c>
      <c r="L393" s="34" t="b" cm="1">
        <f t="array" ref="L393">IFERROR(IF(HistoricalStockProgress[[#This Row],[Price of Shares]]="",_xlfn.STOCKHISTORY(HistoricalStockProgress[[#This Row],[Full Company Name]],HistoricalStockProgress[[#This Row],[Date]],,2,0,1)),0)</f>
        <v>0</v>
      </c>
      <c r="M393" s="34">
        <f>YEAR(HistoricalStockProgress[[#This Row],[Date]])</f>
        <v>2018</v>
      </c>
      <c r="N393" s="34">
        <f>MONTH(HistoricalStockProgress[[#This Row],[Date]])</f>
        <v>3</v>
      </c>
    </row>
    <row r="394" spans="2:14">
      <c r="B394" s="15">
        <v>43190</v>
      </c>
      <c r="C394" s="34" t="s">
        <v>20</v>
      </c>
      <c r="D394" s="34" t="e" vm="19">
        <f>_xlfn.XLOOKUP(HistoricalStockProgress[[#This Row],[Company Ticker]],CompanyDetailsList[Company Ticker],CompanyDetailsList[Official Name],,0)</f>
        <v>#VALUE!</v>
      </c>
      <c r="E3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68</v>
      </c>
      <c r="F3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6178.4485711906345</v>
      </c>
      <c r="G394" s="17">
        <f>IFERROR(HistoricalStockProgress[[#This Row],[Cost of Shares]]/HistoricalStockProgress[[#This Row],[No. of Shares]],0)</f>
        <v>90.859537811626979</v>
      </c>
      <c r="H394" s="16" vm="935">
        <v>109.97</v>
      </c>
      <c r="I394" s="16">
        <f>IF(HistoricalStockProgress[[#This Row],[No. of Shares]]&lt;&gt;0,HistoricalStockProgress[[#This Row],[Price of Shares]]*HistoricalStockProgress[[#This Row],[No. of Shares]],0)</f>
        <v>7477.96</v>
      </c>
      <c r="J394" s="16">
        <f>IF(HistoricalStockProgress[[#This Row],[No. of Shares]]&lt;&gt;0,HistoricalStockProgress[[#This Row],[Price of Shares]]-HistoricalStockProgress[[#This Row],[Cost of Shares]]/HistoricalStockProgress[[#This Row],[No. of Shares]],0)</f>
        <v>19.11046218837302</v>
      </c>
      <c r="K394" s="17">
        <f>IF(HistoricalStockProgress[[#This Row],[Total Price of Shares]]&lt;&gt;0,HistoricalStockProgress[[#This Row],[Total Price of Shares]]-HistoricalStockProgress[[#This Row],[Cost of Shares]],0)</f>
        <v>1299.5114288093655</v>
      </c>
      <c r="L394" s="34" t="b" cm="1">
        <f t="array" ref="L394">IFERROR(IF(HistoricalStockProgress[[#This Row],[Price of Shares]]="",_xlfn.STOCKHISTORY(HistoricalStockProgress[[#This Row],[Full Company Name]],HistoricalStockProgress[[#This Row],[Date]],,2,0,1)),0)</f>
        <v>0</v>
      </c>
      <c r="M394" s="34">
        <f>YEAR(HistoricalStockProgress[[#This Row],[Date]])</f>
        <v>2018</v>
      </c>
      <c r="N394" s="34">
        <f>MONTH(HistoricalStockProgress[[#This Row],[Date]])</f>
        <v>3</v>
      </c>
    </row>
    <row r="395" spans="2:14">
      <c r="B395" s="15">
        <v>43190</v>
      </c>
      <c r="C395" s="34" t="s">
        <v>106</v>
      </c>
      <c r="D395" s="34" t="e" vm="20">
        <f>_xlfn.XLOOKUP(HistoricalStockProgress[[#This Row],[Company Ticker]],CompanyDetailsList[Company Ticker],CompanyDetailsList[Official Name],,0)</f>
        <v>#VALUE!</v>
      </c>
      <c r="E3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3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395" s="17">
        <f>IFERROR(HistoricalStockProgress[[#This Row],[Cost of Shares]]/HistoricalStockProgress[[#This Row],[No. of Shares]],0)</f>
        <v>104.71316390485761</v>
      </c>
      <c r="H395" s="16" vm="936">
        <v>111.6</v>
      </c>
      <c r="I395" s="16">
        <f>IF(HistoricalStockProgress[[#This Row],[No. of Shares]]&lt;&gt;0,HistoricalStockProgress[[#This Row],[Price of Shares]]*HistoricalStockProgress[[#This Row],[No. of Shares]],0)</f>
        <v>3906</v>
      </c>
      <c r="J395" s="16">
        <f>IF(HistoricalStockProgress[[#This Row],[No. of Shares]]&lt;&gt;0,HistoricalStockProgress[[#This Row],[Price of Shares]]-HistoricalStockProgress[[#This Row],[Cost of Shares]]/HistoricalStockProgress[[#This Row],[No. of Shares]],0)</f>
        <v>6.8868360951423853</v>
      </c>
      <c r="K395" s="17">
        <f>IF(HistoricalStockProgress[[#This Row],[Total Price of Shares]]&lt;&gt;0,HistoricalStockProgress[[#This Row],[Total Price of Shares]]-HistoricalStockProgress[[#This Row],[Cost of Shares]],0)</f>
        <v>241.03926332998344</v>
      </c>
      <c r="L395" s="34" t="b" cm="1">
        <f t="array" ref="L395">IFERROR(IF(HistoricalStockProgress[[#This Row],[Price of Shares]]="",_xlfn.STOCKHISTORY(HistoricalStockProgress[[#This Row],[Full Company Name]],HistoricalStockProgress[[#This Row],[Date]],,2,0,1)),0)</f>
        <v>0</v>
      </c>
      <c r="M395" s="34">
        <f>YEAR(HistoricalStockProgress[[#This Row],[Date]])</f>
        <v>2018</v>
      </c>
      <c r="N395" s="34">
        <f>MONTH(HistoricalStockProgress[[#This Row],[Date]])</f>
        <v>3</v>
      </c>
    </row>
    <row r="396" spans="2:14">
      <c r="B396" s="15">
        <v>43220</v>
      </c>
      <c r="C396" s="34" t="s">
        <v>12</v>
      </c>
      <c r="D396" s="34" t="e" vm="1">
        <f>_xlfn.XLOOKUP(HistoricalStockProgress[[#This Row],[Company Ticker]],CompanyDetailsList[Company Ticker],CompanyDetailsList[Official Name],,0)</f>
        <v>#VALUE!</v>
      </c>
      <c r="E3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3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396" s="17">
        <f>IFERROR(HistoricalStockProgress[[#This Row],[Cost of Shares]]/HistoricalStockProgress[[#This Row],[No. of Shares]],0)</f>
        <v>57.188485025896703</v>
      </c>
      <c r="H396" s="16" vm="937">
        <v>50.51</v>
      </c>
      <c r="I396" s="16">
        <f>IF(HistoricalStockProgress[[#This Row],[No. of Shares]]&lt;&gt;0,HistoricalStockProgress[[#This Row],[Price of Shares]]*HistoricalStockProgress[[#This Row],[No. of Shares]],0)</f>
        <v>303.06</v>
      </c>
      <c r="J396" s="16">
        <f>IF(HistoricalStockProgress[[#This Row],[No. of Shares]]&lt;&gt;0,HistoricalStockProgress[[#This Row],[Price of Shares]]-HistoricalStockProgress[[#This Row],[Cost of Shares]]/HistoricalStockProgress[[#This Row],[No. of Shares]],0)</f>
        <v>-6.6784850258967055</v>
      </c>
      <c r="K396" s="17">
        <f>IF(HistoricalStockProgress[[#This Row],[Total Price of Shares]]&lt;&gt;0,HistoricalStockProgress[[#This Row],[Total Price of Shares]]-HistoricalStockProgress[[#This Row],[Cost of Shares]],0)</f>
        <v>-40.070910155380204</v>
      </c>
      <c r="L396" s="34" t="b" cm="1">
        <f t="array" ref="L396">IFERROR(IF(HistoricalStockProgress[[#This Row],[Price of Shares]]="",_xlfn.STOCKHISTORY(HistoricalStockProgress[[#This Row],[Full Company Name]],HistoricalStockProgress[[#This Row],[Date]],,2,0,1)),0)</f>
        <v>0</v>
      </c>
      <c r="M396" s="34">
        <f>YEAR(HistoricalStockProgress[[#This Row],[Date]])</f>
        <v>2018</v>
      </c>
      <c r="N396" s="34">
        <f>MONTH(HistoricalStockProgress[[#This Row],[Date]])</f>
        <v>4</v>
      </c>
    </row>
    <row r="397" spans="2:14">
      <c r="B397" s="15">
        <v>43220</v>
      </c>
      <c r="C397" s="34" t="s">
        <v>23</v>
      </c>
      <c r="D397" s="34" t="e" vm="4">
        <f>_xlfn.XLOOKUP(HistoricalStockProgress[[#This Row],[Company Ticker]],CompanyDetailsList[Company Ticker],CompanyDetailsList[Official Name],,0)</f>
        <v>#VALUE!</v>
      </c>
      <c r="E3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27</v>
      </c>
      <c r="F3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1188.3134737973896</v>
      </c>
      <c r="G397" s="17">
        <f>IFERROR(HistoricalStockProgress[[#This Row],[Cost of Shares]]/HistoricalStockProgress[[#This Row],[No. of Shares]],0)</f>
        <v>44.011610140644059</v>
      </c>
      <c r="H397" s="16" vm="938">
        <v>43.21</v>
      </c>
      <c r="I397" s="16">
        <f>IF(HistoricalStockProgress[[#This Row],[No. of Shares]]&lt;&gt;0,HistoricalStockProgress[[#This Row],[Price of Shares]]*HistoricalStockProgress[[#This Row],[No. of Shares]],0)</f>
        <v>1166.67</v>
      </c>
      <c r="J397" s="16">
        <f>IF(HistoricalStockProgress[[#This Row],[No. of Shares]]&lt;&gt;0,HistoricalStockProgress[[#This Row],[Price of Shares]]-HistoricalStockProgress[[#This Row],[Cost of Shares]]/HistoricalStockProgress[[#This Row],[No. of Shares]],0)</f>
        <v>-0.80161014064405833</v>
      </c>
      <c r="K397" s="17">
        <f>IF(HistoricalStockProgress[[#This Row],[Total Price of Shares]]&lt;&gt;0,HistoricalStockProgress[[#This Row],[Total Price of Shares]]-HistoricalStockProgress[[#This Row],[Cost of Shares]],0)</f>
        <v>-21.643473797389561</v>
      </c>
      <c r="L397" s="34" t="b" cm="1">
        <f t="array" ref="L397">IFERROR(IF(HistoricalStockProgress[[#This Row],[Price of Shares]]="",_xlfn.STOCKHISTORY(HistoricalStockProgress[[#This Row],[Full Company Name]],HistoricalStockProgress[[#This Row],[Date]],,2,0,1)),0)</f>
        <v>0</v>
      </c>
      <c r="M397" s="34">
        <f>YEAR(HistoricalStockProgress[[#This Row],[Date]])</f>
        <v>2018</v>
      </c>
      <c r="N397" s="34">
        <f>MONTH(HistoricalStockProgress[[#This Row],[Date]])</f>
        <v>4</v>
      </c>
    </row>
    <row r="398" spans="2:14">
      <c r="B398" s="15">
        <v>43220</v>
      </c>
      <c r="C398" s="34" t="s">
        <v>84</v>
      </c>
      <c r="D398" s="34" t="e" vm="7">
        <f>_xlfn.XLOOKUP(HistoricalStockProgress[[#This Row],[Company Ticker]],CompanyDetailsList[Company Ticker],CompanyDetailsList[Official Name],,0)</f>
        <v>#VALUE!</v>
      </c>
      <c r="E3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3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398" s="17">
        <f>IFERROR(HistoricalStockProgress[[#This Row],[Cost of Shares]]/HistoricalStockProgress[[#This Row],[No. of Shares]],0)</f>
        <v>104.18087504950869</v>
      </c>
      <c r="H398" s="16" vm="939">
        <v>126.49</v>
      </c>
      <c r="I398" s="16">
        <f>IF(HistoricalStockProgress[[#This Row],[No. of Shares]]&lt;&gt;0,HistoricalStockProgress[[#This Row],[Price of Shares]]*HistoricalStockProgress[[#This Row],[No. of Shares]],0)</f>
        <v>6450.99</v>
      </c>
      <c r="J398" s="16">
        <f>IF(HistoricalStockProgress[[#This Row],[No. of Shares]]&lt;&gt;0,HistoricalStockProgress[[#This Row],[Price of Shares]]-HistoricalStockProgress[[#This Row],[Cost of Shares]]/HistoricalStockProgress[[#This Row],[No. of Shares]],0)</f>
        <v>22.309124950491309</v>
      </c>
      <c r="K398" s="17">
        <f>IF(HistoricalStockProgress[[#This Row],[Total Price of Shares]]&lt;&gt;0,HistoricalStockProgress[[#This Row],[Total Price of Shares]]-HistoricalStockProgress[[#This Row],[Cost of Shares]],0)</f>
        <v>1137.7653724750571</v>
      </c>
      <c r="L398" s="34" t="b" cm="1">
        <f t="array" ref="L398">IFERROR(IF(HistoricalStockProgress[[#This Row],[Price of Shares]]="",_xlfn.STOCKHISTORY(HistoricalStockProgress[[#This Row],[Full Company Name]],HistoricalStockProgress[[#This Row],[Date]],,2,0,1)),0)</f>
        <v>0</v>
      </c>
      <c r="M398" s="34">
        <f>YEAR(HistoricalStockProgress[[#This Row],[Date]])</f>
        <v>2018</v>
      </c>
      <c r="N398" s="34">
        <f>MONTH(HistoricalStockProgress[[#This Row],[Date]])</f>
        <v>4</v>
      </c>
    </row>
    <row r="399" spans="2:14">
      <c r="B399" s="15">
        <v>43220</v>
      </c>
      <c r="C399" s="34" t="s">
        <v>86</v>
      </c>
      <c r="D399" s="34" t="e" vm="8">
        <f>_xlfn.XLOOKUP(HistoricalStockProgress[[#This Row],[Company Ticker]],CompanyDetailsList[Company Ticker],CompanyDetailsList[Official Name],,0)</f>
        <v>#VALUE!</v>
      </c>
      <c r="E3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3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399" s="17">
        <f>IFERROR(HistoricalStockProgress[[#This Row],[Cost of Shares]]/HistoricalStockProgress[[#This Row],[No. of Shares]],0)</f>
        <v>85.876031764920896</v>
      </c>
      <c r="H399" s="16" vm="940">
        <v>96.55</v>
      </c>
      <c r="I399" s="16">
        <f>IF(HistoricalStockProgress[[#This Row],[No. of Shares]]&lt;&gt;0,HistoricalStockProgress[[#This Row],[Price of Shares]]*HistoricalStockProgress[[#This Row],[No. of Shares]],0)</f>
        <v>5117.1499999999996</v>
      </c>
      <c r="J399" s="16">
        <f>IF(HistoricalStockProgress[[#This Row],[No. of Shares]]&lt;&gt;0,HistoricalStockProgress[[#This Row],[Price of Shares]]-HistoricalStockProgress[[#This Row],[Cost of Shares]]/HistoricalStockProgress[[#This Row],[No. of Shares]],0)</f>
        <v>10.673968235079101</v>
      </c>
      <c r="K399" s="17">
        <f>IF(HistoricalStockProgress[[#This Row],[Total Price of Shares]]&lt;&gt;0,HistoricalStockProgress[[#This Row],[Total Price of Shares]]-HistoricalStockProgress[[#This Row],[Cost of Shares]],0)</f>
        <v>565.72031645919196</v>
      </c>
      <c r="L399" s="34" t="b" cm="1">
        <f t="array" ref="L399">IFERROR(IF(HistoricalStockProgress[[#This Row],[Price of Shares]]="",_xlfn.STOCKHISTORY(HistoricalStockProgress[[#This Row],[Full Company Name]],HistoricalStockProgress[[#This Row],[Date]],,2,0,1)),0)</f>
        <v>0</v>
      </c>
      <c r="M399" s="34">
        <f>YEAR(HistoricalStockProgress[[#This Row],[Date]])</f>
        <v>2018</v>
      </c>
      <c r="N399" s="34">
        <f>MONTH(HistoricalStockProgress[[#This Row],[Date]])</f>
        <v>4</v>
      </c>
    </row>
    <row r="400" spans="2:14">
      <c r="B400" s="15">
        <v>43220</v>
      </c>
      <c r="C400" s="34" t="s">
        <v>22</v>
      </c>
      <c r="D400" s="34" t="e" vm="10">
        <f>_xlfn.XLOOKUP(HistoricalStockProgress[[#This Row],[Company Ticker]],CompanyDetailsList[Company Ticker],CompanyDetailsList[Official Name],,0)</f>
        <v>#VALUE!</v>
      </c>
      <c r="E4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4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400" s="17">
        <f>IFERROR(HistoricalStockProgress[[#This Row],[Cost of Shares]]/HistoricalStockProgress[[#This Row],[No. of Shares]],0)</f>
        <v>83.61275075159574</v>
      </c>
      <c r="H400" s="16" vm="941">
        <v>144.36000000000001</v>
      </c>
      <c r="I400" s="16">
        <f>IF(HistoricalStockProgress[[#This Row],[No. of Shares]]&lt;&gt;0,HistoricalStockProgress[[#This Row],[Price of Shares]]*HistoricalStockProgress[[#This Row],[No. of Shares]],0)</f>
        <v>8805.9600000000009</v>
      </c>
      <c r="J400" s="16">
        <f>IF(HistoricalStockProgress[[#This Row],[No. of Shares]]&lt;&gt;0,HistoricalStockProgress[[#This Row],[Price of Shares]]-HistoricalStockProgress[[#This Row],[Cost of Shares]]/HistoricalStockProgress[[#This Row],[No. of Shares]],0)</f>
        <v>60.747249248404273</v>
      </c>
      <c r="K400" s="17">
        <f>IF(HistoricalStockProgress[[#This Row],[Total Price of Shares]]&lt;&gt;0,HistoricalStockProgress[[#This Row],[Total Price of Shares]]-HistoricalStockProgress[[#This Row],[Cost of Shares]],0)</f>
        <v>3705.5822041526608</v>
      </c>
      <c r="L400" s="34" t="b" cm="1">
        <f t="array" ref="L400">IFERROR(IF(HistoricalStockProgress[[#This Row],[Price of Shares]]="",_xlfn.STOCKHISTORY(HistoricalStockProgress[[#This Row],[Full Company Name]],HistoricalStockProgress[[#This Row],[Date]],,2,0,1)),0)</f>
        <v>0</v>
      </c>
      <c r="M400" s="34">
        <f>YEAR(HistoricalStockProgress[[#This Row],[Date]])</f>
        <v>2018</v>
      </c>
      <c r="N400" s="34">
        <f>MONTH(HistoricalStockProgress[[#This Row],[Date]])</f>
        <v>4</v>
      </c>
    </row>
    <row r="401" spans="2:14">
      <c r="B401" s="15">
        <v>43220</v>
      </c>
      <c r="C401" s="34" t="s">
        <v>91</v>
      </c>
      <c r="D401" s="34" t="e" vm="11">
        <f>_xlfn.XLOOKUP(HistoricalStockProgress[[#This Row],[Company Ticker]],CompanyDetailsList[Company Ticker],CompanyDetailsList[Official Name],,0)</f>
        <v>#VALUE!</v>
      </c>
      <c r="E4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4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4641.1780084974125</v>
      </c>
      <c r="G401" s="17">
        <f>IFERROR(HistoricalStockProgress[[#This Row],[Cost of Shares]]/HistoricalStockProgress[[#This Row],[No. of Shares]],0)</f>
        <v>58.749088715157121</v>
      </c>
      <c r="H401" s="16" vm="942">
        <v>93.52</v>
      </c>
      <c r="I401" s="16">
        <f>IF(HistoricalStockProgress[[#This Row],[No. of Shares]]&lt;&gt;0,HistoricalStockProgress[[#This Row],[Price of Shares]]*HistoricalStockProgress[[#This Row],[No. of Shares]],0)</f>
        <v>7388.08</v>
      </c>
      <c r="J401" s="16">
        <f>IF(HistoricalStockProgress[[#This Row],[No. of Shares]]&lt;&gt;0,HistoricalStockProgress[[#This Row],[Price of Shares]]-HistoricalStockProgress[[#This Row],[Cost of Shares]]/HistoricalStockProgress[[#This Row],[No. of Shares]],0)</f>
        <v>34.770911284842875</v>
      </c>
      <c r="K401" s="17">
        <f>IF(HistoricalStockProgress[[#This Row],[Total Price of Shares]]&lt;&gt;0,HistoricalStockProgress[[#This Row],[Total Price of Shares]]-HistoricalStockProgress[[#This Row],[Cost of Shares]],0)</f>
        <v>2746.9019915025874</v>
      </c>
      <c r="L401" s="34" t="b" cm="1">
        <f t="array" ref="L401">IFERROR(IF(HistoricalStockProgress[[#This Row],[Price of Shares]]="",_xlfn.STOCKHISTORY(HistoricalStockProgress[[#This Row],[Full Company Name]],HistoricalStockProgress[[#This Row],[Date]],,2,0,1)),0)</f>
        <v>0</v>
      </c>
      <c r="M401" s="34">
        <f>YEAR(HistoricalStockProgress[[#This Row],[Date]])</f>
        <v>2018</v>
      </c>
      <c r="N401" s="34">
        <f>MONTH(HistoricalStockProgress[[#This Row],[Date]])</f>
        <v>4</v>
      </c>
    </row>
    <row r="402" spans="2:14">
      <c r="B402" s="15">
        <v>43220</v>
      </c>
      <c r="C402" s="34" t="s">
        <v>16</v>
      </c>
      <c r="D402" s="34" t="e" vm="12">
        <f>_xlfn.XLOOKUP(HistoricalStockProgress[[#This Row],[Company Ticker]],CompanyDetailsList[Company Ticker],CompanyDetailsList[Official Name],,0)</f>
        <v>#VALUE!</v>
      </c>
      <c r="E4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135</v>
      </c>
      <c r="F4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11213.293866466378</v>
      </c>
      <c r="G402" s="17">
        <f>IFERROR(HistoricalStockProgress[[#This Row],[Cost of Shares]]/HistoricalStockProgress[[#This Row],[No. of Shares]],0)</f>
        <v>83.061436047899093</v>
      </c>
      <c r="H402" s="16" vm="943">
        <v>77.75</v>
      </c>
      <c r="I402" s="16">
        <f>IF(HistoricalStockProgress[[#This Row],[No. of Shares]]&lt;&gt;0,HistoricalStockProgress[[#This Row],[Price of Shares]]*HistoricalStockProgress[[#This Row],[No. of Shares]],0)</f>
        <v>10496.25</v>
      </c>
      <c r="J402" s="16">
        <f>IF(HistoricalStockProgress[[#This Row],[No. of Shares]]&lt;&gt;0,HistoricalStockProgress[[#This Row],[Price of Shares]]-HistoricalStockProgress[[#This Row],[Cost of Shares]]/HistoricalStockProgress[[#This Row],[No. of Shares]],0)</f>
        <v>-5.3114360478990932</v>
      </c>
      <c r="K402" s="17">
        <f>IF(HistoricalStockProgress[[#This Row],[Total Price of Shares]]&lt;&gt;0,HistoricalStockProgress[[#This Row],[Total Price of Shares]]-HistoricalStockProgress[[#This Row],[Cost of Shares]],0)</f>
        <v>-717.04386646637795</v>
      </c>
      <c r="L402" s="34" t="b" cm="1">
        <f t="array" ref="L402">IFERROR(IF(HistoricalStockProgress[[#This Row],[Price of Shares]]="",_xlfn.STOCKHISTORY(HistoricalStockProgress[[#This Row],[Full Company Name]],HistoricalStockProgress[[#This Row],[Date]],,2,0,1)),0)</f>
        <v>0</v>
      </c>
      <c r="M402" s="34">
        <f>YEAR(HistoricalStockProgress[[#This Row],[Date]])</f>
        <v>2018</v>
      </c>
      <c r="N402" s="34">
        <f>MONTH(HistoricalStockProgress[[#This Row],[Date]])</f>
        <v>4</v>
      </c>
    </row>
    <row r="403" spans="2:14">
      <c r="B403" s="15">
        <v>43220</v>
      </c>
      <c r="C403" s="34" t="s">
        <v>95</v>
      </c>
      <c r="D403" s="34" t="e" vm="13">
        <f>_xlfn.XLOOKUP(HistoricalStockProgress[[#This Row],[Company Ticker]],CompanyDetailsList[Company Ticker],CompanyDetailsList[Official Name],,0)</f>
        <v>#VALUE!</v>
      </c>
      <c r="E4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4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403" s="17">
        <f>IFERROR(HistoricalStockProgress[[#This Row],[Cost of Shares]]/HistoricalStockProgress[[#This Row],[No. of Shares]],0)</f>
        <v>143.29758396474452</v>
      </c>
      <c r="H403" s="16" vm="944">
        <v>184.8</v>
      </c>
      <c r="I403" s="16">
        <f>IF(HistoricalStockProgress[[#This Row],[No. of Shares]]&lt;&gt;0,HistoricalStockProgress[[#This Row],[Price of Shares]]*HistoricalStockProgress[[#This Row],[No. of Shares]],0)</f>
        <v>7946.4000000000005</v>
      </c>
      <c r="J403" s="16">
        <f>IF(HistoricalStockProgress[[#This Row],[No. of Shares]]&lt;&gt;0,HistoricalStockProgress[[#This Row],[Price of Shares]]-HistoricalStockProgress[[#This Row],[Cost of Shares]]/HistoricalStockProgress[[#This Row],[No. of Shares]],0)</f>
        <v>41.502416035255493</v>
      </c>
      <c r="K403" s="17">
        <f>IF(HistoricalStockProgress[[#This Row],[Total Price of Shares]]&lt;&gt;0,HistoricalStockProgress[[#This Row],[Total Price of Shares]]-HistoricalStockProgress[[#This Row],[Cost of Shares]],0)</f>
        <v>1784.6038895159863</v>
      </c>
      <c r="L403" s="34" t="b" cm="1">
        <f t="array" ref="L403">IFERROR(IF(HistoricalStockProgress[[#This Row],[Price of Shares]]="",_xlfn.STOCKHISTORY(HistoricalStockProgress[[#This Row],[Full Company Name]],HistoricalStockProgress[[#This Row],[Date]],,2,0,1)),0)</f>
        <v>0</v>
      </c>
      <c r="M403" s="34">
        <f>YEAR(HistoricalStockProgress[[#This Row],[Date]])</f>
        <v>2018</v>
      </c>
      <c r="N403" s="34">
        <f>MONTH(HistoricalStockProgress[[#This Row],[Date]])</f>
        <v>4</v>
      </c>
    </row>
    <row r="404" spans="2:14">
      <c r="B404" s="15">
        <v>43220</v>
      </c>
      <c r="C404" s="34" t="s">
        <v>17</v>
      </c>
      <c r="D404" s="34" t="e" vm="14">
        <f>_xlfn.XLOOKUP(HistoricalStockProgress[[#This Row],[Company Ticker]],CompanyDetailsList[Company Ticker],CompanyDetailsList[Official Name],,0)</f>
        <v>#VALUE!</v>
      </c>
      <c r="E4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4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5103.4501354761906</v>
      </c>
      <c r="G404" s="17">
        <f>IFERROR(HistoricalStockProgress[[#This Row],[Cost of Shares]]/HistoricalStockProgress[[#This Row],[No. of Shares]],0)</f>
        <v>154.65000410533912</v>
      </c>
      <c r="H404" s="16" vm="945">
        <v>144.96</v>
      </c>
      <c r="I404" s="16">
        <f>IF(HistoricalStockProgress[[#This Row],[No. of Shares]]&lt;&gt;0,HistoricalStockProgress[[#This Row],[Price of Shares]]*HistoricalStockProgress[[#This Row],[No. of Shares]],0)</f>
        <v>4783.68</v>
      </c>
      <c r="J404" s="16">
        <f>IF(HistoricalStockProgress[[#This Row],[No. of Shares]]&lt;&gt;0,HistoricalStockProgress[[#This Row],[Price of Shares]]-HistoricalStockProgress[[#This Row],[Cost of Shares]]/HistoricalStockProgress[[#This Row],[No. of Shares]],0)</f>
        <v>-9.6900041053391135</v>
      </c>
      <c r="K404" s="17">
        <f>IF(HistoricalStockProgress[[#This Row],[Total Price of Shares]]&lt;&gt;0,HistoricalStockProgress[[#This Row],[Total Price of Shares]]-HistoricalStockProgress[[#This Row],[Cost of Shares]],0)</f>
        <v>-319.77013547619026</v>
      </c>
      <c r="L404" s="34" t="b" cm="1">
        <f t="array" ref="L404">IFERROR(IF(HistoricalStockProgress[[#This Row],[Price of Shares]]="",_xlfn.STOCKHISTORY(HistoricalStockProgress[[#This Row],[Full Company Name]],HistoricalStockProgress[[#This Row],[Date]],,2,0,1)),0)</f>
        <v>0</v>
      </c>
      <c r="M404" s="34">
        <f>YEAR(HistoricalStockProgress[[#This Row],[Date]])</f>
        <v>2018</v>
      </c>
      <c r="N404" s="34">
        <f>MONTH(HistoricalStockProgress[[#This Row],[Date]])</f>
        <v>4</v>
      </c>
    </row>
    <row r="405" spans="2:14">
      <c r="B405" s="15">
        <v>43220</v>
      </c>
      <c r="C405" s="34" t="s">
        <v>98</v>
      </c>
      <c r="D405" s="34" t="e" vm="15">
        <f>_xlfn.XLOOKUP(HistoricalStockProgress[[#This Row],[Company Ticker]],CompanyDetailsList[Company Ticker],CompanyDetailsList[Official Name],,0)</f>
        <v>#VALUE!</v>
      </c>
      <c r="E4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4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1941.9842250911215</v>
      </c>
      <c r="G405" s="17">
        <f>IFERROR(HistoricalStockProgress[[#This Row],[Cost of Shares]]/HistoricalStockProgress[[#This Row],[No. of Shares]],0)</f>
        <v>38.078122060610227</v>
      </c>
      <c r="H405" s="16" vm="946">
        <v>40.977499999999999</v>
      </c>
      <c r="I405" s="16">
        <f>IF(HistoricalStockProgress[[#This Row],[No. of Shares]]&lt;&gt;0,HistoricalStockProgress[[#This Row],[Price of Shares]]*HistoricalStockProgress[[#This Row],[No. of Shares]],0)</f>
        <v>2089.8525</v>
      </c>
      <c r="J405" s="16">
        <f>IF(HistoricalStockProgress[[#This Row],[No. of Shares]]&lt;&gt;0,HistoricalStockProgress[[#This Row],[Price of Shares]]-HistoricalStockProgress[[#This Row],[Cost of Shares]]/HistoricalStockProgress[[#This Row],[No. of Shares]],0)</f>
        <v>2.8993779393897725</v>
      </c>
      <c r="K405" s="17">
        <f>IF(HistoricalStockProgress[[#This Row],[Total Price of Shares]]&lt;&gt;0,HistoricalStockProgress[[#This Row],[Total Price of Shares]]-HistoricalStockProgress[[#This Row],[Cost of Shares]],0)</f>
        <v>147.86827490887845</v>
      </c>
      <c r="L405" s="34" t="b" cm="1">
        <f t="array" ref="L405">IFERROR(IF(HistoricalStockProgress[[#This Row],[Price of Shares]]="",_xlfn.STOCKHISTORY(HistoricalStockProgress[[#This Row],[Full Company Name]],HistoricalStockProgress[[#This Row],[Date]],,2,0,1)),0)</f>
        <v>0</v>
      </c>
      <c r="M405" s="34">
        <f>YEAR(HistoricalStockProgress[[#This Row],[Date]])</f>
        <v>2018</v>
      </c>
      <c r="N405" s="34">
        <f>MONTH(HistoricalStockProgress[[#This Row],[Date]])</f>
        <v>4</v>
      </c>
    </row>
    <row r="406" spans="2:14">
      <c r="B406" s="15">
        <v>43220</v>
      </c>
      <c r="C406" s="34" t="s">
        <v>100</v>
      </c>
      <c r="D406" s="34" t="e" vm="16">
        <f>_xlfn.XLOOKUP(HistoricalStockProgress[[#This Row],[Company Ticker]],CompanyDetailsList[Company Ticker],CompanyDetailsList[Official Name],,0)</f>
        <v>#VALUE!</v>
      </c>
      <c r="E4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4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406" s="17">
        <f>IFERROR(HistoricalStockProgress[[#This Row],[Cost of Shares]]/HistoricalStockProgress[[#This Row],[No. of Shares]],0)</f>
        <v>84.509035134678101</v>
      </c>
      <c r="H406" s="16" vm="947">
        <v>80.16</v>
      </c>
      <c r="I406" s="16">
        <f>IF(HistoricalStockProgress[[#This Row],[No. of Shares]]&lt;&gt;0,HistoricalStockProgress[[#This Row],[Price of Shares]]*HistoricalStockProgress[[#This Row],[No. of Shares]],0)</f>
        <v>2645.2799999999997</v>
      </c>
      <c r="J406" s="16">
        <f>IF(HistoricalStockProgress[[#This Row],[No. of Shares]]&lt;&gt;0,HistoricalStockProgress[[#This Row],[Price of Shares]]-HistoricalStockProgress[[#This Row],[Cost of Shares]]/HistoricalStockProgress[[#This Row],[No. of Shares]],0)</f>
        <v>-4.349035134678104</v>
      </c>
      <c r="K406" s="17">
        <f>IF(HistoricalStockProgress[[#This Row],[Total Price of Shares]]&lt;&gt;0,HistoricalStockProgress[[#This Row],[Total Price of Shares]]-HistoricalStockProgress[[#This Row],[Cost of Shares]],0)</f>
        <v>-143.51815944437749</v>
      </c>
      <c r="L406" s="34" t="b" cm="1">
        <f t="array" ref="L406">IFERROR(IF(HistoricalStockProgress[[#This Row],[Price of Shares]]="",_xlfn.STOCKHISTORY(HistoricalStockProgress[[#This Row],[Full Company Name]],HistoricalStockProgress[[#This Row],[Date]],,2,0,1)),0)</f>
        <v>0</v>
      </c>
      <c r="M406" s="34">
        <f>YEAR(HistoricalStockProgress[[#This Row],[Date]])</f>
        <v>2018</v>
      </c>
      <c r="N406" s="34">
        <f>MONTH(HistoricalStockProgress[[#This Row],[Date]])</f>
        <v>4</v>
      </c>
    </row>
    <row r="407" spans="2:14">
      <c r="B407" s="15">
        <v>43220</v>
      </c>
      <c r="C407" s="34" t="s">
        <v>15</v>
      </c>
      <c r="D407" s="34" t="e" vm="17">
        <f>_xlfn.XLOOKUP(HistoricalStockProgress[[#This Row],[Company Ticker]],CompanyDetailsList[Company Ticker],CompanyDetailsList[Official Name],,0)</f>
        <v>#VALUE!</v>
      </c>
      <c r="E4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4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407" s="17">
        <f>IFERROR(HistoricalStockProgress[[#This Row],[Cost of Shares]]/HistoricalStockProgress[[#This Row],[No. of Shares]],0)</f>
        <v>26.481400454992627</v>
      </c>
      <c r="H407" s="16" vm="948">
        <v>24.694400000000002</v>
      </c>
      <c r="I407" s="16">
        <f>IF(HistoricalStockProgress[[#This Row],[No. of Shares]]&lt;&gt;0,HistoricalStockProgress[[#This Row],[Price of Shares]]*HistoricalStockProgress[[#This Row],[No. of Shares]],0)</f>
        <v>2370.6624000000002</v>
      </c>
      <c r="J407" s="16">
        <f>IF(HistoricalStockProgress[[#This Row],[No. of Shares]]&lt;&gt;0,HistoricalStockProgress[[#This Row],[Price of Shares]]-HistoricalStockProgress[[#This Row],[Cost of Shares]]/HistoricalStockProgress[[#This Row],[No. of Shares]],0)</f>
        <v>-1.7870004549926257</v>
      </c>
      <c r="K407" s="17">
        <f>IF(HistoricalStockProgress[[#This Row],[Total Price of Shares]]&lt;&gt;0,HistoricalStockProgress[[#This Row],[Total Price of Shares]]-HistoricalStockProgress[[#This Row],[Cost of Shares]],0)</f>
        <v>-171.55204367929218</v>
      </c>
      <c r="L407" s="34" t="b" cm="1">
        <f t="array" ref="L407">IFERROR(IF(HistoricalStockProgress[[#This Row],[Price of Shares]]="",_xlfn.STOCKHISTORY(HistoricalStockProgress[[#This Row],[Full Company Name]],HistoricalStockProgress[[#This Row],[Date]],,2,0,1)),0)</f>
        <v>0</v>
      </c>
      <c r="M407" s="34">
        <f>YEAR(HistoricalStockProgress[[#This Row],[Date]])</f>
        <v>2018</v>
      </c>
      <c r="N407" s="34">
        <f>MONTH(HistoricalStockProgress[[#This Row],[Date]])</f>
        <v>4</v>
      </c>
    </row>
    <row r="408" spans="2:14">
      <c r="B408" s="15">
        <v>43220</v>
      </c>
      <c r="C408" s="34" t="s">
        <v>13</v>
      </c>
      <c r="D408" s="34" t="e" vm="18">
        <f>_xlfn.XLOOKUP(HistoricalStockProgress[[#This Row],[Company Ticker]],CompanyDetailsList[Company Ticker],CompanyDetailsList[Official Name],,0)</f>
        <v>#VALUE!</v>
      </c>
      <c r="E4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4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408" s="17">
        <f>IFERROR(HistoricalStockProgress[[#This Row],[Cost of Shares]]/HistoricalStockProgress[[#This Row],[No. of Shares]],0)</f>
        <v>31.383479678650293</v>
      </c>
      <c r="H408" s="16" vm="949">
        <v>34.7044</v>
      </c>
      <c r="I408" s="16">
        <f>IF(HistoricalStockProgress[[#This Row],[No. of Shares]]&lt;&gt;0,HistoricalStockProgress[[#This Row],[Price of Shares]]*HistoricalStockProgress[[#This Row],[No. of Shares]],0)</f>
        <v>867.61</v>
      </c>
      <c r="J408" s="16">
        <f>IF(HistoricalStockProgress[[#This Row],[No. of Shares]]&lt;&gt;0,HistoricalStockProgress[[#This Row],[Price of Shares]]-HistoricalStockProgress[[#This Row],[Cost of Shares]]/HistoricalStockProgress[[#This Row],[No. of Shares]],0)</f>
        <v>3.3209203213497069</v>
      </c>
      <c r="K408" s="17">
        <f>IF(HistoricalStockProgress[[#This Row],[Total Price of Shares]]&lt;&gt;0,HistoricalStockProgress[[#This Row],[Total Price of Shares]]-HistoricalStockProgress[[#This Row],[Cost of Shares]],0)</f>
        <v>83.023008033742713</v>
      </c>
      <c r="L408" s="34" t="b" cm="1">
        <f t="array" ref="L408">IFERROR(IF(HistoricalStockProgress[[#This Row],[Price of Shares]]="",_xlfn.STOCKHISTORY(HistoricalStockProgress[[#This Row],[Full Company Name]],HistoricalStockProgress[[#This Row],[Date]],,2,0,1)),0)</f>
        <v>0</v>
      </c>
      <c r="M408" s="34">
        <f>YEAR(HistoricalStockProgress[[#This Row],[Date]])</f>
        <v>2018</v>
      </c>
      <c r="N408" s="34">
        <f>MONTH(HistoricalStockProgress[[#This Row],[Date]])</f>
        <v>4</v>
      </c>
    </row>
    <row r="409" spans="2:14">
      <c r="B409" s="15">
        <v>43220</v>
      </c>
      <c r="C409" s="34" t="s">
        <v>20</v>
      </c>
      <c r="D409" s="34" t="e" vm="19">
        <f>_xlfn.XLOOKUP(HistoricalStockProgress[[#This Row],[Company Ticker]],CompanyDetailsList[Company Ticker],CompanyDetailsList[Official Name],,0)</f>
        <v>#VALUE!</v>
      </c>
      <c r="E4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68</v>
      </c>
      <c r="F4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6178.4485711906345</v>
      </c>
      <c r="G409" s="17">
        <f>IFERROR(HistoricalStockProgress[[#This Row],[Cost of Shares]]/HistoricalStockProgress[[#This Row],[No. of Shares]],0)</f>
        <v>90.859537811626979</v>
      </c>
      <c r="H409" s="16" vm="950">
        <v>108.78</v>
      </c>
      <c r="I409" s="16">
        <f>IF(HistoricalStockProgress[[#This Row],[No. of Shares]]&lt;&gt;0,HistoricalStockProgress[[#This Row],[Price of Shares]]*HistoricalStockProgress[[#This Row],[No. of Shares]],0)</f>
        <v>7397.04</v>
      </c>
      <c r="J409" s="16">
        <f>IF(HistoricalStockProgress[[#This Row],[No. of Shares]]&lt;&gt;0,HistoricalStockProgress[[#This Row],[Price of Shares]]-HistoricalStockProgress[[#This Row],[Cost of Shares]]/HistoricalStockProgress[[#This Row],[No. of Shares]],0)</f>
        <v>17.920462188373023</v>
      </c>
      <c r="K409" s="17">
        <f>IF(HistoricalStockProgress[[#This Row],[Total Price of Shares]]&lt;&gt;0,HistoricalStockProgress[[#This Row],[Total Price of Shares]]-HistoricalStockProgress[[#This Row],[Cost of Shares]],0)</f>
        <v>1218.5914288093654</v>
      </c>
      <c r="L409" s="34" t="b" cm="1">
        <f t="array" ref="L409">IFERROR(IF(HistoricalStockProgress[[#This Row],[Price of Shares]]="",_xlfn.STOCKHISTORY(HistoricalStockProgress[[#This Row],[Full Company Name]],HistoricalStockProgress[[#This Row],[Date]],,2,0,1)),0)</f>
        <v>0</v>
      </c>
      <c r="M409" s="34">
        <f>YEAR(HistoricalStockProgress[[#This Row],[Date]])</f>
        <v>2018</v>
      </c>
      <c r="N409" s="34">
        <f>MONTH(HistoricalStockProgress[[#This Row],[Date]])</f>
        <v>4</v>
      </c>
    </row>
    <row r="410" spans="2:14">
      <c r="B410" s="15">
        <v>43220</v>
      </c>
      <c r="C410" s="34" t="s">
        <v>106</v>
      </c>
      <c r="D410" s="34" t="e" vm="20">
        <f>_xlfn.XLOOKUP(HistoricalStockProgress[[#This Row],[Company Ticker]],CompanyDetailsList[Company Ticker],CompanyDetailsList[Official Name],,0)</f>
        <v>#VALUE!</v>
      </c>
      <c r="E4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4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410" s="17">
        <f>IFERROR(HistoricalStockProgress[[#This Row],[Cost of Shares]]/HistoricalStockProgress[[#This Row],[No. of Shares]],0)</f>
        <v>104.71316390485761</v>
      </c>
      <c r="H410" s="16" vm="700">
        <v>105.88</v>
      </c>
      <c r="I410" s="16">
        <f>IF(HistoricalStockProgress[[#This Row],[No. of Shares]]&lt;&gt;0,HistoricalStockProgress[[#This Row],[Price of Shares]]*HistoricalStockProgress[[#This Row],[No. of Shares]],0)</f>
        <v>3705.7999999999997</v>
      </c>
      <c r="J410" s="16">
        <f>IF(HistoricalStockProgress[[#This Row],[No. of Shares]]&lt;&gt;0,HistoricalStockProgress[[#This Row],[Price of Shares]]-HistoricalStockProgress[[#This Row],[Cost of Shares]]/HistoricalStockProgress[[#This Row],[No. of Shares]],0)</f>
        <v>1.1668360951423864</v>
      </c>
      <c r="K410" s="17">
        <f>IF(HistoricalStockProgress[[#This Row],[Total Price of Shares]]&lt;&gt;0,HistoricalStockProgress[[#This Row],[Total Price of Shares]]-HistoricalStockProgress[[#This Row],[Cost of Shares]],0)</f>
        <v>40.839263329983169</v>
      </c>
      <c r="L410" s="34" t="b" cm="1">
        <f t="array" ref="L410">IFERROR(IF(HistoricalStockProgress[[#This Row],[Price of Shares]]="",_xlfn.STOCKHISTORY(HistoricalStockProgress[[#This Row],[Full Company Name]],HistoricalStockProgress[[#This Row],[Date]],,2,0,1)),0)</f>
        <v>0</v>
      </c>
      <c r="M410" s="34">
        <f>YEAR(HistoricalStockProgress[[#This Row],[Date]])</f>
        <v>2018</v>
      </c>
      <c r="N410" s="34">
        <f>MONTH(HistoricalStockProgress[[#This Row],[Date]])</f>
        <v>4</v>
      </c>
    </row>
    <row r="411" spans="2:14">
      <c r="B411" s="15">
        <v>43251</v>
      </c>
      <c r="C411" s="34" t="s">
        <v>12</v>
      </c>
      <c r="D411" s="34" t="e" vm="1">
        <f>_xlfn.XLOOKUP(HistoricalStockProgress[[#This Row],[Company Ticker]],CompanyDetailsList[Company Ticker],CompanyDetailsList[Official Name],,0)</f>
        <v>#VALUE!</v>
      </c>
      <c r="E4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4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411" s="17">
        <f>IFERROR(HistoricalStockProgress[[#This Row],[Cost of Shares]]/HistoricalStockProgress[[#This Row],[No. of Shares]],0)</f>
        <v>57.188485025896703</v>
      </c>
      <c r="H411" s="16" vm="951">
        <v>53.3</v>
      </c>
      <c r="I411" s="16">
        <f>IF(HistoricalStockProgress[[#This Row],[No. of Shares]]&lt;&gt;0,HistoricalStockProgress[[#This Row],[Price of Shares]]*HistoricalStockProgress[[#This Row],[No. of Shares]],0)</f>
        <v>319.79999999999995</v>
      </c>
      <c r="J411" s="16">
        <f>IF(HistoricalStockProgress[[#This Row],[No. of Shares]]&lt;&gt;0,HistoricalStockProgress[[#This Row],[Price of Shares]]-HistoricalStockProgress[[#This Row],[Cost of Shares]]/HistoricalStockProgress[[#This Row],[No. of Shares]],0)</f>
        <v>-3.8884850258967063</v>
      </c>
      <c r="K411" s="17">
        <f>IF(HistoricalStockProgress[[#This Row],[Total Price of Shares]]&lt;&gt;0,HistoricalStockProgress[[#This Row],[Total Price of Shares]]-HistoricalStockProgress[[#This Row],[Cost of Shares]],0)</f>
        <v>-23.330910155380252</v>
      </c>
      <c r="L411" s="34" t="b" cm="1">
        <f t="array" ref="L411">IFERROR(IF(HistoricalStockProgress[[#This Row],[Price of Shares]]="",_xlfn.STOCKHISTORY(HistoricalStockProgress[[#This Row],[Full Company Name]],HistoricalStockProgress[[#This Row],[Date]],,2,0,1)),0)</f>
        <v>0</v>
      </c>
      <c r="M411" s="34">
        <f>YEAR(HistoricalStockProgress[[#This Row],[Date]])</f>
        <v>2018</v>
      </c>
      <c r="N411" s="34">
        <f>MONTH(HistoricalStockProgress[[#This Row],[Date]])</f>
        <v>5</v>
      </c>
    </row>
    <row r="412" spans="2:14">
      <c r="B412" s="15">
        <v>43251</v>
      </c>
      <c r="C412" s="34" t="s">
        <v>23</v>
      </c>
      <c r="D412" s="34" t="e" vm="4">
        <f>_xlfn.XLOOKUP(HistoricalStockProgress[[#This Row],[Company Ticker]],CompanyDetailsList[Company Ticker],CompanyDetailsList[Official Name],,0)</f>
        <v>#VALUE!</v>
      </c>
      <c r="E4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27</v>
      </c>
      <c r="F4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1188.3134737973896</v>
      </c>
      <c r="G412" s="17">
        <f>IFERROR(HistoricalStockProgress[[#This Row],[Cost of Shares]]/HistoricalStockProgress[[#This Row],[No. of Shares]],0)</f>
        <v>44.011610140644059</v>
      </c>
      <c r="H412" s="16" vm="952">
        <v>43</v>
      </c>
      <c r="I412" s="16">
        <f>IF(HistoricalStockProgress[[#This Row],[No. of Shares]]&lt;&gt;0,HistoricalStockProgress[[#This Row],[Price of Shares]]*HistoricalStockProgress[[#This Row],[No. of Shares]],0)</f>
        <v>1161</v>
      </c>
      <c r="J412" s="16">
        <f>IF(HistoricalStockProgress[[#This Row],[No. of Shares]]&lt;&gt;0,HistoricalStockProgress[[#This Row],[Price of Shares]]-HistoricalStockProgress[[#This Row],[Cost of Shares]]/HistoricalStockProgress[[#This Row],[No. of Shares]],0)</f>
        <v>-1.0116101406440592</v>
      </c>
      <c r="K412" s="17">
        <f>IF(HistoricalStockProgress[[#This Row],[Total Price of Shares]]&lt;&gt;0,HistoricalStockProgress[[#This Row],[Total Price of Shares]]-HistoricalStockProgress[[#This Row],[Cost of Shares]],0)</f>
        <v>-27.313473797389634</v>
      </c>
      <c r="L412" s="34" t="b" cm="1">
        <f t="array" ref="L412">IFERROR(IF(HistoricalStockProgress[[#This Row],[Price of Shares]]="",_xlfn.STOCKHISTORY(HistoricalStockProgress[[#This Row],[Full Company Name]],HistoricalStockProgress[[#This Row],[Date]],,2,0,1)),0)</f>
        <v>0</v>
      </c>
      <c r="M412" s="34">
        <f>YEAR(HistoricalStockProgress[[#This Row],[Date]])</f>
        <v>2018</v>
      </c>
      <c r="N412" s="34">
        <f>MONTH(HistoricalStockProgress[[#This Row],[Date]])</f>
        <v>5</v>
      </c>
    </row>
    <row r="413" spans="2:14">
      <c r="B413" s="15">
        <v>43251</v>
      </c>
      <c r="C413" s="34" t="s">
        <v>84</v>
      </c>
      <c r="D413" s="34" t="e" vm="7">
        <f>_xlfn.XLOOKUP(HistoricalStockProgress[[#This Row],[Company Ticker]],CompanyDetailsList[Company Ticker],CompanyDetailsList[Official Name],,0)</f>
        <v>#VALUE!</v>
      </c>
      <c r="E4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4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413" s="17">
        <f>IFERROR(HistoricalStockProgress[[#This Row],[Cost of Shares]]/HistoricalStockProgress[[#This Row],[No. of Shares]],0)</f>
        <v>104.18087504950869</v>
      </c>
      <c r="H413" s="16" vm="953">
        <v>119.62</v>
      </c>
      <c r="I413" s="16">
        <f>IF(HistoricalStockProgress[[#This Row],[No. of Shares]]&lt;&gt;0,HistoricalStockProgress[[#This Row],[Price of Shares]]*HistoricalStockProgress[[#This Row],[No. of Shares]],0)</f>
        <v>6100.62</v>
      </c>
      <c r="J413" s="16">
        <f>IF(HistoricalStockProgress[[#This Row],[No. of Shares]]&lt;&gt;0,HistoricalStockProgress[[#This Row],[Price of Shares]]-HistoricalStockProgress[[#This Row],[Cost of Shares]]/HistoricalStockProgress[[#This Row],[No. of Shares]],0)</f>
        <v>15.439124950491319</v>
      </c>
      <c r="K413" s="17">
        <f>IF(HistoricalStockProgress[[#This Row],[Total Price of Shares]]&lt;&gt;0,HistoricalStockProgress[[#This Row],[Total Price of Shares]]-HistoricalStockProgress[[#This Row],[Cost of Shares]],0)</f>
        <v>787.39537247505723</v>
      </c>
      <c r="L413" s="34" t="b" cm="1">
        <f t="array" ref="L413">IFERROR(IF(HistoricalStockProgress[[#This Row],[Price of Shares]]="",_xlfn.STOCKHISTORY(HistoricalStockProgress[[#This Row],[Full Company Name]],HistoricalStockProgress[[#This Row],[Date]],,2,0,1)),0)</f>
        <v>0</v>
      </c>
      <c r="M413" s="34">
        <f>YEAR(HistoricalStockProgress[[#This Row],[Date]])</f>
        <v>2018</v>
      </c>
      <c r="N413" s="34">
        <f>MONTH(HistoricalStockProgress[[#This Row],[Date]])</f>
        <v>5</v>
      </c>
    </row>
    <row r="414" spans="2:14">
      <c r="B414" s="15">
        <v>43251</v>
      </c>
      <c r="C414" s="34" t="s">
        <v>86</v>
      </c>
      <c r="D414" s="34" t="e" vm="8">
        <f>_xlfn.XLOOKUP(HistoricalStockProgress[[#This Row],[Company Ticker]],CompanyDetailsList[Company Ticker],CompanyDetailsList[Official Name],,0)</f>
        <v>#VALUE!</v>
      </c>
      <c r="E4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4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414" s="17">
        <f>IFERROR(HistoricalStockProgress[[#This Row],[Cost of Shares]]/HistoricalStockProgress[[#This Row],[No. of Shares]],0)</f>
        <v>85.876031764920896</v>
      </c>
      <c r="H414" s="16" vm="954">
        <v>98.94</v>
      </c>
      <c r="I414" s="16">
        <f>IF(HistoricalStockProgress[[#This Row],[No. of Shares]]&lt;&gt;0,HistoricalStockProgress[[#This Row],[Price of Shares]]*HistoricalStockProgress[[#This Row],[No. of Shares]],0)</f>
        <v>5243.82</v>
      </c>
      <c r="J414" s="16">
        <f>IF(HistoricalStockProgress[[#This Row],[No. of Shares]]&lt;&gt;0,HistoricalStockProgress[[#This Row],[Price of Shares]]-HistoricalStockProgress[[#This Row],[Cost of Shares]]/HistoricalStockProgress[[#This Row],[No. of Shares]],0)</f>
        <v>13.063968235079102</v>
      </c>
      <c r="K414" s="17">
        <f>IF(HistoricalStockProgress[[#This Row],[Total Price of Shares]]&lt;&gt;0,HistoricalStockProgress[[#This Row],[Total Price of Shares]]-HistoricalStockProgress[[#This Row],[Cost of Shares]],0)</f>
        <v>692.39031645919204</v>
      </c>
      <c r="L414" s="34" t="b" cm="1">
        <f t="array" ref="L414">IFERROR(IF(HistoricalStockProgress[[#This Row],[Price of Shares]]="",_xlfn.STOCKHISTORY(HistoricalStockProgress[[#This Row],[Full Company Name]],HistoricalStockProgress[[#This Row],[Date]],,2,0,1)),0)</f>
        <v>0</v>
      </c>
      <c r="M414" s="34">
        <f>YEAR(HistoricalStockProgress[[#This Row],[Date]])</f>
        <v>2018</v>
      </c>
      <c r="N414" s="34">
        <f>MONTH(HistoricalStockProgress[[#This Row],[Date]])</f>
        <v>5</v>
      </c>
    </row>
    <row r="415" spans="2:14">
      <c r="B415" s="15">
        <v>43251</v>
      </c>
      <c r="C415" s="34" t="s">
        <v>22</v>
      </c>
      <c r="D415" s="34" t="e" vm="10">
        <f>_xlfn.XLOOKUP(HistoricalStockProgress[[#This Row],[Company Ticker]],CompanyDetailsList[Company Ticker],CompanyDetailsList[Official Name],,0)</f>
        <v>#VALUE!</v>
      </c>
      <c r="E4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4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415" s="17">
        <f>IFERROR(HistoricalStockProgress[[#This Row],[Cost of Shares]]/HistoricalStockProgress[[#This Row],[No. of Shares]],0)</f>
        <v>83.61275075159574</v>
      </c>
      <c r="H415" s="16" vm="955">
        <v>151.91</v>
      </c>
      <c r="I415" s="16">
        <f>IF(HistoricalStockProgress[[#This Row],[No. of Shares]]&lt;&gt;0,HistoricalStockProgress[[#This Row],[Price of Shares]]*HistoricalStockProgress[[#This Row],[No. of Shares]],0)</f>
        <v>9266.51</v>
      </c>
      <c r="J415" s="16">
        <f>IF(HistoricalStockProgress[[#This Row],[No. of Shares]]&lt;&gt;0,HistoricalStockProgress[[#This Row],[Price of Shares]]-HistoricalStockProgress[[#This Row],[Cost of Shares]]/HistoricalStockProgress[[#This Row],[No. of Shares]],0)</f>
        <v>68.297249248404256</v>
      </c>
      <c r="K415" s="17">
        <f>IF(HistoricalStockProgress[[#This Row],[Total Price of Shares]]&lt;&gt;0,HistoricalStockProgress[[#This Row],[Total Price of Shares]]-HistoricalStockProgress[[#This Row],[Cost of Shares]],0)</f>
        <v>4166.1322041526601</v>
      </c>
      <c r="L415" s="34" t="b" cm="1">
        <f t="array" ref="L415">IFERROR(IF(HistoricalStockProgress[[#This Row],[Price of Shares]]="",_xlfn.STOCKHISTORY(HistoricalStockProgress[[#This Row],[Full Company Name]],HistoricalStockProgress[[#This Row],[Date]],,2,0,1)),0)</f>
        <v>0</v>
      </c>
      <c r="M415" s="34">
        <f>YEAR(HistoricalStockProgress[[#This Row],[Date]])</f>
        <v>2018</v>
      </c>
      <c r="N415" s="34">
        <f>MONTH(HistoricalStockProgress[[#This Row],[Date]])</f>
        <v>5</v>
      </c>
    </row>
    <row r="416" spans="2:14">
      <c r="B416" s="15">
        <v>43251</v>
      </c>
      <c r="C416" s="34" t="s">
        <v>91</v>
      </c>
      <c r="D416" s="34" t="e" vm="11">
        <f>_xlfn.XLOOKUP(HistoricalStockProgress[[#This Row],[Company Ticker]],CompanyDetailsList[Company Ticker],CompanyDetailsList[Official Name],,0)</f>
        <v>#VALUE!</v>
      </c>
      <c r="E4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4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4641.1780084974125</v>
      </c>
      <c r="G416" s="17">
        <f>IFERROR(HistoricalStockProgress[[#This Row],[Cost of Shares]]/HistoricalStockProgress[[#This Row],[No. of Shares]],0)</f>
        <v>58.749088715157121</v>
      </c>
      <c r="H416" s="16" vm="956">
        <v>98.84</v>
      </c>
      <c r="I416" s="16">
        <f>IF(HistoricalStockProgress[[#This Row],[No. of Shares]]&lt;&gt;0,HistoricalStockProgress[[#This Row],[Price of Shares]]*HistoricalStockProgress[[#This Row],[No. of Shares]],0)</f>
        <v>7808.3600000000006</v>
      </c>
      <c r="J416" s="16">
        <f>IF(HistoricalStockProgress[[#This Row],[No. of Shares]]&lt;&gt;0,HistoricalStockProgress[[#This Row],[Price of Shares]]-HistoricalStockProgress[[#This Row],[Cost of Shares]]/HistoricalStockProgress[[#This Row],[No. of Shares]],0)</f>
        <v>40.090911284842882</v>
      </c>
      <c r="K416" s="17">
        <f>IF(HistoricalStockProgress[[#This Row],[Total Price of Shares]]&lt;&gt;0,HistoricalStockProgress[[#This Row],[Total Price of Shares]]-HistoricalStockProgress[[#This Row],[Cost of Shares]],0)</f>
        <v>3167.1819915025881</v>
      </c>
      <c r="L416" s="34" t="b" cm="1">
        <f t="array" ref="L416">IFERROR(IF(HistoricalStockProgress[[#This Row],[Price of Shares]]="",_xlfn.STOCKHISTORY(HistoricalStockProgress[[#This Row],[Full Company Name]],HistoricalStockProgress[[#This Row],[Date]],,2,0,1)),0)</f>
        <v>0</v>
      </c>
      <c r="M416" s="34">
        <f>YEAR(HistoricalStockProgress[[#This Row],[Date]])</f>
        <v>2018</v>
      </c>
      <c r="N416" s="34">
        <f>MONTH(HistoricalStockProgress[[#This Row],[Date]])</f>
        <v>5</v>
      </c>
    </row>
    <row r="417" spans="2:14">
      <c r="B417" s="15">
        <v>43251</v>
      </c>
      <c r="C417" s="34" t="s">
        <v>16</v>
      </c>
      <c r="D417" s="34" t="e" vm="12">
        <f>_xlfn.XLOOKUP(HistoricalStockProgress[[#This Row],[Company Ticker]],CompanyDetailsList[Company Ticker],CompanyDetailsList[Official Name],,0)</f>
        <v>#VALUE!</v>
      </c>
      <c r="E4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135</v>
      </c>
      <c r="F4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11213.293866466378</v>
      </c>
      <c r="G417" s="17">
        <f>IFERROR(HistoricalStockProgress[[#This Row],[Cost of Shares]]/HistoricalStockProgress[[#This Row],[No. of Shares]],0)</f>
        <v>83.061436047899093</v>
      </c>
      <c r="H417" s="16" vm="957">
        <v>81.239999999999995</v>
      </c>
      <c r="I417" s="16">
        <f>IF(HistoricalStockProgress[[#This Row],[No. of Shares]]&lt;&gt;0,HistoricalStockProgress[[#This Row],[Price of Shares]]*HistoricalStockProgress[[#This Row],[No. of Shares]],0)</f>
        <v>10967.4</v>
      </c>
      <c r="J417" s="16">
        <f>IF(HistoricalStockProgress[[#This Row],[No. of Shares]]&lt;&gt;0,HistoricalStockProgress[[#This Row],[Price of Shares]]-HistoricalStockProgress[[#This Row],[Cost of Shares]]/HistoricalStockProgress[[#This Row],[No. of Shares]],0)</f>
        <v>-1.8214360478990983</v>
      </c>
      <c r="K417" s="17">
        <f>IF(HistoricalStockProgress[[#This Row],[Total Price of Shares]]&lt;&gt;0,HistoricalStockProgress[[#This Row],[Total Price of Shares]]-HistoricalStockProgress[[#This Row],[Cost of Shares]],0)</f>
        <v>-245.89386646637831</v>
      </c>
      <c r="L417" s="34" t="b" cm="1">
        <f t="array" ref="L417">IFERROR(IF(HistoricalStockProgress[[#This Row],[Price of Shares]]="",_xlfn.STOCKHISTORY(HistoricalStockProgress[[#This Row],[Full Company Name]],HistoricalStockProgress[[#This Row],[Date]],,2,0,1)),0)</f>
        <v>0</v>
      </c>
      <c r="M417" s="34">
        <f>YEAR(HistoricalStockProgress[[#This Row],[Date]])</f>
        <v>2018</v>
      </c>
      <c r="N417" s="34">
        <f>MONTH(HistoricalStockProgress[[#This Row],[Date]])</f>
        <v>5</v>
      </c>
    </row>
    <row r="418" spans="2:14">
      <c r="B418" s="15">
        <v>43251</v>
      </c>
      <c r="C418" s="34" t="s">
        <v>95</v>
      </c>
      <c r="D418" s="34" t="e" vm="13">
        <f>_xlfn.XLOOKUP(HistoricalStockProgress[[#This Row],[Company Ticker]],CompanyDetailsList[Company Ticker],CompanyDetailsList[Official Name],,0)</f>
        <v>#VALUE!</v>
      </c>
      <c r="E4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4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418" s="17">
        <f>IFERROR(HistoricalStockProgress[[#This Row],[Cost of Shares]]/HistoricalStockProgress[[#This Row],[No. of Shares]],0)</f>
        <v>143.29758396474452</v>
      </c>
      <c r="H418" s="16" vm="958">
        <v>186.55</v>
      </c>
      <c r="I418" s="16">
        <f>IF(HistoricalStockProgress[[#This Row],[No. of Shares]]&lt;&gt;0,HistoricalStockProgress[[#This Row],[Price of Shares]]*HistoricalStockProgress[[#This Row],[No. of Shares]],0)</f>
        <v>8021.6500000000005</v>
      </c>
      <c r="J418" s="16">
        <f>IF(HistoricalStockProgress[[#This Row],[No. of Shares]]&lt;&gt;0,HistoricalStockProgress[[#This Row],[Price of Shares]]-HistoricalStockProgress[[#This Row],[Cost of Shares]]/HistoricalStockProgress[[#This Row],[No. of Shares]],0)</f>
        <v>43.252416035255493</v>
      </c>
      <c r="K418" s="17">
        <f>IF(HistoricalStockProgress[[#This Row],[Total Price of Shares]]&lt;&gt;0,HistoricalStockProgress[[#This Row],[Total Price of Shares]]-HistoricalStockProgress[[#This Row],[Cost of Shares]],0)</f>
        <v>1859.8538895159863</v>
      </c>
      <c r="L418" s="34" t="b" cm="1">
        <f t="array" ref="L418">IFERROR(IF(HistoricalStockProgress[[#This Row],[Price of Shares]]="",_xlfn.STOCKHISTORY(HistoricalStockProgress[[#This Row],[Full Company Name]],HistoricalStockProgress[[#This Row],[Date]],,2,0,1)),0)</f>
        <v>0</v>
      </c>
      <c r="M418" s="34">
        <f>YEAR(HistoricalStockProgress[[#This Row],[Date]])</f>
        <v>2018</v>
      </c>
      <c r="N418" s="34">
        <f>MONTH(HistoricalStockProgress[[#This Row],[Date]])</f>
        <v>5</v>
      </c>
    </row>
    <row r="419" spans="2:14">
      <c r="B419" s="15">
        <v>43251</v>
      </c>
      <c r="C419" s="34" t="s">
        <v>17</v>
      </c>
      <c r="D419" s="34" t="e" vm="14">
        <f>_xlfn.XLOOKUP(HistoricalStockProgress[[#This Row],[Company Ticker]],CompanyDetailsList[Company Ticker],CompanyDetailsList[Official Name],,0)</f>
        <v>#VALUE!</v>
      </c>
      <c r="E4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47</v>
      </c>
      <c r="F4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7141.1967301481627</v>
      </c>
      <c r="G419" s="17">
        <f>IFERROR(HistoricalStockProgress[[#This Row],[Cost of Shares]]/HistoricalStockProgress[[#This Row],[No. of Shares]],0)</f>
        <v>151.94035596059922</v>
      </c>
      <c r="H419" s="16" vm="959">
        <v>141.31</v>
      </c>
      <c r="I419" s="16">
        <f>IF(HistoricalStockProgress[[#This Row],[No. of Shares]]&lt;&gt;0,HistoricalStockProgress[[#This Row],[Price of Shares]]*HistoricalStockProgress[[#This Row],[No. of Shares]],0)</f>
        <v>6641.57</v>
      </c>
      <c r="J419" s="16">
        <f>IF(HistoricalStockProgress[[#This Row],[No. of Shares]]&lt;&gt;0,HistoricalStockProgress[[#This Row],[Price of Shares]]-HistoricalStockProgress[[#This Row],[Cost of Shares]]/HistoricalStockProgress[[#This Row],[No. of Shares]],0)</f>
        <v>-10.630355960599218</v>
      </c>
      <c r="K419" s="17">
        <f>IF(HistoricalStockProgress[[#This Row],[Total Price of Shares]]&lt;&gt;0,HistoricalStockProgress[[#This Row],[Total Price of Shares]]-HistoricalStockProgress[[#This Row],[Cost of Shares]],0)</f>
        <v>-499.62673014816301</v>
      </c>
      <c r="L419" s="34" t="b" cm="1">
        <f t="array" ref="L419">IFERROR(IF(HistoricalStockProgress[[#This Row],[Price of Shares]]="",_xlfn.STOCKHISTORY(HistoricalStockProgress[[#This Row],[Full Company Name]],HistoricalStockProgress[[#This Row],[Date]],,2,0,1)),0)</f>
        <v>0</v>
      </c>
      <c r="M419" s="34">
        <f>YEAR(HistoricalStockProgress[[#This Row],[Date]])</f>
        <v>2018</v>
      </c>
      <c r="N419" s="34">
        <f>MONTH(HistoricalStockProgress[[#This Row],[Date]])</f>
        <v>5</v>
      </c>
    </row>
    <row r="420" spans="2:14">
      <c r="B420" s="15">
        <v>43251</v>
      </c>
      <c r="C420" s="34" t="s">
        <v>98</v>
      </c>
      <c r="D420" s="34" t="e" vm="15">
        <f>_xlfn.XLOOKUP(HistoricalStockProgress[[#This Row],[Company Ticker]],CompanyDetailsList[Company Ticker],CompanyDetailsList[Official Name],,0)</f>
        <v>#VALUE!</v>
      </c>
      <c r="E4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4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1941.9842250911215</v>
      </c>
      <c r="G420" s="17">
        <f>IFERROR(HistoricalStockProgress[[#This Row],[Cost of Shares]]/HistoricalStockProgress[[#This Row],[No. of Shares]],0)</f>
        <v>38.078122060610227</v>
      </c>
      <c r="H420" s="16" vm="960">
        <v>41.452500000000001</v>
      </c>
      <c r="I420" s="16">
        <f>IF(HistoricalStockProgress[[#This Row],[No. of Shares]]&lt;&gt;0,HistoricalStockProgress[[#This Row],[Price of Shares]]*HistoricalStockProgress[[#This Row],[No. of Shares]],0)</f>
        <v>2114.0774999999999</v>
      </c>
      <c r="J420" s="16">
        <f>IF(HistoricalStockProgress[[#This Row],[No. of Shares]]&lt;&gt;0,HistoricalStockProgress[[#This Row],[Price of Shares]]-HistoricalStockProgress[[#This Row],[Cost of Shares]]/HistoricalStockProgress[[#This Row],[No. of Shares]],0)</f>
        <v>3.3743779393897739</v>
      </c>
      <c r="K420" s="17">
        <f>IF(HistoricalStockProgress[[#This Row],[Total Price of Shares]]&lt;&gt;0,HistoricalStockProgress[[#This Row],[Total Price of Shares]]-HistoricalStockProgress[[#This Row],[Cost of Shares]],0)</f>
        <v>172.09327490887836</v>
      </c>
      <c r="L420" s="34" t="b" cm="1">
        <f t="array" ref="L420">IFERROR(IF(HistoricalStockProgress[[#This Row],[Price of Shares]]="",_xlfn.STOCKHISTORY(HistoricalStockProgress[[#This Row],[Full Company Name]],HistoricalStockProgress[[#This Row],[Date]],,2,0,1)),0)</f>
        <v>0</v>
      </c>
      <c r="M420" s="34">
        <f>YEAR(HistoricalStockProgress[[#This Row],[Date]])</f>
        <v>2018</v>
      </c>
      <c r="N420" s="34">
        <f>MONTH(HistoricalStockProgress[[#This Row],[Date]])</f>
        <v>5</v>
      </c>
    </row>
    <row r="421" spans="2:14">
      <c r="B421" s="15">
        <v>43251</v>
      </c>
      <c r="C421" s="34" t="s">
        <v>100</v>
      </c>
      <c r="D421" s="34" t="e" vm="16">
        <f>_xlfn.XLOOKUP(HistoricalStockProgress[[#This Row],[Company Ticker]],CompanyDetailsList[Company Ticker],CompanyDetailsList[Official Name],,0)</f>
        <v>#VALUE!</v>
      </c>
      <c r="E4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4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421" s="17">
        <f>IFERROR(HistoricalStockProgress[[#This Row],[Cost of Shares]]/HistoricalStockProgress[[#This Row],[No. of Shares]],0)</f>
        <v>84.509035134678101</v>
      </c>
      <c r="H421" s="16" vm="961">
        <v>77.16</v>
      </c>
      <c r="I421" s="16">
        <f>IF(HistoricalStockProgress[[#This Row],[No. of Shares]]&lt;&gt;0,HistoricalStockProgress[[#This Row],[Price of Shares]]*HistoricalStockProgress[[#This Row],[No. of Shares]],0)</f>
        <v>2546.2799999999997</v>
      </c>
      <c r="J421" s="16">
        <f>IF(HistoricalStockProgress[[#This Row],[No. of Shares]]&lt;&gt;0,HistoricalStockProgress[[#This Row],[Price of Shares]]-HistoricalStockProgress[[#This Row],[Cost of Shares]]/HistoricalStockProgress[[#This Row],[No. of Shares]],0)</f>
        <v>-7.349035134678104</v>
      </c>
      <c r="K421" s="17">
        <f>IF(HistoricalStockProgress[[#This Row],[Total Price of Shares]]&lt;&gt;0,HistoricalStockProgress[[#This Row],[Total Price of Shares]]-HistoricalStockProgress[[#This Row],[Cost of Shares]],0)</f>
        <v>-242.51815944437749</v>
      </c>
      <c r="L421" s="34" t="b" cm="1">
        <f t="array" ref="L421">IFERROR(IF(HistoricalStockProgress[[#This Row],[Price of Shares]]="",_xlfn.STOCKHISTORY(HistoricalStockProgress[[#This Row],[Full Company Name]],HistoricalStockProgress[[#This Row],[Date]],,2,0,1)),0)</f>
        <v>0</v>
      </c>
      <c r="M421" s="34">
        <f>YEAR(HistoricalStockProgress[[#This Row],[Date]])</f>
        <v>2018</v>
      </c>
      <c r="N421" s="34">
        <f>MONTH(HistoricalStockProgress[[#This Row],[Date]])</f>
        <v>5</v>
      </c>
    </row>
    <row r="422" spans="2:14">
      <c r="B422" s="15">
        <v>43251</v>
      </c>
      <c r="C422" s="34" t="s">
        <v>15</v>
      </c>
      <c r="D422" s="34" t="e" vm="17">
        <f>_xlfn.XLOOKUP(HistoricalStockProgress[[#This Row],[Company Ticker]],CompanyDetailsList[Company Ticker],CompanyDetailsList[Official Name],,0)</f>
        <v>#VALUE!</v>
      </c>
      <c r="E4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4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422" s="17">
        <f>IFERROR(HistoricalStockProgress[[#This Row],[Cost of Shares]]/HistoricalStockProgress[[#This Row],[No. of Shares]],0)</f>
        <v>26.481400454992627</v>
      </c>
      <c r="H422" s="16" vm="962">
        <v>24.407399999999999</v>
      </c>
      <c r="I422" s="16">
        <f>IF(HistoricalStockProgress[[#This Row],[No. of Shares]]&lt;&gt;0,HistoricalStockProgress[[#This Row],[Price of Shares]]*HistoricalStockProgress[[#This Row],[No. of Shares]],0)</f>
        <v>2343.1104</v>
      </c>
      <c r="J422" s="16">
        <f>IF(HistoricalStockProgress[[#This Row],[No. of Shares]]&lt;&gt;0,HistoricalStockProgress[[#This Row],[Price of Shares]]-HistoricalStockProgress[[#This Row],[Cost of Shares]]/HistoricalStockProgress[[#This Row],[No. of Shares]],0)</f>
        <v>-2.0740004549926283</v>
      </c>
      <c r="K422" s="17">
        <f>IF(HistoricalStockProgress[[#This Row],[Total Price of Shares]]&lt;&gt;0,HistoricalStockProgress[[#This Row],[Total Price of Shares]]-HistoricalStockProgress[[#This Row],[Cost of Shares]],0)</f>
        <v>-199.10404367929232</v>
      </c>
      <c r="L422" s="34" t="b" cm="1">
        <f t="array" ref="L422">IFERROR(IF(HistoricalStockProgress[[#This Row],[Price of Shares]]="",_xlfn.STOCKHISTORY(HistoricalStockProgress[[#This Row],[Full Company Name]],HistoricalStockProgress[[#This Row],[Date]],,2,0,1)),0)</f>
        <v>0</v>
      </c>
      <c r="M422" s="34">
        <f>YEAR(HistoricalStockProgress[[#This Row],[Date]])</f>
        <v>2018</v>
      </c>
      <c r="N422" s="34">
        <f>MONTH(HistoricalStockProgress[[#This Row],[Date]])</f>
        <v>5</v>
      </c>
    </row>
    <row r="423" spans="2:14">
      <c r="B423" s="15">
        <v>43251</v>
      </c>
      <c r="C423" s="34" t="s">
        <v>13</v>
      </c>
      <c r="D423" s="34" t="e" vm="18">
        <f>_xlfn.XLOOKUP(HistoricalStockProgress[[#This Row],[Company Ticker]],CompanyDetailsList[Company Ticker],CompanyDetailsList[Official Name],,0)</f>
        <v>#VALUE!</v>
      </c>
      <c r="E4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4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423" s="17">
        <f>IFERROR(HistoricalStockProgress[[#This Row],[Cost of Shares]]/HistoricalStockProgress[[#This Row],[No. of Shares]],0)</f>
        <v>31.383479678650293</v>
      </c>
      <c r="H423" s="16" vm="963">
        <v>34.059800000000003</v>
      </c>
      <c r="I423" s="16">
        <f>IF(HistoricalStockProgress[[#This Row],[No. of Shares]]&lt;&gt;0,HistoricalStockProgress[[#This Row],[Price of Shares]]*HistoricalStockProgress[[#This Row],[No. of Shares]],0)</f>
        <v>851.49500000000012</v>
      </c>
      <c r="J423" s="16">
        <f>IF(HistoricalStockProgress[[#This Row],[No. of Shares]]&lt;&gt;0,HistoricalStockProgress[[#This Row],[Price of Shares]]-HistoricalStockProgress[[#This Row],[Cost of Shares]]/HistoricalStockProgress[[#This Row],[No. of Shares]],0)</f>
        <v>2.67632032134971</v>
      </c>
      <c r="K423" s="17">
        <f>IF(HistoricalStockProgress[[#This Row],[Total Price of Shares]]&lt;&gt;0,HistoricalStockProgress[[#This Row],[Total Price of Shares]]-HistoricalStockProgress[[#This Row],[Cost of Shares]],0)</f>
        <v>66.908008033742817</v>
      </c>
      <c r="L423" s="34" t="b" cm="1">
        <f t="array" ref="L423">IFERROR(IF(HistoricalStockProgress[[#This Row],[Price of Shares]]="",_xlfn.STOCKHISTORY(HistoricalStockProgress[[#This Row],[Full Company Name]],HistoricalStockProgress[[#This Row],[Date]],,2,0,1)),0)</f>
        <v>0</v>
      </c>
      <c r="M423" s="34">
        <f>YEAR(HistoricalStockProgress[[#This Row],[Date]])</f>
        <v>2018</v>
      </c>
      <c r="N423" s="34">
        <f>MONTH(HistoricalStockProgress[[#This Row],[Date]])</f>
        <v>5</v>
      </c>
    </row>
    <row r="424" spans="2:14">
      <c r="B424" s="15">
        <v>43251</v>
      </c>
      <c r="C424" s="34" t="s">
        <v>20</v>
      </c>
      <c r="D424" s="34" t="e" vm="19">
        <f>_xlfn.XLOOKUP(HistoricalStockProgress[[#This Row],[Company Ticker]],CompanyDetailsList[Company Ticker],CompanyDetailsList[Official Name],,0)</f>
        <v>#VALUE!</v>
      </c>
      <c r="E4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68</v>
      </c>
      <c r="F4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6178.4485711906345</v>
      </c>
      <c r="G424" s="17">
        <f>IFERROR(HistoricalStockProgress[[#This Row],[Cost of Shares]]/HistoricalStockProgress[[#This Row],[No. of Shares]],0)</f>
        <v>90.859537811626979</v>
      </c>
      <c r="H424" s="16" vm="964">
        <v>107.01</v>
      </c>
      <c r="I424" s="16">
        <f>IF(HistoricalStockProgress[[#This Row],[No. of Shares]]&lt;&gt;0,HistoricalStockProgress[[#This Row],[Price of Shares]]*HistoricalStockProgress[[#This Row],[No. of Shares]],0)</f>
        <v>7276.68</v>
      </c>
      <c r="J424" s="16">
        <f>IF(HistoricalStockProgress[[#This Row],[No. of Shares]]&lt;&gt;0,HistoricalStockProgress[[#This Row],[Price of Shares]]-HistoricalStockProgress[[#This Row],[Cost of Shares]]/HistoricalStockProgress[[#This Row],[No. of Shares]],0)</f>
        <v>16.150462188373027</v>
      </c>
      <c r="K424" s="17">
        <f>IF(HistoricalStockProgress[[#This Row],[Total Price of Shares]]&lt;&gt;0,HistoricalStockProgress[[#This Row],[Total Price of Shares]]-HistoricalStockProgress[[#This Row],[Cost of Shares]],0)</f>
        <v>1098.2314288093658</v>
      </c>
      <c r="L424" s="34" t="b" cm="1">
        <f t="array" ref="L424">IFERROR(IF(HistoricalStockProgress[[#This Row],[Price of Shares]]="",_xlfn.STOCKHISTORY(HistoricalStockProgress[[#This Row],[Full Company Name]],HistoricalStockProgress[[#This Row],[Date]],,2,0,1)),0)</f>
        <v>0</v>
      </c>
      <c r="M424" s="34">
        <f>YEAR(HistoricalStockProgress[[#This Row],[Date]])</f>
        <v>2018</v>
      </c>
      <c r="N424" s="34">
        <f>MONTH(HistoricalStockProgress[[#This Row],[Date]])</f>
        <v>5</v>
      </c>
    </row>
    <row r="425" spans="2:14">
      <c r="B425" s="15">
        <v>43251</v>
      </c>
      <c r="C425" s="34" t="s">
        <v>106</v>
      </c>
      <c r="D425" s="34" t="e" vm="20">
        <f>_xlfn.XLOOKUP(HistoricalStockProgress[[#This Row],[Company Ticker]],CompanyDetailsList[Company Ticker],CompanyDetailsList[Official Name],,0)</f>
        <v>#VALUE!</v>
      </c>
      <c r="E4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4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425" s="17">
        <f>IFERROR(HistoricalStockProgress[[#This Row],[Cost of Shares]]/HistoricalStockProgress[[#This Row],[No. of Shares]],0)</f>
        <v>104.71316390485761</v>
      </c>
      <c r="H425" s="16" vm="965">
        <v>100.92</v>
      </c>
      <c r="I425" s="16">
        <f>IF(HistoricalStockProgress[[#This Row],[No. of Shares]]&lt;&gt;0,HistoricalStockProgress[[#This Row],[Price of Shares]]*HistoricalStockProgress[[#This Row],[No. of Shares]],0)</f>
        <v>3532.2000000000003</v>
      </c>
      <c r="J425" s="16">
        <f>IF(HistoricalStockProgress[[#This Row],[No. of Shares]]&lt;&gt;0,HistoricalStockProgress[[#This Row],[Price of Shares]]-HistoricalStockProgress[[#This Row],[Cost of Shares]]/HistoricalStockProgress[[#This Row],[No. of Shares]],0)</f>
        <v>-3.7931639048576073</v>
      </c>
      <c r="K425" s="17">
        <f>IF(HistoricalStockProgress[[#This Row],[Total Price of Shares]]&lt;&gt;0,HistoricalStockProgress[[#This Row],[Total Price of Shares]]-HistoricalStockProgress[[#This Row],[Cost of Shares]],0)</f>
        <v>-132.76073667001629</v>
      </c>
      <c r="L425" s="34" t="b" cm="1">
        <f t="array" ref="L425">IFERROR(IF(HistoricalStockProgress[[#This Row],[Price of Shares]]="",_xlfn.STOCKHISTORY(HistoricalStockProgress[[#This Row],[Full Company Name]],HistoricalStockProgress[[#This Row],[Date]],,2,0,1)),0)</f>
        <v>0</v>
      </c>
      <c r="M425" s="34">
        <f>YEAR(HistoricalStockProgress[[#This Row],[Date]])</f>
        <v>2018</v>
      </c>
      <c r="N425" s="34">
        <f>MONTH(HistoricalStockProgress[[#This Row],[Date]])</f>
        <v>5</v>
      </c>
    </row>
    <row r="426" spans="2:14">
      <c r="B426" s="15">
        <v>43281</v>
      </c>
      <c r="C426" s="34" t="s">
        <v>12</v>
      </c>
      <c r="D426" s="34" t="e" vm="1">
        <f>_xlfn.XLOOKUP(HistoricalStockProgress[[#This Row],[Company Ticker]],CompanyDetailsList[Company Ticker],CompanyDetailsList[Official Name],,0)</f>
        <v>#VALUE!</v>
      </c>
      <c r="E4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4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426" s="17">
        <f>IFERROR(HistoricalStockProgress[[#This Row],[Cost of Shares]]/HistoricalStockProgress[[#This Row],[No. of Shares]],0)</f>
        <v>57.188485025896703</v>
      </c>
      <c r="H426" s="16" vm="966">
        <v>53.79</v>
      </c>
      <c r="I426" s="16">
        <f>IF(HistoricalStockProgress[[#This Row],[No. of Shares]]&lt;&gt;0,HistoricalStockProgress[[#This Row],[Price of Shares]]*HistoricalStockProgress[[#This Row],[No. of Shares]],0)</f>
        <v>322.74</v>
      </c>
      <c r="J426" s="16">
        <f>IF(HistoricalStockProgress[[#This Row],[No. of Shares]]&lt;&gt;0,HistoricalStockProgress[[#This Row],[Price of Shares]]-HistoricalStockProgress[[#This Row],[Cost of Shares]]/HistoricalStockProgress[[#This Row],[No. of Shares]],0)</f>
        <v>-3.3984850258967043</v>
      </c>
      <c r="K426" s="17">
        <f>IF(HistoricalStockProgress[[#This Row],[Total Price of Shares]]&lt;&gt;0,HistoricalStockProgress[[#This Row],[Total Price of Shares]]-HistoricalStockProgress[[#This Row],[Cost of Shares]],0)</f>
        <v>-20.390910155380197</v>
      </c>
      <c r="L426" s="34" t="b" cm="1">
        <f t="array" ref="L426">IFERROR(IF(HistoricalStockProgress[[#This Row],[Price of Shares]]="",_xlfn.STOCKHISTORY(HistoricalStockProgress[[#This Row],[Full Company Name]],HistoricalStockProgress[[#This Row],[Date]],,2,0,1)),0)</f>
        <v>0</v>
      </c>
      <c r="M426" s="34">
        <f>YEAR(HistoricalStockProgress[[#This Row],[Date]])</f>
        <v>2018</v>
      </c>
      <c r="N426" s="34">
        <f>MONTH(HistoricalStockProgress[[#This Row],[Date]])</f>
        <v>6</v>
      </c>
    </row>
    <row r="427" spans="2:14">
      <c r="B427" s="15">
        <v>43281</v>
      </c>
      <c r="C427" s="34" t="s">
        <v>23</v>
      </c>
      <c r="D427" s="34" t="e" vm="4">
        <f>_xlfn.XLOOKUP(HistoricalStockProgress[[#This Row],[Company Ticker]],CompanyDetailsList[Company Ticker],CompanyDetailsList[Official Name],,0)</f>
        <v>#VALUE!</v>
      </c>
      <c r="E4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27</v>
      </c>
      <c r="F4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1188.3134737973896</v>
      </c>
      <c r="G427" s="17">
        <f>IFERROR(HistoricalStockProgress[[#This Row],[Cost of Shares]]/HistoricalStockProgress[[#This Row],[No. of Shares]],0)</f>
        <v>44.011610140644059</v>
      </c>
      <c r="H427" s="16" vm="967">
        <v>43.86</v>
      </c>
      <c r="I427" s="16">
        <f>IF(HistoricalStockProgress[[#This Row],[No. of Shares]]&lt;&gt;0,HistoricalStockProgress[[#This Row],[Price of Shares]]*HistoricalStockProgress[[#This Row],[No. of Shares]],0)</f>
        <v>1184.22</v>
      </c>
      <c r="J427" s="16">
        <f>IF(HistoricalStockProgress[[#This Row],[No. of Shares]]&lt;&gt;0,HistoricalStockProgress[[#This Row],[Price of Shares]]-HistoricalStockProgress[[#This Row],[Cost of Shares]]/HistoricalStockProgress[[#This Row],[No. of Shares]],0)</f>
        <v>-0.15161014064405975</v>
      </c>
      <c r="K427" s="17">
        <f>IF(HistoricalStockProgress[[#This Row],[Total Price of Shares]]&lt;&gt;0,HistoricalStockProgress[[#This Row],[Total Price of Shares]]-HistoricalStockProgress[[#This Row],[Cost of Shares]],0)</f>
        <v>-4.0934737973896063</v>
      </c>
      <c r="L427" s="34" t="b" cm="1">
        <f t="array" ref="L427">IFERROR(IF(HistoricalStockProgress[[#This Row],[Price of Shares]]="",_xlfn.STOCKHISTORY(HistoricalStockProgress[[#This Row],[Full Company Name]],HistoricalStockProgress[[#This Row],[Date]],,2,0,1)),0)</f>
        <v>0</v>
      </c>
      <c r="M427" s="34">
        <f>YEAR(HistoricalStockProgress[[#This Row],[Date]])</f>
        <v>2018</v>
      </c>
      <c r="N427" s="34">
        <f>MONTH(HistoricalStockProgress[[#This Row],[Date]])</f>
        <v>6</v>
      </c>
    </row>
    <row r="428" spans="2:14">
      <c r="B428" s="15">
        <v>43281</v>
      </c>
      <c r="C428" s="34" t="s">
        <v>84</v>
      </c>
      <c r="D428" s="34" t="e" vm="7">
        <f>_xlfn.XLOOKUP(HistoricalStockProgress[[#This Row],[Company Ticker]],CompanyDetailsList[Company Ticker],CompanyDetailsList[Official Name],,0)</f>
        <v>#VALUE!</v>
      </c>
      <c r="E4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4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428" s="17">
        <f>IFERROR(HistoricalStockProgress[[#This Row],[Cost of Shares]]/HistoricalStockProgress[[#This Row],[No. of Shares]],0)</f>
        <v>104.18087504950869</v>
      </c>
      <c r="H428" s="16" vm="968">
        <v>121.34</v>
      </c>
      <c r="I428" s="16">
        <f>IF(HistoricalStockProgress[[#This Row],[No. of Shares]]&lt;&gt;0,HistoricalStockProgress[[#This Row],[Price of Shares]]*HistoricalStockProgress[[#This Row],[No. of Shares]],0)</f>
        <v>6188.34</v>
      </c>
      <c r="J428" s="16">
        <f>IF(HistoricalStockProgress[[#This Row],[No. of Shares]]&lt;&gt;0,HistoricalStockProgress[[#This Row],[Price of Shares]]-HistoricalStockProgress[[#This Row],[Cost of Shares]]/HistoricalStockProgress[[#This Row],[No. of Shares]],0)</f>
        <v>17.159124950491318</v>
      </c>
      <c r="K428" s="17">
        <f>IF(HistoricalStockProgress[[#This Row],[Total Price of Shares]]&lt;&gt;0,HistoricalStockProgress[[#This Row],[Total Price of Shares]]-HistoricalStockProgress[[#This Row],[Cost of Shares]],0)</f>
        <v>875.11537247505748</v>
      </c>
      <c r="L428" s="34" t="b" cm="1">
        <f t="array" ref="L428">IFERROR(IF(HistoricalStockProgress[[#This Row],[Price of Shares]]="",_xlfn.STOCKHISTORY(HistoricalStockProgress[[#This Row],[Full Company Name]],HistoricalStockProgress[[#This Row],[Date]],,2,0,1)),0)</f>
        <v>0</v>
      </c>
      <c r="M428" s="34">
        <f>YEAR(HistoricalStockProgress[[#This Row],[Date]])</f>
        <v>2018</v>
      </c>
      <c r="N428" s="34">
        <f>MONTH(HistoricalStockProgress[[#This Row],[Date]])</f>
        <v>6</v>
      </c>
    </row>
    <row r="429" spans="2:14">
      <c r="B429" s="15">
        <v>43281</v>
      </c>
      <c r="C429" s="34" t="s">
        <v>86</v>
      </c>
      <c r="D429" s="34" t="e" vm="8">
        <f>_xlfn.XLOOKUP(HistoricalStockProgress[[#This Row],[Company Ticker]],CompanyDetailsList[Company Ticker],CompanyDetailsList[Official Name],,0)</f>
        <v>#VALUE!</v>
      </c>
      <c r="E4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4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429" s="17">
        <f>IFERROR(HistoricalStockProgress[[#This Row],[Cost of Shares]]/HistoricalStockProgress[[#This Row],[No. of Shares]],0)</f>
        <v>85.876031764920896</v>
      </c>
      <c r="H429" s="16" vm="969">
        <v>92.65</v>
      </c>
      <c r="I429" s="16">
        <f>IF(HistoricalStockProgress[[#This Row],[No. of Shares]]&lt;&gt;0,HistoricalStockProgress[[#This Row],[Price of Shares]]*HistoricalStockProgress[[#This Row],[No. of Shares]],0)</f>
        <v>4910.4500000000007</v>
      </c>
      <c r="J429" s="16">
        <f>IF(HistoricalStockProgress[[#This Row],[No. of Shares]]&lt;&gt;0,HistoricalStockProgress[[#This Row],[Price of Shares]]-HistoricalStockProgress[[#This Row],[Cost of Shares]]/HistoricalStockProgress[[#This Row],[No. of Shares]],0)</f>
        <v>6.7739682350791099</v>
      </c>
      <c r="K429" s="17">
        <f>IF(HistoricalStockProgress[[#This Row],[Total Price of Shares]]&lt;&gt;0,HistoricalStockProgress[[#This Row],[Total Price of Shares]]-HistoricalStockProgress[[#This Row],[Cost of Shares]],0)</f>
        <v>359.02031645919305</v>
      </c>
      <c r="L429" s="34" t="b" cm="1">
        <f t="array" ref="L429">IFERROR(IF(HistoricalStockProgress[[#This Row],[Price of Shares]]="",_xlfn.STOCKHISTORY(HistoricalStockProgress[[#This Row],[Full Company Name]],HistoricalStockProgress[[#This Row],[Date]],,2,0,1)),0)</f>
        <v>0</v>
      </c>
      <c r="M429" s="34">
        <f>YEAR(HistoricalStockProgress[[#This Row],[Date]])</f>
        <v>2018</v>
      </c>
      <c r="N429" s="34">
        <f>MONTH(HistoricalStockProgress[[#This Row],[Date]])</f>
        <v>6</v>
      </c>
    </row>
    <row r="430" spans="2:14">
      <c r="B430" s="15">
        <v>43281</v>
      </c>
      <c r="C430" s="34" t="s">
        <v>22</v>
      </c>
      <c r="D430" s="34" t="e" vm="10">
        <f>_xlfn.XLOOKUP(HistoricalStockProgress[[#This Row],[Company Ticker]],CompanyDetailsList[Company Ticker],CompanyDetailsList[Official Name],,0)</f>
        <v>#VALUE!</v>
      </c>
      <c r="E4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4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430" s="17">
        <f>IFERROR(HistoricalStockProgress[[#This Row],[Cost of Shares]]/HistoricalStockProgress[[#This Row],[No. of Shares]],0)</f>
        <v>83.61275075159574</v>
      </c>
      <c r="H430" s="16" vm="970">
        <v>135.66999999999999</v>
      </c>
      <c r="I430" s="16">
        <f>IF(HistoricalStockProgress[[#This Row],[No. of Shares]]&lt;&gt;0,HistoricalStockProgress[[#This Row],[Price of Shares]]*HistoricalStockProgress[[#This Row],[No. of Shares]],0)</f>
        <v>8275.869999999999</v>
      </c>
      <c r="J430" s="16">
        <f>IF(HistoricalStockProgress[[#This Row],[No. of Shares]]&lt;&gt;0,HistoricalStockProgress[[#This Row],[Price of Shares]]-HistoricalStockProgress[[#This Row],[Cost of Shares]]/HistoricalStockProgress[[#This Row],[No. of Shares]],0)</f>
        <v>52.057249248404247</v>
      </c>
      <c r="K430" s="17">
        <f>IF(HistoricalStockProgress[[#This Row],[Total Price of Shares]]&lt;&gt;0,HistoricalStockProgress[[#This Row],[Total Price of Shares]]-HistoricalStockProgress[[#This Row],[Cost of Shares]],0)</f>
        <v>3175.4922041526588</v>
      </c>
      <c r="L430" s="34" t="b" cm="1">
        <f t="array" ref="L430">IFERROR(IF(HistoricalStockProgress[[#This Row],[Price of Shares]]="",_xlfn.STOCKHISTORY(HistoricalStockProgress[[#This Row],[Full Company Name]],HistoricalStockProgress[[#This Row],[Date]],,2,0,1)),0)</f>
        <v>0</v>
      </c>
      <c r="M430" s="34">
        <f>YEAR(HistoricalStockProgress[[#This Row],[Date]])</f>
        <v>2018</v>
      </c>
      <c r="N430" s="34">
        <f>MONTH(HistoricalStockProgress[[#This Row],[Date]])</f>
        <v>6</v>
      </c>
    </row>
    <row r="431" spans="2:14">
      <c r="B431" s="15">
        <v>43281</v>
      </c>
      <c r="C431" s="34" t="s">
        <v>91</v>
      </c>
      <c r="D431" s="34" t="e" vm="11">
        <f>_xlfn.XLOOKUP(HistoricalStockProgress[[#This Row],[Company Ticker]],CompanyDetailsList[Company Ticker],CompanyDetailsList[Official Name],,0)</f>
        <v>#VALUE!</v>
      </c>
      <c r="E4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4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4641.1780084974125</v>
      </c>
      <c r="G431" s="17">
        <f>IFERROR(HistoricalStockProgress[[#This Row],[Cost of Shares]]/HistoricalStockProgress[[#This Row],[No. of Shares]],0)</f>
        <v>58.749088715157121</v>
      </c>
      <c r="H431" s="16" vm="971">
        <v>98.61</v>
      </c>
      <c r="I431" s="16">
        <f>IF(HistoricalStockProgress[[#This Row],[No. of Shares]]&lt;&gt;0,HistoricalStockProgress[[#This Row],[Price of Shares]]*HistoricalStockProgress[[#This Row],[No. of Shares]],0)</f>
        <v>7790.19</v>
      </c>
      <c r="J431" s="16">
        <f>IF(HistoricalStockProgress[[#This Row],[No. of Shares]]&lt;&gt;0,HistoricalStockProgress[[#This Row],[Price of Shares]]-HistoricalStockProgress[[#This Row],[Cost of Shares]]/HistoricalStockProgress[[#This Row],[No. of Shares]],0)</f>
        <v>39.860911284842878</v>
      </c>
      <c r="K431" s="17">
        <f>IF(HistoricalStockProgress[[#This Row],[Total Price of Shares]]&lt;&gt;0,HistoricalStockProgress[[#This Row],[Total Price of Shares]]-HistoricalStockProgress[[#This Row],[Cost of Shares]],0)</f>
        <v>3149.0119915025871</v>
      </c>
      <c r="L431" s="34" t="b" cm="1">
        <f t="array" ref="L431">IFERROR(IF(HistoricalStockProgress[[#This Row],[Price of Shares]]="",_xlfn.STOCKHISTORY(HistoricalStockProgress[[#This Row],[Full Company Name]],HistoricalStockProgress[[#This Row],[Date]],,2,0,1)),0)</f>
        <v>0</v>
      </c>
      <c r="M431" s="34">
        <f>YEAR(HistoricalStockProgress[[#This Row],[Date]])</f>
        <v>2018</v>
      </c>
      <c r="N431" s="34">
        <f>MONTH(HistoricalStockProgress[[#This Row],[Date]])</f>
        <v>6</v>
      </c>
    </row>
    <row r="432" spans="2:14">
      <c r="B432" s="15">
        <v>43281</v>
      </c>
      <c r="C432" s="34" t="s">
        <v>16</v>
      </c>
      <c r="D432" s="34" t="e" vm="12">
        <f>_xlfn.XLOOKUP(HistoricalStockProgress[[#This Row],[Company Ticker]],CompanyDetailsList[Company Ticker],CompanyDetailsList[Official Name],,0)</f>
        <v>#VALUE!</v>
      </c>
      <c r="E4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4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432" s="17">
        <f>IFERROR(HistoricalStockProgress[[#This Row],[Cost of Shares]]/HistoricalStockProgress[[#This Row],[No. of Shares]],0)</f>
        <v>82.900834685216523</v>
      </c>
      <c r="H432" s="16" vm="972">
        <v>82.73</v>
      </c>
      <c r="I432" s="16">
        <f>IF(HistoricalStockProgress[[#This Row],[No. of Shares]]&lt;&gt;0,HistoricalStockProgress[[#This Row],[Price of Shares]]*HistoricalStockProgress[[#This Row],[No. of Shares]],0)</f>
        <v>11995.85</v>
      </c>
      <c r="J432" s="16">
        <f>IF(HistoricalStockProgress[[#This Row],[No. of Shares]]&lt;&gt;0,HistoricalStockProgress[[#This Row],[Price of Shares]]-HistoricalStockProgress[[#This Row],[Cost of Shares]]/HistoricalStockProgress[[#This Row],[No. of Shares]],0)</f>
        <v>-0.17083468521651923</v>
      </c>
      <c r="K432" s="17">
        <f>IF(HistoricalStockProgress[[#This Row],[Total Price of Shares]]&lt;&gt;0,HistoricalStockProgress[[#This Row],[Total Price of Shares]]-HistoricalStockProgress[[#This Row],[Cost of Shares]],0)</f>
        <v>-24.771029356395957</v>
      </c>
      <c r="L432" s="34" t="b" cm="1">
        <f t="array" ref="L432">IFERROR(IF(HistoricalStockProgress[[#This Row],[Price of Shares]]="",_xlfn.STOCKHISTORY(HistoricalStockProgress[[#This Row],[Full Company Name]],HistoricalStockProgress[[#This Row],[Date]],,2,0,1)),0)</f>
        <v>0</v>
      </c>
      <c r="M432" s="34">
        <f>YEAR(HistoricalStockProgress[[#This Row],[Date]])</f>
        <v>2018</v>
      </c>
      <c r="N432" s="34">
        <f>MONTH(HistoricalStockProgress[[#This Row],[Date]])</f>
        <v>6</v>
      </c>
    </row>
    <row r="433" spans="2:14">
      <c r="B433" s="15">
        <v>43281</v>
      </c>
      <c r="C433" s="34" t="s">
        <v>95</v>
      </c>
      <c r="D433" s="34" t="e" vm="13">
        <f>_xlfn.XLOOKUP(HistoricalStockProgress[[#This Row],[Company Ticker]],CompanyDetailsList[Company Ticker],CompanyDetailsList[Official Name],,0)</f>
        <v>#VALUE!</v>
      </c>
      <c r="E4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4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433" s="17">
        <f>IFERROR(HistoricalStockProgress[[#This Row],[Cost of Shares]]/HistoricalStockProgress[[#This Row],[No. of Shares]],0)</f>
        <v>143.29758396474452</v>
      </c>
      <c r="H433" s="16" vm="973">
        <v>195.1</v>
      </c>
      <c r="I433" s="16">
        <f>IF(HistoricalStockProgress[[#This Row],[No. of Shares]]&lt;&gt;0,HistoricalStockProgress[[#This Row],[Price of Shares]]*HistoricalStockProgress[[#This Row],[No. of Shares]],0)</f>
        <v>8389.2999999999993</v>
      </c>
      <c r="J433" s="16">
        <f>IF(HistoricalStockProgress[[#This Row],[No. of Shares]]&lt;&gt;0,HistoricalStockProgress[[#This Row],[Price of Shares]]-HistoricalStockProgress[[#This Row],[Cost of Shares]]/HistoricalStockProgress[[#This Row],[No. of Shares]],0)</f>
        <v>51.802416035255476</v>
      </c>
      <c r="K433" s="17">
        <f>IF(HistoricalStockProgress[[#This Row],[Total Price of Shares]]&lt;&gt;0,HistoricalStockProgress[[#This Row],[Total Price of Shares]]-HistoricalStockProgress[[#This Row],[Cost of Shares]],0)</f>
        <v>2227.5038895159851</v>
      </c>
      <c r="L433" s="34" t="b" cm="1">
        <f t="array" ref="L433">IFERROR(IF(HistoricalStockProgress[[#This Row],[Price of Shares]]="",_xlfn.STOCKHISTORY(HistoricalStockProgress[[#This Row],[Full Company Name]],HistoricalStockProgress[[#This Row],[Date]],,2,0,1)),0)</f>
        <v>0</v>
      </c>
      <c r="M433" s="34">
        <f>YEAR(HistoricalStockProgress[[#This Row],[Date]])</f>
        <v>2018</v>
      </c>
      <c r="N433" s="34">
        <f>MONTH(HistoricalStockProgress[[#This Row],[Date]])</f>
        <v>6</v>
      </c>
    </row>
    <row r="434" spans="2:14">
      <c r="B434" s="15">
        <v>43281</v>
      </c>
      <c r="C434" s="34" t="s">
        <v>17</v>
      </c>
      <c r="D434" s="34" t="e" vm="14">
        <f>_xlfn.XLOOKUP(HistoricalStockProgress[[#This Row],[Company Ticker]],CompanyDetailsList[Company Ticker],CompanyDetailsList[Official Name],,0)</f>
        <v>#VALUE!</v>
      </c>
      <c r="E4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47</v>
      </c>
      <c r="F4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7141.1967301481627</v>
      </c>
      <c r="G434" s="17">
        <f>IFERROR(HistoricalStockProgress[[#This Row],[Cost of Shares]]/HistoricalStockProgress[[#This Row],[No. of Shares]],0)</f>
        <v>151.94035596059922</v>
      </c>
      <c r="H434" s="16" vm="974">
        <v>139.69999999999999</v>
      </c>
      <c r="I434" s="16">
        <f>IF(HistoricalStockProgress[[#This Row],[No. of Shares]]&lt;&gt;0,HistoricalStockProgress[[#This Row],[Price of Shares]]*HistoricalStockProgress[[#This Row],[No. of Shares]],0)</f>
        <v>6565.9</v>
      </c>
      <c r="J434" s="16">
        <f>IF(HistoricalStockProgress[[#This Row],[No. of Shares]]&lt;&gt;0,HistoricalStockProgress[[#This Row],[Price of Shares]]-HistoricalStockProgress[[#This Row],[Cost of Shares]]/HistoricalStockProgress[[#This Row],[No. of Shares]],0)</f>
        <v>-12.240355960599231</v>
      </c>
      <c r="K434" s="17">
        <f>IF(HistoricalStockProgress[[#This Row],[Total Price of Shares]]&lt;&gt;0,HistoricalStockProgress[[#This Row],[Total Price of Shares]]-HistoricalStockProgress[[#This Row],[Cost of Shares]],0)</f>
        <v>-575.29673014816308</v>
      </c>
      <c r="L434" s="34" t="b" cm="1">
        <f t="array" ref="L434">IFERROR(IF(HistoricalStockProgress[[#This Row],[Price of Shares]]="",_xlfn.STOCKHISTORY(HistoricalStockProgress[[#This Row],[Full Company Name]],HistoricalStockProgress[[#This Row],[Date]],,2,0,1)),0)</f>
        <v>0</v>
      </c>
      <c r="M434" s="34">
        <f>YEAR(HistoricalStockProgress[[#This Row],[Date]])</f>
        <v>2018</v>
      </c>
      <c r="N434" s="34">
        <f>MONTH(HistoricalStockProgress[[#This Row],[Date]])</f>
        <v>6</v>
      </c>
    </row>
    <row r="435" spans="2:14">
      <c r="B435" s="15">
        <v>43281</v>
      </c>
      <c r="C435" s="34" t="s">
        <v>98</v>
      </c>
      <c r="D435" s="34" t="e" vm="15">
        <f>_xlfn.XLOOKUP(HistoricalStockProgress[[#This Row],[Company Ticker]],CompanyDetailsList[Company Ticker],CompanyDetailsList[Official Name],,0)</f>
        <v>#VALUE!</v>
      </c>
      <c r="E4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4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1941.9842250911215</v>
      </c>
      <c r="G435" s="17">
        <f>IFERROR(HistoricalStockProgress[[#This Row],[Cost of Shares]]/HistoricalStockProgress[[#This Row],[No. of Shares]],0)</f>
        <v>38.078122060610227</v>
      </c>
      <c r="H435" s="16" vm="975">
        <v>41.7575</v>
      </c>
      <c r="I435" s="16">
        <f>IF(HistoricalStockProgress[[#This Row],[No. of Shares]]&lt;&gt;0,HistoricalStockProgress[[#This Row],[Price of Shares]]*HistoricalStockProgress[[#This Row],[No. of Shares]],0)</f>
        <v>2129.6325000000002</v>
      </c>
      <c r="J435" s="16">
        <f>IF(HistoricalStockProgress[[#This Row],[No. of Shares]]&lt;&gt;0,HistoricalStockProgress[[#This Row],[Price of Shares]]-HistoricalStockProgress[[#This Row],[Cost of Shares]]/HistoricalStockProgress[[#This Row],[No. of Shares]],0)</f>
        <v>3.6793779393897736</v>
      </c>
      <c r="K435" s="17">
        <f>IF(HistoricalStockProgress[[#This Row],[Total Price of Shares]]&lt;&gt;0,HistoricalStockProgress[[#This Row],[Total Price of Shares]]-HistoricalStockProgress[[#This Row],[Cost of Shares]],0)</f>
        <v>187.64827490887865</v>
      </c>
      <c r="L435" s="34" t="b" cm="1">
        <f t="array" ref="L435">IFERROR(IF(HistoricalStockProgress[[#This Row],[Price of Shares]]="",_xlfn.STOCKHISTORY(HistoricalStockProgress[[#This Row],[Full Company Name]],HistoricalStockProgress[[#This Row],[Date]],,2,0,1)),0)</f>
        <v>0</v>
      </c>
      <c r="M435" s="34">
        <f>YEAR(HistoricalStockProgress[[#This Row],[Date]])</f>
        <v>2018</v>
      </c>
      <c r="N435" s="34">
        <f>MONTH(HistoricalStockProgress[[#This Row],[Date]])</f>
        <v>6</v>
      </c>
    </row>
    <row r="436" spans="2:14">
      <c r="B436" s="15">
        <v>43281</v>
      </c>
      <c r="C436" s="34" t="s">
        <v>100</v>
      </c>
      <c r="D436" s="34" t="e" vm="16">
        <f>_xlfn.XLOOKUP(HistoricalStockProgress[[#This Row],[Company Ticker]],CompanyDetailsList[Company Ticker],CompanyDetailsList[Official Name],,0)</f>
        <v>#VALUE!</v>
      </c>
      <c r="E4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4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436" s="17">
        <f>IFERROR(HistoricalStockProgress[[#This Row],[Cost of Shares]]/HistoricalStockProgress[[#This Row],[No. of Shares]],0)</f>
        <v>84.509035134678101</v>
      </c>
      <c r="H436" s="16" vm="976">
        <v>79.08</v>
      </c>
      <c r="I436" s="16">
        <f>IF(HistoricalStockProgress[[#This Row],[No. of Shares]]&lt;&gt;0,HistoricalStockProgress[[#This Row],[Price of Shares]]*HistoricalStockProgress[[#This Row],[No. of Shares]],0)</f>
        <v>2609.64</v>
      </c>
      <c r="J436" s="16">
        <f>IF(HistoricalStockProgress[[#This Row],[No. of Shares]]&lt;&gt;0,HistoricalStockProgress[[#This Row],[Price of Shares]]-HistoricalStockProgress[[#This Row],[Cost of Shares]]/HistoricalStockProgress[[#This Row],[No. of Shares]],0)</f>
        <v>-5.4290351346781023</v>
      </c>
      <c r="K436" s="17">
        <f>IF(HistoricalStockProgress[[#This Row],[Total Price of Shares]]&lt;&gt;0,HistoricalStockProgress[[#This Row],[Total Price of Shares]]-HistoricalStockProgress[[#This Row],[Cost of Shares]],0)</f>
        <v>-179.15815944437736</v>
      </c>
      <c r="L436" s="34" t="b" cm="1">
        <f t="array" ref="L436">IFERROR(IF(HistoricalStockProgress[[#This Row],[Price of Shares]]="",_xlfn.STOCKHISTORY(HistoricalStockProgress[[#This Row],[Full Company Name]],HistoricalStockProgress[[#This Row],[Date]],,2,0,1)),0)</f>
        <v>0</v>
      </c>
      <c r="M436" s="34">
        <f>YEAR(HistoricalStockProgress[[#This Row],[Date]])</f>
        <v>2018</v>
      </c>
      <c r="N436" s="34">
        <f>MONTH(HistoricalStockProgress[[#This Row],[Date]])</f>
        <v>6</v>
      </c>
    </row>
    <row r="437" spans="2:14">
      <c r="B437" s="15">
        <v>43281</v>
      </c>
      <c r="C437" s="34" t="s">
        <v>15</v>
      </c>
      <c r="D437" s="34" t="e" vm="17">
        <f>_xlfn.XLOOKUP(HistoricalStockProgress[[#This Row],[Company Ticker]],CompanyDetailsList[Company Ticker],CompanyDetailsList[Official Name],,0)</f>
        <v>#VALUE!</v>
      </c>
      <c r="E4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96</v>
      </c>
      <c r="F4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2542.2144436792923</v>
      </c>
      <c r="G437" s="17">
        <f>IFERROR(HistoricalStockProgress[[#This Row],[Cost of Shares]]/HistoricalStockProgress[[#This Row],[No. of Shares]],0)</f>
        <v>26.481400454992627</v>
      </c>
      <c r="H437" s="16" vm="977">
        <v>24.248799999999999</v>
      </c>
      <c r="I437" s="16">
        <f>IF(HistoricalStockProgress[[#This Row],[No. of Shares]]&lt;&gt;0,HistoricalStockProgress[[#This Row],[Price of Shares]]*HistoricalStockProgress[[#This Row],[No. of Shares]],0)</f>
        <v>2327.8847999999998</v>
      </c>
      <c r="J437" s="16">
        <f>IF(HistoricalStockProgress[[#This Row],[No. of Shares]]&lt;&gt;0,HistoricalStockProgress[[#This Row],[Price of Shares]]-HistoricalStockProgress[[#This Row],[Cost of Shares]]/HistoricalStockProgress[[#This Row],[No. of Shares]],0)</f>
        <v>-2.2326004549926282</v>
      </c>
      <c r="K437" s="17">
        <f>IF(HistoricalStockProgress[[#This Row],[Total Price of Shares]]&lt;&gt;0,HistoricalStockProgress[[#This Row],[Total Price of Shares]]-HistoricalStockProgress[[#This Row],[Cost of Shares]],0)</f>
        <v>-214.32964367929253</v>
      </c>
      <c r="L437" s="34" t="b" cm="1">
        <f t="array" ref="L437">IFERROR(IF(HistoricalStockProgress[[#This Row],[Price of Shares]]="",_xlfn.STOCKHISTORY(HistoricalStockProgress[[#This Row],[Full Company Name]],HistoricalStockProgress[[#This Row],[Date]],,2,0,1)),0)</f>
        <v>0</v>
      </c>
      <c r="M437" s="34">
        <f>YEAR(HistoricalStockProgress[[#This Row],[Date]])</f>
        <v>2018</v>
      </c>
      <c r="N437" s="34">
        <f>MONTH(HistoricalStockProgress[[#This Row],[Date]])</f>
        <v>6</v>
      </c>
    </row>
    <row r="438" spans="2:14">
      <c r="B438" s="15">
        <v>43281</v>
      </c>
      <c r="C438" s="34" t="s">
        <v>13</v>
      </c>
      <c r="D438" s="34" t="e" vm="18">
        <f>_xlfn.XLOOKUP(HistoricalStockProgress[[#This Row],[Company Ticker]],CompanyDetailsList[Company Ticker],CompanyDetailsList[Official Name],,0)</f>
        <v>#VALUE!</v>
      </c>
      <c r="E4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4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438" s="17">
        <f>IFERROR(HistoricalStockProgress[[#This Row],[Cost of Shares]]/HistoricalStockProgress[[#This Row],[No. of Shares]],0)</f>
        <v>31.383479678650293</v>
      </c>
      <c r="H438" s="16" vm="978">
        <v>34.391599999999997</v>
      </c>
      <c r="I438" s="16">
        <f>IF(HistoricalStockProgress[[#This Row],[No. of Shares]]&lt;&gt;0,HistoricalStockProgress[[#This Row],[Price of Shares]]*HistoricalStockProgress[[#This Row],[No. of Shares]],0)</f>
        <v>859.79</v>
      </c>
      <c r="J438" s="16">
        <f>IF(HistoricalStockProgress[[#This Row],[No. of Shares]]&lt;&gt;0,HistoricalStockProgress[[#This Row],[Price of Shares]]-HistoricalStockProgress[[#This Row],[Cost of Shares]]/HistoricalStockProgress[[#This Row],[No. of Shares]],0)</f>
        <v>3.0081203213497041</v>
      </c>
      <c r="K438" s="17">
        <f>IF(HistoricalStockProgress[[#This Row],[Total Price of Shares]]&lt;&gt;0,HistoricalStockProgress[[#This Row],[Total Price of Shares]]-HistoricalStockProgress[[#This Row],[Cost of Shares]],0)</f>
        <v>75.203008033742663</v>
      </c>
      <c r="L438" s="34" t="b" cm="1">
        <f t="array" ref="L438">IFERROR(IF(HistoricalStockProgress[[#This Row],[Price of Shares]]="",_xlfn.STOCKHISTORY(HistoricalStockProgress[[#This Row],[Full Company Name]],HistoricalStockProgress[[#This Row],[Date]],,2,0,1)),0)</f>
        <v>0</v>
      </c>
      <c r="M438" s="34">
        <f>YEAR(HistoricalStockProgress[[#This Row],[Date]])</f>
        <v>2018</v>
      </c>
      <c r="N438" s="34">
        <f>MONTH(HistoricalStockProgress[[#This Row],[Date]])</f>
        <v>6</v>
      </c>
    </row>
    <row r="439" spans="2:14">
      <c r="B439" s="15">
        <v>43281</v>
      </c>
      <c r="C439" s="34" t="s">
        <v>20</v>
      </c>
      <c r="D439" s="34" t="e" vm="19">
        <f>_xlfn.XLOOKUP(HistoricalStockProgress[[#This Row],[Company Ticker]],CompanyDetailsList[Company Ticker],CompanyDetailsList[Official Name],,0)</f>
        <v>#VALUE!</v>
      </c>
      <c r="E4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68</v>
      </c>
      <c r="F4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6178.4485711906345</v>
      </c>
      <c r="G439" s="17">
        <f>IFERROR(HistoricalStockProgress[[#This Row],[Cost of Shares]]/HistoricalStockProgress[[#This Row],[No. of Shares]],0)</f>
        <v>90.859537811626979</v>
      </c>
      <c r="H439" s="16" vm="979">
        <v>104.2</v>
      </c>
      <c r="I439" s="16">
        <f>IF(HistoricalStockProgress[[#This Row],[No. of Shares]]&lt;&gt;0,HistoricalStockProgress[[#This Row],[Price of Shares]]*HistoricalStockProgress[[#This Row],[No. of Shares]],0)</f>
        <v>7085.6</v>
      </c>
      <c r="J439" s="16">
        <f>IF(HistoricalStockProgress[[#This Row],[No. of Shares]]&lt;&gt;0,HistoricalStockProgress[[#This Row],[Price of Shares]]-HistoricalStockProgress[[#This Row],[Cost of Shares]]/HistoricalStockProgress[[#This Row],[No. of Shares]],0)</f>
        <v>13.340462188373024</v>
      </c>
      <c r="K439" s="17">
        <f>IF(HistoricalStockProgress[[#This Row],[Total Price of Shares]]&lt;&gt;0,HistoricalStockProgress[[#This Row],[Total Price of Shares]]-HistoricalStockProgress[[#This Row],[Cost of Shares]],0)</f>
        <v>907.15142880936583</v>
      </c>
      <c r="L439" s="34" t="b" cm="1">
        <f t="array" ref="L439">IFERROR(IF(HistoricalStockProgress[[#This Row],[Price of Shares]]="",_xlfn.STOCKHISTORY(HistoricalStockProgress[[#This Row],[Full Company Name]],HistoricalStockProgress[[#This Row],[Date]],,2,0,1)),0)</f>
        <v>0</v>
      </c>
      <c r="M439" s="34">
        <f>YEAR(HistoricalStockProgress[[#This Row],[Date]])</f>
        <v>2018</v>
      </c>
      <c r="N439" s="34">
        <f>MONTH(HistoricalStockProgress[[#This Row],[Date]])</f>
        <v>6</v>
      </c>
    </row>
    <row r="440" spans="2:14">
      <c r="B440" s="15">
        <v>43281</v>
      </c>
      <c r="C440" s="34" t="s">
        <v>106</v>
      </c>
      <c r="D440" s="34" t="e" vm="20">
        <f>_xlfn.XLOOKUP(HistoricalStockProgress[[#This Row],[Company Ticker]],CompanyDetailsList[Company Ticker],CompanyDetailsList[Official Name],,0)</f>
        <v>#VALUE!</v>
      </c>
      <c r="E4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4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440" s="17">
        <f>IFERROR(HistoricalStockProgress[[#This Row],[Cost of Shares]]/HistoricalStockProgress[[#This Row],[No. of Shares]],0)</f>
        <v>104.71316390485761</v>
      </c>
      <c r="H440" s="16" vm="980">
        <v>103.73</v>
      </c>
      <c r="I440" s="16">
        <f>IF(HistoricalStockProgress[[#This Row],[No. of Shares]]&lt;&gt;0,HistoricalStockProgress[[#This Row],[Price of Shares]]*HistoricalStockProgress[[#This Row],[No. of Shares]],0)</f>
        <v>3630.55</v>
      </c>
      <c r="J440" s="16">
        <f>IF(HistoricalStockProgress[[#This Row],[No. of Shares]]&lt;&gt;0,HistoricalStockProgress[[#This Row],[Price of Shares]]-HistoricalStockProgress[[#This Row],[Cost of Shares]]/HistoricalStockProgress[[#This Row],[No. of Shares]],0)</f>
        <v>-0.98316390485760508</v>
      </c>
      <c r="K440" s="17">
        <f>IF(HistoricalStockProgress[[#This Row],[Total Price of Shares]]&lt;&gt;0,HistoricalStockProgress[[#This Row],[Total Price of Shares]]-HistoricalStockProgress[[#This Row],[Cost of Shares]],0)</f>
        <v>-34.410736670016377</v>
      </c>
      <c r="L440" s="34" t="b" cm="1">
        <f t="array" ref="L440">IFERROR(IF(HistoricalStockProgress[[#This Row],[Price of Shares]]="",_xlfn.STOCKHISTORY(HistoricalStockProgress[[#This Row],[Full Company Name]],HistoricalStockProgress[[#This Row],[Date]],,2,0,1)),0)</f>
        <v>0</v>
      </c>
      <c r="M440" s="34">
        <f>YEAR(HistoricalStockProgress[[#This Row],[Date]])</f>
        <v>2018</v>
      </c>
      <c r="N440" s="34">
        <f>MONTH(HistoricalStockProgress[[#This Row],[Date]])</f>
        <v>6</v>
      </c>
    </row>
    <row r="441" spans="2:14">
      <c r="B441" s="15">
        <v>43312</v>
      </c>
      <c r="C441" s="34" t="s">
        <v>12</v>
      </c>
      <c r="D441" s="34" t="e" vm="1">
        <f>_xlfn.XLOOKUP(HistoricalStockProgress[[#This Row],[Company Ticker]],CompanyDetailsList[Company Ticker],CompanyDetailsList[Official Name],,0)</f>
        <v>#VALUE!</v>
      </c>
      <c r="E4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4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441" s="17">
        <f>IFERROR(HistoricalStockProgress[[#This Row],[Cost of Shares]]/HistoricalStockProgress[[#This Row],[No. of Shares]],0)</f>
        <v>57.188485025896703</v>
      </c>
      <c r="H441" s="16" vm="981">
        <v>55.77</v>
      </c>
      <c r="I441" s="16">
        <f>IF(HistoricalStockProgress[[#This Row],[No. of Shares]]&lt;&gt;0,HistoricalStockProgress[[#This Row],[Price of Shares]]*HistoricalStockProgress[[#This Row],[No. of Shares]],0)</f>
        <v>334.62</v>
      </c>
      <c r="J441" s="16">
        <f>IF(HistoricalStockProgress[[#This Row],[No. of Shares]]&lt;&gt;0,HistoricalStockProgress[[#This Row],[Price of Shares]]-HistoricalStockProgress[[#This Row],[Cost of Shares]]/HistoricalStockProgress[[#This Row],[No. of Shares]],0)</f>
        <v>-1.4184850258967003</v>
      </c>
      <c r="K441" s="17">
        <f>IF(HistoricalStockProgress[[#This Row],[Total Price of Shares]]&lt;&gt;0,HistoricalStockProgress[[#This Row],[Total Price of Shares]]-HistoricalStockProgress[[#This Row],[Cost of Shares]],0)</f>
        <v>-8.510910155380202</v>
      </c>
      <c r="L441" s="34" t="b" cm="1">
        <f t="array" ref="L441">IFERROR(IF(HistoricalStockProgress[[#This Row],[Price of Shares]]="",_xlfn.STOCKHISTORY(HistoricalStockProgress[[#This Row],[Full Company Name]],HistoricalStockProgress[[#This Row],[Date]],,2,0,1)),0)</f>
        <v>0</v>
      </c>
      <c r="M441" s="34">
        <f>YEAR(HistoricalStockProgress[[#This Row],[Date]])</f>
        <v>2018</v>
      </c>
      <c r="N441" s="34">
        <f>MONTH(HistoricalStockProgress[[#This Row],[Date]])</f>
        <v>7</v>
      </c>
    </row>
    <row r="442" spans="2:14">
      <c r="B442" s="15">
        <v>43312</v>
      </c>
      <c r="C442" s="34" t="s">
        <v>23</v>
      </c>
      <c r="D442" s="34" t="e" vm="4">
        <f>_xlfn.XLOOKUP(HistoricalStockProgress[[#This Row],[Company Ticker]],CompanyDetailsList[Company Ticker],CompanyDetailsList[Official Name],,0)</f>
        <v>#VALUE!</v>
      </c>
      <c r="E4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27</v>
      </c>
      <c r="F4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1188.3134737973896</v>
      </c>
      <c r="G442" s="17">
        <f>IFERROR(HistoricalStockProgress[[#This Row],[Cost of Shares]]/HistoricalStockProgress[[#This Row],[No. of Shares]],0)</f>
        <v>44.011610140644059</v>
      </c>
      <c r="H442" s="16" vm="982">
        <v>46.63</v>
      </c>
      <c r="I442" s="16">
        <f>IF(HistoricalStockProgress[[#This Row],[No. of Shares]]&lt;&gt;0,HistoricalStockProgress[[#This Row],[Price of Shares]]*HistoricalStockProgress[[#This Row],[No. of Shares]],0)</f>
        <v>1259.01</v>
      </c>
      <c r="J442" s="16">
        <f>IF(HistoricalStockProgress[[#This Row],[No. of Shares]]&lt;&gt;0,HistoricalStockProgress[[#This Row],[Price of Shares]]-HistoricalStockProgress[[#This Row],[Cost of Shares]]/HistoricalStockProgress[[#This Row],[No. of Shares]],0)</f>
        <v>2.6183898593559434</v>
      </c>
      <c r="K442" s="17">
        <f>IF(HistoricalStockProgress[[#This Row],[Total Price of Shares]]&lt;&gt;0,HistoricalStockProgress[[#This Row],[Total Price of Shares]]-HistoricalStockProgress[[#This Row],[Cost of Shares]],0)</f>
        <v>70.696526202610357</v>
      </c>
      <c r="L442" s="34" t="b" cm="1">
        <f t="array" ref="L442">IFERROR(IF(HistoricalStockProgress[[#This Row],[Price of Shares]]="",_xlfn.STOCKHISTORY(HistoricalStockProgress[[#This Row],[Full Company Name]],HistoricalStockProgress[[#This Row],[Date]],,2,0,1)),0)</f>
        <v>0</v>
      </c>
      <c r="M442" s="34">
        <f>YEAR(HistoricalStockProgress[[#This Row],[Date]])</f>
        <v>2018</v>
      </c>
      <c r="N442" s="34">
        <f>MONTH(HistoricalStockProgress[[#This Row],[Date]])</f>
        <v>7</v>
      </c>
    </row>
    <row r="443" spans="2:14">
      <c r="B443" s="15">
        <v>43312</v>
      </c>
      <c r="C443" s="34" t="s">
        <v>84</v>
      </c>
      <c r="D443" s="34" t="e" vm="7">
        <f>_xlfn.XLOOKUP(HistoricalStockProgress[[#This Row],[Company Ticker]],CompanyDetailsList[Company Ticker],CompanyDetailsList[Official Name],,0)</f>
        <v>#VALUE!</v>
      </c>
      <c r="E4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4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443" s="17">
        <f>IFERROR(HistoricalStockProgress[[#This Row],[Cost of Shares]]/HistoricalStockProgress[[#This Row],[No. of Shares]],0)</f>
        <v>104.18087504950869</v>
      </c>
      <c r="H443" s="16" vm="983">
        <v>132.52000000000001</v>
      </c>
      <c r="I443" s="16">
        <f>IF(HistoricalStockProgress[[#This Row],[No. of Shares]]&lt;&gt;0,HistoricalStockProgress[[#This Row],[Price of Shares]]*HistoricalStockProgress[[#This Row],[No. of Shares]],0)</f>
        <v>6758.52</v>
      </c>
      <c r="J443" s="16">
        <f>IF(HistoricalStockProgress[[#This Row],[No. of Shares]]&lt;&gt;0,HistoricalStockProgress[[#This Row],[Price of Shares]]-HistoricalStockProgress[[#This Row],[Cost of Shares]]/HistoricalStockProgress[[#This Row],[No. of Shares]],0)</f>
        <v>28.339124950491325</v>
      </c>
      <c r="K443" s="17">
        <f>IF(HistoricalStockProgress[[#This Row],[Total Price of Shares]]&lt;&gt;0,HistoricalStockProgress[[#This Row],[Total Price of Shares]]-HistoricalStockProgress[[#This Row],[Cost of Shares]],0)</f>
        <v>1445.2953724750578</v>
      </c>
      <c r="L443" s="34" t="b" cm="1">
        <f t="array" ref="L443">IFERROR(IF(HistoricalStockProgress[[#This Row],[Price of Shares]]="",_xlfn.STOCKHISTORY(HistoricalStockProgress[[#This Row],[Full Company Name]],HistoricalStockProgress[[#This Row],[Date]],,2,0,1)),0)</f>
        <v>0</v>
      </c>
      <c r="M443" s="34">
        <f>YEAR(HistoricalStockProgress[[#This Row],[Date]])</f>
        <v>2018</v>
      </c>
      <c r="N443" s="34">
        <f>MONTH(HistoricalStockProgress[[#This Row],[Date]])</f>
        <v>7</v>
      </c>
    </row>
    <row r="444" spans="2:14">
      <c r="B444" s="15">
        <v>43312</v>
      </c>
      <c r="C444" s="34" t="s">
        <v>86</v>
      </c>
      <c r="D444" s="34" t="e" vm="8">
        <f>_xlfn.XLOOKUP(HistoricalStockProgress[[#This Row],[Company Ticker]],CompanyDetailsList[Company Ticker],CompanyDetailsList[Official Name],,0)</f>
        <v>#VALUE!</v>
      </c>
      <c r="E4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4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444" s="17">
        <f>IFERROR(HistoricalStockProgress[[#This Row],[Cost of Shares]]/HistoricalStockProgress[[#This Row],[No. of Shares]],0)</f>
        <v>85.876031764920896</v>
      </c>
      <c r="H444" s="16" vm="984">
        <v>92.23</v>
      </c>
      <c r="I444" s="16">
        <f>IF(HistoricalStockProgress[[#This Row],[No. of Shares]]&lt;&gt;0,HistoricalStockProgress[[#This Row],[Price of Shares]]*HistoricalStockProgress[[#This Row],[No. of Shares]],0)</f>
        <v>4888.1900000000005</v>
      </c>
      <c r="J444" s="16">
        <f>IF(HistoricalStockProgress[[#This Row],[No. of Shares]]&lt;&gt;0,HistoricalStockProgress[[#This Row],[Price of Shares]]-HistoricalStockProgress[[#This Row],[Cost of Shares]]/HistoricalStockProgress[[#This Row],[No. of Shares]],0)</f>
        <v>6.3539682350791082</v>
      </c>
      <c r="K444" s="17">
        <f>IF(HistoricalStockProgress[[#This Row],[Total Price of Shares]]&lt;&gt;0,HistoricalStockProgress[[#This Row],[Total Price of Shares]]-HistoricalStockProgress[[#This Row],[Cost of Shares]],0)</f>
        <v>336.76031645919284</v>
      </c>
      <c r="L444" s="34" t="b" cm="1">
        <f t="array" ref="L444">IFERROR(IF(HistoricalStockProgress[[#This Row],[Price of Shares]]="",_xlfn.STOCKHISTORY(HistoricalStockProgress[[#This Row],[Full Company Name]],HistoricalStockProgress[[#This Row],[Date]],,2,0,1)),0)</f>
        <v>0</v>
      </c>
      <c r="M444" s="34">
        <f>YEAR(HistoricalStockProgress[[#This Row],[Date]])</f>
        <v>2018</v>
      </c>
      <c r="N444" s="34">
        <f>MONTH(HistoricalStockProgress[[#This Row],[Date]])</f>
        <v>7</v>
      </c>
    </row>
    <row r="445" spans="2:14">
      <c r="B445" s="15">
        <v>43312</v>
      </c>
      <c r="C445" s="34" t="s">
        <v>22</v>
      </c>
      <c r="D445" s="34" t="e" vm="10">
        <f>_xlfn.XLOOKUP(HistoricalStockProgress[[#This Row],[Company Ticker]],CompanyDetailsList[Company Ticker],CompanyDetailsList[Official Name],,0)</f>
        <v>#VALUE!</v>
      </c>
      <c r="E4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4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445" s="17">
        <f>IFERROR(HistoricalStockProgress[[#This Row],[Cost of Shares]]/HistoricalStockProgress[[#This Row],[No. of Shares]],0)</f>
        <v>83.61275075159574</v>
      </c>
      <c r="H445" s="16" vm="985">
        <v>143.80000000000001</v>
      </c>
      <c r="I445" s="16">
        <f>IF(HistoricalStockProgress[[#This Row],[No. of Shares]]&lt;&gt;0,HistoricalStockProgress[[#This Row],[Price of Shares]]*HistoricalStockProgress[[#This Row],[No. of Shares]],0)</f>
        <v>8771.8000000000011</v>
      </c>
      <c r="J445" s="16">
        <f>IF(HistoricalStockProgress[[#This Row],[No. of Shares]]&lt;&gt;0,HistoricalStockProgress[[#This Row],[Price of Shares]]-HistoricalStockProgress[[#This Row],[Cost of Shares]]/HistoricalStockProgress[[#This Row],[No. of Shares]],0)</f>
        <v>60.187249248404271</v>
      </c>
      <c r="K445" s="17">
        <f>IF(HistoricalStockProgress[[#This Row],[Total Price of Shares]]&lt;&gt;0,HistoricalStockProgress[[#This Row],[Total Price of Shares]]-HistoricalStockProgress[[#This Row],[Cost of Shares]],0)</f>
        <v>3671.4222041526609</v>
      </c>
      <c r="L445" s="34" t="b" cm="1">
        <f t="array" ref="L445">IFERROR(IF(HistoricalStockProgress[[#This Row],[Price of Shares]]="",_xlfn.STOCKHISTORY(HistoricalStockProgress[[#This Row],[Full Company Name]],HistoricalStockProgress[[#This Row],[Date]],,2,0,1)),0)</f>
        <v>0</v>
      </c>
      <c r="M445" s="34">
        <f>YEAR(HistoricalStockProgress[[#This Row],[Date]])</f>
        <v>2018</v>
      </c>
      <c r="N445" s="34">
        <f>MONTH(HistoricalStockProgress[[#This Row],[Date]])</f>
        <v>7</v>
      </c>
    </row>
    <row r="446" spans="2:14">
      <c r="B446" s="15">
        <v>43312</v>
      </c>
      <c r="C446" s="34" t="s">
        <v>91</v>
      </c>
      <c r="D446" s="34" t="e" vm="11">
        <f>_xlfn.XLOOKUP(HistoricalStockProgress[[#This Row],[Company Ticker]],CompanyDetailsList[Company Ticker],CompanyDetailsList[Official Name],,0)</f>
        <v>#VALUE!</v>
      </c>
      <c r="E4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4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4641.1780084974125</v>
      </c>
      <c r="G446" s="17">
        <f>IFERROR(HistoricalStockProgress[[#This Row],[Cost of Shares]]/HistoricalStockProgress[[#This Row],[No. of Shares]],0)</f>
        <v>58.749088715157121</v>
      </c>
      <c r="H446" s="16" vm="986">
        <v>106.08</v>
      </c>
      <c r="I446" s="16">
        <f>IF(HistoricalStockProgress[[#This Row],[No. of Shares]]&lt;&gt;0,HistoricalStockProgress[[#This Row],[Price of Shares]]*HistoricalStockProgress[[#This Row],[No. of Shares]],0)</f>
        <v>8380.32</v>
      </c>
      <c r="J446" s="16">
        <f>IF(HistoricalStockProgress[[#This Row],[No. of Shares]]&lt;&gt;0,HistoricalStockProgress[[#This Row],[Price of Shares]]-HistoricalStockProgress[[#This Row],[Cost of Shares]]/HistoricalStockProgress[[#This Row],[No. of Shares]],0)</f>
        <v>47.330911284842877</v>
      </c>
      <c r="K446" s="17">
        <f>IF(HistoricalStockProgress[[#This Row],[Total Price of Shares]]&lt;&gt;0,HistoricalStockProgress[[#This Row],[Total Price of Shares]]-HistoricalStockProgress[[#This Row],[Cost of Shares]],0)</f>
        <v>3739.1419915025872</v>
      </c>
      <c r="L446" s="34" t="b" cm="1">
        <f t="array" ref="L446">IFERROR(IF(HistoricalStockProgress[[#This Row],[Price of Shares]]="",_xlfn.STOCKHISTORY(HistoricalStockProgress[[#This Row],[Full Company Name]],HistoricalStockProgress[[#This Row],[Date]],,2,0,1)),0)</f>
        <v>0</v>
      </c>
      <c r="M446" s="34">
        <f>YEAR(HistoricalStockProgress[[#This Row],[Date]])</f>
        <v>2018</v>
      </c>
      <c r="N446" s="34">
        <f>MONTH(HistoricalStockProgress[[#This Row],[Date]])</f>
        <v>7</v>
      </c>
    </row>
    <row r="447" spans="2:14">
      <c r="B447" s="15">
        <v>43312</v>
      </c>
      <c r="C447" s="34" t="s">
        <v>16</v>
      </c>
      <c r="D447" s="34" t="e" vm="12">
        <f>_xlfn.XLOOKUP(HistoricalStockProgress[[#This Row],[Company Ticker]],CompanyDetailsList[Company Ticker],CompanyDetailsList[Official Name],,0)</f>
        <v>#VALUE!</v>
      </c>
      <c r="E4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4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447" s="17">
        <f>IFERROR(HistoricalStockProgress[[#This Row],[Cost of Shares]]/HistoricalStockProgress[[#This Row],[No. of Shares]],0)</f>
        <v>82.900834685216523</v>
      </c>
      <c r="H447" s="16" vm="419">
        <v>81.510000000000005</v>
      </c>
      <c r="I447" s="16">
        <f>IF(HistoricalStockProgress[[#This Row],[No. of Shares]]&lt;&gt;0,HistoricalStockProgress[[#This Row],[Price of Shares]]*HistoricalStockProgress[[#This Row],[No. of Shares]],0)</f>
        <v>11818.95</v>
      </c>
      <c r="J447" s="16">
        <f>IF(HistoricalStockProgress[[#This Row],[No. of Shares]]&lt;&gt;0,HistoricalStockProgress[[#This Row],[Price of Shares]]-HistoricalStockProgress[[#This Row],[Cost of Shares]]/HistoricalStockProgress[[#This Row],[No. of Shares]],0)</f>
        <v>-1.3908346852165181</v>
      </c>
      <c r="K447" s="17">
        <f>IF(HistoricalStockProgress[[#This Row],[Total Price of Shares]]&lt;&gt;0,HistoricalStockProgress[[#This Row],[Total Price of Shares]]-HistoricalStockProgress[[#This Row],[Cost of Shares]],0)</f>
        <v>-201.67102935639559</v>
      </c>
      <c r="L447" s="34" t="b" cm="1">
        <f t="array" ref="L447">IFERROR(IF(HistoricalStockProgress[[#This Row],[Price of Shares]]="",_xlfn.STOCKHISTORY(HistoricalStockProgress[[#This Row],[Full Company Name]],HistoricalStockProgress[[#This Row],[Date]],,2,0,1)),0)</f>
        <v>0</v>
      </c>
      <c r="M447" s="34">
        <f>YEAR(HistoricalStockProgress[[#This Row],[Date]])</f>
        <v>2018</v>
      </c>
      <c r="N447" s="34">
        <f>MONTH(HistoricalStockProgress[[#This Row],[Date]])</f>
        <v>7</v>
      </c>
    </row>
    <row r="448" spans="2:14">
      <c r="B448" s="15">
        <v>43312</v>
      </c>
      <c r="C448" s="34" t="s">
        <v>95</v>
      </c>
      <c r="D448" s="34" t="e" vm="13">
        <f>_xlfn.XLOOKUP(HistoricalStockProgress[[#This Row],[Company Ticker]],CompanyDetailsList[Company Ticker],CompanyDetailsList[Official Name],,0)</f>
        <v>#VALUE!</v>
      </c>
      <c r="E4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4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448" s="17">
        <f>IFERROR(HistoricalStockProgress[[#This Row],[Cost of Shares]]/HistoricalStockProgress[[#This Row],[No. of Shares]],0)</f>
        <v>143.29758396474452</v>
      </c>
      <c r="H448" s="16" vm="987">
        <v>197.52</v>
      </c>
      <c r="I448" s="16">
        <f>IF(HistoricalStockProgress[[#This Row],[No. of Shares]]&lt;&gt;0,HistoricalStockProgress[[#This Row],[Price of Shares]]*HistoricalStockProgress[[#This Row],[No. of Shares]],0)</f>
        <v>8493.36</v>
      </c>
      <c r="J448" s="16">
        <f>IF(HistoricalStockProgress[[#This Row],[No. of Shares]]&lt;&gt;0,HistoricalStockProgress[[#This Row],[Price of Shares]]-HistoricalStockProgress[[#This Row],[Cost of Shares]]/HistoricalStockProgress[[#This Row],[No. of Shares]],0)</f>
        <v>54.222416035255492</v>
      </c>
      <c r="K448" s="17">
        <f>IF(HistoricalStockProgress[[#This Row],[Total Price of Shares]]&lt;&gt;0,HistoricalStockProgress[[#This Row],[Total Price of Shares]]-HistoricalStockProgress[[#This Row],[Cost of Shares]],0)</f>
        <v>2331.5638895159864</v>
      </c>
      <c r="L448" s="34" t="b" cm="1">
        <f t="array" ref="L448">IFERROR(IF(HistoricalStockProgress[[#This Row],[Price of Shares]]="",_xlfn.STOCKHISTORY(HistoricalStockProgress[[#This Row],[Full Company Name]],HistoricalStockProgress[[#This Row],[Date]],,2,0,1)),0)</f>
        <v>0</v>
      </c>
      <c r="M448" s="34">
        <f>YEAR(HistoricalStockProgress[[#This Row],[Date]])</f>
        <v>2018</v>
      </c>
      <c r="N448" s="34">
        <f>MONTH(HistoricalStockProgress[[#This Row],[Date]])</f>
        <v>7</v>
      </c>
    </row>
    <row r="449" spans="2:14">
      <c r="B449" s="15">
        <v>43312</v>
      </c>
      <c r="C449" s="34" t="s">
        <v>17</v>
      </c>
      <c r="D449" s="34" t="e" vm="14">
        <f>_xlfn.XLOOKUP(HistoricalStockProgress[[#This Row],[Company Ticker]],CompanyDetailsList[Company Ticker],CompanyDetailsList[Official Name],,0)</f>
        <v>#VALUE!</v>
      </c>
      <c r="E4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4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9484.3704371074709</v>
      </c>
      <c r="G449" s="17">
        <f>IFERROR(HistoricalStockProgress[[#This Row],[Cost of Shares]]/HistoricalStockProgress[[#This Row],[No. of Shares]],0)</f>
        <v>150.54556249376938</v>
      </c>
      <c r="H449" s="16" vm="988">
        <v>144.93</v>
      </c>
      <c r="I449" s="16">
        <f>IF(HistoricalStockProgress[[#This Row],[No. of Shares]]&lt;&gt;0,HistoricalStockProgress[[#This Row],[Price of Shares]]*HistoricalStockProgress[[#This Row],[No. of Shares]],0)</f>
        <v>9130.59</v>
      </c>
      <c r="J449" s="16">
        <f>IF(HistoricalStockProgress[[#This Row],[No. of Shares]]&lt;&gt;0,HistoricalStockProgress[[#This Row],[Price of Shares]]-HistoricalStockProgress[[#This Row],[Cost of Shares]]/HistoricalStockProgress[[#This Row],[No. of Shares]],0)</f>
        <v>-5.6155624937693744</v>
      </c>
      <c r="K449" s="17">
        <f>IF(HistoricalStockProgress[[#This Row],[Total Price of Shares]]&lt;&gt;0,HistoricalStockProgress[[#This Row],[Total Price of Shares]]-HistoricalStockProgress[[#This Row],[Cost of Shares]],0)</f>
        <v>-353.78043710747079</v>
      </c>
      <c r="L449" s="34" t="b" cm="1">
        <f t="array" ref="L449">IFERROR(IF(HistoricalStockProgress[[#This Row],[Price of Shares]]="",_xlfn.STOCKHISTORY(HistoricalStockProgress[[#This Row],[Full Company Name]],HistoricalStockProgress[[#This Row],[Date]],,2,0,1)),0)</f>
        <v>0</v>
      </c>
      <c r="M449" s="34">
        <f>YEAR(HistoricalStockProgress[[#This Row],[Date]])</f>
        <v>2018</v>
      </c>
      <c r="N449" s="34">
        <f>MONTH(HistoricalStockProgress[[#This Row],[Date]])</f>
        <v>7</v>
      </c>
    </row>
    <row r="450" spans="2:14">
      <c r="B450" s="15">
        <v>43312</v>
      </c>
      <c r="C450" s="34" t="s">
        <v>98</v>
      </c>
      <c r="D450" s="34" t="e" vm="15">
        <f>_xlfn.XLOOKUP(HistoricalStockProgress[[#This Row],[Company Ticker]],CompanyDetailsList[Company Ticker],CompanyDetailsList[Official Name],,0)</f>
        <v>#VALUE!</v>
      </c>
      <c r="E4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4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1941.9842250911215</v>
      </c>
      <c r="G450" s="17">
        <f>IFERROR(HistoricalStockProgress[[#This Row],[Cost of Shares]]/HistoricalStockProgress[[#This Row],[No. of Shares]],0)</f>
        <v>38.078122060610227</v>
      </c>
      <c r="H450" s="16" vm="989">
        <v>41.884999999999998</v>
      </c>
      <c r="I450" s="16">
        <f>IF(HistoricalStockProgress[[#This Row],[No. of Shares]]&lt;&gt;0,HistoricalStockProgress[[#This Row],[Price of Shares]]*HistoricalStockProgress[[#This Row],[No. of Shares]],0)</f>
        <v>2136.1349999999998</v>
      </c>
      <c r="J450" s="16">
        <f>IF(HistoricalStockProgress[[#This Row],[No. of Shares]]&lt;&gt;0,HistoricalStockProgress[[#This Row],[Price of Shares]]-HistoricalStockProgress[[#This Row],[Cost of Shares]]/HistoricalStockProgress[[#This Row],[No. of Shares]],0)</f>
        <v>3.8068779393897714</v>
      </c>
      <c r="K450" s="17">
        <f>IF(HistoricalStockProgress[[#This Row],[Total Price of Shares]]&lt;&gt;0,HistoricalStockProgress[[#This Row],[Total Price of Shares]]-HistoricalStockProgress[[#This Row],[Cost of Shares]],0)</f>
        <v>194.15077490887825</v>
      </c>
      <c r="L450" s="34" t="b" cm="1">
        <f t="array" ref="L450">IFERROR(IF(HistoricalStockProgress[[#This Row],[Price of Shares]]="",_xlfn.STOCKHISTORY(HistoricalStockProgress[[#This Row],[Full Company Name]],HistoricalStockProgress[[#This Row],[Date]],,2,0,1)),0)</f>
        <v>0</v>
      </c>
      <c r="M450" s="34">
        <f>YEAR(HistoricalStockProgress[[#This Row],[Date]])</f>
        <v>2018</v>
      </c>
      <c r="N450" s="34">
        <f>MONTH(HistoricalStockProgress[[#This Row],[Date]])</f>
        <v>7</v>
      </c>
    </row>
    <row r="451" spans="2:14">
      <c r="B451" s="15">
        <v>43312</v>
      </c>
      <c r="C451" s="34" t="s">
        <v>100</v>
      </c>
      <c r="D451" s="34" t="e" vm="16">
        <f>_xlfn.XLOOKUP(HistoricalStockProgress[[#This Row],[Company Ticker]],CompanyDetailsList[Company Ticker],CompanyDetailsList[Official Name],,0)</f>
        <v>#VALUE!</v>
      </c>
      <c r="E4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4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451" s="17">
        <f>IFERROR(HistoricalStockProgress[[#This Row],[Cost of Shares]]/HistoricalStockProgress[[#This Row],[No. of Shares]],0)</f>
        <v>84.509035134678101</v>
      </c>
      <c r="H451" s="16" vm="990">
        <v>81.62</v>
      </c>
      <c r="I451" s="16">
        <f>IF(HistoricalStockProgress[[#This Row],[No. of Shares]]&lt;&gt;0,HistoricalStockProgress[[#This Row],[Price of Shares]]*HistoricalStockProgress[[#This Row],[No. of Shares]],0)</f>
        <v>2693.46</v>
      </c>
      <c r="J451" s="16">
        <f>IF(HistoricalStockProgress[[#This Row],[No. of Shares]]&lt;&gt;0,HistoricalStockProgress[[#This Row],[Price of Shares]]-HistoricalStockProgress[[#This Row],[Cost of Shares]]/HistoricalStockProgress[[#This Row],[No. of Shares]],0)</f>
        <v>-2.889035134678096</v>
      </c>
      <c r="K451" s="17">
        <f>IF(HistoricalStockProgress[[#This Row],[Total Price of Shares]]&lt;&gt;0,HistoricalStockProgress[[#This Row],[Total Price of Shares]]-HistoricalStockProgress[[#This Row],[Cost of Shares]],0)</f>
        <v>-95.338159444377197</v>
      </c>
      <c r="L451" s="34" t="b" cm="1">
        <f t="array" ref="L451">IFERROR(IF(HistoricalStockProgress[[#This Row],[Price of Shares]]="",_xlfn.STOCKHISTORY(HistoricalStockProgress[[#This Row],[Full Company Name]],HistoricalStockProgress[[#This Row],[Date]],,2,0,1)),0)</f>
        <v>0</v>
      </c>
      <c r="M451" s="34">
        <f>YEAR(HistoricalStockProgress[[#This Row],[Date]])</f>
        <v>2018</v>
      </c>
      <c r="N451" s="34">
        <f>MONTH(HistoricalStockProgress[[#This Row],[Date]])</f>
        <v>7</v>
      </c>
    </row>
    <row r="452" spans="2:14">
      <c r="B452" s="15">
        <v>43312</v>
      </c>
      <c r="C452" s="34" t="s">
        <v>15</v>
      </c>
      <c r="D452" s="34" t="e" vm="17">
        <f>_xlfn.XLOOKUP(HistoricalStockProgress[[#This Row],[Company Ticker]],CompanyDetailsList[Company Ticker],CompanyDetailsList[Official Name],,0)</f>
        <v>#VALUE!</v>
      </c>
      <c r="E4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4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452" s="17">
        <f>IFERROR(HistoricalStockProgress[[#This Row],[Cost of Shares]]/HistoricalStockProgress[[#This Row],[No. of Shares]],0)</f>
        <v>26.081956457072195</v>
      </c>
      <c r="H452" s="16" vm="991">
        <v>24.1431</v>
      </c>
      <c r="I452" s="16">
        <f>IF(HistoricalStockProgress[[#This Row],[No. of Shares]]&lt;&gt;0,HistoricalStockProgress[[#This Row],[Price of Shares]]*HistoricalStockProgress[[#This Row],[No. of Shares]],0)</f>
        <v>2993.7444</v>
      </c>
      <c r="J452" s="16">
        <f>IF(HistoricalStockProgress[[#This Row],[No. of Shares]]&lt;&gt;0,HistoricalStockProgress[[#This Row],[Price of Shares]]-HistoricalStockProgress[[#This Row],[Cost of Shares]]/HistoricalStockProgress[[#This Row],[No. of Shares]],0)</f>
        <v>-1.9388564570721947</v>
      </c>
      <c r="K452" s="17">
        <f>IF(HistoricalStockProgress[[#This Row],[Total Price of Shares]]&lt;&gt;0,HistoricalStockProgress[[#This Row],[Total Price of Shares]]-HistoricalStockProgress[[#This Row],[Cost of Shares]],0)</f>
        <v>-240.41820067695198</v>
      </c>
      <c r="L452" s="34" t="b" cm="1">
        <f t="array" ref="L452">IFERROR(IF(HistoricalStockProgress[[#This Row],[Price of Shares]]="",_xlfn.STOCKHISTORY(HistoricalStockProgress[[#This Row],[Full Company Name]],HistoricalStockProgress[[#This Row],[Date]],,2,0,1)),0)</f>
        <v>0</v>
      </c>
      <c r="M452" s="34">
        <f>YEAR(HistoricalStockProgress[[#This Row],[Date]])</f>
        <v>2018</v>
      </c>
      <c r="N452" s="34">
        <f>MONTH(HistoricalStockProgress[[#This Row],[Date]])</f>
        <v>7</v>
      </c>
    </row>
    <row r="453" spans="2:14">
      <c r="B453" s="15">
        <v>43312</v>
      </c>
      <c r="C453" s="34" t="s">
        <v>13</v>
      </c>
      <c r="D453" s="34" t="e" vm="18">
        <f>_xlfn.XLOOKUP(HistoricalStockProgress[[#This Row],[Company Ticker]],CompanyDetailsList[Company Ticker],CompanyDetailsList[Official Name],,0)</f>
        <v>#VALUE!</v>
      </c>
      <c r="E4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4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453" s="17">
        <f>IFERROR(HistoricalStockProgress[[#This Row],[Cost of Shares]]/HistoricalStockProgress[[#This Row],[No. of Shares]],0)</f>
        <v>31.383479678650293</v>
      </c>
      <c r="H453" s="16" vm="992">
        <v>37.851599999999998</v>
      </c>
      <c r="I453" s="16">
        <f>IF(HistoricalStockProgress[[#This Row],[No. of Shares]]&lt;&gt;0,HistoricalStockProgress[[#This Row],[Price of Shares]]*HistoricalStockProgress[[#This Row],[No. of Shares]],0)</f>
        <v>946.29</v>
      </c>
      <c r="J453" s="16">
        <f>IF(HistoricalStockProgress[[#This Row],[No. of Shares]]&lt;&gt;0,HistoricalStockProgress[[#This Row],[Price of Shares]]-HistoricalStockProgress[[#This Row],[Cost of Shares]]/HistoricalStockProgress[[#This Row],[No. of Shares]],0)</f>
        <v>6.4681203213497049</v>
      </c>
      <c r="K453" s="17">
        <f>IF(HistoricalStockProgress[[#This Row],[Total Price of Shares]]&lt;&gt;0,HistoricalStockProgress[[#This Row],[Total Price of Shares]]-HistoricalStockProgress[[#This Row],[Cost of Shares]],0)</f>
        <v>161.70300803374266</v>
      </c>
      <c r="L453" s="34" t="b" cm="1">
        <f t="array" ref="L453">IFERROR(IF(HistoricalStockProgress[[#This Row],[Price of Shares]]="",_xlfn.STOCKHISTORY(HistoricalStockProgress[[#This Row],[Full Company Name]],HistoricalStockProgress[[#This Row],[Date]],,2,0,1)),0)</f>
        <v>0</v>
      </c>
      <c r="M453" s="34">
        <f>YEAR(HistoricalStockProgress[[#This Row],[Date]])</f>
        <v>2018</v>
      </c>
      <c r="N453" s="34">
        <f>MONTH(HistoricalStockProgress[[#This Row],[Date]])</f>
        <v>7</v>
      </c>
    </row>
    <row r="454" spans="2:14">
      <c r="B454" s="15">
        <v>43312</v>
      </c>
      <c r="C454" s="34" t="s">
        <v>20</v>
      </c>
      <c r="D454" s="34" t="e" vm="19">
        <f>_xlfn.XLOOKUP(HistoricalStockProgress[[#This Row],[Company Ticker]],CompanyDetailsList[Company Ticker],CompanyDetailsList[Official Name],,0)</f>
        <v>#VALUE!</v>
      </c>
      <c r="E4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68</v>
      </c>
      <c r="F4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6178.4485711906345</v>
      </c>
      <c r="G454" s="17">
        <f>IFERROR(HistoricalStockProgress[[#This Row],[Cost of Shares]]/HistoricalStockProgress[[#This Row],[No. of Shares]],0)</f>
        <v>90.859537811626979</v>
      </c>
      <c r="H454" s="16" vm="993">
        <v>114.95</v>
      </c>
      <c r="I454" s="16">
        <f>IF(HistoricalStockProgress[[#This Row],[No. of Shares]]&lt;&gt;0,HistoricalStockProgress[[#This Row],[Price of Shares]]*HistoricalStockProgress[[#This Row],[No. of Shares]],0)</f>
        <v>7816.6</v>
      </c>
      <c r="J454" s="16">
        <f>IF(HistoricalStockProgress[[#This Row],[No. of Shares]]&lt;&gt;0,HistoricalStockProgress[[#This Row],[Price of Shares]]-HistoricalStockProgress[[#This Row],[Cost of Shares]]/HistoricalStockProgress[[#This Row],[No. of Shares]],0)</f>
        <v>24.090462188373024</v>
      </c>
      <c r="K454" s="17">
        <f>IF(HistoricalStockProgress[[#This Row],[Total Price of Shares]]&lt;&gt;0,HistoricalStockProgress[[#This Row],[Total Price of Shares]]-HistoricalStockProgress[[#This Row],[Cost of Shares]],0)</f>
        <v>1638.1514288093658</v>
      </c>
      <c r="L454" s="34" t="b" cm="1">
        <f t="array" ref="L454">IFERROR(IF(HistoricalStockProgress[[#This Row],[Price of Shares]]="",_xlfn.STOCKHISTORY(HistoricalStockProgress[[#This Row],[Full Company Name]],HistoricalStockProgress[[#This Row],[Date]],,2,0,1)),0)</f>
        <v>0</v>
      </c>
      <c r="M454" s="34">
        <f>YEAR(HistoricalStockProgress[[#This Row],[Date]])</f>
        <v>2018</v>
      </c>
      <c r="N454" s="34">
        <f>MONTH(HistoricalStockProgress[[#This Row],[Date]])</f>
        <v>7</v>
      </c>
    </row>
    <row r="455" spans="2:14">
      <c r="B455" s="15">
        <v>43312</v>
      </c>
      <c r="C455" s="34" t="s">
        <v>106</v>
      </c>
      <c r="D455" s="34" t="e" vm="20">
        <f>_xlfn.XLOOKUP(HistoricalStockProgress[[#This Row],[Company Ticker]],CompanyDetailsList[Company Ticker],CompanyDetailsList[Official Name],,0)</f>
        <v>#VALUE!</v>
      </c>
      <c r="E4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4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455" s="17">
        <f>IFERROR(HistoricalStockProgress[[#This Row],[Cost of Shares]]/HistoricalStockProgress[[#This Row],[No. of Shares]],0)</f>
        <v>104.71316390485761</v>
      </c>
      <c r="H455" s="16" vm="994">
        <v>110.66</v>
      </c>
      <c r="I455" s="16">
        <f>IF(HistoricalStockProgress[[#This Row],[No. of Shares]]&lt;&gt;0,HistoricalStockProgress[[#This Row],[Price of Shares]]*HistoricalStockProgress[[#This Row],[No. of Shares]],0)</f>
        <v>3873.1</v>
      </c>
      <c r="J455" s="16">
        <f>IF(HistoricalStockProgress[[#This Row],[No. of Shares]]&lt;&gt;0,HistoricalStockProgress[[#This Row],[Price of Shares]]-HistoricalStockProgress[[#This Row],[Cost of Shares]]/HistoricalStockProgress[[#This Row],[No. of Shares]],0)</f>
        <v>5.9468360951423875</v>
      </c>
      <c r="K455" s="17">
        <f>IF(HistoricalStockProgress[[#This Row],[Total Price of Shares]]&lt;&gt;0,HistoricalStockProgress[[#This Row],[Total Price of Shares]]-HistoricalStockProgress[[#This Row],[Cost of Shares]],0)</f>
        <v>208.13926332998335</v>
      </c>
      <c r="L455" s="34" t="b" cm="1">
        <f t="array" ref="L455">IFERROR(IF(HistoricalStockProgress[[#This Row],[Price of Shares]]="",_xlfn.STOCKHISTORY(HistoricalStockProgress[[#This Row],[Full Company Name]],HistoricalStockProgress[[#This Row],[Date]],,2,0,1)),0)</f>
        <v>0</v>
      </c>
      <c r="M455" s="34">
        <f>YEAR(HistoricalStockProgress[[#This Row],[Date]])</f>
        <v>2018</v>
      </c>
      <c r="N455" s="34">
        <f>MONTH(HistoricalStockProgress[[#This Row],[Date]])</f>
        <v>7</v>
      </c>
    </row>
    <row r="456" spans="2:14">
      <c r="B456" s="15">
        <v>43343</v>
      </c>
      <c r="C456" s="34" t="s">
        <v>12</v>
      </c>
      <c r="D456" s="34" t="e" vm="1">
        <f>_xlfn.XLOOKUP(HistoricalStockProgress[[#This Row],[Company Ticker]],CompanyDetailsList[Company Ticker],CompanyDetailsList[Official Name],,0)</f>
        <v>#VALUE!</v>
      </c>
      <c r="E4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4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456" s="17">
        <f>IFERROR(HistoricalStockProgress[[#This Row],[Cost of Shares]]/HistoricalStockProgress[[#This Row],[No. of Shares]],0)</f>
        <v>57.188485025896703</v>
      </c>
      <c r="H456" s="16" vm="995">
        <v>58.57</v>
      </c>
      <c r="I456" s="16">
        <f>IF(HistoricalStockProgress[[#This Row],[No. of Shares]]&lt;&gt;0,HistoricalStockProgress[[#This Row],[Price of Shares]]*HistoricalStockProgress[[#This Row],[No. of Shares]],0)</f>
        <v>351.42</v>
      </c>
      <c r="J456" s="16">
        <f>IF(HistoricalStockProgress[[#This Row],[No. of Shares]]&lt;&gt;0,HistoricalStockProgress[[#This Row],[Price of Shares]]-HistoricalStockProgress[[#This Row],[Cost of Shares]]/HistoricalStockProgress[[#This Row],[No. of Shares]],0)</f>
        <v>1.3815149741032968</v>
      </c>
      <c r="K456" s="17">
        <f>IF(HistoricalStockProgress[[#This Row],[Total Price of Shares]]&lt;&gt;0,HistoricalStockProgress[[#This Row],[Total Price of Shares]]-HistoricalStockProgress[[#This Row],[Cost of Shares]],0)</f>
        <v>8.2890898446198094</v>
      </c>
      <c r="L456" s="34" t="b" cm="1">
        <f t="array" ref="L456">IFERROR(IF(HistoricalStockProgress[[#This Row],[Price of Shares]]="",_xlfn.STOCKHISTORY(HistoricalStockProgress[[#This Row],[Full Company Name]],HistoricalStockProgress[[#This Row],[Date]],,2,0,1)),0)</f>
        <v>0</v>
      </c>
      <c r="M456" s="34">
        <f>YEAR(HistoricalStockProgress[[#This Row],[Date]])</f>
        <v>2018</v>
      </c>
      <c r="N456" s="34">
        <f>MONTH(HistoricalStockProgress[[#This Row],[Date]])</f>
        <v>8</v>
      </c>
    </row>
    <row r="457" spans="2:14">
      <c r="B457" s="15">
        <v>43343</v>
      </c>
      <c r="C457" s="34" t="s">
        <v>23</v>
      </c>
      <c r="D457" s="34" t="e" vm="4">
        <f>_xlfn.XLOOKUP(HistoricalStockProgress[[#This Row],[Company Ticker]],CompanyDetailsList[Company Ticker],CompanyDetailsList[Official Name],,0)</f>
        <v>#VALUE!</v>
      </c>
      <c r="E4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27</v>
      </c>
      <c r="F4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1188.3134737973896</v>
      </c>
      <c r="G457" s="17">
        <f>IFERROR(HistoricalStockProgress[[#This Row],[Cost of Shares]]/HistoricalStockProgress[[#This Row],[No. of Shares]],0)</f>
        <v>44.011610140644059</v>
      </c>
      <c r="H457" s="16" vm="996">
        <v>44.57</v>
      </c>
      <c r="I457" s="16">
        <f>IF(HistoricalStockProgress[[#This Row],[No. of Shares]]&lt;&gt;0,HistoricalStockProgress[[#This Row],[Price of Shares]]*HistoricalStockProgress[[#This Row],[No. of Shares]],0)</f>
        <v>1203.3900000000001</v>
      </c>
      <c r="J457" s="16">
        <f>IF(HistoricalStockProgress[[#This Row],[No. of Shares]]&lt;&gt;0,HistoricalStockProgress[[#This Row],[Price of Shares]]-HistoricalStockProgress[[#This Row],[Cost of Shares]]/HistoricalStockProgress[[#This Row],[No. of Shares]],0)</f>
        <v>0.5583898593559411</v>
      </c>
      <c r="K457" s="17">
        <f>IF(HistoricalStockProgress[[#This Row],[Total Price of Shares]]&lt;&gt;0,HistoricalStockProgress[[#This Row],[Total Price of Shares]]-HistoricalStockProgress[[#This Row],[Cost of Shares]],0)</f>
        <v>15.076526202610466</v>
      </c>
      <c r="L457" s="34" t="b" cm="1">
        <f t="array" ref="L457">IFERROR(IF(HistoricalStockProgress[[#This Row],[Price of Shares]]="",_xlfn.STOCKHISTORY(HistoricalStockProgress[[#This Row],[Full Company Name]],HistoricalStockProgress[[#This Row],[Date]],,2,0,1)),0)</f>
        <v>0</v>
      </c>
      <c r="M457" s="34">
        <f>YEAR(HistoricalStockProgress[[#This Row],[Date]])</f>
        <v>2018</v>
      </c>
      <c r="N457" s="34">
        <f>MONTH(HistoricalStockProgress[[#This Row],[Date]])</f>
        <v>8</v>
      </c>
    </row>
    <row r="458" spans="2:14">
      <c r="B458" s="15">
        <v>43343</v>
      </c>
      <c r="C458" s="34" t="s">
        <v>84</v>
      </c>
      <c r="D458" s="34" t="e" vm="7">
        <f>_xlfn.XLOOKUP(HistoricalStockProgress[[#This Row],[Company Ticker]],CompanyDetailsList[Company Ticker],CompanyDetailsList[Official Name],,0)</f>
        <v>#VALUE!</v>
      </c>
      <c r="E4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4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458" s="17">
        <f>IFERROR(HistoricalStockProgress[[#This Row],[Cost of Shares]]/HistoricalStockProgress[[#This Row],[No. of Shares]],0)</f>
        <v>104.18087504950869</v>
      </c>
      <c r="H458" s="16" vm="997">
        <v>134.69</v>
      </c>
      <c r="I458" s="16">
        <f>IF(HistoricalStockProgress[[#This Row],[No. of Shares]]&lt;&gt;0,HistoricalStockProgress[[#This Row],[Price of Shares]]*HistoricalStockProgress[[#This Row],[No. of Shares]],0)</f>
        <v>6869.19</v>
      </c>
      <c r="J458" s="16">
        <f>IF(HistoricalStockProgress[[#This Row],[No. of Shares]]&lt;&gt;0,HistoricalStockProgress[[#This Row],[Price of Shares]]-HistoricalStockProgress[[#This Row],[Cost of Shares]]/HistoricalStockProgress[[#This Row],[No. of Shares]],0)</f>
        <v>30.509124950491312</v>
      </c>
      <c r="K458" s="17">
        <f>IF(HistoricalStockProgress[[#This Row],[Total Price of Shares]]&lt;&gt;0,HistoricalStockProgress[[#This Row],[Total Price of Shares]]-HistoricalStockProgress[[#This Row],[Cost of Shares]],0)</f>
        <v>1555.9653724750569</v>
      </c>
      <c r="L458" s="34" t="b" cm="1">
        <f t="array" ref="L458">IFERROR(IF(HistoricalStockProgress[[#This Row],[Price of Shares]]="",_xlfn.STOCKHISTORY(HistoricalStockProgress[[#This Row],[Full Company Name]],HistoricalStockProgress[[#This Row],[Date]],,2,0,1)),0)</f>
        <v>0</v>
      </c>
      <c r="M458" s="34">
        <f>YEAR(HistoricalStockProgress[[#This Row],[Date]])</f>
        <v>2018</v>
      </c>
      <c r="N458" s="34">
        <f>MONTH(HistoricalStockProgress[[#This Row],[Date]])</f>
        <v>8</v>
      </c>
    </row>
    <row r="459" spans="2:14">
      <c r="B459" s="15">
        <v>43343</v>
      </c>
      <c r="C459" s="34" t="s">
        <v>86</v>
      </c>
      <c r="D459" s="34" t="e" vm="8">
        <f>_xlfn.XLOOKUP(HistoricalStockProgress[[#This Row],[Company Ticker]],CompanyDetailsList[Company Ticker],CompanyDetailsList[Official Name],,0)</f>
        <v>#VALUE!</v>
      </c>
      <c r="E4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4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459" s="17">
        <f>IFERROR(HistoricalStockProgress[[#This Row],[Cost of Shares]]/HistoricalStockProgress[[#This Row],[No. of Shares]],0)</f>
        <v>85.876031764920896</v>
      </c>
      <c r="H459" s="16" vm="998">
        <v>95.98</v>
      </c>
      <c r="I459" s="16">
        <f>IF(HistoricalStockProgress[[#This Row],[No. of Shares]]&lt;&gt;0,HistoricalStockProgress[[#This Row],[Price of Shares]]*HistoricalStockProgress[[#This Row],[No. of Shares]],0)</f>
        <v>5086.9400000000005</v>
      </c>
      <c r="J459" s="16">
        <f>IF(HistoricalStockProgress[[#This Row],[No. of Shares]]&lt;&gt;0,HistoricalStockProgress[[#This Row],[Price of Shares]]-HistoricalStockProgress[[#This Row],[Cost of Shares]]/HistoricalStockProgress[[#This Row],[No. of Shares]],0)</f>
        <v>10.103968235079108</v>
      </c>
      <c r="K459" s="17">
        <f>IF(HistoricalStockProgress[[#This Row],[Total Price of Shares]]&lt;&gt;0,HistoricalStockProgress[[#This Row],[Total Price of Shares]]-HistoricalStockProgress[[#This Row],[Cost of Shares]],0)</f>
        <v>535.51031645919284</v>
      </c>
      <c r="L459" s="34" t="b" cm="1">
        <f t="array" ref="L459">IFERROR(IF(HistoricalStockProgress[[#This Row],[Price of Shares]]="",_xlfn.STOCKHISTORY(HistoricalStockProgress[[#This Row],[Full Company Name]],HistoricalStockProgress[[#This Row],[Date]],,2,0,1)),0)</f>
        <v>0</v>
      </c>
      <c r="M459" s="34">
        <f>YEAR(HistoricalStockProgress[[#This Row],[Date]])</f>
        <v>2018</v>
      </c>
      <c r="N459" s="34">
        <f>MONTH(HistoricalStockProgress[[#This Row],[Date]])</f>
        <v>8</v>
      </c>
    </row>
    <row r="460" spans="2:14">
      <c r="B460" s="15">
        <v>43343</v>
      </c>
      <c r="C460" s="34" t="s">
        <v>22</v>
      </c>
      <c r="D460" s="34" t="e" vm="10">
        <f>_xlfn.XLOOKUP(HistoricalStockProgress[[#This Row],[Company Ticker]],CompanyDetailsList[Company Ticker],CompanyDetailsList[Official Name],,0)</f>
        <v>#VALUE!</v>
      </c>
      <c r="E4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4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460" s="17">
        <f>IFERROR(HistoricalStockProgress[[#This Row],[Cost of Shares]]/HistoricalStockProgress[[#This Row],[No. of Shares]],0)</f>
        <v>83.61275075159574</v>
      </c>
      <c r="H460" s="16" vm="999">
        <v>138.85</v>
      </c>
      <c r="I460" s="16">
        <f>IF(HistoricalStockProgress[[#This Row],[No. of Shares]]&lt;&gt;0,HistoricalStockProgress[[#This Row],[Price of Shares]]*HistoricalStockProgress[[#This Row],[No. of Shares]],0)</f>
        <v>8469.85</v>
      </c>
      <c r="J460" s="16">
        <f>IF(HistoricalStockProgress[[#This Row],[No. of Shares]]&lt;&gt;0,HistoricalStockProgress[[#This Row],[Price of Shares]]-HistoricalStockProgress[[#This Row],[Cost of Shares]]/HistoricalStockProgress[[#This Row],[No. of Shares]],0)</f>
        <v>55.237249248404254</v>
      </c>
      <c r="K460" s="17">
        <f>IF(HistoricalStockProgress[[#This Row],[Total Price of Shares]]&lt;&gt;0,HistoricalStockProgress[[#This Row],[Total Price of Shares]]-HistoricalStockProgress[[#This Row],[Cost of Shares]],0)</f>
        <v>3369.4722041526602</v>
      </c>
      <c r="L460" s="34" t="b" cm="1">
        <f t="array" ref="L460">IFERROR(IF(HistoricalStockProgress[[#This Row],[Price of Shares]]="",_xlfn.STOCKHISTORY(HistoricalStockProgress[[#This Row],[Full Company Name]],HistoricalStockProgress[[#This Row],[Date]],,2,0,1)),0)</f>
        <v>0</v>
      </c>
      <c r="M460" s="34">
        <f>YEAR(HistoricalStockProgress[[#This Row],[Date]])</f>
        <v>2018</v>
      </c>
      <c r="N460" s="34">
        <f>MONTH(HistoricalStockProgress[[#This Row],[Date]])</f>
        <v>8</v>
      </c>
    </row>
    <row r="461" spans="2:14">
      <c r="B461" s="15">
        <v>43343</v>
      </c>
      <c r="C461" s="34" t="s">
        <v>91</v>
      </c>
      <c r="D461" s="34" t="e" vm="11">
        <f>_xlfn.XLOOKUP(HistoricalStockProgress[[#This Row],[Company Ticker]],CompanyDetailsList[Company Ticker],CompanyDetailsList[Official Name],,0)</f>
        <v>#VALUE!</v>
      </c>
      <c r="E4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4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4641.1780084974125</v>
      </c>
      <c r="G461" s="17">
        <f>IFERROR(HistoricalStockProgress[[#This Row],[Cost of Shares]]/HistoricalStockProgress[[#This Row],[No. of Shares]],0)</f>
        <v>58.749088715157121</v>
      </c>
      <c r="H461" s="16" vm="1000">
        <v>112.33</v>
      </c>
      <c r="I461" s="16">
        <f>IF(HistoricalStockProgress[[#This Row],[No. of Shares]]&lt;&gt;0,HistoricalStockProgress[[#This Row],[Price of Shares]]*HistoricalStockProgress[[#This Row],[No. of Shares]],0)</f>
        <v>8874.07</v>
      </c>
      <c r="J461" s="16">
        <f>IF(HistoricalStockProgress[[#This Row],[No. of Shares]]&lt;&gt;0,HistoricalStockProgress[[#This Row],[Price of Shares]]-HistoricalStockProgress[[#This Row],[Cost of Shares]]/HistoricalStockProgress[[#This Row],[No. of Shares]],0)</f>
        <v>53.580911284842877</v>
      </c>
      <c r="K461" s="17">
        <f>IF(HistoricalStockProgress[[#This Row],[Total Price of Shares]]&lt;&gt;0,HistoricalStockProgress[[#This Row],[Total Price of Shares]]-HistoricalStockProgress[[#This Row],[Cost of Shares]],0)</f>
        <v>4232.8919915025872</v>
      </c>
      <c r="L461" s="34" t="b" cm="1">
        <f t="array" ref="L461">IFERROR(IF(HistoricalStockProgress[[#This Row],[Price of Shares]]="",_xlfn.STOCKHISTORY(HistoricalStockProgress[[#This Row],[Full Company Name]],HistoricalStockProgress[[#This Row],[Date]],,2,0,1)),0)</f>
        <v>0</v>
      </c>
      <c r="M461" s="34">
        <f>YEAR(HistoricalStockProgress[[#This Row],[Date]])</f>
        <v>2018</v>
      </c>
      <c r="N461" s="34">
        <f>MONTH(HistoricalStockProgress[[#This Row],[Date]])</f>
        <v>8</v>
      </c>
    </row>
    <row r="462" spans="2:14">
      <c r="B462" s="15">
        <v>43343</v>
      </c>
      <c r="C462" s="34" t="s">
        <v>16</v>
      </c>
      <c r="D462" s="34" t="e" vm="12">
        <f>_xlfn.XLOOKUP(HistoricalStockProgress[[#This Row],[Company Ticker]],CompanyDetailsList[Company Ticker],CompanyDetailsList[Official Name],,0)</f>
        <v>#VALUE!</v>
      </c>
      <c r="E4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4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462" s="17">
        <f>IFERROR(HistoricalStockProgress[[#This Row],[Cost of Shares]]/HistoricalStockProgress[[#This Row],[No. of Shares]],0)</f>
        <v>82.900834685216523</v>
      </c>
      <c r="H462" s="16" vm="735">
        <v>80.17</v>
      </c>
      <c r="I462" s="16">
        <f>IF(HistoricalStockProgress[[#This Row],[No. of Shares]]&lt;&gt;0,HistoricalStockProgress[[#This Row],[Price of Shares]]*HistoricalStockProgress[[#This Row],[No. of Shares]],0)</f>
        <v>11624.65</v>
      </c>
      <c r="J462" s="16">
        <f>IF(HistoricalStockProgress[[#This Row],[No. of Shares]]&lt;&gt;0,HistoricalStockProgress[[#This Row],[Price of Shares]]-HistoricalStockProgress[[#This Row],[Cost of Shares]]/HistoricalStockProgress[[#This Row],[No. of Shares]],0)</f>
        <v>-2.7308346852165215</v>
      </c>
      <c r="K462" s="17">
        <f>IF(HistoricalStockProgress[[#This Row],[Total Price of Shares]]&lt;&gt;0,HistoricalStockProgress[[#This Row],[Total Price of Shares]]-HistoricalStockProgress[[#This Row],[Cost of Shares]],0)</f>
        <v>-395.97102935639668</v>
      </c>
      <c r="L462" s="34" t="b" cm="1">
        <f t="array" ref="L462">IFERROR(IF(HistoricalStockProgress[[#This Row],[Price of Shares]]="",_xlfn.STOCKHISTORY(HistoricalStockProgress[[#This Row],[Full Company Name]],HistoricalStockProgress[[#This Row],[Date]],,2,0,1)),0)</f>
        <v>0</v>
      </c>
      <c r="M462" s="34">
        <f>YEAR(HistoricalStockProgress[[#This Row],[Date]])</f>
        <v>2018</v>
      </c>
      <c r="N462" s="34">
        <f>MONTH(HistoricalStockProgress[[#This Row],[Date]])</f>
        <v>8</v>
      </c>
    </row>
    <row r="463" spans="2:14">
      <c r="B463" s="15">
        <v>43343</v>
      </c>
      <c r="C463" s="34" t="s">
        <v>95</v>
      </c>
      <c r="D463" s="34" t="e" vm="13">
        <f>_xlfn.XLOOKUP(HistoricalStockProgress[[#This Row],[Company Ticker]],CompanyDetailsList[Company Ticker],CompanyDetailsList[Official Name],,0)</f>
        <v>#VALUE!</v>
      </c>
      <c r="E4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4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463" s="17">
        <f>IFERROR(HistoricalStockProgress[[#This Row],[Cost of Shares]]/HistoricalStockProgress[[#This Row],[No. of Shares]],0)</f>
        <v>143.29758396474452</v>
      </c>
      <c r="H463" s="16" vm="1001">
        <v>200.77</v>
      </c>
      <c r="I463" s="16">
        <f>IF(HistoricalStockProgress[[#This Row],[No. of Shares]]&lt;&gt;0,HistoricalStockProgress[[#This Row],[Price of Shares]]*HistoricalStockProgress[[#This Row],[No. of Shares]],0)</f>
        <v>8633.11</v>
      </c>
      <c r="J463" s="16">
        <f>IF(HistoricalStockProgress[[#This Row],[No. of Shares]]&lt;&gt;0,HistoricalStockProgress[[#This Row],[Price of Shares]]-HistoricalStockProgress[[#This Row],[Cost of Shares]]/HistoricalStockProgress[[#This Row],[No. of Shares]],0)</f>
        <v>57.472416035255492</v>
      </c>
      <c r="K463" s="17">
        <f>IF(HistoricalStockProgress[[#This Row],[Total Price of Shares]]&lt;&gt;0,HistoricalStockProgress[[#This Row],[Total Price of Shares]]-HistoricalStockProgress[[#This Row],[Cost of Shares]],0)</f>
        <v>2471.3138895159864</v>
      </c>
      <c r="L463" s="34" t="b" cm="1">
        <f t="array" ref="L463">IFERROR(IF(HistoricalStockProgress[[#This Row],[Price of Shares]]="",_xlfn.STOCKHISTORY(HistoricalStockProgress[[#This Row],[Full Company Name]],HistoricalStockProgress[[#This Row],[Date]],,2,0,1)),0)</f>
        <v>0</v>
      </c>
      <c r="M463" s="34">
        <f>YEAR(HistoricalStockProgress[[#This Row],[Date]])</f>
        <v>2018</v>
      </c>
      <c r="N463" s="34">
        <f>MONTH(HistoricalStockProgress[[#This Row],[Date]])</f>
        <v>8</v>
      </c>
    </row>
    <row r="464" spans="2:14">
      <c r="B464" s="15">
        <v>43343</v>
      </c>
      <c r="C464" s="34" t="s">
        <v>17</v>
      </c>
      <c r="D464" s="34" t="e" vm="14">
        <f>_xlfn.XLOOKUP(HistoricalStockProgress[[#This Row],[Company Ticker]],CompanyDetailsList[Company Ticker],CompanyDetailsList[Official Name],,0)</f>
        <v>#VALUE!</v>
      </c>
      <c r="E4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4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9484.3704371074709</v>
      </c>
      <c r="G464" s="17">
        <f>IFERROR(HistoricalStockProgress[[#This Row],[Cost of Shares]]/HistoricalStockProgress[[#This Row],[No. of Shares]],0)</f>
        <v>150.54556249376938</v>
      </c>
      <c r="H464" s="16" vm="1002">
        <v>146.47999999999999</v>
      </c>
      <c r="I464" s="16">
        <f>IF(HistoricalStockProgress[[#This Row],[No. of Shares]]&lt;&gt;0,HistoricalStockProgress[[#This Row],[Price of Shares]]*HistoricalStockProgress[[#This Row],[No. of Shares]],0)</f>
        <v>9228.24</v>
      </c>
      <c r="J464" s="16">
        <f>IF(HistoricalStockProgress[[#This Row],[No. of Shares]]&lt;&gt;0,HistoricalStockProgress[[#This Row],[Price of Shares]]-HistoricalStockProgress[[#This Row],[Cost of Shares]]/HistoricalStockProgress[[#This Row],[No. of Shares]],0)</f>
        <v>-4.0655624937693915</v>
      </c>
      <c r="K464" s="17">
        <f>IF(HistoricalStockProgress[[#This Row],[Total Price of Shares]]&lt;&gt;0,HistoricalStockProgress[[#This Row],[Total Price of Shares]]-HistoricalStockProgress[[#This Row],[Cost of Shares]],0)</f>
        <v>-256.13043710747115</v>
      </c>
      <c r="L464" s="34" t="b" cm="1">
        <f t="array" ref="L464">IFERROR(IF(HistoricalStockProgress[[#This Row],[Price of Shares]]="",_xlfn.STOCKHISTORY(HistoricalStockProgress[[#This Row],[Full Company Name]],HistoricalStockProgress[[#This Row],[Date]],,2,0,1)),0)</f>
        <v>0</v>
      </c>
      <c r="M464" s="34">
        <f>YEAR(HistoricalStockProgress[[#This Row],[Date]])</f>
        <v>2018</v>
      </c>
      <c r="N464" s="34">
        <f>MONTH(HistoricalStockProgress[[#This Row],[Date]])</f>
        <v>8</v>
      </c>
    </row>
    <row r="465" spans="2:14">
      <c r="B465" s="15">
        <v>43343</v>
      </c>
      <c r="C465" s="34" t="s">
        <v>98</v>
      </c>
      <c r="D465" s="34" t="e" vm="15">
        <f>_xlfn.XLOOKUP(HistoricalStockProgress[[#This Row],[Company Ticker]],CompanyDetailsList[Company Ticker],CompanyDetailsList[Official Name],,0)</f>
        <v>#VALUE!</v>
      </c>
      <c r="E4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4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1941.9842250911215</v>
      </c>
      <c r="G465" s="17">
        <f>IFERROR(HistoricalStockProgress[[#This Row],[Cost of Shares]]/HistoricalStockProgress[[#This Row],[No. of Shares]],0)</f>
        <v>38.078122060610227</v>
      </c>
      <c r="H465" s="16" vm="1003">
        <v>42.524999999999999</v>
      </c>
      <c r="I465" s="16">
        <f>IF(HistoricalStockProgress[[#This Row],[No. of Shares]]&lt;&gt;0,HistoricalStockProgress[[#This Row],[Price of Shares]]*HistoricalStockProgress[[#This Row],[No. of Shares]],0)</f>
        <v>2168.7750000000001</v>
      </c>
      <c r="J465" s="16">
        <f>IF(HistoricalStockProgress[[#This Row],[No. of Shares]]&lt;&gt;0,HistoricalStockProgress[[#This Row],[Price of Shares]]-HistoricalStockProgress[[#This Row],[Cost of Shares]]/HistoricalStockProgress[[#This Row],[No. of Shares]],0)</f>
        <v>4.4468779393897719</v>
      </c>
      <c r="K465" s="17">
        <f>IF(HistoricalStockProgress[[#This Row],[Total Price of Shares]]&lt;&gt;0,HistoricalStockProgress[[#This Row],[Total Price of Shares]]-HistoricalStockProgress[[#This Row],[Cost of Shares]],0)</f>
        <v>226.79077490887857</v>
      </c>
      <c r="L465" s="34" t="b" cm="1">
        <f t="array" ref="L465">IFERROR(IF(HistoricalStockProgress[[#This Row],[Price of Shares]]="",_xlfn.STOCKHISTORY(HistoricalStockProgress[[#This Row],[Full Company Name]],HistoricalStockProgress[[#This Row],[Date]],,2,0,1)),0)</f>
        <v>0</v>
      </c>
      <c r="M465" s="34">
        <f>YEAR(HistoricalStockProgress[[#This Row],[Date]])</f>
        <v>2018</v>
      </c>
      <c r="N465" s="34">
        <f>MONTH(HistoricalStockProgress[[#This Row],[Date]])</f>
        <v>8</v>
      </c>
    </row>
    <row r="466" spans="2:14">
      <c r="B466" s="15">
        <v>43343</v>
      </c>
      <c r="C466" s="34" t="s">
        <v>100</v>
      </c>
      <c r="D466" s="34" t="e" vm="16">
        <f>_xlfn.XLOOKUP(HistoricalStockProgress[[#This Row],[Company Ticker]],CompanyDetailsList[Company Ticker],CompanyDetailsList[Official Name],,0)</f>
        <v>#VALUE!</v>
      </c>
      <c r="E4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4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466" s="17">
        <f>IFERROR(HistoricalStockProgress[[#This Row],[Cost of Shares]]/HistoricalStockProgress[[#This Row],[No. of Shares]],0)</f>
        <v>84.509035134678101</v>
      </c>
      <c r="H466" s="16" vm="957">
        <v>81.239999999999995</v>
      </c>
      <c r="I466" s="16">
        <f>IF(HistoricalStockProgress[[#This Row],[No. of Shares]]&lt;&gt;0,HistoricalStockProgress[[#This Row],[Price of Shares]]*HistoricalStockProgress[[#This Row],[No. of Shares]],0)</f>
        <v>2680.9199999999996</v>
      </c>
      <c r="J466" s="16">
        <f>IF(HistoricalStockProgress[[#This Row],[No. of Shares]]&lt;&gt;0,HistoricalStockProgress[[#This Row],[Price of Shares]]-HistoricalStockProgress[[#This Row],[Cost of Shares]]/HistoricalStockProgress[[#This Row],[No. of Shares]],0)</f>
        <v>-3.2690351346781057</v>
      </c>
      <c r="K466" s="17">
        <f>IF(HistoricalStockProgress[[#This Row],[Total Price of Shares]]&lt;&gt;0,HistoricalStockProgress[[#This Row],[Total Price of Shares]]-HistoricalStockProgress[[#This Row],[Cost of Shares]],0)</f>
        <v>-107.87815944437762</v>
      </c>
      <c r="L466" s="34" t="b" cm="1">
        <f t="array" ref="L466">IFERROR(IF(HistoricalStockProgress[[#This Row],[Price of Shares]]="",_xlfn.STOCKHISTORY(HistoricalStockProgress[[#This Row],[Full Company Name]],HistoricalStockProgress[[#This Row],[Date]],,2,0,1)),0)</f>
        <v>0</v>
      </c>
      <c r="M466" s="34">
        <f>YEAR(HistoricalStockProgress[[#This Row],[Date]])</f>
        <v>2018</v>
      </c>
      <c r="N466" s="34">
        <f>MONTH(HistoricalStockProgress[[#This Row],[Date]])</f>
        <v>8</v>
      </c>
    </row>
    <row r="467" spans="2:14">
      <c r="B467" s="15">
        <v>43343</v>
      </c>
      <c r="C467" s="34" t="s">
        <v>15</v>
      </c>
      <c r="D467" s="34" t="e" vm="17">
        <f>_xlfn.XLOOKUP(HistoricalStockProgress[[#This Row],[Company Ticker]],CompanyDetailsList[Company Ticker],CompanyDetailsList[Official Name],,0)</f>
        <v>#VALUE!</v>
      </c>
      <c r="E4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4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467" s="17">
        <f>IFERROR(HistoricalStockProgress[[#This Row],[Cost of Shares]]/HistoricalStockProgress[[#This Row],[No. of Shares]],0)</f>
        <v>26.081956457072195</v>
      </c>
      <c r="H467" s="16" vm="1004">
        <v>24.1204</v>
      </c>
      <c r="I467" s="16">
        <f>IF(HistoricalStockProgress[[#This Row],[No. of Shares]]&lt;&gt;0,HistoricalStockProgress[[#This Row],[Price of Shares]]*HistoricalStockProgress[[#This Row],[No. of Shares]],0)</f>
        <v>2990.9295999999999</v>
      </c>
      <c r="J467" s="16">
        <f>IF(HistoricalStockProgress[[#This Row],[No. of Shares]]&lt;&gt;0,HistoricalStockProgress[[#This Row],[Price of Shares]]-HistoricalStockProgress[[#This Row],[Cost of Shares]]/HistoricalStockProgress[[#This Row],[No. of Shares]],0)</f>
        <v>-1.9615564570721951</v>
      </c>
      <c r="K467" s="17">
        <f>IF(HistoricalStockProgress[[#This Row],[Total Price of Shares]]&lt;&gt;0,HistoricalStockProgress[[#This Row],[Total Price of Shares]]-HistoricalStockProgress[[#This Row],[Cost of Shares]],0)</f>
        <v>-243.23300067695209</v>
      </c>
      <c r="L467" s="34" t="b" cm="1">
        <f t="array" ref="L467">IFERROR(IF(HistoricalStockProgress[[#This Row],[Price of Shares]]="",_xlfn.STOCKHISTORY(HistoricalStockProgress[[#This Row],[Full Company Name]],HistoricalStockProgress[[#This Row],[Date]],,2,0,1)),0)</f>
        <v>0</v>
      </c>
      <c r="M467" s="34">
        <f>YEAR(HistoricalStockProgress[[#This Row],[Date]])</f>
        <v>2018</v>
      </c>
      <c r="N467" s="34">
        <f>MONTH(HistoricalStockProgress[[#This Row],[Date]])</f>
        <v>8</v>
      </c>
    </row>
    <row r="468" spans="2:14">
      <c r="B468" s="15">
        <v>43343</v>
      </c>
      <c r="C468" s="34" t="s">
        <v>13</v>
      </c>
      <c r="D468" s="34" t="e" vm="18">
        <f>_xlfn.XLOOKUP(HistoricalStockProgress[[#This Row],[Company Ticker]],CompanyDetailsList[Company Ticker],CompanyDetailsList[Official Name],,0)</f>
        <v>#VALUE!</v>
      </c>
      <c r="E4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4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468" s="17">
        <f>IFERROR(HistoricalStockProgress[[#This Row],[Cost of Shares]]/HistoricalStockProgress[[#This Row],[No. of Shares]],0)</f>
        <v>31.383479678650293</v>
      </c>
      <c r="H468" s="16" vm="1005">
        <v>39.358899999999998</v>
      </c>
      <c r="I468" s="16">
        <f>IF(HistoricalStockProgress[[#This Row],[No. of Shares]]&lt;&gt;0,HistoricalStockProgress[[#This Row],[Price of Shares]]*HistoricalStockProgress[[#This Row],[No. of Shares]],0)</f>
        <v>983.97249999999997</v>
      </c>
      <c r="J468" s="16">
        <f>IF(HistoricalStockProgress[[#This Row],[No. of Shares]]&lt;&gt;0,HistoricalStockProgress[[#This Row],[Price of Shares]]-HistoricalStockProgress[[#This Row],[Cost of Shares]]/HistoricalStockProgress[[#This Row],[No. of Shares]],0)</f>
        <v>7.9754203213497057</v>
      </c>
      <c r="K468" s="17">
        <f>IF(HistoricalStockProgress[[#This Row],[Total Price of Shares]]&lt;&gt;0,HistoricalStockProgress[[#This Row],[Total Price of Shares]]-HistoricalStockProgress[[#This Row],[Cost of Shares]],0)</f>
        <v>199.38550803374267</v>
      </c>
      <c r="L468" s="34" t="b" cm="1">
        <f t="array" ref="L468">IFERROR(IF(HistoricalStockProgress[[#This Row],[Price of Shares]]="",_xlfn.STOCKHISTORY(HistoricalStockProgress[[#This Row],[Full Company Name]],HistoricalStockProgress[[#This Row],[Date]],,2,0,1)),0)</f>
        <v>0</v>
      </c>
      <c r="M468" s="34">
        <f>YEAR(HistoricalStockProgress[[#This Row],[Date]])</f>
        <v>2018</v>
      </c>
      <c r="N468" s="34">
        <f>MONTH(HistoricalStockProgress[[#This Row],[Date]])</f>
        <v>8</v>
      </c>
    </row>
    <row r="469" spans="2:14">
      <c r="B469" s="15">
        <v>43343</v>
      </c>
      <c r="C469" s="34" t="s">
        <v>20</v>
      </c>
      <c r="D469" s="34" t="e" vm="19">
        <f>_xlfn.XLOOKUP(HistoricalStockProgress[[#This Row],[Company Ticker]],CompanyDetailsList[Company Ticker],CompanyDetailsList[Official Name],,0)</f>
        <v>#VALUE!</v>
      </c>
      <c r="E4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4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469" s="17">
        <f>IFERROR(HistoricalStockProgress[[#This Row],[Cost of Shares]]/HistoricalStockProgress[[#This Row],[No. of Shares]],0)</f>
        <v>93.912242833589502</v>
      </c>
      <c r="H469" s="16" vm="1006">
        <v>114.58</v>
      </c>
      <c r="I469" s="16">
        <f>IF(HistoricalStockProgress[[#This Row],[No. of Shares]]&lt;&gt;0,HistoricalStockProgress[[#This Row],[Price of Shares]]*HistoricalStockProgress[[#This Row],[No. of Shares]],0)</f>
        <v>8937.24</v>
      </c>
      <c r="J469" s="16">
        <f>IF(HistoricalStockProgress[[#This Row],[No. of Shares]]&lt;&gt;0,HistoricalStockProgress[[#This Row],[Price of Shares]]-HistoricalStockProgress[[#This Row],[Cost of Shares]]/HistoricalStockProgress[[#This Row],[No. of Shares]],0)</f>
        <v>20.667757166410496</v>
      </c>
      <c r="K469" s="17">
        <f>IF(HistoricalStockProgress[[#This Row],[Total Price of Shares]]&lt;&gt;0,HistoricalStockProgress[[#This Row],[Total Price of Shares]]-HistoricalStockProgress[[#This Row],[Cost of Shares]],0)</f>
        <v>1612.0850589800184</v>
      </c>
      <c r="L469" s="34" t="b" cm="1">
        <f t="array" ref="L469">IFERROR(IF(HistoricalStockProgress[[#This Row],[Price of Shares]]="",_xlfn.STOCKHISTORY(HistoricalStockProgress[[#This Row],[Full Company Name]],HistoricalStockProgress[[#This Row],[Date]],,2,0,1)),0)</f>
        <v>0</v>
      </c>
      <c r="M469" s="34">
        <f>YEAR(HistoricalStockProgress[[#This Row],[Date]])</f>
        <v>2018</v>
      </c>
      <c r="N469" s="34">
        <f>MONTH(HistoricalStockProgress[[#This Row],[Date]])</f>
        <v>8</v>
      </c>
    </row>
    <row r="470" spans="2:14">
      <c r="B470" s="15">
        <v>43343</v>
      </c>
      <c r="C470" s="34" t="s">
        <v>106</v>
      </c>
      <c r="D470" s="34" t="e" vm="20">
        <f>_xlfn.XLOOKUP(HistoricalStockProgress[[#This Row],[Company Ticker]],CompanyDetailsList[Company Ticker],CompanyDetailsList[Official Name],,0)</f>
        <v>#VALUE!</v>
      </c>
      <c r="E4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4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470" s="17">
        <f>IFERROR(HistoricalStockProgress[[#This Row],[Cost of Shares]]/HistoricalStockProgress[[#This Row],[No. of Shares]],0)</f>
        <v>104.71316390485761</v>
      </c>
      <c r="H470" s="16" vm="1007">
        <v>110.54</v>
      </c>
      <c r="I470" s="16">
        <f>IF(HistoricalStockProgress[[#This Row],[No. of Shares]]&lt;&gt;0,HistoricalStockProgress[[#This Row],[Price of Shares]]*HistoricalStockProgress[[#This Row],[No. of Shares]],0)</f>
        <v>3868.9</v>
      </c>
      <c r="J470" s="16">
        <f>IF(HistoricalStockProgress[[#This Row],[No. of Shares]]&lt;&gt;0,HistoricalStockProgress[[#This Row],[Price of Shares]]-HistoricalStockProgress[[#This Row],[Cost of Shares]]/HistoricalStockProgress[[#This Row],[No. of Shares]],0)</f>
        <v>5.8268360951423972</v>
      </c>
      <c r="K470" s="17">
        <f>IF(HistoricalStockProgress[[#This Row],[Total Price of Shares]]&lt;&gt;0,HistoricalStockProgress[[#This Row],[Total Price of Shares]]-HistoricalStockProgress[[#This Row],[Cost of Shares]],0)</f>
        <v>203.93926332998353</v>
      </c>
      <c r="L470" s="34" t="b" cm="1">
        <f t="array" ref="L470">IFERROR(IF(HistoricalStockProgress[[#This Row],[Price of Shares]]="",_xlfn.STOCKHISTORY(HistoricalStockProgress[[#This Row],[Full Company Name]],HistoricalStockProgress[[#This Row],[Date]],,2,0,1)),0)</f>
        <v>0</v>
      </c>
      <c r="M470" s="34">
        <f>YEAR(HistoricalStockProgress[[#This Row],[Date]])</f>
        <v>2018</v>
      </c>
      <c r="N470" s="34">
        <f>MONTH(HistoricalStockProgress[[#This Row],[Date]])</f>
        <v>8</v>
      </c>
    </row>
    <row r="471" spans="2:14">
      <c r="B471" s="15">
        <v>43373</v>
      </c>
      <c r="C471" s="34" t="s">
        <v>12</v>
      </c>
      <c r="D471" s="34" t="e" vm="1">
        <f>_xlfn.XLOOKUP(HistoricalStockProgress[[#This Row],[Company Ticker]],CompanyDetailsList[Company Ticker],CompanyDetailsList[Official Name],,0)</f>
        <v>#VALUE!</v>
      </c>
      <c r="E4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4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471" s="17">
        <f>IFERROR(HistoricalStockProgress[[#This Row],[Cost of Shares]]/HistoricalStockProgress[[#This Row],[No. of Shares]],0)</f>
        <v>57.188485025896703</v>
      </c>
      <c r="H471" s="16" vm="1008">
        <v>56.89</v>
      </c>
      <c r="I471" s="16">
        <f>IF(HistoricalStockProgress[[#This Row],[No. of Shares]]&lt;&gt;0,HistoricalStockProgress[[#This Row],[Price of Shares]]*HistoricalStockProgress[[#This Row],[No. of Shares]],0)</f>
        <v>341.34000000000003</v>
      </c>
      <c r="J471" s="16">
        <f>IF(HistoricalStockProgress[[#This Row],[No. of Shares]]&lt;&gt;0,HistoricalStockProgress[[#This Row],[Price of Shares]]-HistoricalStockProgress[[#This Row],[Cost of Shares]]/HistoricalStockProgress[[#This Row],[No. of Shares]],0)</f>
        <v>-0.29848502589670289</v>
      </c>
      <c r="K471" s="17">
        <f>IF(HistoricalStockProgress[[#This Row],[Total Price of Shares]]&lt;&gt;0,HistoricalStockProgress[[#This Row],[Total Price of Shares]]-HistoricalStockProgress[[#This Row],[Cost of Shares]],0)</f>
        <v>-1.7909101553801747</v>
      </c>
      <c r="L471" s="34" t="b" cm="1">
        <f t="array" ref="L471">IFERROR(IF(HistoricalStockProgress[[#This Row],[Price of Shares]]="",_xlfn.STOCKHISTORY(HistoricalStockProgress[[#This Row],[Full Company Name]],HistoricalStockProgress[[#This Row],[Date]],,2,0,1)),0)</f>
        <v>0</v>
      </c>
      <c r="M471" s="34">
        <f>YEAR(HistoricalStockProgress[[#This Row],[Date]])</f>
        <v>2018</v>
      </c>
      <c r="N471" s="34">
        <f>MONTH(HistoricalStockProgress[[#This Row],[Date]])</f>
        <v>9</v>
      </c>
    </row>
    <row r="472" spans="2:14">
      <c r="B472" s="15">
        <v>43373</v>
      </c>
      <c r="C472" s="34" t="s">
        <v>23</v>
      </c>
      <c r="D472" s="34" t="e" vm="4">
        <f>_xlfn.XLOOKUP(HistoricalStockProgress[[#This Row],[Company Ticker]],CompanyDetailsList[Company Ticker],CompanyDetailsList[Official Name],,0)</f>
        <v>#VALUE!</v>
      </c>
      <c r="E4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27</v>
      </c>
      <c r="F4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1188.3134737973896</v>
      </c>
      <c r="G472" s="17">
        <f>IFERROR(HistoricalStockProgress[[#This Row],[Cost of Shares]]/HistoricalStockProgress[[#This Row],[No. of Shares]],0)</f>
        <v>44.011610140644059</v>
      </c>
      <c r="H472" s="16" vm="1009">
        <v>46.19</v>
      </c>
      <c r="I472" s="16">
        <f>IF(HistoricalStockProgress[[#This Row],[No. of Shares]]&lt;&gt;0,HistoricalStockProgress[[#This Row],[Price of Shares]]*HistoricalStockProgress[[#This Row],[No. of Shares]],0)</f>
        <v>1247.1299999999999</v>
      </c>
      <c r="J472" s="16">
        <f>IF(HistoricalStockProgress[[#This Row],[No. of Shares]]&lt;&gt;0,HistoricalStockProgress[[#This Row],[Price of Shares]]-HistoricalStockProgress[[#This Row],[Cost of Shares]]/HistoricalStockProgress[[#This Row],[No. of Shares]],0)</f>
        <v>2.1783898593559385</v>
      </c>
      <c r="K472" s="17">
        <f>IF(HistoricalStockProgress[[#This Row],[Total Price of Shares]]&lt;&gt;0,HistoricalStockProgress[[#This Row],[Total Price of Shares]]-HistoricalStockProgress[[#This Row],[Cost of Shares]],0)</f>
        <v>58.816526202610248</v>
      </c>
      <c r="L472" s="34" t="b" cm="1">
        <f t="array" ref="L472">IFERROR(IF(HistoricalStockProgress[[#This Row],[Price of Shares]]="",_xlfn.STOCKHISTORY(HistoricalStockProgress[[#This Row],[Full Company Name]],HistoricalStockProgress[[#This Row],[Date]],,2,0,1)),0)</f>
        <v>0</v>
      </c>
      <c r="M472" s="34">
        <f>YEAR(HistoricalStockProgress[[#This Row],[Date]])</f>
        <v>2018</v>
      </c>
      <c r="N472" s="34">
        <f>MONTH(HistoricalStockProgress[[#This Row],[Date]])</f>
        <v>9</v>
      </c>
    </row>
    <row r="473" spans="2:14">
      <c r="B473" s="15">
        <v>43373</v>
      </c>
      <c r="C473" s="34" t="s">
        <v>84</v>
      </c>
      <c r="D473" s="34" t="e" vm="7">
        <f>_xlfn.XLOOKUP(HistoricalStockProgress[[#This Row],[Company Ticker]],CompanyDetailsList[Company Ticker],CompanyDetailsList[Official Name],,0)</f>
        <v>#VALUE!</v>
      </c>
      <c r="E4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4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473" s="17">
        <f>IFERROR(HistoricalStockProgress[[#This Row],[Cost of Shares]]/HistoricalStockProgress[[#This Row],[No. of Shares]],0)</f>
        <v>104.18087504950869</v>
      </c>
      <c r="H473" s="16" vm="1010">
        <v>138.16999999999999</v>
      </c>
      <c r="I473" s="16">
        <f>IF(HistoricalStockProgress[[#This Row],[No. of Shares]]&lt;&gt;0,HistoricalStockProgress[[#This Row],[Price of Shares]]*HistoricalStockProgress[[#This Row],[No. of Shares]],0)</f>
        <v>7046.6699999999992</v>
      </c>
      <c r="J473" s="16">
        <f>IF(HistoricalStockProgress[[#This Row],[No. of Shares]]&lt;&gt;0,HistoricalStockProgress[[#This Row],[Price of Shares]]-HistoricalStockProgress[[#This Row],[Cost of Shares]]/HistoricalStockProgress[[#This Row],[No. of Shares]],0)</f>
        <v>33.989124950491302</v>
      </c>
      <c r="K473" s="17">
        <f>IF(HistoricalStockProgress[[#This Row],[Total Price of Shares]]&lt;&gt;0,HistoricalStockProgress[[#This Row],[Total Price of Shares]]-HistoricalStockProgress[[#This Row],[Cost of Shares]],0)</f>
        <v>1733.4453724750565</v>
      </c>
      <c r="L473" s="34" t="b" cm="1">
        <f t="array" ref="L473">IFERROR(IF(HistoricalStockProgress[[#This Row],[Price of Shares]]="",_xlfn.STOCKHISTORY(HistoricalStockProgress[[#This Row],[Full Company Name]],HistoricalStockProgress[[#This Row],[Date]],,2,0,1)),0)</f>
        <v>0</v>
      </c>
      <c r="M473" s="34">
        <f>YEAR(HistoricalStockProgress[[#This Row],[Date]])</f>
        <v>2018</v>
      </c>
      <c r="N473" s="34">
        <f>MONTH(HistoricalStockProgress[[#This Row],[Date]])</f>
        <v>9</v>
      </c>
    </row>
    <row r="474" spans="2:14">
      <c r="B474" s="15">
        <v>43373</v>
      </c>
      <c r="C474" s="34" t="s">
        <v>86</v>
      </c>
      <c r="D474" s="34" t="e" vm="8">
        <f>_xlfn.XLOOKUP(HistoricalStockProgress[[#This Row],[Company Ticker]],CompanyDetailsList[Company Ticker],CompanyDetailsList[Official Name],,0)</f>
        <v>#VALUE!</v>
      </c>
      <c r="E4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4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474" s="17">
        <f>IFERROR(HistoricalStockProgress[[#This Row],[Cost of Shares]]/HistoricalStockProgress[[#This Row],[No. of Shares]],0)</f>
        <v>85.876031764920896</v>
      </c>
      <c r="H474" s="16" vm="1011">
        <v>94.58</v>
      </c>
      <c r="I474" s="16">
        <f>IF(HistoricalStockProgress[[#This Row],[No. of Shares]]&lt;&gt;0,HistoricalStockProgress[[#This Row],[Price of Shares]]*HistoricalStockProgress[[#This Row],[No. of Shares]],0)</f>
        <v>5012.74</v>
      </c>
      <c r="J474" s="16">
        <f>IF(HistoricalStockProgress[[#This Row],[No. of Shares]]&lt;&gt;0,HistoricalStockProgress[[#This Row],[Price of Shares]]-HistoricalStockProgress[[#This Row],[Cost of Shares]]/HistoricalStockProgress[[#This Row],[No. of Shares]],0)</f>
        <v>8.7039682350791026</v>
      </c>
      <c r="K474" s="17">
        <f>IF(HistoricalStockProgress[[#This Row],[Total Price of Shares]]&lt;&gt;0,HistoricalStockProgress[[#This Row],[Total Price of Shares]]-HistoricalStockProgress[[#This Row],[Cost of Shares]],0)</f>
        <v>461.31031645919211</v>
      </c>
      <c r="L474" s="34" t="b" cm="1">
        <f t="array" ref="L474">IFERROR(IF(HistoricalStockProgress[[#This Row],[Price of Shares]]="",_xlfn.STOCKHISTORY(HistoricalStockProgress[[#This Row],[Full Company Name]],HistoricalStockProgress[[#This Row],[Date]],,2,0,1)),0)</f>
        <v>0</v>
      </c>
      <c r="M474" s="34">
        <f>YEAR(HistoricalStockProgress[[#This Row],[Date]])</f>
        <v>2018</v>
      </c>
      <c r="N474" s="34">
        <f>MONTH(HistoricalStockProgress[[#This Row],[Date]])</f>
        <v>9</v>
      </c>
    </row>
    <row r="475" spans="2:14">
      <c r="B475" s="15">
        <v>43373</v>
      </c>
      <c r="C475" s="34" t="s">
        <v>22</v>
      </c>
      <c r="D475" s="34" t="e" vm="10">
        <f>_xlfn.XLOOKUP(HistoricalStockProgress[[#This Row],[Company Ticker]],CompanyDetailsList[Company Ticker],CompanyDetailsList[Official Name],,0)</f>
        <v>#VALUE!</v>
      </c>
      <c r="E4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4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475" s="17">
        <f>IFERROR(HistoricalStockProgress[[#This Row],[Cost of Shares]]/HistoricalStockProgress[[#This Row],[No. of Shares]],0)</f>
        <v>83.61275075159574</v>
      </c>
      <c r="H475" s="16" vm="1012">
        <v>152.49</v>
      </c>
      <c r="I475" s="16">
        <f>IF(HistoricalStockProgress[[#This Row],[No. of Shares]]&lt;&gt;0,HistoricalStockProgress[[#This Row],[Price of Shares]]*HistoricalStockProgress[[#This Row],[No. of Shares]],0)</f>
        <v>9301.8900000000012</v>
      </c>
      <c r="J475" s="16">
        <f>IF(HistoricalStockProgress[[#This Row],[No. of Shares]]&lt;&gt;0,HistoricalStockProgress[[#This Row],[Price of Shares]]-HistoricalStockProgress[[#This Row],[Cost of Shares]]/HistoricalStockProgress[[#This Row],[No. of Shares]],0)</f>
        <v>68.877249248404269</v>
      </c>
      <c r="K475" s="17">
        <f>IF(HistoricalStockProgress[[#This Row],[Total Price of Shares]]&lt;&gt;0,HistoricalStockProgress[[#This Row],[Total Price of Shares]]-HistoricalStockProgress[[#This Row],[Cost of Shares]],0)</f>
        <v>4201.5122041526611</v>
      </c>
      <c r="L475" s="34" t="b" cm="1">
        <f t="array" ref="L475">IFERROR(IF(HistoricalStockProgress[[#This Row],[Price of Shares]]="",_xlfn.STOCKHISTORY(HistoricalStockProgress[[#This Row],[Full Company Name]],HistoricalStockProgress[[#This Row],[Date]],,2,0,1)),0)</f>
        <v>0</v>
      </c>
      <c r="M475" s="34">
        <f>YEAR(HistoricalStockProgress[[#This Row],[Date]])</f>
        <v>2018</v>
      </c>
      <c r="N475" s="34">
        <f>MONTH(HistoricalStockProgress[[#This Row],[Date]])</f>
        <v>9</v>
      </c>
    </row>
    <row r="476" spans="2:14">
      <c r="B476" s="15">
        <v>43373</v>
      </c>
      <c r="C476" s="34" t="s">
        <v>91</v>
      </c>
      <c r="D476" s="34" t="e" vm="11">
        <f>_xlfn.XLOOKUP(HistoricalStockProgress[[#This Row],[Company Ticker]],CompanyDetailsList[Company Ticker],CompanyDetailsList[Official Name],,0)</f>
        <v>#VALUE!</v>
      </c>
      <c r="E4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4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4641.1780084974125</v>
      </c>
      <c r="G476" s="17">
        <f>IFERROR(HistoricalStockProgress[[#This Row],[Cost of Shares]]/HistoricalStockProgress[[#This Row],[No. of Shares]],0)</f>
        <v>58.749088715157121</v>
      </c>
      <c r="H476" s="16" vm="1013">
        <v>114.37</v>
      </c>
      <c r="I476" s="16">
        <f>IF(HistoricalStockProgress[[#This Row],[No. of Shares]]&lt;&gt;0,HistoricalStockProgress[[#This Row],[Price of Shares]]*HistoricalStockProgress[[#This Row],[No. of Shares]],0)</f>
        <v>9035.23</v>
      </c>
      <c r="J476" s="16">
        <f>IF(HistoricalStockProgress[[#This Row],[No. of Shares]]&lt;&gt;0,HistoricalStockProgress[[#This Row],[Price of Shares]]-HistoricalStockProgress[[#This Row],[Cost of Shares]]/HistoricalStockProgress[[#This Row],[No. of Shares]],0)</f>
        <v>55.620911284842883</v>
      </c>
      <c r="K476" s="17">
        <f>IF(HistoricalStockProgress[[#This Row],[Total Price of Shares]]&lt;&gt;0,HistoricalStockProgress[[#This Row],[Total Price of Shares]]-HistoricalStockProgress[[#This Row],[Cost of Shares]],0)</f>
        <v>4394.051991502587</v>
      </c>
      <c r="L476" s="34" t="b" cm="1">
        <f t="array" ref="L476">IFERROR(IF(HistoricalStockProgress[[#This Row],[Price of Shares]]="",_xlfn.STOCKHISTORY(HistoricalStockProgress[[#This Row],[Full Company Name]],HistoricalStockProgress[[#This Row],[Date]],,2,0,1)),0)</f>
        <v>0</v>
      </c>
      <c r="M476" s="34">
        <f>YEAR(HistoricalStockProgress[[#This Row],[Date]])</f>
        <v>2018</v>
      </c>
      <c r="N476" s="34">
        <f>MONTH(HistoricalStockProgress[[#This Row],[Date]])</f>
        <v>9</v>
      </c>
    </row>
    <row r="477" spans="2:14">
      <c r="B477" s="15">
        <v>43373</v>
      </c>
      <c r="C477" s="34" t="s">
        <v>16</v>
      </c>
      <c r="D477" s="34" t="e" vm="12">
        <f>_xlfn.XLOOKUP(HistoricalStockProgress[[#This Row],[Company Ticker]],CompanyDetailsList[Company Ticker],CompanyDetailsList[Official Name],,0)</f>
        <v>#VALUE!</v>
      </c>
      <c r="E4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4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477" s="17">
        <f>IFERROR(HistoricalStockProgress[[#This Row],[Cost of Shares]]/HistoricalStockProgress[[#This Row],[No. of Shares]],0)</f>
        <v>82.900834685216523</v>
      </c>
      <c r="H477" s="16" vm="1014">
        <v>85.02</v>
      </c>
      <c r="I477" s="16">
        <f>IF(HistoricalStockProgress[[#This Row],[No. of Shares]]&lt;&gt;0,HistoricalStockProgress[[#This Row],[Price of Shares]]*HistoricalStockProgress[[#This Row],[No. of Shares]],0)</f>
        <v>12327.9</v>
      </c>
      <c r="J477" s="16">
        <f>IF(HistoricalStockProgress[[#This Row],[No. of Shares]]&lt;&gt;0,HistoricalStockProgress[[#This Row],[Price of Shares]]-HistoricalStockProgress[[#This Row],[Cost of Shares]]/HistoricalStockProgress[[#This Row],[No. of Shares]],0)</f>
        <v>2.1191653147834728</v>
      </c>
      <c r="K477" s="17">
        <f>IF(HistoricalStockProgress[[#This Row],[Total Price of Shares]]&lt;&gt;0,HistoricalStockProgress[[#This Row],[Total Price of Shares]]-HistoricalStockProgress[[#This Row],[Cost of Shares]],0)</f>
        <v>307.27897064360332</v>
      </c>
      <c r="L477" s="34" t="b" cm="1">
        <f t="array" ref="L477">IFERROR(IF(HistoricalStockProgress[[#This Row],[Price of Shares]]="",_xlfn.STOCKHISTORY(HistoricalStockProgress[[#This Row],[Full Company Name]],HistoricalStockProgress[[#This Row],[Date]],,2,0,1)),0)</f>
        <v>0</v>
      </c>
      <c r="M477" s="34">
        <f>YEAR(HistoricalStockProgress[[#This Row],[Date]])</f>
        <v>2018</v>
      </c>
      <c r="N477" s="34">
        <f>MONTH(HistoricalStockProgress[[#This Row],[Date]])</f>
        <v>9</v>
      </c>
    </row>
    <row r="478" spans="2:14">
      <c r="B478" s="15">
        <v>43373</v>
      </c>
      <c r="C478" s="34" t="s">
        <v>95</v>
      </c>
      <c r="D478" s="34" t="e" vm="13">
        <f>_xlfn.XLOOKUP(HistoricalStockProgress[[#This Row],[Company Ticker]],CompanyDetailsList[Company Ticker],CompanyDetailsList[Official Name],,0)</f>
        <v>#VALUE!</v>
      </c>
      <c r="E4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4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478" s="17">
        <f>IFERROR(HistoricalStockProgress[[#This Row],[Cost of Shares]]/HistoricalStockProgress[[#This Row],[No. of Shares]],0)</f>
        <v>143.29758396474452</v>
      </c>
      <c r="H478" s="16" vm="1015">
        <v>207.15</v>
      </c>
      <c r="I478" s="16">
        <f>IF(HistoricalStockProgress[[#This Row],[No. of Shares]]&lt;&gt;0,HistoricalStockProgress[[#This Row],[Price of Shares]]*HistoricalStockProgress[[#This Row],[No. of Shares]],0)</f>
        <v>8907.4500000000007</v>
      </c>
      <c r="J478" s="16">
        <f>IF(HistoricalStockProgress[[#This Row],[No. of Shares]]&lt;&gt;0,HistoricalStockProgress[[#This Row],[Price of Shares]]-HistoricalStockProgress[[#This Row],[Cost of Shares]]/HistoricalStockProgress[[#This Row],[No. of Shares]],0)</f>
        <v>63.852416035255487</v>
      </c>
      <c r="K478" s="17">
        <f>IF(HistoricalStockProgress[[#This Row],[Total Price of Shares]]&lt;&gt;0,HistoricalStockProgress[[#This Row],[Total Price of Shares]]-HistoricalStockProgress[[#This Row],[Cost of Shares]],0)</f>
        <v>2745.6538895159865</v>
      </c>
      <c r="L478" s="34" t="b" cm="1">
        <f t="array" ref="L478">IFERROR(IF(HistoricalStockProgress[[#This Row],[Price of Shares]]="",_xlfn.STOCKHISTORY(HistoricalStockProgress[[#This Row],[Full Company Name]],HistoricalStockProgress[[#This Row],[Date]],,2,0,1)),0)</f>
        <v>0</v>
      </c>
      <c r="M478" s="34">
        <f>YEAR(HistoricalStockProgress[[#This Row],[Date]])</f>
        <v>2018</v>
      </c>
      <c r="N478" s="34">
        <f>MONTH(HistoricalStockProgress[[#This Row],[Date]])</f>
        <v>9</v>
      </c>
    </row>
    <row r="479" spans="2:14">
      <c r="B479" s="15">
        <v>43373</v>
      </c>
      <c r="C479" s="34" t="s">
        <v>17</v>
      </c>
      <c r="D479" s="34" t="e" vm="14">
        <f>_xlfn.XLOOKUP(HistoricalStockProgress[[#This Row],[Company Ticker]],CompanyDetailsList[Company Ticker],CompanyDetailsList[Official Name],,0)</f>
        <v>#VALUE!</v>
      </c>
      <c r="E4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4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9484.3704371074709</v>
      </c>
      <c r="G479" s="17">
        <f>IFERROR(HistoricalStockProgress[[#This Row],[Cost of Shares]]/HistoricalStockProgress[[#This Row],[No. of Shares]],0)</f>
        <v>150.54556249376938</v>
      </c>
      <c r="H479" s="16" vm="1016">
        <v>151.21</v>
      </c>
      <c r="I479" s="16">
        <f>IF(HistoricalStockProgress[[#This Row],[No. of Shares]]&lt;&gt;0,HistoricalStockProgress[[#This Row],[Price of Shares]]*HistoricalStockProgress[[#This Row],[No. of Shares]],0)</f>
        <v>9526.2300000000014</v>
      </c>
      <c r="J479" s="16">
        <f>IF(HistoricalStockProgress[[#This Row],[No. of Shares]]&lt;&gt;0,HistoricalStockProgress[[#This Row],[Price of Shares]]-HistoricalStockProgress[[#This Row],[Cost of Shares]]/HistoricalStockProgress[[#This Row],[No. of Shares]],0)</f>
        <v>0.6644375062306267</v>
      </c>
      <c r="K479" s="17">
        <f>IF(HistoricalStockProgress[[#This Row],[Total Price of Shares]]&lt;&gt;0,HistoricalStockProgress[[#This Row],[Total Price of Shares]]-HistoricalStockProgress[[#This Row],[Cost of Shares]],0)</f>
        <v>41.859562892530448</v>
      </c>
      <c r="L479" s="34" t="b" cm="1">
        <f t="array" ref="L479">IFERROR(IF(HistoricalStockProgress[[#This Row],[Price of Shares]]="",_xlfn.STOCKHISTORY(HistoricalStockProgress[[#This Row],[Full Company Name]],HistoricalStockProgress[[#This Row],[Date]],,2,0,1)),0)</f>
        <v>0</v>
      </c>
      <c r="M479" s="34">
        <f>YEAR(HistoricalStockProgress[[#This Row],[Date]])</f>
        <v>2018</v>
      </c>
      <c r="N479" s="34">
        <f>MONTH(HistoricalStockProgress[[#This Row],[Date]])</f>
        <v>9</v>
      </c>
    </row>
    <row r="480" spans="2:14">
      <c r="B480" s="15">
        <v>43373</v>
      </c>
      <c r="C480" s="34" t="s">
        <v>98</v>
      </c>
      <c r="D480" s="34" t="e" vm="15">
        <f>_xlfn.XLOOKUP(HistoricalStockProgress[[#This Row],[Company Ticker]],CompanyDetailsList[Company Ticker],CompanyDetailsList[Official Name],,0)</f>
        <v>#VALUE!</v>
      </c>
      <c r="E4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4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1941.9842250911215</v>
      </c>
      <c r="G480" s="17">
        <f>IFERROR(HistoricalStockProgress[[#This Row],[Cost of Shares]]/HistoricalStockProgress[[#This Row],[No. of Shares]],0)</f>
        <v>38.078122060610227</v>
      </c>
      <c r="H480" s="16" vm="1017">
        <v>41.9</v>
      </c>
      <c r="I480" s="16">
        <f>IF(HistoricalStockProgress[[#This Row],[No. of Shares]]&lt;&gt;0,HistoricalStockProgress[[#This Row],[Price of Shares]]*HistoricalStockProgress[[#This Row],[No. of Shares]],0)</f>
        <v>2136.9</v>
      </c>
      <c r="J480" s="16">
        <f>IF(HistoricalStockProgress[[#This Row],[No. of Shares]]&lt;&gt;0,HistoricalStockProgress[[#This Row],[Price of Shares]]-HistoricalStockProgress[[#This Row],[Cost of Shares]]/HistoricalStockProgress[[#This Row],[No. of Shares]],0)</f>
        <v>3.8218779393897719</v>
      </c>
      <c r="K480" s="17">
        <f>IF(HistoricalStockProgress[[#This Row],[Total Price of Shares]]&lt;&gt;0,HistoricalStockProgress[[#This Row],[Total Price of Shares]]-HistoricalStockProgress[[#This Row],[Cost of Shares]],0)</f>
        <v>194.91577490887857</v>
      </c>
      <c r="L480" s="34" t="b" cm="1">
        <f t="array" ref="L480">IFERROR(IF(HistoricalStockProgress[[#This Row],[Price of Shares]]="",_xlfn.STOCKHISTORY(HistoricalStockProgress[[#This Row],[Full Company Name]],HistoricalStockProgress[[#This Row],[Date]],,2,0,1)),0)</f>
        <v>0</v>
      </c>
      <c r="M480" s="34">
        <f>YEAR(HistoricalStockProgress[[#This Row],[Date]])</f>
        <v>2018</v>
      </c>
      <c r="N480" s="34">
        <f>MONTH(HistoricalStockProgress[[#This Row],[Date]])</f>
        <v>9</v>
      </c>
    </row>
    <row r="481" spans="2:14">
      <c r="B481" s="15">
        <v>43373</v>
      </c>
      <c r="C481" s="34" t="s">
        <v>100</v>
      </c>
      <c r="D481" s="34" t="e" vm="16">
        <f>_xlfn.XLOOKUP(HistoricalStockProgress[[#This Row],[Company Ticker]],CompanyDetailsList[Company Ticker],CompanyDetailsList[Official Name],,0)</f>
        <v>#VALUE!</v>
      </c>
      <c r="E4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4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481" s="17">
        <f>IFERROR(HistoricalStockProgress[[#This Row],[Cost of Shares]]/HistoricalStockProgress[[#This Row],[No. of Shares]],0)</f>
        <v>84.509035134678101</v>
      </c>
      <c r="H481" s="16" vm="720">
        <v>80.02</v>
      </c>
      <c r="I481" s="16">
        <f>IF(HistoricalStockProgress[[#This Row],[No. of Shares]]&lt;&gt;0,HistoricalStockProgress[[#This Row],[Price of Shares]]*HistoricalStockProgress[[#This Row],[No. of Shares]],0)</f>
        <v>2640.66</v>
      </c>
      <c r="J481" s="16">
        <f>IF(HistoricalStockProgress[[#This Row],[No. of Shares]]&lt;&gt;0,HistoricalStockProgress[[#This Row],[Price of Shares]]-HistoricalStockProgress[[#This Row],[Cost of Shares]]/HistoricalStockProgress[[#This Row],[No. of Shares]],0)</f>
        <v>-4.4890351346781046</v>
      </c>
      <c r="K481" s="17">
        <f>IF(HistoricalStockProgress[[#This Row],[Total Price of Shares]]&lt;&gt;0,HistoricalStockProgress[[#This Row],[Total Price of Shares]]-HistoricalStockProgress[[#This Row],[Cost of Shares]],0)</f>
        <v>-148.13815944437738</v>
      </c>
      <c r="L481" s="34" t="b" cm="1">
        <f t="array" ref="L481">IFERROR(IF(HistoricalStockProgress[[#This Row],[Price of Shares]]="",_xlfn.STOCKHISTORY(HistoricalStockProgress[[#This Row],[Full Company Name]],HistoricalStockProgress[[#This Row],[Date]],,2,0,1)),0)</f>
        <v>0</v>
      </c>
      <c r="M481" s="34">
        <f>YEAR(HistoricalStockProgress[[#This Row],[Date]])</f>
        <v>2018</v>
      </c>
      <c r="N481" s="34">
        <f>MONTH(HistoricalStockProgress[[#This Row],[Date]])</f>
        <v>9</v>
      </c>
    </row>
    <row r="482" spans="2:14">
      <c r="B482" s="15">
        <v>43373</v>
      </c>
      <c r="C482" s="34" t="s">
        <v>15</v>
      </c>
      <c r="D482" s="34" t="e" vm="17">
        <f>_xlfn.XLOOKUP(HistoricalStockProgress[[#This Row],[Company Ticker]],CompanyDetailsList[Company Ticker],CompanyDetailsList[Official Name],,0)</f>
        <v>#VALUE!</v>
      </c>
      <c r="E4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4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482" s="17">
        <f>IFERROR(HistoricalStockProgress[[#This Row],[Cost of Shares]]/HistoricalStockProgress[[#This Row],[No. of Shares]],0)</f>
        <v>26.081956457072195</v>
      </c>
      <c r="H482" s="16" vm="1018">
        <v>25.358899999999998</v>
      </c>
      <c r="I482" s="16">
        <f>IF(HistoricalStockProgress[[#This Row],[No. of Shares]]&lt;&gt;0,HistoricalStockProgress[[#This Row],[Price of Shares]]*HistoricalStockProgress[[#This Row],[No. of Shares]],0)</f>
        <v>3144.5036</v>
      </c>
      <c r="J482" s="16">
        <f>IF(HistoricalStockProgress[[#This Row],[No. of Shares]]&lt;&gt;0,HistoricalStockProgress[[#This Row],[Price of Shares]]-HistoricalStockProgress[[#This Row],[Cost of Shares]]/HistoricalStockProgress[[#This Row],[No. of Shares]],0)</f>
        <v>-0.72305645707219668</v>
      </c>
      <c r="K482" s="17">
        <f>IF(HistoricalStockProgress[[#This Row],[Total Price of Shares]]&lt;&gt;0,HistoricalStockProgress[[#This Row],[Total Price of Shares]]-HistoricalStockProgress[[#This Row],[Cost of Shares]],0)</f>
        <v>-89.659000676952019</v>
      </c>
      <c r="L482" s="34" t="b" cm="1">
        <f t="array" ref="L482">IFERROR(IF(HistoricalStockProgress[[#This Row],[Price of Shares]]="",_xlfn.STOCKHISTORY(HistoricalStockProgress[[#This Row],[Full Company Name]],HistoricalStockProgress[[#This Row],[Date]],,2,0,1)),0)</f>
        <v>0</v>
      </c>
      <c r="M482" s="34">
        <f>YEAR(HistoricalStockProgress[[#This Row],[Date]])</f>
        <v>2018</v>
      </c>
      <c r="N482" s="34">
        <f>MONTH(HistoricalStockProgress[[#This Row],[Date]])</f>
        <v>9</v>
      </c>
    </row>
    <row r="483" spans="2:14">
      <c r="B483" s="15">
        <v>43373</v>
      </c>
      <c r="C483" s="34" t="s">
        <v>13</v>
      </c>
      <c r="D483" s="34" t="e" vm="18">
        <f>_xlfn.XLOOKUP(HistoricalStockProgress[[#This Row],[Company Ticker]],CompanyDetailsList[Company Ticker],CompanyDetailsList[Official Name],,0)</f>
        <v>#VALUE!</v>
      </c>
      <c r="E4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4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483" s="17">
        <f>IFERROR(HistoricalStockProgress[[#This Row],[Cost of Shares]]/HistoricalStockProgress[[#This Row],[No. of Shares]],0)</f>
        <v>31.383479678650293</v>
      </c>
      <c r="H483" s="16" vm="1019">
        <v>41.776200000000003</v>
      </c>
      <c r="I483" s="16">
        <f>IF(HistoricalStockProgress[[#This Row],[No. of Shares]]&lt;&gt;0,HistoricalStockProgress[[#This Row],[Price of Shares]]*HistoricalStockProgress[[#This Row],[No. of Shares]],0)</f>
        <v>1044.405</v>
      </c>
      <c r="J483" s="16">
        <f>IF(HistoricalStockProgress[[#This Row],[No. of Shares]]&lt;&gt;0,HistoricalStockProgress[[#This Row],[Price of Shares]]-HistoricalStockProgress[[#This Row],[Cost of Shares]]/HistoricalStockProgress[[#This Row],[No. of Shares]],0)</f>
        <v>10.39272032134971</v>
      </c>
      <c r="K483" s="17">
        <f>IF(HistoricalStockProgress[[#This Row],[Total Price of Shares]]&lt;&gt;0,HistoricalStockProgress[[#This Row],[Total Price of Shares]]-HistoricalStockProgress[[#This Row],[Cost of Shares]],0)</f>
        <v>259.81800803374267</v>
      </c>
      <c r="L483" s="34" t="b" cm="1">
        <f t="array" ref="L483">IFERROR(IF(HistoricalStockProgress[[#This Row],[Price of Shares]]="",_xlfn.STOCKHISTORY(HistoricalStockProgress[[#This Row],[Full Company Name]],HistoricalStockProgress[[#This Row],[Date]],,2,0,1)),0)</f>
        <v>0</v>
      </c>
      <c r="M483" s="34">
        <f>YEAR(HistoricalStockProgress[[#This Row],[Date]])</f>
        <v>2018</v>
      </c>
      <c r="N483" s="34">
        <f>MONTH(HistoricalStockProgress[[#This Row],[Date]])</f>
        <v>9</v>
      </c>
    </row>
    <row r="484" spans="2:14">
      <c r="B484" s="15">
        <v>43373</v>
      </c>
      <c r="C484" s="34" t="s">
        <v>20</v>
      </c>
      <c r="D484" s="34" t="e" vm="19">
        <f>_xlfn.XLOOKUP(HistoricalStockProgress[[#This Row],[Company Ticker]],CompanyDetailsList[Company Ticker],CompanyDetailsList[Official Name],,0)</f>
        <v>#VALUE!</v>
      </c>
      <c r="E4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4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484" s="17">
        <f>IFERROR(HistoricalStockProgress[[#This Row],[Cost of Shares]]/HistoricalStockProgress[[#This Row],[No. of Shares]],0)</f>
        <v>93.912242833589502</v>
      </c>
      <c r="H484" s="16" vm="1020">
        <v>112.84</v>
      </c>
      <c r="I484" s="16">
        <f>IF(HistoricalStockProgress[[#This Row],[No. of Shares]]&lt;&gt;0,HistoricalStockProgress[[#This Row],[Price of Shares]]*HistoricalStockProgress[[#This Row],[No. of Shares]],0)</f>
        <v>8801.52</v>
      </c>
      <c r="J484" s="16">
        <f>IF(HistoricalStockProgress[[#This Row],[No. of Shares]]&lt;&gt;0,HistoricalStockProgress[[#This Row],[Price of Shares]]-HistoricalStockProgress[[#This Row],[Cost of Shares]]/HistoricalStockProgress[[#This Row],[No. of Shares]],0)</f>
        <v>18.927757166410501</v>
      </c>
      <c r="K484" s="17">
        <f>IF(HistoricalStockProgress[[#This Row],[Total Price of Shares]]&lt;&gt;0,HistoricalStockProgress[[#This Row],[Total Price of Shares]]-HistoricalStockProgress[[#This Row],[Cost of Shares]],0)</f>
        <v>1476.3650589800191</v>
      </c>
      <c r="L484" s="34" t="b" cm="1">
        <f t="array" ref="L484">IFERROR(IF(HistoricalStockProgress[[#This Row],[Price of Shares]]="",_xlfn.STOCKHISTORY(HistoricalStockProgress[[#This Row],[Full Company Name]],HistoricalStockProgress[[#This Row],[Date]],,2,0,1)),0)</f>
        <v>0</v>
      </c>
      <c r="M484" s="34">
        <f>YEAR(HistoricalStockProgress[[#This Row],[Date]])</f>
        <v>2018</v>
      </c>
      <c r="N484" s="34">
        <f>MONTH(HistoricalStockProgress[[#This Row],[Date]])</f>
        <v>9</v>
      </c>
    </row>
    <row r="485" spans="2:14">
      <c r="B485" s="15">
        <v>43373</v>
      </c>
      <c r="C485" s="34" t="s">
        <v>106</v>
      </c>
      <c r="D485" s="34" t="e" vm="20">
        <f>_xlfn.XLOOKUP(HistoricalStockProgress[[#This Row],[Company Ticker]],CompanyDetailsList[Company Ticker],CompanyDetailsList[Official Name],,0)</f>
        <v>#VALUE!</v>
      </c>
      <c r="E4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4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485" s="17">
        <f>IFERROR(HistoricalStockProgress[[#This Row],[Cost of Shares]]/HistoricalStockProgress[[#This Row],[No. of Shares]],0)</f>
        <v>104.71316390485761</v>
      </c>
      <c r="H485" s="16" vm="1021">
        <v>109.13</v>
      </c>
      <c r="I485" s="16">
        <f>IF(HistoricalStockProgress[[#This Row],[No. of Shares]]&lt;&gt;0,HistoricalStockProgress[[#This Row],[Price of Shares]]*HistoricalStockProgress[[#This Row],[No. of Shares]],0)</f>
        <v>3819.5499999999997</v>
      </c>
      <c r="J485" s="16">
        <f>IF(HistoricalStockProgress[[#This Row],[No. of Shares]]&lt;&gt;0,HistoricalStockProgress[[#This Row],[Price of Shares]]-HistoricalStockProgress[[#This Row],[Cost of Shares]]/HistoricalStockProgress[[#This Row],[No. of Shares]],0)</f>
        <v>4.4168360951423864</v>
      </c>
      <c r="K485" s="17">
        <f>IF(HistoricalStockProgress[[#This Row],[Total Price of Shares]]&lt;&gt;0,HistoricalStockProgress[[#This Row],[Total Price of Shares]]-HistoricalStockProgress[[#This Row],[Cost of Shares]],0)</f>
        <v>154.58926332998317</v>
      </c>
      <c r="L485" s="34" t="b" cm="1">
        <f t="array" ref="L485">IFERROR(IF(HistoricalStockProgress[[#This Row],[Price of Shares]]="",_xlfn.STOCKHISTORY(HistoricalStockProgress[[#This Row],[Full Company Name]],HistoricalStockProgress[[#This Row],[Date]],,2,0,1)),0)</f>
        <v>0</v>
      </c>
      <c r="M485" s="34">
        <f>YEAR(HistoricalStockProgress[[#This Row],[Date]])</f>
        <v>2018</v>
      </c>
      <c r="N485" s="34">
        <f>MONTH(HistoricalStockProgress[[#This Row],[Date]])</f>
        <v>9</v>
      </c>
    </row>
    <row r="486" spans="2:14">
      <c r="B486" s="15">
        <v>43404</v>
      </c>
      <c r="C486" s="34" t="s">
        <v>12</v>
      </c>
      <c r="D486" s="34" t="e" vm="1">
        <f>_xlfn.XLOOKUP(HistoricalStockProgress[[#This Row],[Company Ticker]],CompanyDetailsList[Company Ticker],CompanyDetailsList[Official Name],,0)</f>
        <v>#VALUE!</v>
      </c>
      <c r="E4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4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486" s="17">
        <f>IFERROR(HistoricalStockProgress[[#This Row],[Cost of Shares]]/HistoricalStockProgress[[#This Row],[No. of Shares]],0)</f>
        <v>57.188485025896703</v>
      </c>
      <c r="H486" s="16" vm="1022">
        <v>60.27</v>
      </c>
      <c r="I486" s="16">
        <f>IF(HistoricalStockProgress[[#This Row],[No. of Shares]]&lt;&gt;0,HistoricalStockProgress[[#This Row],[Price of Shares]]*HistoricalStockProgress[[#This Row],[No. of Shares]],0)</f>
        <v>361.62</v>
      </c>
      <c r="J486" s="16">
        <f>IF(HistoricalStockProgress[[#This Row],[No. of Shares]]&lt;&gt;0,HistoricalStockProgress[[#This Row],[Price of Shares]]-HistoricalStockProgress[[#This Row],[Cost of Shares]]/HistoricalStockProgress[[#This Row],[No. of Shares]],0)</f>
        <v>3.0815149741032997</v>
      </c>
      <c r="K486" s="17">
        <f>IF(HistoricalStockProgress[[#This Row],[Total Price of Shares]]&lt;&gt;0,HistoricalStockProgress[[#This Row],[Total Price of Shares]]-HistoricalStockProgress[[#This Row],[Cost of Shares]],0)</f>
        <v>18.489089844619798</v>
      </c>
      <c r="L486" s="34" t="b" cm="1">
        <f t="array" ref="L486">IFERROR(IF(HistoricalStockProgress[[#This Row],[Price of Shares]]="",_xlfn.STOCKHISTORY(HistoricalStockProgress[[#This Row],[Full Company Name]],HistoricalStockProgress[[#This Row],[Date]],,2,0,1)),0)</f>
        <v>0</v>
      </c>
      <c r="M486" s="34">
        <f>YEAR(HistoricalStockProgress[[#This Row],[Date]])</f>
        <v>2018</v>
      </c>
      <c r="N486" s="34">
        <f>MONTH(HistoricalStockProgress[[#This Row],[Date]])</f>
        <v>10</v>
      </c>
    </row>
    <row r="487" spans="2:14">
      <c r="B487" s="15">
        <v>43404</v>
      </c>
      <c r="C487" s="34" t="s">
        <v>23</v>
      </c>
      <c r="D487" s="34" t="e" vm="4">
        <f>_xlfn.XLOOKUP(HistoricalStockProgress[[#This Row],[Company Ticker]],CompanyDetailsList[Company Ticker],CompanyDetailsList[Official Name],,0)</f>
        <v>#VALUE!</v>
      </c>
      <c r="E4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45</v>
      </c>
      <c r="F4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2020.8087775714473</v>
      </c>
      <c r="G487" s="17">
        <f>IFERROR(HistoricalStockProgress[[#This Row],[Cost of Shares]]/HistoricalStockProgress[[#This Row],[No. of Shares]],0)</f>
        <v>44.906861723809939</v>
      </c>
      <c r="H487" s="16" vm="1023">
        <v>47.88</v>
      </c>
      <c r="I487" s="16">
        <f>IF(HistoricalStockProgress[[#This Row],[No. of Shares]]&lt;&gt;0,HistoricalStockProgress[[#This Row],[Price of Shares]]*HistoricalStockProgress[[#This Row],[No. of Shares]],0)</f>
        <v>2154.6</v>
      </c>
      <c r="J487" s="16">
        <f>IF(HistoricalStockProgress[[#This Row],[No. of Shares]]&lt;&gt;0,HistoricalStockProgress[[#This Row],[Price of Shares]]-HistoricalStockProgress[[#This Row],[Cost of Shares]]/HistoricalStockProgress[[#This Row],[No. of Shares]],0)</f>
        <v>2.9731382761900633</v>
      </c>
      <c r="K487" s="17">
        <f>IF(HistoricalStockProgress[[#This Row],[Total Price of Shares]]&lt;&gt;0,HistoricalStockProgress[[#This Row],[Total Price of Shares]]-HistoricalStockProgress[[#This Row],[Cost of Shares]],0)</f>
        <v>133.7912224285526</v>
      </c>
      <c r="L487" s="34" t="b" cm="1">
        <f t="array" ref="L487">IFERROR(IF(HistoricalStockProgress[[#This Row],[Price of Shares]]="",_xlfn.STOCKHISTORY(HistoricalStockProgress[[#This Row],[Full Company Name]],HistoricalStockProgress[[#This Row],[Date]],,2,0,1)),0)</f>
        <v>0</v>
      </c>
      <c r="M487" s="34">
        <f>YEAR(HistoricalStockProgress[[#This Row],[Date]])</f>
        <v>2018</v>
      </c>
      <c r="N487" s="34">
        <f>MONTH(HistoricalStockProgress[[#This Row],[Date]])</f>
        <v>10</v>
      </c>
    </row>
    <row r="488" spans="2:14">
      <c r="B488" s="15">
        <v>43404</v>
      </c>
      <c r="C488" s="34" t="s">
        <v>84</v>
      </c>
      <c r="D488" s="34" t="e" vm="7">
        <f>_xlfn.XLOOKUP(HistoricalStockProgress[[#This Row],[Company Ticker]],CompanyDetailsList[Company Ticker],CompanyDetailsList[Official Name],,0)</f>
        <v>#VALUE!</v>
      </c>
      <c r="E4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4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488" s="17">
        <f>IFERROR(HistoricalStockProgress[[#This Row],[Cost of Shares]]/HistoricalStockProgress[[#This Row],[No. of Shares]],0)</f>
        <v>104.18087504950869</v>
      </c>
      <c r="H488" s="16" vm="1024">
        <v>139.99</v>
      </c>
      <c r="I488" s="16">
        <f>IF(HistoricalStockProgress[[#This Row],[No. of Shares]]&lt;&gt;0,HistoricalStockProgress[[#This Row],[Price of Shares]]*HistoricalStockProgress[[#This Row],[No. of Shares]],0)</f>
        <v>7139.4900000000007</v>
      </c>
      <c r="J488" s="16">
        <f>IF(HistoricalStockProgress[[#This Row],[No. of Shares]]&lt;&gt;0,HistoricalStockProgress[[#This Row],[Price of Shares]]-HistoricalStockProgress[[#This Row],[Cost of Shares]]/HistoricalStockProgress[[#This Row],[No. of Shares]],0)</f>
        <v>35.809124950491324</v>
      </c>
      <c r="K488" s="17">
        <f>IF(HistoricalStockProgress[[#This Row],[Total Price of Shares]]&lt;&gt;0,HistoricalStockProgress[[#This Row],[Total Price of Shares]]-HistoricalStockProgress[[#This Row],[Cost of Shares]],0)</f>
        <v>1826.265372475058</v>
      </c>
      <c r="L488" s="34" t="b" cm="1">
        <f t="array" ref="L488">IFERROR(IF(HistoricalStockProgress[[#This Row],[Price of Shares]]="",_xlfn.STOCKHISTORY(HistoricalStockProgress[[#This Row],[Full Company Name]],HistoricalStockProgress[[#This Row],[Date]],,2,0,1)),0)</f>
        <v>0</v>
      </c>
      <c r="M488" s="34">
        <f>YEAR(HistoricalStockProgress[[#This Row],[Date]])</f>
        <v>2018</v>
      </c>
      <c r="N488" s="34">
        <f>MONTH(HistoricalStockProgress[[#This Row],[Date]])</f>
        <v>10</v>
      </c>
    </row>
    <row r="489" spans="2:14">
      <c r="B489" s="15">
        <v>43404</v>
      </c>
      <c r="C489" s="34" t="s">
        <v>86</v>
      </c>
      <c r="D489" s="34" t="e" vm="8">
        <f>_xlfn.XLOOKUP(HistoricalStockProgress[[#This Row],[Company Ticker]],CompanyDetailsList[Company Ticker],CompanyDetailsList[Official Name],,0)</f>
        <v>#VALUE!</v>
      </c>
      <c r="E4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4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489" s="17">
        <f>IFERROR(HistoricalStockProgress[[#This Row],[Cost of Shares]]/HistoricalStockProgress[[#This Row],[No. of Shares]],0)</f>
        <v>85.876031764920896</v>
      </c>
      <c r="H489" s="16" vm="623">
        <v>77.849999999999994</v>
      </c>
      <c r="I489" s="16">
        <f>IF(HistoricalStockProgress[[#This Row],[No. of Shares]]&lt;&gt;0,HistoricalStockProgress[[#This Row],[Price of Shares]]*HistoricalStockProgress[[#This Row],[No. of Shares]],0)</f>
        <v>4126.0499999999993</v>
      </c>
      <c r="J489" s="16">
        <f>IF(HistoricalStockProgress[[#This Row],[No. of Shares]]&lt;&gt;0,HistoricalStockProgress[[#This Row],[Price of Shares]]-HistoricalStockProgress[[#This Row],[Cost of Shares]]/HistoricalStockProgress[[#This Row],[No. of Shares]],0)</f>
        <v>-8.0260317649209014</v>
      </c>
      <c r="K489" s="17">
        <f>IF(HistoricalStockProgress[[#This Row],[Total Price of Shares]]&lt;&gt;0,HistoricalStockProgress[[#This Row],[Total Price of Shares]]-HistoricalStockProgress[[#This Row],[Cost of Shares]],0)</f>
        <v>-425.3796835408084</v>
      </c>
      <c r="L489" s="34" t="b" cm="1">
        <f t="array" ref="L489">IFERROR(IF(HistoricalStockProgress[[#This Row],[Price of Shares]]="",_xlfn.STOCKHISTORY(HistoricalStockProgress[[#This Row],[Full Company Name]],HistoricalStockProgress[[#This Row],[Date]],,2,0,1)),0)</f>
        <v>0</v>
      </c>
      <c r="M489" s="34">
        <f>YEAR(HistoricalStockProgress[[#This Row],[Date]])</f>
        <v>2018</v>
      </c>
      <c r="N489" s="34">
        <f>MONTH(HistoricalStockProgress[[#This Row],[Date]])</f>
        <v>10</v>
      </c>
    </row>
    <row r="490" spans="2:14">
      <c r="B490" s="15">
        <v>43404</v>
      </c>
      <c r="C490" s="34" t="s">
        <v>22</v>
      </c>
      <c r="D490" s="34" t="e" vm="10">
        <f>_xlfn.XLOOKUP(HistoricalStockProgress[[#This Row],[Company Ticker]],CompanyDetailsList[Company Ticker],CompanyDetailsList[Official Name],,0)</f>
        <v>#VALUE!</v>
      </c>
      <c r="E4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4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490" s="17">
        <f>IFERROR(HistoricalStockProgress[[#This Row],[Cost of Shares]]/HistoricalStockProgress[[#This Row],[No. of Shares]],0)</f>
        <v>83.61275075159574</v>
      </c>
      <c r="H490" s="16" vm="1025">
        <v>121.32</v>
      </c>
      <c r="I490" s="16">
        <f>IF(HistoricalStockProgress[[#This Row],[No. of Shares]]&lt;&gt;0,HistoricalStockProgress[[#This Row],[Price of Shares]]*HistoricalStockProgress[[#This Row],[No. of Shares]],0)</f>
        <v>7400.5199999999995</v>
      </c>
      <c r="J490" s="16">
        <f>IF(HistoricalStockProgress[[#This Row],[No. of Shares]]&lt;&gt;0,HistoricalStockProgress[[#This Row],[Price of Shares]]-HistoricalStockProgress[[#This Row],[Cost of Shares]]/HistoricalStockProgress[[#This Row],[No. of Shares]],0)</f>
        <v>37.707249248404253</v>
      </c>
      <c r="K490" s="17">
        <f>IF(HistoricalStockProgress[[#This Row],[Total Price of Shares]]&lt;&gt;0,HistoricalStockProgress[[#This Row],[Total Price of Shares]]-HistoricalStockProgress[[#This Row],[Cost of Shares]],0)</f>
        <v>2300.1422041526594</v>
      </c>
      <c r="L490" s="34" t="b" cm="1">
        <f t="array" ref="L490">IFERROR(IF(HistoricalStockProgress[[#This Row],[Price of Shares]]="",_xlfn.STOCKHISTORY(HistoricalStockProgress[[#This Row],[Full Company Name]],HistoricalStockProgress[[#This Row],[Date]],,2,0,1)),0)</f>
        <v>0</v>
      </c>
      <c r="M490" s="34">
        <f>YEAR(HistoricalStockProgress[[#This Row],[Date]])</f>
        <v>2018</v>
      </c>
      <c r="N490" s="34">
        <f>MONTH(HistoricalStockProgress[[#This Row],[Date]])</f>
        <v>10</v>
      </c>
    </row>
    <row r="491" spans="2:14">
      <c r="B491" s="15">
        <v>43404</v>
      </c>
      <c r="C491" s="34" t="s">
        <v>91</v>
      </c>
      <c r="D491" s="34" t="e" vm="11">
        <f>_xlfn.XLOOKUP(HistoricalStockProgress[[#This Row],[Company Ticker]],CompanyDetailsList[Company Ticker],CompanyDetailsList[Official Name],,0)</f>
        <v>#VALUE!</v>
      </c>
      <c r="E4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4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7639.549422502746</v>
      </c>
      <c r="G491" s="17">
        <f>IFERROR(HistoricalStockProgress[[#This Row],[Cost of Shares]]/HistoricalStockProgress[[#This Row],[No. of Shares]],0)</f>
        <v>72.071220967007037</v>
      </c>
      <c r="H491" s="16" vm="1026">
        <v>106.81</v>
      </c>
      <c r="I491" s="16">
        <f>IF(HistoricalStockProgress[[#This Row],[No. of Shares]]&lt;&gt;0,HistoricalStockProgress[[#This Row],[Price of Shares]]*HistoricalStockProgress[[#This Row],[No. of Shares]],0)</f>
        <v>11321.86</v>
      </c>
      <c r="J491" s="16">
        <f>IF(HistoricalStockProgress[[#This Row],[No. of Shares]]&lt;&gt;0,HistoricalStockProgress[[#This Row],[Price of Shares]]-HistoricalStockProgress[[#This Row],[Cost of Shares]]/HistoricalStockProgress[[#This Row],[No. of Shares]],0)</f>
        <v>34.738779032992966</v>
      </c>
      <c r="K491" s="17">
        <f>IF(HistoricalStockProgress[[#This Row],[Total Price of Shares]]&lt;&gt;0,HistoricalStockProgress[[#This Row],[Total Price of Shares]]-HistoricalStockProgress[[#This Row],[Cost of Shares]],0)</f>
        <v>3682.3105774972546</v>
      </c>
      <c r="L491" s="34" t="b" cm="1">
        <f t="array" ref="L491">IFERROR(IF(HistoricalStockProgress[[#This Row],[Price of Shares]]="",_xlfn.STOCKHISTORY(HistoricalStockProgress[[#This Row],[Full Company Name]],HistoricalStockProgress[[#This Row],[Date]],,2,0,1)),0)</f>
        <v>0</v>
      </c>
      <c r="M491" s="34">
        <f>YEAR(HistoricalStockProgress[[#This Row],[Date]])</f>
        <v>2018</v>
      </c>
      <c r="N491" s="34">
        <f>MONTH(HistoricalStockProgress[[#This Row],[Date]])</f>
        <v>10</v>
      </c>
    </row>
    <row r="492" spans="2:14">
      <c r="B492" s="15">
        <v>43404</v>
      </c>
      <c r="C492" s="34" t="s">
        <v>16</v>
      </c>
      <c r="D492" s="34" t="e" vm="12">
        <f>_xlfn.XLOOKUP(HistoricalStockProgress[[#This Row],[Company Ticker]],CompanyDetailsList[Company Ticker],CompanyDetailsList[Official Name],,0)</f>
        <v>#VALUE!</v>
      </c>
      <c r="E4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4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492" s="17">
        <f>IFERROR(HistoricalStockProgress[[#This Row],[Cost of Shares]]/HistoricalStockProgress[[#This Row],[No. of Shares]],0)</f>
        <v>82.900834685216523</v>
      </c>
      <c r="H492" s="16" vm="1027">
        <v>79.680000000000007</v>
      </c>
      <c r="I492" s="16">
        <f>IF(HistoricalStockProgress[[#This Row],[No. of Shares]]&lt;&gt;0,HistoricalStockProgress[[#This Row],[Price of Shares]]*HistoricalStockProgress[[#This Row],[No. of Shares]],0)</f>
        <v>11553.6</v>
      </c>
      <c r="J492" s="16">
        <f>IF(HistoricalStockProgress[[#This Row],[No. of Shares]]&lt;&gt;0,HistoricalStockProgress[[#This Row],[Price of Shares]]-HistoricalStockProgress[[#This Row],[Cost of Shares]]/HistoricalStockProgress[[#This Row],[No. of Shares]],0)</f>
        <v>-3.2208346852165164</v>
      </c>
      <c r="K492" s="17">
        <f>IF(HistoricalStockProgress[[#This Row],[Total Price of Shares]]&lt;&gt;0,HistoricalStockProgress[[#This Row],[Total Price of Shares]]-HistoricalStockProgress[[#This Row],[Cost of Shares]],0)</f>
        <v>-467.02102935639596</v>
      </c>
      <c r="L492" s="34" t="b" cm="1">
        <f t="array" ref="L492">IFERROR(IF(HistoricalStockProgress[[#This Row],[Price of Shares]]="",_xlfn.STOCKHISTORY(HistoricalStockProgress[[#This Row],[Full Company Name]],HistoricalStockProgress[[#This Row],[Date]],,2,0,1)),0)</f>
        <v>0</v>
      </c>
      <c r="M492" s="34">
        <f>YEAR(HistoricalStockProgress[[#This Row],[Date]])</f>
        <v>2018</v>
      </c>
      <c r="N492" s="34">
        <f>MONTH(HistoricalStockProgress[[#This Row],[Date]])</f>
        <v>10</v>
      </c>
    </row>
    <row r="493" spans="2:14">
      <c r="B493" s="15">
        <v>43404</v>
      </c>
      <c r="C493" s="34" t="s">
        <v>95</v>
      </c>
      <c r="D493" s="34" t="e" vm="13">
        <f>_xlfn.XLOOKUP(HistoricalStockProgress[[#This Row],[Company Ticker]],CompanyDetailsList[Company Ticker],CompanyDetailsList[Official Name],,0)</f>
        <v>#VALUE!</v>
      </c>
      <c r="E4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4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493" s="17">
        <f>IFERROR(HistoricalStockProgress[[#This Row],[Cost of Shares]]/HistoricalStockProgress[[#This Row],[No. of Shares]],0)</f>
        <v>143.29758396474452</v>
      </c>
      <c r="H493" s="16" vm="1028">
        <v>175.88</v>
      </c>
      <c r="I493" s="16">
        <f>IF(HistoricalStockProgress[[#This Row],[No. of Shares]]&lt;&gt;0,HistoricalStockProgress[[#This Row],[Price of Shares]]*HistoricalStockProgress[[#This Row],[No. of Shares]],0)</f>
        <v>7562.84</v>
      </c>
      <c r="J493" s="16">
        <f>IF(HistoricalStockProgress[[#This Row],[No. of Shares]]&lt;&gt;0,HistoricalStockProgress[[#This Row],[Price of Shares]]-HistoricalStockProgress[[#This Row],[Cost of Shares]]/HistoricalStockProgress[[#This Row],[No. of Shares]],0)</f>
        <v>32.582416035255477</v>
      </c>
      <c r="K493" s="17">
        <f>IF(HistoricalStockProgress[[#This Row],[Total Price of Shares]]&lt;&gt;0,HistoricalStockProgress[[#This Row],[Total Price of Shares]]-HistoricalStockProgress[[#This Row],[Cost of Shares]],0)</f>
        <v>1401.0438895159859</v>
      </c>
      <c r="L493" s="34" t="b" cm="1">
        <f t="array" ref="L493">IFERROR(IF(HistoricalStockProgress[[#This Row],[Price of Shares]]="",_xlfn.STOCKHISTORY(HistoricalStockProgress[[#This Row],[Full Company Name]],HistoricalStockProgress[[#This Row],[Date]],,2,0,1)),0)</f>
        <v>0</v>
      </c>
      <c r="M493" s="34">
        <f>YEAR(HistoricalStockProgress[[#This Row],[Date]])</f>
        <v>2018</v>
      </c>
      <c r="N493" s="34">
        <f>MONTH(HistoricalStockProgress[[#This Row],[Date]])</f>
        <v>10</v>
      </c>
    </row>
    <row r="494" spans="2:14">
      <c r="B494" s="15">
        <v>43404</v>
      </c>
      <c r="C494" s="34" t="s">
        <v>17</v>
      </c>
      <c r="D494" s="34" t="e" vm="14">
        <f>_xlfn.XLOOKUP(HistoricalStockProgress[[#This Row],[Company Ticker]],CompanyDetailsList[Company Ticker],CompanyDetailsList[Official Name],,0)</f>
        <v>#VALUE!</v>
      </c>
      <c r="E4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4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9484.3704371074709</v>
      </c>
      <c r="G494" s="17">
        <f>IFERROR(HistoricalStockProgress[[#This Row],[Cost of Shares]]/HistoricalStockProgress[[#This Row],[No. of Shares]],0)</f>
        <v>150.54556249376938</v>
      </c>
      <c r="H494" s="16" vm="1029">
        <v>115.43</v>
      </c>
      <c r="I494" s="16">
        <f>IF(HistoricalStockProgress[[#This Row],[No. of Shares]]&lt;&gt;0,HistoricalStockProgress[[#This Row],[Price of Shares]]*HistoricalStockProgress[[#This Row],[No. of Shares]],0)</f>
        <v>7272.09</v>
      </c>
      <c r="J494" s="16">
        <f>IF(HistoricalStockProgress[[#This Row],[No. of Shares]]&lt;&gt;0,HistoricalStockProgress[[#This Row],[Price of Shares]]-HistoricalStockProgress[[#This Row],[Cost of Shares]]/HistoricalStockProgress[[#This Row],[No. of Shares]],0)</f>
        <v>-35.115562493769374</v>
      </c>
      <c r="K494" s="17">
        <f>IF(HistoricalStockProgress[[#This Row],[Total Price of Shares]]&lt;&gt;0,HistoricalStockProgress[[#This Row],[Total Price of Shares]]-HistoricalStockProgress[[#This Row],[Cost of Shares]],0)</f>
        <v>-2212.2804371074708</v>
      </c>
      <c r="L494" s="34" t="b" cm="1">
        <f t="array" ref="L494">IFERROR(IF(HistoricalStockProgress[[#This Row],[Price of Shares]]="",_xlfn.STOCKHISTORY(HistoricalStockProgress[[#This Row],[Full Company Name]],HistoricalStockProgress[[#This Row],[Date]],,2,0,1)),0)</f>
        <v>0</v>
      </c>
      <c r="M494" s="34">
        <f>YEAR(HistoricalStockProgress[[#This Row],[Date]])</f>
        <v>2018</v>
      </c>
      <c r="N494" s="34">
        <f>MONTH(HistoricalStockProgress[[#This Row],[Date]])</f>
        <v>10</v>
      </c>
    </row>
    <row r="495" spans="2:14">
      <c r="B495" s="15">
        <v>43404</v>
      </c>
      <c r="C495" s="34" t="s">
        <v>98</v>
      </c>
      <c r="D495" s="34" t="e" vm="15">
        <f>_xlfn.XLOOKUP(HistoricalStockProgress[[#This Row],[Company Ticker]],CompanyDetailsList[Company Ticker],CompanyDetailsList[Official Name],,0)</f>
        <v>#VALUE!</v>
      </c>
      <c r="E4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4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1941.9842250911215</v>
      </c>
      <c r="G495" s="17">
        <f>IFERROR(HistoricalStockProgress[[#This Row],[Cost of Shares]]/HistoricalStockProgress[[#This Row],[No. of Shares]],0)</f>
        <v>38.078122060610227</v>
      </c>
      <c r="H495" s="16" vm="1030">
        <v>43.125</v>
      </c>
      <c r="I495" s="16">
        <f>IF(HistoricalStockProgress[[#This Row],[No. of Shares]]&lt;&gt;0,HistoricalStockProgress[[#This Row],[Price of Shares]]*HistoricalStockProgress[[#This Row],[No. of Shares]],0)</f>
        <v>2199.375</v>
      </c>
      <c r="J495" s="16">
        <f>IF(HistoricalStockProgress[[#This Row],[No. of Shares]]&lt;&gt;0,HistoricalStockProgress[[#This Row],[Price of Shares]]-HistoricalStockProgress[[#This Row],[Cost of Shares]]/HistoricalStockProgress[[#This Row],[No. of Shares]],0)</f>
        <v>5.0468779393897734</v>
      </c>
      <c r="K495" s="17">
        <f>IF(HistoricalStockProgress[[#This Row],[Total Price of Shares]]&lt;&gt;0,HistoricalStockProgress[[#This Row],[Total Price of Shares]]-HistoricalStockProgress[[#This Row],[Cost of Shares]],0)</f>
        <v>257.39077490887848</v>
      </c>
      <c r="L495" s="34" t="b" cm="1">
        <f t="array" ref="L495">IFERROR(IF(HistoricalStockProgress[[#This Row],[Price of Shares]]="",_xlfn.STOCKHISTORY(HistoricalStockProgress[[#This Row],[Full Company Name]],HistoricalStockProgress[[#This Row],[Date]],,2,0,1)),0)</f>
        <v>0</v>
      </c>
      <c r="M495" s="34">
        <f>YEAR(HistoricalStockProgress[[#This Row],[Date]])</f>
        <v>2018</v>
      </c>
      <c r="N495" s="34">
        <f>MONTH(HistoricalStockProgress[[#This Row],[Date]])</f>
        <v>10</v>
      </c>
    </row>
    <row r="496" spans="2:14">
      <c r="B496" s="15">
        <v>43404</v>
      </c>
      <c r="C496" s="34" t="s">
        <v>100</v>
      </c>
      <c r="D496" s="34" t="e" vm="16">
        <f>_xlfn.XLOOKUP(HistoricalStockProgress[[#This Row],[Company Ticker]],CompanyDetailsList[Company Ticker],CompanyDetailsList[Official Name],,0)</f>
        <v>#VALUE!</v>
      </c>
      <c r="E4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4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496" s="17">
        <f>IFERROR(HistoricalStockProgress[[#This Row],[Cost of Shares]]/HistoricalStockProgress[[#This Row],[No. of Shares]],0)</f>
        <v>84.509035134678101</v>
      </c>
      <c r="H496" s="16" vm="1031">
        <v>82.63</v>
      </c>
      <c r="I496" s="16">
        <f>IF(HistoricalStockProgress[[#This Row],[No. of Shares]]&lt;&gt;0,HistoricalStockProgress[[#This Row],[Price of Shares]]*HistoricalStockProgress[[#This Row],[No. of Shares]],0)</f>
        <v>2726.79</v>
      </c>
      <c r="J496" s="16">
        <f>IF(HistoricalStockProgress[[#This Row],[No. of Shares]]&lt;&gt;0,HistoricalStockProgress[[#This Row],[Price of Shares]]-HistoricalStockProgress[[#This Row],[Cost of Shares]]/HistoricalStockProgress[[#This Row],[No. of Shares]],0)</f>
        <v>-1.8790351346781051</v>
      </c>
      <c r="K496" s="17">
        <f>IF(HistoricalStockProgress[[#This Row],[Total Price of Shares]]&lt;&gt;0,HistoricalStockProgress[[#This Row],[Total Price of Shares]]-HistoricalStockProgress[[#This Row],[Cost of Shares]],0)</f>
        <v>-62.00815944437727</v>
      </c>
      <c r="L496" s="34" t="b" cm="1">
        <f t="array" ref="L496">IFERROR(IF(HistoricalStockProgress[[#This Row],[Price of Shares]]="",_xlfn.STOCKHISTORY(HistoricalStockProgress[[#This Row],[Full Company Name]],HistoricalStockProgress[[#This Row],[Date]],,2,0,1)),0)</f>
        <v>0</v>
      </c>
      <c r="M496" s="34">
        <f>YEAR(HistoricalStockProgress[[#This Row],[Date]])</f>
        <v>2018</v>
      </c>
      <c r="N496" s="34">
        <f>MONTH(HistoricalStockProgress[[#This Row],[Date]])</f>
        <v>10</v>
      </c>
    </row>
    <row r="497" spans="2:14">
      <c r="B497" s="15">
        <v>43404</v>
      </c>
      <c r="C497" s="34" t="s">
        <v>15</v>
      </c>
      <c r="D497" s="34" t="e" vm="17">
        <f>_xlfn.XLOOKUP(HistoricalStockProgress[[#This Row],[Company Ticker]],CompanyDetailsList[Company Ticker],CompanyDetailsList[Official Name],,0)</f>
        <v>#VALUE!</v>
      </c>
      <c r="E4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4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497" s="17">
        <f>IFERROR(HistoricalStockProgress[[#This Row],[Cost of Shares]]/HistoricalStockProgress[[#This Row],[No. of Shares]],0)</f>
        <v>26.081956457072195</v>
      </c>
      <c r="H497" s="16" vm="1032">
        <v>23.168900000000001</v>
      </c>
      <c r="I497" s="16">
        <f>IF(HistoricalStockProgress[[#This Row],[No. of Shares]]&lt;&gt;0,HistoricalStockProgress[[#This Row],[Price of Shares]]*HistoricalStockProgress[[#This Row],[No. of Shares]],0)</f>
        <v>2872.9436000000001</v>
      </c>
      <c r="J497" s="16">
        <f>IF(HistoricalStockProgress[[#This Row],[No. of Shares]]&lt;&gt;0,HistoricalStockProgress[[#This Row],[Price of Shares]]-HistoricalStockProgress[[#This Row],[Cost of Shares]]/HistoricalStockProgress[[#This Row],[No. of Shares]],0)</f>
        <v>-2.9130564570721944</v>
      </c>
      <c r="K497" s="17">
        <f>IF(HistoricalStockProgress[[#This Row],[Total Price of Shares]]&lt;&gt;0,HistoricalStockProgress[[#This Row],[Total Price of Shares]]-HistoricalStockProgress[[#This Row],[Cost of Shares]],0)</f>
        <v>-361.21900067695196</v>
      </c>
      <c r="L497" s="34" t="b" cm="1">
        <f t="array" ref="L497">IFERROR(IF(HistoricalStockProgress[[#This Row],[Price of Shares]]="",_xlfn.STOCKHISTORY(HistoricalStockProgress[[#This Row],[Full Company Name]],HistoricalStockProgress[[#This Row],[Date]],,2,0,1)),0)</f>
        <v>0</v>
      </c>
      <c r="M497" s="34">
        <f>YEAR(HistoricalStockProgress[[#This Row],[Date]])</f>
        <v>2018</v>
      </c>
      <c r="N497" s="34">
        <f>MONTH(HistoricalStockProgress[[#This Row],[Date]])</f>
        <v>10</v>
      </c>
    </row>
    <row r="498" spans="2:14">
      <c r="B498" s="15">
        <v>43404</v>
      </c>
      <c r="C498" s="34" t="s">
        <v>13</v>
      </c>
      <c r="D498" s="34" t="e" vm="18">
        <f>_xlfn.XLOOKUP(HistoricalStockProgress[[#This Row],[Company Ticker]],CompanyDetailsList[Company Ticker],CompanyDetailsList[Official Name],,0)</f>
        <v>#VALUE!</v>
      </c>
      <c r="E4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4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498" s="17">
        <f>IFERROR(HistoricalStockProgress[[#This Row],[Cost of Shares]]/HistoricalStockProgress[[#This Row],[No. of Shares]],0)</f>
        <v>31.383479678650293</v>
      </c>
      <c r="H498" s="16" vm="1033">
        <v>40.8187</v>
      </c>
      <c r="I498" s="16">
        <f>IF(HistoricalStockProgress[[#This Row],[No. of Shares]]&lt;&gt;0,HistoricalStockProgress[[#This Row],[Price of Shares]]*HistoricalStockProgress[[#This Row],[No. of Shares]],0)</f>
        <v>1020.4675</v>
      </c>
      <c r="J498" s="16">
        <f>IF(HistoricalStockProgress[[#This Row],[No. of Shares]]&lt;&gt;0,HistoricalStockProgress[[#This Row],[Price of Shares]]-HistoricalStockProgress[[#This Row],[Cost of Shares]]/HistoricalStockProgress[[#This Row],[No. of Shares]],0)</f>
        <v>9.435220321349707</v>
      </c>
      <c r="K498" s="17">
        <f>IF(HistoricalStockProgress[[#This Row],[Total Price of Shares]]&lt;&gt;0,HistoricalStockProgress[[#This Row],[Total Price of Shares]]-HistoricalStockProgress[[#This Row],[Cost of Shares]],0)</f>
        <v>235.88050803374267</v>
      </c>
      <c r="L498" s="34" t="b" cm="1">
        <f t="array" ref="L498">IFERROR(IF(HistoricalStockProgress[[#This Row],[Price of Shares]]="",_xlfn.STOCKHISTORY(HistoricalStockProgress[[#This Row],[Full Company Name]],HistoricalStockProgress[[#This Row],[Date]],,2,0,1)),0)</f>
        <v>0</v>
      </c>
      <c r="M498" s="34">
        <f>YEAR(HistoricalStockProgress[[#This Row],[Date]])</f>
        <v>2018</v>
      </c>
      <c r="N498" s="34">
        <f>MONTH(HistoricalStockProgress[[#This Row],[Date]])</f>
        <v>10</v>
      </c>
    </row>
    <row r="499" spans="2:14">
      <c r="B499" s="15">
        <v>43404</v>
      </c>
      <c r="C499" s="34" t="s">
        <v>20</v>
      </c>
      <c r="D499" s="34" t="e" vm="19">
        <f>_xlfn.XLOOKUP(HistoricalStockProgress[[#This Row],[Company Ticker]],CompanyDetailsList[Company Ticker],CompanyDetailsList[Official Name],,0)</f>
        <v>#VALUE!</v>
      </c>
      <c r="E4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4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499" s="17">
        <f>IFERROR(HistoricalStockProgress[[#This Row],[Cost of Shares]]/HistoricalStockProgress[[#This Row],[No. of Shares]],0)</f>
        <v>93.912242833589502</v>
      </c>
      <c r="H499" s="16" vm="1034">
        <v>109.02</v>
      </c>
      <c r="I499" s="16">
        <f>IF(HistoricalStockProgress[[#This Row],[No. of Shares]]&lt;&gt;0,HistoricalStockProgress[[#This Row],[Price of Shares]]*HistoricalStockProgress[[#This Row],[No. of Shares]],0)</f>
        <v>8503.56</v>
      </c>
      <c r="J499" s="16">
        <f>IF(HistoricalStockProgress[[#This Row],[No. of Shares]]&lt;&gt;0,HistoricalStockProgress[[#This Row],[Price of Shares]]-HistoricalStockProgress[[#This Row],[Cost of Shares]]/HistoricalStockProgress[[#This Row],[No. of Shares]],0)</f>
        <v>15.107757166410494</v>
      </c>
      <c r="K499" s="17">
        <f>IF(HistoricalStockProgress[[#This Row],[Total Price of Shares]]&lt;&gt;0,HistoricalStockProgress[[#This Row],[Total Price of Shares]]-HistoricalStockProgress[[#This Row],[Cost of Shares]],0)</f>
        <v>1178.4050589800181</v>
      </c>
      <c r="L499" s="34" t="b" cm="1">
        <f t="array" ref="L499">IFERROR(IF(HistoricalStockProgress[[#This Row],[Price of Shares]]="",_xlfn.STOCKHISTORY(HistoricalStockProgress[[#This Row],[Full Company Name]],HistoricalStockProgress[[#This Row],[Date]],,2,0,1)),0)</f>
        <v>0</v>
      </c>
      <c r="M499" s="34">
        <f>YEAR(HistoricalStockProgress[[#This Row],[Date]])</f>
        <v>2018</v>
      </c>
      <c r="N499" s="34">
        <f>MONTH(HistoricalStockProgress[[#This Row],[Date]])</f>
        <v>10</v>
      </c>
    </row>
    <row r="500" spans="2:14">
      <c r="B500" s="15">
        <v>43404</v>
      </c>
      <c r="C500" s="34" t="s">
        <v>106</v>
      </c>
      <c r="D500" s="34" t="e" vm="20">
        <f>_xlfn.XLOOKUP(HistoricalStockProgress[[#This Row],[Company Ticker]],CompanyDetailsList[Company Ticker],CompanyDetailsList[Official Name],,0)</f>
        <v>#VALUE!</v>
      </c>
      <c r="E5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5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500" s="17">
        <f>IFERROR(HistoricalStockProgress[[#This Row],[Cost of Shares]]/HistoricalStockProgress[[#This Row],[No. of Shares]],0)</f>
        <v>104.71316390485761</v>
      </c>
      <c r="H500" s="16" vm="1035">
        <v>105.09</v>
      </c>
      <c r="I500" s="16">
        <f>IF(HistoricalStockProgress[[#This Row],[No. of Shares]]&lt;&gt;0,HistoricalStockProgress[[#This Row],[Price of Shares]]*HistoricalStockProgress[[#This Row],[No. of Shares]],0)</f>
        <v>3678.15</v>
      </c>
      <c r="J500" s="16">
        <f>IF(HistoricalStockProgress[[#This Row],[No. of Shares]]&lt;&gt;0,HistoricalStockProgress[[#This Row],[Price of Shares]]-HistoricalStockProgress[[#This Row],[Cost of Shares]]/HistoricalStockProgress[[#This Row],[No. of Shares]],0)</f>
        <v>0.37683609514239436</v>
      </c>
      <c r="K500" s="17">
        <f>IF(HistoricalStockProgress[[#This Row],[Total Price of Shares]]&lt;&gt;0,HistoricalStockProgress[[#This Row],[Total Price of Shares]]-HistoricalStockProgress[[#This Row],[Cost of Shares]],0)</f>
        <v>13.189263329983532</v>
      </c>
      <c r="L500" s="34" t="b" cm="1">
        <f t="array" ref="L500">IFERROR(IF(HistoricalStockProgress[[#This Row],[Price of Shares]]="",_xlfn.STOCKHISTORY(HistoricalStockProgress[[#This Row],[Full Company Name]],HistoricalStockProgress[[#This Row],[Date]],,2,0,1)),0)</f>
        <v>0</v>
      </c>
      <c r="M500" s="34">
        <f>YEAR(HistoricalStockProgress[[#This Row],[Date]])</f>
        <v>2018</v>
      </c>
      <c r="N500" s="34">
        <f>MONTH(HistoricalStockProgress[[#This Row],[Date]])</f>
        <v>10</v>
      </c>
    </row>
    <row r="501" spans="2:14">
      <c r="B501" s="15">
        <v>43434</v>
      </c>
      <c r="C501" s="34" t="s">
        <v>12</v>
      </c>
      <c r="D501" s="34" t="e" vm="1">
        <f>_xlfn.XLOOKUP(HistoricalStockProgress[[#This Row],[Company Ticker]],CompanyDetailsList[Company Ticker],CompanyDetailsList[Official Name],,0)</f>
        <v>#VALUE!</v>
      </c>
      <c r="E5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5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501" s="17">
        <f>IFERROR(HistoricalStockProgress[[#This Row],[Cost of Shares]]/HistoricalStockProgress[[#This Row],[No. of Shares]],0)</f>
        <v>57.188485025896703</v>
      </c>
      <c r="H501" s="16" vm="1036">
        <v>64.09</v>
      </c>
      <c r="I501" s="16">
        <f>IF(HistoricalStockProgress[[#This Row],[No. of Shares]]&lt;&gt;0,HistoricalStockProgress[[#This Row],[Price of Shares]]*HistoricalStockProgress[[#This Row],[No. of Shares]],0)</f>
        <v>384.54</v>
      </c>
      <c r="J501" s="16">
        <f>IF(HistoricalStockProgress[[#This Row],[No. of Shares]]&lt;&gt;0,HistoricalStockProgress[[#This Row],[Price of Shares]]-HistoricalStockProgress[[#This Row],[Cost of Shares]]/HistoricalStockProgress[[#This Row],[No. of Shares]],0)</f>
        <v>6.9015149741032999</v>
      </c>
      <c r="K501" s="17">
        <f>IF(HistoricalStockProgress[[#This Row],[Total Price of Shares]]&lt;&gt;0,HistoricalStockProgress[[#This Row],[Total Price of Shares]]-HistoricalStockProgress[[#This Row],[Cost of Shares]],0)</f>
        <v>41.409089844619814</v>
      </c>
      <c r="L501" s="34" t="b" cm="1">
        <f t="array" ref="L501">IFERROR(IF(HistoricalStockProgress[[#This Row],[Price of Shares]]="",_xlfn.STOCKHISTORY(HistoricalStockProgress[[#This Row],[Full Company Name]],HistoricalStockProgress[[#This Row],[Date]],,2,0,1)),0)</f>
        <v>0</v>
      </c>
      <c r="M501" s="34">
        <f>YEAR(HistoricalStockProgress[[#This Row],[Date]])</f>
        <v>2018</v>
      </c>
      <c r="N501" s="34">
        <f>MONTH(HistoricalStockProgress[[#This Row],[Date]])</f>
        <v>11</v>
      </c>
    </row>
    <row r="502" spans="2:14">
      <c r="B502" s="15">
        <v>43434</v>
      </c>
      <c r="C502" s="34" t="s">
        <v>23</v>
      </c>
      <c r="D502" s="34" t="e" vm="4">
        <f>_xlfn.XLOOKUP(HistoricalStockProgress[[#This Row],[Company Ticker]],CompanyDetailsList[Company Ticker],CompanyDetailsList[Official Name],,0)</f>
        <v>#VALUE!</v>
      </c>
      <c r="E5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5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502" s="17">
        <f>IFERROR(HistoricalStockProgress[[#This Row],[Cost of Shares]]/HistoricalStockProgress[[#This Row],[No. of Shares]],0)</f>
        <v>45.768494888570878</v>
      </c>
      <c r="H502" s="16" vm="1037">
        <v>50.4</v>
      </c>
      <c r="I502" s="16">
        <f>IF(HistoricalStockProgress[[#This Row],[No. of Shares]]&lt;&gt;0,HistoricalStockProgress[[#This Row],[Price of Shares]]*HistoricalStockProgress[[#This Row],[No. of Shares]],0)</f>
        <v>2923.2</v>
      </c>
      <c r="J502" s="16">
        <f>IF(HistoricalStockProgress[[#This Row],[No. of Shares]]&lt;&gt;0,HistoricalStockProgress[[#This Row],[Price of Shares]]-HistoricalStockProgress[[#This Row],[Cost of Shares]]/HistoricalStockProgress[[#This Row],[No. of Shares]],0)</f>
        <v>4.6315051114291208</v>
      </c>
      <c r="K502" s="17">
        <f>IF(HistoricalStockProgress[[#This Row],[Total Price of Shares]]&lt;&gt;0,HistoricalStockProgress[[#This Row],[Total Price of Shares]]-HistoricalStockProgress[[#This Row],[Cost of Shares]],0)</f>
        <v>268.62729646288881</v>
      </c>
      <c r="L502" s="34" t="b" cm="1">
        <f t="array" ref="L502">IFERROR(IF(HistoricalStockProgress[[#This Row],[Price of Shares]]="",_xlfn.STOCKHISTORY(HistoricalStockProgress[[#This Row],[Full Company Name]],HistoricalStockProgress[[#This Row],[Date]],,2,0,1)),0)</f>
        <v>0</v>
      </c>
      <c r="M502" s="34">
        <f>YEAR(HistoricalStockProgress[[#This Row],[Date]])</f>
        <v>2018</v>
      </c>
      <c r="N502" s="34">
        <f>MONTH(HistoricalStockProgress[[#This Row],[Date]])</f>
        <v>11</v>
      </c>
    </row>
    <row r="503" spans="2:14">
      <c r="B503" s="15">
        <v>43434</v>
      </c>
      <c r="C503" s="34" t="s">
        <v>84</v>
      </c>
      <c r="D503" s="34" t="e" vm="7">
        <f>_xlfn.XLOOKUP(HistoricalStockProgress[[#This Row],[Company Ticker]],CompanyDetailsList[Company Ticker],CompanyDetailsList[Official Name],,0)</f>
        <v>#VALUE!</v>
      </c>
      <c r="E5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5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503" s="17">
        <f>IFERROR(HistoricalStockProgress[[#This Row],[Cost of Shares]]/HistoricalStockProgress[[#This Row],[No. of Shares]],0)</f>
        <v>104.18087504950869</v>
      </c>
      <c r="H503" s="16" vm="1038">
        <v>146.9</v>
      </c>
      <c r="I503" s="16">
        <f>IF(HistoricalStockProgress[[#This Row],[No. of Shares]]&lt;&gt;0,HistoricalStockProgress[[#This Row],[Price of Shares]]*HistoricalStockProgress[[#This Row],[No. of Shares]],0)</f>
        <v>7491.9000000000005</v>
      </c>
      <c r="J503" s="16">
        <f>IF(HistoricalStockProgress[[#This Row],[No. of Shares]]&lt;&gt;0,HistoricalStockProgress[[#This Row],[Price of Shares]]-HistoricalStockProgress[[#This Row],[Cost of Shares]]/HistoricalStockProgress[[#This Row],[No. of Shares]],0)</f>
        <v>42.71912495049132</v>
      </c>
      <c r="K503" s="17">
        <f>IF(HistoricalStockProgress[[#This Row],[Total Price of Shares]]&lt;&gt;0,HistoricalStockProgress[[#This Row],[Total Price of Shares]]-HistoricalStockProgress[[#This Row],[Cost of Shares]],0)</f>
        <v>2178.6753724750579</v>
      </c>
      <c r="L503" s="34" t="b" cm="1">
        <f t="array" ref="L503">IFERROR(IF(HistoricalStockProgress[[#This Row],[Price of Shares]]="",_xlfn.STOCKHISTORY(HistoricalStockProgress[[#This Row],[Full Company Name]],HistoricalStockProgress[[#This Row],[Date]],,2,0,1)),0)</f>
        <v>0</v>
      </c>
      <c r="M503" s="34">
        <f>YEAR(HistoricalStockProgress[[#This Row],[Date]])</f>
        <v>2018</v>
      </c>
      <c r="N503" s="34">
        <f>MONTH(HistoricalStockProgress[[#This Row],[Date]])</f>
        <v>11</v>
      </c>
    </row>
    <row r="504" spans="2:14">
      <c r="B504" s="15">
        <v>43434</v>
      </c>
      <c r="C504" s="34" t="s">
        <v>86</v>
      </c>
      <c r="D504" s="34" t="e" vm="8">
        <f>_xlfn.XLOOKUP(HistoricalStockProgress[[#This Row],[Company Ticker]],CompanyDetailsList[Company Ticker],CompanyDetailsList[Official Name],,0)</f>
        <v>#VALUE!</v>
      </c>
      <c r="E5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5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504" s="17">
        <f>IFERROR(HistoricalStockProgress[[#This Row],[Cost of Shares]]/HistoricalStockProgress[[#This Row],[No. of Shares]],0)</f>
        <v>85.876031764920896</v>
      </c>
      <c r="H504" s="16" vm="1039">
        <v>94.27</v>
      </c>
      <c r="I504" s="16">
        <f>IF(HistoricalStockProgress[[#This Row],[No. of Shares]]&lt;&gt;0,HistoricalStockProgress[[#This Row],[Price of Shares]]*HistoricalStockProgress[[#This Row],[No. of Shares]],0)</f>
        <v>4996.3099999999995</v>
      </c>
      <c r="J504" s="16">
        <f>IF(HistoricalStockProgress[[#This Row],[No. of Shares]]&lt;&gt;0,HistoricalStockProgress[[#This Row],[Price of Shares]]-HistoricalStockProgress[[#This Row],[Cost of Shares]]/HistoricalStockProgress[[#This Row],[No. of Shares]],0)</f>
        <v>8.3939682350791003</v>
      </c>
      <c r="K504" s="17">
        <f>IF(HistoricalStockProgress[[#This Row],[Total Price of Shares]]&lt;&gt;0,HistoricalStockProgress[[#This Row],[Total Price of Shares]]-HistoricalStockProgress[[#This Row],[Cost of Shares]],0)</f>
        <v>444.88031645919182</v>
      </c>
      <c r="L504" s="34" t="b" cm="1">
        <f t="array" ref="L504">IFERROR(IF(HistoricalStockProgress[[#This Row],[Price of Shares]]="",_xlfn.STOCKHISTORY(HistoricalStockProgress[[#This Row],[Full Company Name]],HistoricalStockProgress[[#This Row],[Date]],,2,0,1)),0)</f>
        <v>0</v>
      </c>
      <c r="M504" s="34">
        <f>YEAR(HistoricalStockProgress[[#This Row],[Date]])</f>
        <v>2018</v>
      </c>
      <c r="N504" s="34">
        <f>MONTH(HistoricalStockProgress[[#This Row],[Date]])</f>
        <v>11</v>
      </c>
    </row>
    <row r="505" spans="2:14">
      <c r="B505" s="15">
        <v>43434</v>
      </c>
      <c r="C505" s="34" t="s">
        <v>22</v>
      </c>
      <c r="D505" s="34" t="e" vm="10">
        <f>_xlfn.XLOOKUP(HistoricalStockProgress[[#This Row],[Company Ticker]],CompanyDetailsList[Company Ticker],CompanyDetailsList[Official Name],,0)</f>
        <v>#VALUE!</v>
      </c>
      <c r="E5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5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505" s="17">
        <f>IFERROR(HistoricalStockProgress[[#This Row],[Cost of Shares]]/HistoricalStockProgress[[#This Row],[No. of Shares]],0)</f>
        <v>83.61275075159574</v>
      </c>
      <c r="H505" s="16" vm="970">
        <v>135.66999999999999</v>
      </c>
      <c r="I505" s="16">
        <f>IF(HistoricalStockProgress[[#This Row],[No. of Shares]]&lt;&gt;0,HistoricalStockProgress[[#This Row],[Price of Shares]]*HistoricalStockProgress[[#This Row],[No. of Shares]],0)</f>
        <v>8275.869999999999</v>
      </c>
      <c r="J505" s="16">
        <f>IF(HistoricalStockProgress[[#This Row],[No. of Shares]]&lt;&gt;0,HistoricalStockProgress[[#This Row],[Price of Shares]]-HistoricalStockProgress[[#This Row],[Cost of Shares]]/HistoricalStockProgress[[#This Row],[No. of Shares]],0)</f>
        <v>52.057249248404247</v>
      </c>
      <c r="K505" s="17">
        <f>IF(HistoricalStockProgress[[#This Row],[Total Price of Shares]]&lt;&gt;0,HistoricalStockProgress[[#This Row],[Total Price of Shares]]-HistoricalStockProgress[[#This Row],[Cost of Shares]],0)</f>
        <v>3175.4922041526588</v>
      </c>
      <c r="L505" s="34" t="b" cm="1">
        <f t="array" ref="L505">IFERROR(IF(HistoricalStockProgress[[#This Row],[Price of Shares]]="",_xlfn.STOCKHISTORY(HistoricalStockProgress[[#This Row],[Full Company Name]],HistoricalStockProgress[[#This Row],[Date]],,2,0,1)),0)</f>
        <v>0</v>
      </c>
      <c r="M505" s="34">
        <f>YEAR(HistoricalStockProgress[[#This Row],[Date]])</f>
        <v>2018</v>
      </c>
      <c r="N505" s="34">
        <f>MONTH(HistoricalStockProgress[[#This Row],[Date]])</f>
        <v>11</v>
      </c>
    </row>
    <row r="506" spans="2:14">
      <c r="B506" s="15">
        <v>43434</v>
      </c>
      <c r="C506" s="34" t="s">
        <v>91</v>
      </c>
      <c r="D506" s="34" t="e" vm="11">
        <f>_xlfn.XLOOKUP(HistoricalStockProgress[[#This Row],[Company Ticker]],CompanyDetailsList[Company Ticker],CompanyDetailsList[Official Name],,0)</f>
        <v>#VALUE!</v>
      </c>
      <c r="E5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5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7639.549422502746</v>
      </c>
      <c r="G506" s="17">
        <f>IFERROR(HistoricalStockProgress[[#This Row],[Cost of Shares]]/HistoricalStockProgress[[#This Row],[No. of Shares]],0)</f>
        <v>72.071220967007037</v>
      </c>
      <c r="H506" s="16" vm="1040">
        <v>110.89</v>
      </c>
      <c r="I506" s="16">
        <f>IF(HistoricalStockProgress[[#This Row],[No. of Shares]]&lt;&gt;0,HistoricalStockProgress[[#This Row],[Price of Shares]]*HistoricalStockProgress[[#This Row],[No. of Shares]],0)</f>
        <v>11754.34</v>
      </c>
      <c r="J506" s="16">
        <f>IF(HistoricalStockProgress[[#This Row],[No. of Shares]]&lt;&gt;0,HistoricalStockProgress[[#This Row],[Price of Shares]]-HistoricalStockProgress[[#This Row],[Cost of Shares]]/HistoricalStockProgress[[#This Row],[No. of Shares]],0)</f>
        <v>38.818779032992964</v>
      </c>
      <c r="K506" s="17">
        <f>IF(HistoricalStockProgress[[#This Row],[Total Price of Shares]]&lt;&gt;0,HistoricalStockProgress[[#This Row],[Total Price of Shares]]-HistoricalStockProgress[[#This Row],[Cost of Shares]],0)</f>
        <v>4114.7905774972542</v>
      </c>
      <c r="L506" s="34" t="b" cm="1">
        <f t="array" ref="L506">IFERROR(IF(HistoricalStockProgress[[#This Row],[Price of Shares]]="",_xlfn.STOCKHISTORY(HistoricalStockProgress[[#This Row],[Full Company Name]],HistoricalStockProgress[[#This Row],[Date]],,2,0,1)),0)</f>
        <v>0</v>
      </c>
      <c r="M506" s="34">
        <f>YEAR(HistoricalStockProgress[[#This Row],[Date]])</f>
        <v>2018</v>
      </c>
      <c r="N506" s="34">
        <f>MONTH(HistoricalStockProgress[[#This Row],[Date]])</f>
        <v>11</v>
      </c>
    </row>
    <row r="507" spans="2:14">
      <c r="B507" s="15">
        <v>43434</v>
      </c>
      <c r="C507" s="34" t="s">
        <v>16</v>
      </c>
      <c r="D507" s="34" t="e" vm="12">
        <f>_xlfn.XLOOKUP(HistoricalStockProgress[[#This Row],[Company Ticker]],CompanyDetailsList[Company Ticker],CompanyDetailsList[Official Name],,0)</f>
        <v>#VALUE!</v>
      </c>
      <c r="E5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5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507" s="17">
        <f>IFERROR(HistoricalStockProgress[[#This Row],[Cost of Shares]]/HistoricalStockProgress[[#This Row],[No. of Shares]],0)</f>
        <v>82.900834685216523</v>
      </c>
      <c r="H507" s="16" vm="1041">
        <v>79.5</v>
      </c>
      <c r="I507" s="16">
        <f>IF(HistoricalStockProgress[[#This Row],[No. of Shares]]&lt;&gt;0,HistoricalStockProgress[[#This Row],[Price of Shares]]*HistoricalStockProgress[[#This Row],[No. of Shares]],0)</f>
        <v>11527.5</v>
      </c>
      <c r="J507" s="16">
        <f>IF(HistoricalStockProgress[[#This Row],[No. of Shares]]&lt;&gt;0,HistoricalStockProgress[[#This Row],[Price of Shares]]-HistoricalStockProgress[[#This Row],[Cost of Shares]]/HistoricalStockProgress[[#This Row],[No. of Shares]],0)</f>
        <v>-3.4008346852165232</v>
      </c>
      <c r="K507" s="17">
        <f>IF(HistoricalStockProgress[[#This Row],[Total Price of Shares]]&lt;&gt;0,HistoricalStockProgress[[#This Row],[Total Price of Shares]]-HistoricalStockProgress[[#This Row],[Cost of Shares]],0)</f>
        <v>-493.12102935639632</v>
      </c>
      <c r="L507" s="34" t="b" cm="1">
        <f t="array" ref="L507">IFERROR(IF(HistoricalStockProgress[[#This Row],[Price of Shares]]="",_xlfn.STOCKHISTORY(HistoricalStockProgress[[#This Row],[Full Company Name]],HistoricalStockProgress[[#This Row],[Date]],,2,0,1)),0)</f>
        <v>0</v>
      </c>
      <c r="M507" s="34">
        <f>YEAR(HistoricalStockProgress[[#This Row],[Date]])</f>
        <v>2018</v>
      </c>
      <c r="N507" s="34">
        <f>MONTH(HistoricalStockProgress[[#This Row],[Date]])</f>
        <v>11</v>
      </c>
    </row>
    <row r="508" spans="2:14">
      <c r="B508" s="15">
        <v>43434</v>
      </c>
      <c r="C508" s="34" t="s">
        <v>95</v>
      </c>
      <c r="D508" s="34" t="e" vm="13">
        <f>_xlfn.XLOOKUP(HistoricalStockProgress[[#This Row],[Company Ticker]],CompanyDetailsList[Company Ticker],CompanyDetailsList[Official Name],,0)</f>
        <v>#VALUE!</v>
      </c>
      <c r="E5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5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508" s="17">
        <f>IFERROR(HistoricalStockProgress[[#This Row],[Cost of Shares]]/HistoricalStockProgress[[#This Row],[No. of Shares]],0)</f>
        <v>143.29758396474452</v>
      </c>
      <c r="H508" s="16" vm="1042">
        <v>180.32</v>
      </c>
      <c r="I508" s="16">
        <f>IF(HistoricalStockProgress[[#This Row],[No. of Shares]]&lt;&gt;0,HistoricalStockProgress[[#This Row],[Price of Shares]]*HistoricalStockProgress[[#This Row],[No. of Shares]],0)</f>
        <v>7753.7599999999993</v>
      </c>
      <c r="J508" s="16">
        <f>IF(HistoricalStockProgress[[#This Row],[No. of Shares]]&lt;&gt;0,HistoricalStockProgress[[#This Row],[Price of Shares]]-HistoricalStockProgress[[#This Row],[Cost of Shares]]/HistoricalStockProgress[[#This Row],[No. of Shares]],0)</f>
        <v>37.022416035255475</v>
      </c>
      <c r="K508" s="17">
        <f>IF(HistoricalStockProgress[[#This Row],[Total Price of Shares]]&lt;&gt;0,HistoricalStockProgress[[#This Row],[Total Price of Shares]]-HistoricalStockProgress[[#This Row],[Cost of Shares]],0)</f>
        <v>1591.9638895159851</v>
      </c>
      <c r="L508" s="34" t="b" cm="1">
        <f t="array" ref="L508">IFERROR(IF(HistoricalStockProgress[[#This Row],[Price of Shares]]="",_xlfn.STOCKHISTORY(HistoricalStockProgress[[#This Row],[Full Company Name]],HistoricalStockProgress[[#This Row],[Date]],,2,0,1)),0)</f>
        <v>0</v>
      </c>
      <c r="M508" s="34">
        <f>YEAR(HistoricalStockProgress[[#This Row],[Date]])</f>
        <v>2018</v>
      </c>
      <c r="N508" s="34">
        <f>MONTH(HistoricalStockProgress[[#This Row],[Date]])</f>
        <v>11</v>
      </c>
    </row>
    <row r="509" spans="2:14">
      <c r="B509" s="15">
        <v>43434</v>
      </c>
      <c r="C509" s="34" t="s">
        <v>17</v>
      </c>
      <c r="D509" s="34" t="e" vm="14">
        <f>_xlfn.XLOOKUP(HistoricalStockProgress[[#This Row],[Company Ticker]],CompanyDetailsList[Company Ticker],CompanyDetailsList[Official Name],,0)</f>
        <v>#VALUE!</v>
      </c>
      <c r="E5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5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9484.3704371074709</v>
      </c>
      <c r="G509" s="17">
        <f>IFERROR(HistoricalStockProgress[[#This Row],[Cost of Shares]]/HistoricalStockProgress[[#This Row],[No. of Shares]],0)</f>
        <v>150.54556249376938</v>
      </c>
      <c r="H509" s="16" vm="1043">
        <v>124.27</v>
      </c>
      <c r="I509" s="16">
        <f>IF(HistoricalStockProgress[[#This Row],[No. of Shares]]&lt;&gt;0,HistoricalStockProgress[[#This Row],[Price of Shares]]*HistoricalStockProgress[[#This Row],[No. of Shares]],0)</f>
        <v>7829.0099999999993</v>
      </c>
      <c r="J509" s="16">
        <f>IF(HistoricalStockProgress[[#This Row],[No. of Shares]]&lt;&gt;0,HistoricalStockProgress[[#This Row],[Price of Shares]]-HistoricalStockProgress[[#This Row],[Cost of Shares]]/HistoricalStockProgress[[#This Row],[No. of Shares]],0)</f>
        <v>-26.275562493769385</v>
      </c>
      <c r="K509" s="17">
        <f>IF(HistoricalStockProgress[[#This Row],[Total Price of Shares]]&lt;&gt;0,HistoricalStockProgress[[#This Row],[Total Price of Shares]]-HistoricalStockProgress[[#This Row],[Cost of Shares]],0)</f>
        <v>-1655.3604371074716</v>
      </c>
      <c r="L509" s="34" t="b" cm="1">
        <f t="array" ref="L509">IFERROR(IF(HistoricalStockProgress[[#This Row],[Price of Shares]]="",_xlfn.STOCKHISTORY(HistoricalStockProgress[[#This Row],[Full Company Name]],HistoricalStockProgress[[#This Row],[Date]],,2,0,1)),0)</f>
        <v>0</v>
      </c>
      <c r="M509" s="34">
        <f>YEAR(HistoricalStockProgress[[#This Row],[Date]])</f>
        <v>2018</v>
      </c>
      <c r="N509" s="34">
        <f>MONTH(HistoricalStockProgress[[#This Row],[Date]])</f>
        <v>11</v>
      </c>
    </row>
    <row r="510" spans="2:14">
      <c r="B510" s="15">
        <v>43434</v>
      </c>
      <c r="C510" s="34" t="s">
        <v>98</v>
      </c>
      <c r="D510" s="34" t="e" vm="15">
        <f>_xlfn.XLOOKUP(HistoricalStockProgress[[#This Row],[Company Ticker]],CompanyDetailsList[Company Ticker],CompanyDetailsList[Official Name],,0)</f>
        <v>#VALUE!</v>
      </c>
      <c r="E5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5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1941.9842250911215</v>
      </c>
      <c r="G510" s="17">
        <f>IFERROR(HistoricalStockProgress[[#This Row],[Cost of Shares]]/HistoricalStockProgress[[#This Row],[No. of Shares]],0)</f>
        <v>38.078122060610227</v>
      </c>
      <c r="H510" s="16" vm="1044">
        <v>45.427500000000002</v>
      </c>
      <c r="I510" s="16">
        <f>IF(HistoricalStockProgress[[#This Row],[No. of Shares]]&lt;&gt;0,HistoricalStockProgress[[#This Row],[Price of Shares]]*HistoricalStockProgress[[#This Row],[No. of Shares]],0)</f>
        <v>2316.8025000000002</v>
      </c>
      <c r="J510" s="16">
        <f>IF(HistoricalStockProgress[[#This Row],[No. of Shares]]&lt;&gt;0,HistoricalStockProgress[[#This Row],[Price of Shares]]-HistoricalStockProgress[[#This Row],[Cost of Shares]]/HistoricalStockProgress[[#This Row],[No. of Shares]],0)</f>
        <v>7.3493779393897753</v>
      </c>
      <c r="K510" s="17">
        <f>IF(HistoricalStockProgress[[#This Row],[Total Price of Shares]]&lt;&gt;0,HistoricalStockProgress[[#This Row],[Total Price of Shares]]-HistoricalStockProgress[[#This Row],[Cost of Shares]],0)</f>
        <v>374.81827490887872</v>
      </c>
      <c r="L510" s="34" t="b" cm="1">
        <f t="array" ref="L510">IFERROR(IF(HistoricalStockProgress[[#This Row],[Price of Shares]]="",_xlfn.STOCKHISTORY(HistoricalStockProgress[[#This Row],[Full Company Name]],HistoricalStockProgress[[#This Row],[Date]],,2,0,1)),0)</f>
        <v>0</v>
      </c>
      <c r="M510" s="34">
        <f>YEAR(HistoricalStockProgress[[#This Row],[Date]])</f>
        <v>2018</v>
      </c>
      <c r="N510" s="34">
        <f>MONTH(HistoricalStockProgress[[#This Row],[Date]])</f>
        <v>11</v>
      </c>
    </row>
    <row r="511" spans="2:14">
      <c r="B511" s="15">
        <v>43434</v>
      </c>
      <c r="C511" s="34" t="s">
        <v>100</v>
      </c>
      <c r="D511" s="34" t="e" vm="16">
        <f>_xlfn.XLOOKUP(HistoricalStockProgress[[#This Row],[Company Ticker]],CompanyDetailsList[Company Ticker],CompanyDetailsList[Official Name],,0)</f>
        <v>#VALUE!</v>
      </c>
      <c r="E5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5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511" s="17">
        <f>IFERROR(HistoricalStockProgress[[#This Row],[Cost of Shares]]/HistoricalStockProgress[[#This Row],[No. of Shares]],0)</f>
        <v>84.509035134678101</v>
      </c>
      <c r="H511" s="16" vm="432">
        <v>88.57</v>
      </c>
      <c r="I511" s="16">
        <f>IF(HistoricalStockProgress[[#This Row],[No. of Shares]]&lt;&gt;0,HistoricalStockProgress[[#This Row],[Price of Shares]]*HistoricalStockProgress[[#This Row],[No. of Shares]],0)</f>
        <v>2922.81</v>
      </c>
      <c r="J511" s="16">
        <f>IF(HistoricalStockProgress[[#This Row],[No. of Shares]]&lt;&gt;0,HistoricalStockProgress[[#This Row],[Price of Shares]]-HistoricalStockProgress[[#This Row],[Cost of Shares]]/HistoricalStockProgress[[#This Row],[No. of Shares]],0)</f>
        <v>4.0609648653218926</v>
      </c>
      <c r="K511" s="17">
        <f>IF(HistoricalStockProgress[[#This Row],[Total Price of Shares]]&lt;&gt;0,HistoricalStockProgress[[#This Row],[Total Price of Shares]]-HistoricalStockProgress[[#This Row],[Cost of Shares]],0)</f>
        <v>134.01184055562271</v>
      </c>
      <c r="L511" s="34" t="b" cm="1">
        <f t="array" ref="L511">IFERROR(IF(HistoricalStockProgress[[#This Row],[Price of Shares]]="",_xlfn.STOCKHISTORY(HistoricalStockProgress[[#This Row],[Full Company Name]],HistoricalStockProgress[[#This Row],[Date]],,2,0,1)),0)</f>
        <v>0</v>
      </c>
      <c r="M511" s="34">
        <f>YEAR(HistoricalStockProgress[[#This Row],[Date]])</f>
        <v>2018</v>
      </c>
      <c r="N511" s="34">
        <f>MONTH(HistoricalStockProgress[[#This Row],[Date]])</f>
        <v>11</v>
      </c>
    </row>
    <row r="512" spans="2:14">
      <c r="B512" s="15">
        <v>43434</v>
      </c>
      <c r="C512" s="34" t="s">
        <v>15</v>
      </c>
      <c r="D512" s="34" t="e" vm="17">
        <f>_xlfn.XLOOKUP(HistoricalStockProgress[[#This Row],[Company Ticker]],CompanyDetailsList[Company Ticker],CompanyDetailsList[Official Name],,0)</f>
        <v>#VALUE!</v>
      </c>
      <c r="E5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5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512" s="17">
        <f>IFERROR(HistoricalStockProgress[[#This Row],[Cost of Shares]]/HistoricalStockProgress[[#This Row],[No. of Shares]],0)</f>
        <v>26.081956457072195</v>
      </c>
      <c r="H512" s="16" vm="1045">
        <v>23.591799999999999</v>
      </c>
      <c r="I512" s="16">
        <f>IF(HistoricalStockProgress[[#This Row],[No. of Shares]]&lt;&gt;0,HistoricalStockProgress[[#This Row],[Price of Shares]]*HistoricalStockProgress[[#This Row],[No. of Shares]],0)</f>
        <v>2925.3831999999998</v>
      </c>
      <c r="J512" s="16">
        <f>IF(HistoricalStockProgress[[#This Row],[No. of Shares]]&lt;&gt;0,HistoricalStockProgress[[#This Row],[Price of Shares]]-HistoricalStockProgress[[#This Row],[Cost of Shares]]/HistoricalStockProgress[[#This Row],[No. of Shares]],0)</f>
        <v>-2.4901564570721959</v>
      </c>
      <c r="K512" s="17">
        <f>IF(HistoricalStockProgress[[#This Row],[Total Price of Shares]]&lt;&gt;0,HistoricalStockProgress[[#This Row],[Total Price of Shares]]-HistoricalStockProgress[[#This Row],[Cost of Shares]],0)</f>
        <v>-308.77940067695226</v>
      </c>
      <c r="L512" s="34" t="b" cm="1">
        <f t="array" ref="L512">IFERROR(IF(HistoricalStockProgress[[#This Row],[Price of Shares]]="",_xlfn.STOCKHISTORY(HistoricalStockProgress[[#This Row],[Full Company Name]],HistoricalStockProgress[[#This Row],[Date]],,2,0,1)),0)</f>
        <v>0</v>
      </c>
      <c r="M512" s="34">
        <f>YEAR(HistoricalStockProgress[[#This Row],[Date]])</f>
        <v>2018</v>
      </c>
      <c r="N512" s="34">
        <f>MONTH(HistoricalStockProgress[[#This Row],[Date]])</f>
        <v>11</v>
      </c>
    </row>
    <row r="513" spans="2:14">
      <c r="B513" s="15">
        <v>43434</v>
      </c>
      <c r="C513" s="34" t="s">
        <v>13</v>
      </c>
      <c r="D513" s="34" t="e" vm="18">
        <f>_xlfn.XLOOKUP(HistoricalStockProgress[[#This Row],[Company Ticker]],CompanyDetailsList[Company Ticker],CompanyDetailsList[Official Name],,0)</f>
        <v>#VALUE!</v>
      </c>
      <c r="E5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5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513" s="17">
        <f>IFERROR(HistoricalStockProgress[[#This Row],[Cost of Shares]]/HistoricalStockProgress[[#This Row],[No. of Shares]],0)</f>
        <v>31.383479678650293</v>
      </c>
      <c r="H513" s="16" vm="1046">
        <v>43.823700000000002</v>
      </c>
      <c r="I513" s="16">
        <f>IF(HistoricalStockProgress[[#This Row],[No. of Shares]]&lt;&gt;0,HistoricalStockProgress[[#This Row],[Price of Shares]]*HistoricalStockProgress[[#This Row],[No. of Shares]],0)</f>
        <v>1095.5925</v>
      </c>
      <c r="J513" s="16">
        <f>IF(HistoricalStockProgress[[#This Row],[No. of Shares]]&lt;&gt;0,HistoricalStockProgress[[#This Row],[Price of Shares]]-HistoricalStockProgress[[#This Row],[Cost of Shares]]/HistoricalStockProgress[[#This Row],[No. of Shares]],0)</f>
        <v>12.44022032134971</v>
      </c>
      <c r="K513" s="17">
        <f>IF(HistoricalStockProgress[[#This Row],[Total Price of Shares]]&lt;&gt;0,HistoricalStockProgress[[#This Row],[Total Price of Shares]]-HistoricalStockProgress[[#This Row],[Cost of Shares]],0)</f>
        <v>311.00550803374267</v>
      </c>
      <c r="L513" s="34" t="b" cm="1">
        <f t="array" ref="L513">IFERROR(IF(HistoricalStockProgress[[#This Row],[Price of Shares]]="",_xlfn.STOCKHISTORY(HistoricalStockProgress[[#This Row],[Full Company Name]],HistoricalStockProgress[[#This Row],[Date]],,2,0,1)),0)</f>
        <v>0</v>
      </c>
      <c r="M513" s="34">
        <f>YEAR(HistoricalStockProgress[[#This Row],[Date]])</f>
        <v>2018</v>
      </c>
      <c r="N513" s="34">
        <f>MONTH(HistoricalStockProgress[[#This Row],[Date]])</f>
        <v>11</v>
      </c>
    </row>
    <row r="514" spans="2:14">
      <c r="B514" s="15">
        <v>43434</v>
      </c>
      <c r="C514" s="34" t="s">
        <v>20</v>
      </c>
      <c r="D514" s="34" t="e" vm="19">
        <f>_xlfn.XLOOKUP(HistoricalStockProgress[[#This Row],[Company Ticker]],CompanyDetailsList[Company Ticker],CompanyDetailsList[Official Name],,0)</f>
        <v>#VALUE!</v>
      </c>
      <c r="E5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5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514" s="17">
        <f>IFERROR(HistoricalStockProgress[[#This Row],[Cost of Shares]]/HistoricalStockProgress[[#This Row],[No. of Shares]],0)</f>
        <v>93.912242833589502</v>
      </c>
      <c r="H514" s="16" vm="1047">
        <v>111.19</v>
      </c>
      <c r="I514" s="16">
        <f>IF(HistoricalStockProgress[[#This Row],[No. of Shares]]&lt;&gt;0,HistoricalStockProgress[[#This Row],[Price of Shares]]*HistoricalStockProgress[[#This Row],[No. of Shares]],0)</f>
        <v>8672.82</v>
      </c>
      <c r="J514" s="16">
        <f>IF(HistoricalStockProgress[[#This Row],[No. of Shares]]&lt;&gt;0,HistoricalStockProgress[[#This Row],[Price of Shares]]-HistoricalStockProgress[[#This Row],[Cost of Shares]]/HistoricalStockProgress[[#This Row],[No. of Shares]],0)</f>
        <v>17.277757166410495</v>
      </c>
      <c r="K514" s="17">
        <f>IF(HistoricalStockProgress[[#This Row],[Total Price of Shares]]&lt;&gt;0,HistoricalStockProgress[[#This Row],[Total Price of Shares]]-HistoricalStockProgress[[#This Row],[Cost of Shares]],0)</f>
        <v>1347.6650589800183</v>
      </c>
      <c r="L514" s="34" t="b" cm="1">
        <f t="array" ref="L514">IFERROR(IF(HistoricalStockProgress[[#This Row],[Price of Shares]]="",_xlfn.STOCKHISTORY(HistoricalStockProgress[[#This Row],[Full Company Name]],HistoricalStockProgress[[#This Row],[Date]],,2,0,1)),0)</f>
        <v>0</v>
      </c>
      <c r="M514" s="34">
        <f>YEAR(HistoricalStockProgress[[#This Row],[Date]])</f>
        <v>2018</v>
      </c>
      <c r="N514" s="34">
        <f>MONTH(HistoricalStockProgress[[#This Row],[Date]])</f>
        <v>11</v>
      </c>
    </row>
    <row r="515" spans="2:14">
      <c r="B515" s="15">
        <v>43434</v>
      </c>
      <c r="C515" s="34" t="s">
        <v>106</v>
      </c>
      <c r="D515" s="34" t="e" vm="20">
        <f>_xlfn.XLOOKUP(HistoricalStockProgress[[#This Row],[Company Ticker]],CompanyDetailsList[Company Ticker],CompanyDetailsList[Official Name],,0)</f>
        <v>#VALUE!</v>
      </c>
      <c r="E5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35</v>
      </c>
      <c r="F5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3664.9607366700166</v>
      </c>
      <c r="G515" s="17">
        <f>IFERROR(HistoricalStockProgress[[#This Row],[Cost of Shares]]/HistoricalStockProgress[[#This Row],[No. of Shares]],0)</f>
        <v>104.71316390485761</v>
      </c>
      <c r="H515" s="16" vm="1048">
        <v>109.33</v>
      </c>
      <c r="I515" s="16">
        <f>IF(HistoricalStockProgress[[#This Row],[No. of Shares]]&lt;&gt;0,HistoricalStockProgress[[#This Row],[Price of Shares]]*HistoricalStockProgress[[#This Row],[No. of Shares]],0)</f>
        <v>3826.5499999999997</v>
      </c>
      <c r="J515" s="16">
        <f>IF(HistoricalStockProgress[[#This Row],[No. of Shares]]&lt;&gt;0,HistoricalStockProgress[[#This Row],[Price of Shares]]-HistoricalStockProgress[[#This Row],[Cost of Shares]]/HistoricalStockProgress[[#This Row],[No. of Shares]],0)</f>
        <v>4.6168360951423892</v>
      </c>
      <c r="K515" s="17">
        <f>IF(HistoricalStockProgress[[#This Row],[Total Price of Shares]]&lt;&gt;0,HistoricalStockProgress[[#This Row],[Total Price of Shares]]-HistoricalStockProgress[[#This Row],[Cost of Shares]],0)</f>
        <v>161.58926332998317</v>
      </c>
      <c r="L515" s="34" t="b" cm="1">
        <f t="array" ref="L515">IFERROR(IF(HistoricalStockProgress[[#This Row],[Price of Shares]]="",_xlfn.STOCKHISTORY(HistoricalStockProgress[[#This Row],[Full Company Name]],HistoricalStockProgress[[#This Row],[Date]],,2,0,1)),0)</f>
        <v>0</v>
      </c>
      <c r="M515" s="34">
        <f>YEAR(HistoricalStockProgress[[#This Row],[Date]])</f>
        <v>2018</v>
      </c>
      <c r="N515" s="34">
        <f>MONTH(HistoricalStockProgress[[#This Row],[Date]])</f>
        <v>11</v>
      </c>
    </row>
    <row r="516" spans="2:14">
      <c r="B516" s="15">
        <v>43465</v>
      </c>
      <c r="C516" s="34" t="s">
        <v>12</v>
      </c>
      <c r="D516" s="34" t="e" vm="1">
        <f>_xlfn.XLOOKUP(HistoricalStockProgress[[#This Row],[Company Ticker]],CompanyDetailsList[Company Ticker],CompanyDetailsList[Official Name],,0)</f>
        <v>#VALUE!</v>
      </c>
      <c r="E5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5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516" s="17">
        <f>IFERROR(HistoricalStockProgress[[#This Row],[Cost of Shares]]/HistoricalStockProgress[[#This Row],[No. of Shares]],0)</f>
        <v>57.188485025896703</v>
      </c>
      <c r="H516" s="16" vm="1049">
        <v>63.04</v>
      </c>
      <c r="I516" s="16">
        <f>IF(HistoricalStockProgress[[#This Row],[No. of Shares]]&lt;&gt;0,HistoricalStockProgress[[#This Row],[Price of Shares]]*HistoricalStockProgress[[#This Row],[No. of Shares]],0)</f>
        <v>378.24</v>
      </c>
      <c r="J516" s="16">
        <f>IF(HistoricalStockProgress[[#This Row],[No. of Shares]]&lt;&gt;0,HistoricalStockProgress[[#This Row],[Price of Shares]]-HistoricalStockProgress[[#This Row],[Cost of Shares]]/HistoricalStockProgress[[#This Row],[No. of Shares]],0)</f>
        <v>5.8515149741032957</v>
      </c>
      <c r="K516" s="17">
        <f>IF(HistoricalStockProgress[[#This Row],[Total Price of Shares]]&lt;&gt;0,HistoricalStockProgress[[#This Row],[Total Price of Shares]]-HistoricalStockProgress[[#This Row],[Cost of Shares]],0)</f>
        <v>35.109089844619803</v>
      </c>
      <c r="L516" s="34" t="b" cm="1">
        <f t="array" ref="L516">IFERROR(IF(HistoricalStockProgress[[#This Row],[Price of Shares]]="",_xlfn.STOCKHISTORY(HistoricalStockProgress[[#This Row],[Full Company Name]],HistoricalStockProgress[[#This Row],[Date]],,2,0,1)),0)</f>
        <v>0</v>
      </c>
      <c r="M516" s="34">
        <f>YEAR(HistoricalStockProgress[[#This Row],[Date]])</f>
        <v>2018</v>
      </c>
      <c r="N516" s="34">
        <f>MONTH(HistoricalStockProgress[[#This Row],[Date]])</f>
        <v>12</v>
      </c>
    </row>
    <row r="517" spans="2:14">
      <c r="B517" s="15">
        <v>43465</v>
      </c>
      <c r="C517" s="34" t="s">
        <v>23</v>
      </c>
      <c r="D517" s="34" t="e" vm="4">
        <f>_xlfn.XLOOKUP(HistoricalStockProgress[[#This Row],[Company Ticker]],CompanyDetailsList[Company Ticker],CompanyDetailsList[Official Name],,0)</f>
        <v>#VALUE!</v>
      </c>
      <c r="E5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5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517" s="17">
        <f>IFERROR(HistoricalStockProgress[[#This Row],[Cost of Shares]]/HistoricalStockProgress[[#This Row],[No. of Shares]],0)</f>
        <v>45.768494888570878</v>
      </c>
      <c r="H517" s="16" vm="1050">
        <v>47.35</v>
      </c>
      <c r="I517" s="16">
        <f>IF(HistoricalStockProgress[[#This Row],[No. of Shares]]&lt;&gt;0,HistoricalStockProgress[[#This Row],[Price of Shares]]*HistoricalStockProgress[[#This Row],[No. of Shares]],0)</f>
        <v>2746.3</v>
      </c>
      <c r="J517" s="16">
        <f>IF(HistoricalStockProgress[[#This Row],[No. of Shares]]&lt;&gt;0,HistoricalStockProgress[[#This Row],[Price of Shares]]-HistoricalStockProgress[[#This Row],[Cost of Shares]]/HistoricalStockProgress[[#This Row],[No. of Shares]],0)</f>
        <v>1.5815051114291236</v>
      </c>
      <c r="K517" s="17">
        <f>IF(HistoricalStockProgress[[#This Row],[Total Price of Shares]]&lt;&gt;0,HistoricalStockProgress[[#This Row],[Total Price of Shares]]-HistoricalStockProgress[[#This Row],[Cost of Shares]],0)</f>
        <v>91.727296462889171</v>
      </c>
      <c r="L517" s="34" t="b" cm="1">
        <f t="array" ref="L517">IFERROR(IF(HistoricalStockProgress[[#This Row],[Price of Shares]]="",_xlfn.STOCKHISTORY(HistoricalStockProgress[[#This Row],[Full Company Name]],HistoricalStockProgress[[#This Row],[Date]],,2,0,1)),0)</f>
        <v>0</v>
      </c>
      <c r="M517" s="34">
        <f>YEAR(HistoricalStockProgress[[#This Row],[Date]])</f>
        <v>2018</v>
      </c>
      <c r="N517" s="34">
        <f>MONTH(HistoricalStockProgress[[#This Row],[Date]])</f>
        <v>12</v>
      </c>
    </row>
    <row r="518" spans="2:14">
      <c r="B518" s="15">
        <v>43465</v>
      </c>
      <c r="C518" s="34" t="s">
        <v>84</v>
      </c>
      <c r="D518" s="34" t="e" vm="7">
        <f>_xlfn.XLOOKUP(HistoricalStockProgress[[#This Row],[Company Ticker]],CompanyDetailsList[Company Ticker],CompanyDetailsList[Official Name],,0)</f>
        <v>#VALUE!</v>
      </c>
      <c r="E5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5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518" s="17">
        <f>IFERROR(HistoricalStockProgress[[#This Row],[Cost of Shares]]/HistoricalStockProgress[[#This Row],[No. of Shares]],0)</f>
        <v>104.18087504950869</v>
      </c>
      <c r="H518" s="16" vm="1051">
        <v>129.05000000000001</v>
      </c>
      <c r="I518" s="16">
        <f>IF(HistoricalStockProgress[[#This Row],[No. of Shares]]&lt;&gt;0,HistoricalStockProgress[[#This Row],[Price of Shares]]*HistoricalStockProgress[[#This Row],[No. of Shares]],0)</f>
        <v>6581.55</v>
      </c>
      <c r="J518" s="16">
        <f>IF(HistoricalStockProgress[[#This Row],[No. of Shares]]&lt;&gt;0,HistoricalStockProgress[[#This Row],[Price of Shares]]-HistoricalStockProgress[[#This Row],[Cost of Shares]]/HistoricalStockProgress[[#This Row],[No. of Shares]],0)</f>
        <v>24.869124950491326</v>
      </c>
      <c r="K518" s="17">
        <f>IF(HistoricalStockProgress[[#This Row],[Total Price of Shares]]&lt;&gt;0,HistoricalStockProgress[[#This Row],[Total Price of Shares]]-HistoricalStockProgress[[#This Row],[Cost of Shares]],0)</f>
        <v>1268.3253724750575</v>
      </c>
      <c r="L518" s="34" t="b" cm="1">
        <f t="array" ref="L518">IFERROR(IF(HistoricalStockProgress[[#This Row],[Price of Shares]]="",_xlfn.STOCKHISTORY(HistoricalStockProgress[[#This Row],[Full Company Name]],HistoricalStockProgress[[#This Row],[Date]],,2,0,1)),0)</f>
        <v>0</v>
      </c>
      <c r="M518" s="34">
        <f>YEAR(HistoricalStockProgress[[#This Row],[Date]])</f>
        <v>2018</v>
      </c>
      <c r="N518" s="34">
        <f>MONTH(HistoricalStockProgress[[#This Row],[Date]])</f>
        <v>12</v>
      </c>
    </row>
    <row r="519" spans="2:14">
      <c r="B519" s="15">
        <v>43465</v>
      </c>
      <c r="C519" s="34" t="s">
        <v>86</v>
      </c>
      <c r="D519" s="34" t="e" vm="8">
        <f>_xlfn.XLOOKUP(HistoricalStockProgress[[#This Row],[Company Ticker]],CompanyDetailsList[Company Ticker],CompanyDetailsList[Official Name],,0)</f>
        <v>#VALUE!</v>
      </c>
      <c r="E5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5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519" s="17">
        <f>IFERROR(HistoricalStockProgress[[#This Row],[Cost of Shares]]/HistoricalStockProgress[[#This Row],[No. of Shares]],0)</f>
        <v>85.876031764920896</v>
      </c>
      <c r="H519" s="16" vm="1052">
        <v>92.19</v>
      </c>
      <c r="I519" s="16">
        <f>IF(HistoricalStockProgress[[#This Row],[No. of Shares]]&lt;&gt;0,HistoricalStockProgress[[#This Row],[Price of Shares]]*HistoricalStockProgress[[#This Row],[No. of Shares]],0)</f>
        <v>4886.07</v>
      </c>
      <c r="J519" s="16">
        <f>IF(HistoricalStockProgress[[#This Row],[No. of Shares]]&lt;&gt;0,HistoricalStockProgress[[#This Row],[Price of Shares]]-HistoricalStockProgress[[#This Row],[Cost of Shares]]/HistoricalStockProgress[[#This Row],[No. of Shares]],0)</f>
        <v>6.313968235079102</v>
      </c>
      <c r="K519" s="17">
        <f>IF(HistoricalStockProgress[[#This Row],[Total Price of Shares]]&lt;&gt;0,HistoricalStockProgress[[#This Row],[Total Price of Shares]]-HistoricalStockProgress[[#This Row],[Cost of Shares]],0)</f>
        <v>334.64031645919204</v>
      </c>
      <c r="L519" s="34" t="b" cm="1">
        <f t="array" ref="L519">IFERROR(IF(HistoricalStockProgress[[#This Row],[Price of Shares]]="",_xlfn.STOCKHISTORY(HistoricalStockProgress[[#This Row],[Full Company Name]],HistoricalStockProgress[[#This Row],[Date]],,2,0,1)),0)</f>
        <v>0</v>
      </c>
      <c r="M519" s="34">
        <f>YEAR(HistoricalStockProgress[[#This Row],[Date]])</f>
        <v>2018</v>
      </c>
      <c r="N519" s="34">
        <f>MONTH(HistoricalStockProgress[[#This Row],[Date]])</f>
        <v>12</v>
      </c>
    </row>
    <row r="520" spans="2:14">
      <c r="B520" s="15">
        <v>43465</v>
      </c>
      <c r="C520" s="34" t="s">
        <v>22</v>
      </c>
      <c r="D520" s="34" t="e" vm="10">
        <f>_xlfn.XLOOKUP(HistoricalStockProgress[[#This Row],[Company Ticker]],CompanyDetailsList[Company Ticker],CompanyDetailsList[Official Name],,0)</f>
        <v>#VALUE!</v>
      </c>
      <c r="E5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5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520" s="17">
        <f>IFERROR(HistoricalStockProgress[[#This Row],[Cost of Shares]]/HistoricalStockProgress[[#This Row],[No. of Shares]],0)</f>
        <v>83.61275075159574</v>
      </c>
      <c r="H520" s="16" vm="1053">
        <v>127.07</v>
      </c>
      <c r="I520" s="16">
        <f>IF(HistoricalStockProgress[[#This Row],[No. of Shares]]&lt;&gt;0,HistoricalStockProgress[[#This Row],[Price of Shares]]*HistoricalStockProgress[[#This Row],[No. of Shares]],0)</f>
        <v>7751.2699999999995</v>
      </c>
      <c r="J520" s="16">
        <f>IF(HistoricalStockProgress[[#This Row],[No. of Shares]]&lt;&gt;0,HistoricalStockProgress[[#This Row],[Price of Shares]]-HistoricalStockProgress[[#This Row],[Cost of Shares]]/HistoricalStockProgress[[#This Row],[No. of Shares]],0)</f>
        <v>43.457249248404253</v>
      </c>
      <c r="K520" s="17">
        <f>IF(HistoricalStockProgress[[#This Row],[Total Price of Shares]]&lt;&gt;0,HistoricalStockProgress[[#This Row],[Total Price of Shares]]-HistoricalStockProgress[[#This Row],[Cost of Shares]],0)</f>
        <v>2650.8922041526594</v>
      </c>
      <c r="L520" s="34" t="b" cm="1">
        <f t="array" ref="L520">IFERROR(IF(HistoricalStockProgress[[#This Row],[Price of Shares]]="",_xlfn.STOCKHISTORY(HistoricalStockProgress[[#This Row],[Full Company Name]],HistoricalStockProgress[[#This Row],[Date]],,2,0,1)),0)</f>
        <v>0</v>
      </c>
      <c r="M520" s="34">
        <f>YEAR(HistoricalStockProgress[[#This Row],[Date]])</f>
        <v>2018</v>
      </c>
      <c r="N520" s="34">
        <f>MONTH(HistoricalStockProgress[[#This Row],[Date]])</f>
        <v>12</v>
      </c>
    </row>
    <row r="521" spans="2:14">
      <c r="B521" s="15">
        <v>43465</v>
      </c>
      <c r="C521" s="34" t="s">
        <v>91</v>
      </c>
      <c r="D521" s="34" t="e" vm="11">
        <f>_xlfn.XLOOKUP(HistoricalStockProgress[[#This Row],[Company Ticker]],CompanyDetailsList[Company Ticker],CompanyDetailsList[Official Name],,0)</f>
        <v>#VALUE!</v>
      </c>
      <c r="E5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5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7639.549422502746</v>
      </c>
      <c r="G521" s="17">
        <f>IFERROR(HistoricalStockProgress[[#This Row],[Cost of Shares]]/HistoricalStockProgress[[#This Row],[No. of Shares]],0)</f>
        <v>72.071220967007037</v>
      </c>
      <c r="H521" s="16" vm="1054">
        <v>101.57</v>
      </c>
      <c r="I521" s="16">
        <f>IF(HistoricalStockProgress[[#This Row],[No. of Shares]]&lt;&gt;0,HistoricalStockProgress[[#This Row],[Price of Shares]]*HistoricalStockProgress[[#This Row],[No. of Shares]],0)</f>
        <v>10766.42</v>
      </c>
      <c r="J521" s="16">
        <f>IF(HistoricalStockProgress[[#This Row],[No. of Shares]]&lt;&gt;0,HistoricalStockProgress[[#This Row],[Price of Shares]]-HistoricalStockProgress[[#This Row],[Cost of Shares]]/HistoricalStockProgress[[#This Row],[No. of Shares]],0)</f>
        <v>29.498779032992957</v>
      </c>
      <c r="K521" s="17">
        <f>IF(HistoricalStockProgress[[#This Row],[Total Price of Shares]]&lt;&gt;0,HistoricalStockProgress[[#This Row],[Total Price of Shares]]-HistoricalStockProgress[[#This Row],[Cost of Shares]],0)</f>
        <v>3126.8705774972541</v>
      </c>
      <c r="L521" s="34" t="b" cm="1">
        <f t="array" ref="L521">IFERROR(IF(HistoricalStockProgress[[#This Row],[Price of Shares]]="",_xlfn.STOCKHISTORY(HistoricalStockProgress[[#This Row],[Full Company Name]],HistoricalStockProgress[[#This Row],[Date]],,2,0,1)),0)</f>
        <v>0</v>
      </c>
      <c r="M521" s="34">
        <f>YEAR(HistoricalStockProgress[[#This Row],[Date]])</f>
        <v>2018</v>
      </c>
      <c r="N521" s="34">
        <f>MONTH(HistoricalStockProgress[[#This Row],[Date]])</f>
        <v>12</v>
      </c>
    </row>
    <row r="522" spans="2:14">
      <c r="B522" s="15">
        <v>43465</v>
      </c>
      <c r="C522" s="34" t="s">
        <v>16</v>
      </c>
      <c r="D522" s="34" t="e" vm="12">
        <f>_xlfn.XLOOKUP(HistoricalStockProgress[[#This Row],[Company Ticker]],CompanyDetailsList[Company Ticker],CompanyDetailsList[Official Name],,0)</f>
        <v>#VALUE!</v>
      </c>
      <c r="E5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5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522" s="17">
        <f>IFERROR(HistoricalStockProgress[[#This Row],[Cost of Shares]]/HistoricalStockProgress[[#This Row],[No. of Shares]],0)</f>
        <v>82.900834685216523</v>
      </c>
      <c r="H522" s="16" vm="1055">
        <v>68.19</v>
      </c>
      <c r="I522" s="16">
        <f>IF(HistoricalStockProgress[[#This Row],[No. of Shares]]&lt;&gt;0,HistoricalStockProgress[[#This Row],[Price of Shares]]*HistoricalStockProgress[[#This Row],[No. of Shares]],0)</f>
        <v>9887.5499999999993</v>
      </c>
      <c r="J522" s="16">
        <f>IF(HistoricalStockProgress[[#This Row],[No. of Shares]]&lt;&gt;0,HistoricalStockProgress[[#This Row],[Price of Shares]]-HistoricalStockProgress[[#This Row],[Cost of Shares]]/HistoricalStockProgress[[#This Row],[No. of Shares]],0)</f>
        <v>-14.710834685216525</v>
      </c>
      <c r="K522" s="17">
        <f>IF(HistoricalStockProgress[[#This Row],[Total Price of Shares]]&lt;&gt;0,HistoricalStockProgress[[#This Row],[Total Price of Shares]]-HistoricalStockProgress[[#This Row],[Cost of Shares]],0)</f>
        <v>-2133.071029356397</v>
      </c>
      <c r="L522" s="34" t="b" cm="1">
        <f t="array" ref="L522">IFERROR(IF(HistoricalStockProgress[[#This Row],[Price of Shares]]="",_xlfn.STOCKHISTORY(HistoricalStockProgress[[#This Row],[Full Company Name]],HistoricalStockProgress[[#This Row],[Date]],,2,0,1)),0)</f>
        <v>0</v>
      </c>
      <c r="M522" s="34">
        <f>YEAR(HistoricalStockProgress[[#This Row],[Date]])</f>
        <v>2018</v>
      </c>
      <c r="N522" s="34">
        <f>MONTH(HistoricalStockProgress[[#This Row],[Date]])</f>
        <v>12</v>
      </c>
    </row>
    <row r="523" spans="2:14">
      <c r="B523" s="15">
        <v>43465</v>
      </c>
      <c r="C523" s="34" t="s">
        <v>95</v>
      </c>
      <c r="D523" s="34" t="e" vm="13">
        <f>_xlfn.XLOOKUP(HistoricalStockProgress[[#This Row],[Company Ticker]],CompanyDetailsList[Company Ticker],CompanyDetailsList[Official Name],,0)</f>
        <v>#VALUE!</v>
      </c>
      <c r="E5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5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523" s="17">
        <f>IFERROR(HistoricalStockProgress[[#This Row],[Cost of Shares]]/HistoricalStockProgress[[#This Row],[No. of Shares]],0)</f>
        <v>143.29758396474452</v>
      </c>
      <c r="H523" s="16" vm="1056">
        <v>171.82</v>
      </c>
      <c r="I523" s="16">
        <f>IF(HistoricalStockProgress[[#This Row],[No. of Shares]]&lt;&gt;0,HistoricalStockProgress[[#This Row],[Price of Shares]]*HistoricalStockProgress[[#This Row],[No. of Shares]],0)</f>
        <v>7388.2599999999993</v>
      </c>
      <c r="J523" s="16">
        <f>IF(HistoricalStockProgress[[#This Row],[No. of Shares]]&lt;&gt;0,HistoricalStockProgress[[#This Row],[Price of Shares]]-HistoricalStockProgress[[#This Row],[Cost of Shares]]/HistoricalStockProgress[[#This Row],[No. of Shares]],0)</f>
        <v>28.522416035255475</v>
      </c>
      <c r="K523" s="17">
        <f>IF(HistoricalStockProgress[[#This Row],[Total Price of Shares]]&lt;&gt;0,HistoricalStockProgress[[#This Row],[Total Price of Shares]]-HistoricalStockProgress[[#This Row],[Cost of Shares]],0)</f>
        <v>1226.4638895159851</v>
      </c>
      <c r="L523" s="34" t="b" cm="1">
        <f t="array" ref="L523">IFERROR(IF(HistoricalStockProgress[[#This Row],[Price of Shares]]="",_xlfn.STOCKHISTORY(HistoricalStockProgress[[#This Row],[Full Company Name]],HistoricalStockProgress[[#This Row],[Date]],,2,0,1)),0)</f>
        <v>0</v>
      </c>
      <c r="M523" s="34">
        <f>YEAR(HistoricalStockProgress[[#This Row],[Date]])</f>
        <v>2018</v>
      </c>
      <c r="N523" s="34">
        <f>MONTH(HistoricalStockProgress[[#This Row],[Date]])</f>
        <v>12</v>
      </c>
    </row>
    <row r="524" spans="2:14">
      <c r="B524" s="15">
        <v>43465</v>
      </c>
      <c r="C524" s="34" t="s">
        <v>17</v>
      </c>
      <c r="D524" s="34" t="e" vm="14">
        <f>_xlfn.XLOOKUP(HistoricalStockProgress[[#This Row],[Company Ticker]],CompanyDetailsList[Company Ticker],CompanyDetailsList[Official Name],,0)</f>
        <v>#VALUE!</v>
      </c>
      <c r="E5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5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9484.3704371074709</v>
      </c>
      <c r="G524" s="17">
        <f>IFERROR(HistoricalStockProgress[[#This Row],[Cost of Shares]]/HistoricalStockProgress[[#This Row],[No. of Shares]],0)</f>
        <v>150.54556249376938</v>
      </c>
      <c r="H524" s="16" vm="1057">
        <v>113.67</v>
      </c>
      <c r="I524" s="16">
        <f>IF(HistoricalStockProgress[[#This Row],[No. of Shares]]&lt;&gt;0,HistoricalStockProgress[[#This Row],[Price of Shares]]*HistoricalStockProgress[[#This Row],[No. of Shares]],0)</f>
        <v>7161.21</v>
      </c>
      <c r="J524" s="16">
        <f>IF(HistoricalStockProgress[[#This Row],[No. of Shares]]&lt;&gt;0,HistoricalStockProgress[[#This Row],[Price of Shares]]-HistoricalStockProgress[[#This Row],[Cost of Shares]]/HistoricalStockProgress[[#This Row],[No. of Shares]],0)</f>
        <v>-36.87556249376938</v>
      </c>
      <c r="K524" s="17">
        <f>IF(HistoricalStockProgress[[#This Row],[Total Price of Shares]]&lt;&gt;0,HistoricalStockProgress[[#This Row],[Total Price of Shares]]-HistoricalStockProgress[[#This Row],[Cost of Shares]],0)</f>
        <v>-2323.1604371074709</v>
      </c>
      <c r="L524" s="34" t="b" cm="1">
        <f t="array" ref="L524">IFERROR(IF(HistoricalStockProgress[[#This Row],[Price of Shares]]="",_xlfn.STOCKHISTORY(HistoricalStockProgress[[#This Row],[Full Company Name]],HistoricalStockProgress[[#This Row],[Date]],,2,0,1)),0)</f>
        <v>0</v>
      </c>
      <c r="M524" s="34">
        <f>YEAR(HistoricalStockProgress[[#This Row],[Date]])</f>
        <v>2018</v>
      </c>
      <c r="N524" s="34">
        <f>MONTH(HistoricalStockProgress[[#This Row],[Date]])</f>
        <v>12</v>
      </c>
    </row>
    <row r="525" spans="2:14">
      <c r="B525" s="15">
        <v>43465</v>
      </c>
      <c r="C525" s="34" t="s">
        <v>98</v>
      </c>
      <c r="D525" s="34" t="e" vm="15">
        <f>_xlfn.XLOOKUP(HistoricalStockProgress[[#This Row],[Company Ticker]],CompanyDetailsList[Company Ticker],CompanyDetailsList[Official Name],,0)</f>
        <v>#VALUE!</v>
      </c>
      <c r="E5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5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1941.9842250911215</v>
      </c>
      <c r="G525" s="17">
        <f>IFERROR(HistoricalStockProgress[[#This Row],[Cost of Shares]]/HistoricalStockProgress[[#This Row],[No. of Shares]],0)</f>
        <v>38.078122060610227</v>
      </c>
      <c r="H525" s="16" vm="1058">
        <v>43.454999999999998</v>
      </c>
      <c r="I525" s="16">
        <f>IF(HistoricalStockProgress[[#This Row],[No. of Shares]]&lt;&gt;0,HistoricalStockProgress[[#This Row],[Price of Shares]]*HistoricalStockProgress[[#This Row],[No. of Shares]],0)</f>
        <v>2216.2049999999999</v>
      </c>
      <c r="J525" s="16">
        <f>IF(HistoricalStockProgress[[#This Row],[No. of Shares]]&lt;&gt;0,HistoricalStockProgress[[#This Row],[Price of Shares]]-HistoricalStockProgress[[#This Row],[Cost of Shares]]/HistoricalStockProgress[[#This Row],[No. of Shares]],0)</f>
        <v>5.3768779393897717</v>
      </c>
      <c r="K525" s="17">
        <f>IF(HistoricalStockProgress[[#This Row],[Total Price of Shares]]&lt;&gt;0,HistoricalStockProgress[[#This Row],[Total Price of Shares]]-HistoricalStockProgress[[#This Row],[Cost of Shares]],0)</f>
        <v>274.22077490887841</v>
      </c>
      <c r="L525" s="34" t="b" cm="1">
        <f t="array" ref="L525">IFERROR(IF(HistoricalStockProgress[[#This Row],[Price of Shares]]="",_xlfn.STOCKHISTORY(HistoricalStockProgress[[#This Row],[Full Company Name]],HistoricalStockProgress[[#This Row],[Date]],,2,0,1)),0)</f>
        <v>0</v>
      </c>
      <c r="M525" s="34">
        <f>YEAR(HistoricalStockProgress[[#This Row],[Date]])</f>
        <v>2018</v>
      </c>
      <c r="N525" s="34">
        <f>MONTH(HistoricalStockProgress[[#This Row],[Date]])</f>
        <v>12</v>
      </c>
    </row>
    <row r="526" spans="2:14">
      <c r="B526" s="15">
        <v>43465</v>
      </c>
      <c r="C526" s="34" t="s">
        <v>100</v>
      </c>
      <c r="D526" s="34" t="e" vm="16">
        <f>_xlfn.XLOOKUP(HistoricalStockProgress[[#This Row],[Company Ticker]],CompanyDetailsList[Company Ticker],CompanyDetailsList[Official Name],,0)</f>
        <v>#VALUE!</v>
      </c>
      <c r="E5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5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526" s="17">
        <f>IFERROR(HistoricalStockProgress[[#This Row],[Cost of Shares]]/HistoricalStockProgress[[#This Row],[No. of Shares]],0)</f>
        <v>84.509035134678101</v>
      </c>
      <c r="H526" s="16" vm="1059">
        <v>86.3</v>
      </c>
      <c r="I526" s="16">
        <f>IF(HistoricalStockProgress[[#This Row],[No. of Shares]]&lt;&gt;0,HistoricalStockProgress[[#This Row],[Price of Shares]]*HistoricalStockProgress[[#This Row],[No. of Shares]],0)</f>
        <v>2847.9</v>
      </c>
      <c r="J526" s="16">
        <f>IF(HistoricalStockProgress[[#This Row],[No. of Shares]]&lt;&gt;0,HistoricalStockProgress[[#This Row],[Price of Shares]]-HistoricalStockProgress[[#This Row],[Cost of Shares]]/HistoricalStockProgress[[#This Row],[No. of Shares]],0)</f>
        <v>1.7909648653218966</v>
      </c>
      <c r="K526" s="17">
        <f>IF(HistoricalStockProgress[[#This Row],[Total Price of Shares]]&lt;&gt;0,HistoricalStockProgress[[#This Row],[Total Price of Shares]]-HistoricalStockProgress[[#This Row],[Cost of Shares]],0)</f>
        <v>59.101840555622857</v>
      </c>
      <c r="L526" s="34" t="b" cm="1">
        <f t="array" ref="L526">IFERROR(IF(HistoricalStockProgress[[#This Row],[Price of Shares]]="",_xlfn.STOCKHISTORY(HistoricalStockProgress[[#This Row],[Full Company Name]],HistoricalStockProgress[[#This Row],[Date]],,2,0,1)),0)</f>
        <v>0</v>
      </c>
      <c r="M526" s="34">
        <f>YEAR(HistoricalStockProgress[[#This Row],[Date]])</f>
        <v>2018</v>
      </c>
      <c r="N526" s="34">
        <f>MONTH(HistoricalStockProgress[[#This Row],[Date]])</f>
        <v>12</v>
      </c>
    </row>
    <row r="527" spans="2:14">
      <c r="B527" s="15">
        <v>43465</v>
      </c>
      <c r="C527" s="34" t="s">
        <v>15</v>
      </c>
      <c r="D527" s="34" t="e" vm="17">
        <f>_xlfn.XLOOKUP(HistoricalStockProgress[[#This Row],[Company Ticker]],CompanyDetailsList[Company Ticker],CompanyDetailsList[Official Name],,0)</f>
        <v>#VALUE!</v>
      </c>
      <c r="E5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5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527" s="17">
        <f>IFERROR(HistoricalStockProgress[[#This Row],[Cost of Shares]]/HistoricalStockProgress[[#This Row],[No. of Shares]],0)</f>
        <v>26.081956457072195</v>
      </c>
      <c r="H527" s="16" vm="1060">
        <v>21.552800000000001</v>
      </c>
      <c r="I527" s="16">
        <f>IF(HistoricalStockProgress[[#This Row],[No. of Shares]]&lt;&gt;0,HistoricalStockProgress[[#This Row],[Price of Shares]]*HistoricalStockProgress[[#This Row],[No. of Shares]],0)</f>
        <v>2672.5472</v>
      </c>
      <c r="J527" s="16">
        <f>IF(HistoricalStockProgress[[#This Row],[No. of Shares]]&lt;&gt;0,HistoricalStockProgress[[#This Row],[Price of Shares]]-HistoricalStockProgress[[#This Row],[Cost of Shares]]/HistoricalStockProgress[[#This Row],[No. of Shares]],0)</f>
        <v>-4.5291564570721938</v>
      </c>
      <c r="K527" s="17">
        <f>IF(HistoricalStockProgress[[#This Row],[Total Price of Shares]]&lt;&gt;0,HistoricalStockProgress[[#This Row],[Total Price of Shares]]-HistoricalStockProgress[[#This Row],[Cost of Shares]],0)</f>
        <v>-561.61540067695205</v>
      </c>
      <c r="L527" s="34" t="b" cm="1">
        <f t="array" ref="L527">IFERROR(IF(HistoricalStockProgress[[#This Row],[Price of Shares]]="",_xlfn.STOCKHISTORY(HistoricalStockProgress[[#This Row],[Full Company Name]],HistoricalStockProgress[[#This Row],[Date]],,2,0,1)),0)</f>
        <v>0</v>
      </c>
      <c r="M527" s="34">
        <f>YEAR(HistoricalStockProgress[[#This Row],[Date]])</f>
        <v>2018</v>
      </c>
      <c r="N527" s="34">
        <f>MONTH(HistoricalStockProgress[[#This Row],[Date]])</f>
        <v>12</v>
      </c>
    </row>
    <row r="528" spans="2:14">
      <c r="B528" s="15">
        <v>43465</v>
      </c>
      <c r="C528" s="34" t="s">
        <v>13</v>
      </c>
      <c r="D528" s="34" t="e" vm="18">
        <f>_xlfn.XLOOKUP(HistoricalStockProgress[[#This Row],[Company Ticker]],CompanyDetailsList[Company Ticker],CompanyDetailsList[Official Name],,0)</f>
        <v>#VALUE!</v>
      </c>
      <c r="E5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5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528" s="17">
        <f>IFERROR(HistoricalStockProgress[[#This Row],[Cost of Shares]]/HistoricalStockProgress[[#This Row],[No. of Shares]],0)</f>
        <v>31.383479678650293</v>
      </c>
      <c r="H528" s="16" vm="1061">
        <v>41.378</v>
      </c>
      <c r="I528" s="16">
        <f>IF(HistoricalStockProgress[[#This Row],[No. of Shares]]&lt;&gt;0,HistoricalStockProgress[[#This Row],[Price of Shares]]*HistoricalStockProgress[[#This Row],[No. of Shares]],0)</f>
        <v>1034.45</v>
      </c>
      <c r="J528" s="16">
        <f>IF(HistoricalStockProgress[[#This Row],[No. of Shares]]&lt;&gt;0,HistoricalStockProgress[[#This Row],[Price of Shares]]-HistoricalStockProgress[[#This Row],[Cost of Shares]]/HistoricalStockProgress[[#This Row],[No. of Shares]],0)</f>
        <v>9.9945203213497074</v>
      </c>
      <c r="K528" s="17">
        <f>IF(HistoricalStockProgress[[#This Row],[Total Price of Shares]]&lt;&gt;0,HistoricalStockProgress[[#This Row],[Total Price of Shares]]-HistoricalStockProgress[[#This Row],[Cost of Shares]],0)</f>
        <v>249.86300803374274</v>
      </c>
      <c r="L528" s="34" t="b" cm="1">
        <f t="array" ref="L528">IFERROR(IF(HistoricalStockProgress[[#This Row],[Price of Shares]]="",_xlfn.STOCKHISTORY(HistoricalStockProgress[[#This Row],[Full Company Name]],HistoricalStockProgress[[#This Row],[Date]],,2,0,1)),0)</f>
        <v>0</v>
      </c>
      <c r="M528" s="34">
        <f>YEAR(HistoricalStockProgress[[#This Row],[Date]])</f>
        <v>2018</v>
      </c>
      <c r="N528" s="34">
        <f>MONTH(HistoricalStockProgress[[#This Row],[Date]])</f>
        <v>12</v>
      </c>
    </row>
    <row r="529" spans="2:14">
      <c r="B529" s="15">
        <v>43465</v>
      </c>
      <c r="C529" s="34" t="s">
        <v>20</v>
      </c>
      <c r="D529" s="34" t="e" vm="19">
        <f>_xlfn.XLOOKUP(HistoricalStockProgress[[#This Row],[Company Ticker]],CompanyDetailsList[Company Ticker],CompanyDetailsList[Official Name],,0)</f>
        <v>#VALUE!</v>
      </c>
      <c r="E5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5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529" s="17">
        <f>IFERROR(HistoricalStockProgress[[#This Row],[Cost of Shares]]/HistoricalStockProgress[[#This Row],[No. of Shares]],0)</f>
        <v>93.912242833589502</v>
      </c>
      <c r="H529" s="16" vm="1062">
        <v>97.62</v>
      </c>
      <c r="I529" s="16">
        <f>IF(HistoricalStockProgress[[#This Row],[No. of Shares]]&lt;&gt;0,HistoricalStockProgress[[#This Row],[Price of Shares]]*HistoricalStockProgress[[#This Row],[No. of Shares]],0)</f>
        <v>7614.3600000000006</v>
      </c>
      <c r="J529" s="16">
        <f>IF(HistoricalStockProgress[[#This Row],[No. of Shares]]&lt;&gt;0,HistoricalStockProgress[[#This Row],[Price of Shares]]-HistoricalStockProgress[[#This Row],[Cost of Shares]]/HistoricalStockProgress[[#This Row],[No. of Shares]],0)</f>
        <v>3.7077571664105022</v>
      </c>
      <c r="K529" s="17">
        <f>IF(HistoricalStockProgress[[#This Row],[Total Price of Shares]]&lt;&gt;0,HistoricalStockProgress[[#This Row],[Total Price of Shares]]-HistoricalStockProgress[[#This Row],[Cost of Shares]],0)</f>
        <v>289.2050589800192</v>
      </c>
      <c r="L529" s="34" t="b" cm="1">
        <f t="array" ref="L529">IFERROR(IF(HistoricalStockProgress[[#This Row],[Price of Shares]]="",_xlfn.STOCKHISTORY(HistoricalStockProgress[[#This Row],[Full Company Name]],HistoricalStockProgress[[#This Row],[Date]],,2,0,1)),0)</f>
        <v>0</v>
      </c>
      <c r="M529" s="34">
        <f>YEAR(HistoricalStockProgress[[#This Row],[Date]])</f>
        <v>2018</v>
      </c>
      <c r="N529" s="34">
        <f>MONTH(HistoricalStockProgress[[#This Row],[Date]])</f>
        <v>12</v>
      </c>
    </row>
    <row r="530" spans="2:14">
      <c r="B530" s="15">
        <v>43465</v>
      </c>
      <c r="C530" s="34" t="s">
        <v>106</v>
      </c>
      <c r="D530" s="34" t="e" vm="20">
        <f>_xlfn.XLOOKUP(HistoricalStockProgress[[#This Row],[Company Ticker]],CompanyDetailsList[Company Ticker],CompanyDetailsList[Official Name],,0)</f>
        <v>#VALUE!</v>
      </c>
      <c r="E5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52</v>
      </c>
      <c r="F5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5315.8302476196659</v>
      </c>
      <c r="G530" s="17">
        <f>IFERROR(HistoricalStockProgress[[#This Row],[Cost of Shares]]/HistoricalStockProgress[[#This Row],[No. of Shares]],0)</f>
        <v>102.22750476191665</v>
      </c>
      <c r="H530" s="16" vm="1063">
        <v>102.23</v>
      </c>
      <c r="I530" s="16">
        <f>IF(HistoricalStockProgress[[#This Row],[No. of Shares]]&lt;&gt;0,HistoricalStockProgress[[#This Row],[Price of Shares]]*HistoricalStockProgress[[#This Row],[No. of Shares]],0)</f>
        <v>5315.96</v>
      </c>
      <c r="J530" s="16">
        <f>IF(HistoricalStockProgress[[#This Row],[No. of Shares]]&lt;&gt;0,HistoricalStockProgress[[#This Row],[Price of Shares]]-HistoricalStockProgress[[#This Row],[Cost of Shares]]/HistoricalStockProgress[[#This Row],[No. of Shares]],0)</f>
        <v>2.4952380833553889E-3</v>
      </c>
      <c r="K530" s="17">
        <f>IF(HistoricalStockProgress[[#This Row],[Total Price of Shares]]&lt;&gt;0,HistoricalStockProgress[[#This Row],[Total Price of Shares]]-HistoricalStockProgress[[#This Row],[Cost of Shares]],0)</f>
        <v>0.12975238033413916</v>
      </c>
      <c r="L530" s="34" t="b" cm="1">
        <f t="array" ref="L530">IFERROR(IF(HistoricalStockProgress[[#This Row],[Price of Shares]]="",_xlfn.STOCKHISTORY(HistoricalStockProgress[[#This Row],[Full Company Name]],HistoricalStockProgress[[#This Row],[Date]],,2,0,1)),0)</f>
        <v>0</v>
      </c>
      <c r="M530" s="34">
        <f>YEAR(HistoricalStockProgress[[#This Row],[Date]])</f>
        <v>2018</v>
      </c>
      <c r="N530" s="34">
        <f>MONTH(HistoricalStockProgress[[#This Row],[Date]])</f>
        <v>12</v>
      </c>
    </row>
    <row r="531" spans="2:14">
      <c r="B531" s="15">
        <v>43496</v>
      </c>
      <c r="C531" s="34" t="s">
        <v>12</v>
      </c>
      <c r="D531" s="34" t="e" vm="1">
        <f>_xlfn.XLOOKUP(HistoricalStockProgress[[#This Row],[Company Ticker]],CompanyDetailsList[Company Ticker],CompanyDetailsList[Official Name],,0)</f>
        <v>#VALUE!</v>
      </c>
      <c r="E5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5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531" s="17">
        <f>IFERROR(HistoricalStockProgress[[#This Row],[Cost of Shares]]/HistoricalStockProgress[[#This Row],[No. of Shares]],0)</f>
        <v>57.188485025896703</v>
      </c>
      <c r="H531" s="16" vm="1064">
        <v>68.69</v>
      </c>
      <c r="I531" s="16">
        <f>IF(HistoricalStockProgress[[#This Row],[No. of Shares]]&lt;&gt;0,HistoricalStockProgress[[#This Row],[Price of Shares]]*HistoricalStockProgress[[#This Row],[No. of Shares]],0)</f>
        <v>412.14</v>
      </c>
      <c r="J531" s="16">
        <f>IF(HistoricalStockProgress[[#This Row],[No. of Shares]]&lt;&gt;0,HistoricalStockProgress[[#This Row],[Price of Shares]]-HistoricalStockProgress[[#This Row],[Cost of Shares]]/HistoricalStockProgress[[#This Row],[No. of Shares]],0)</f>
        <v>11.501514974103294</v>
      </c>
      <c r="K531" s="17">
        <f>IF(HistoricalStockProgress[[#This Row],[Total Price of Shares]]&lt;&gt;0,HistoricalStockProgress[[#This Row],[Total Price of Shares]]-HistoricalStockProgress[[#This Row],[Cost of Shares]],0)</f>
        <v>69.00908984461978</v>
      </c>
      <c r="L531" s="34" t="b" cm="1">
        <f t="array" ref="L531">IFERROR(IF(HistoricalStockProgress[[#This Row],[Price of Shares]]="",_xlfn.STOCKHISTORY(HistoricalStockProgress[[#This Row],[Full Company Name]],HistoricalStockProgress[[#This Row],[Date]],,2,0,1)),0)</f>
        <v>0</v>
      </c>
      <c r="M531" s="34">
        <f>YEAR(HistoricalStockProgress[[#This Row],[Date]])</f>
        <v>2019</v>
      </c>
      <c r="N531" s="34">
        <f>MONTH(HistoricalStockProgress[[#This Row],[Date]])</f>
        <v>1</v>
      </c>
    </row>
    <row r="532" spans="2:14">
      <c r="B532" s="15">
        <v>43496</v>
      </c>
      <c r="C532" s="34" t="s">
        <v>23</v>
      </c>
      <c r="D532" s="34" t="e" vm="4">
        <f>_xlfn.XLOOKUP(HistoricalStockProgress[[#This Row],[Company Ticker]],CompanyDetailsList[Company Ticker],CompanyDetailsList[Official Name],,0)</f>
        <v>#VALUE!</v>
      </c>
      <c r="E5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5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532" s="17">
        <f>IFERROR(HistoricalStockProgress[[#This Row],[Cost of Shares]]/HistoricalStockProgress[[#This Row],[No. of Shares]],0)</f>
        <v>45.768494888570878</v>
      </c>
      <c r="H532" s="16" vm="1065">
        <v>48.13</v>
      </c>
      <c r="I532" s="16">
        <f>IF(HistoricalStockProgress[[#This Row],[No. of Shares]]&lt;&gt;0,HistoricalStockProgress[[#This Row],[Price of Shares]]*HistoricalStockProgress[[#This Row],[No. of Shares]],0)</f>
        <v>2791.54</v>
      </c>
      <c r="J532" s="16">
        <f>IF(HistoricalStockProgress[[#This Row],[No. of Shares]]&lt;&gt;0,HistoricalStockProgress[[#This Row],[Price of Shares]]-HistoricalStockProgress[[#This Row],[Cost of Shares]]/HistoricalStockProgress[[#This Row],[No. of Shares]],0)</f>
        <v>2.3615051114291248</v>
      </c>
      <c r="K532" s="17">
        <f>IF(HistoricalStockProgress[[#This Row],[Total Price of Shares]]&lt;&gt;0,HistoricalStockProgress[[#This Row],[Total Price of Shares]]-HistoricalStockProgress[[#This Row],[Cost of Shares]],0)</f>
        <v>136.96729646288895</v>
      </c>
      <c r="L532" s="34" t="b" cm="1">
        <f t="array" ref="L532">IFERROR(IF(HistoricalStockProgress[[#This Row],[Price of Shares]]="",_xlfn.STOCKHISTORY(HistoricalStockProgress[[#This Row],[Full Company Name]],HistoricalStockProgress[[#This Row],[Date]],,2,0,1)),0)</f>
        <v>0</v>
      </c>
      <c r="M532" s="34">
        <f>YEAR(HistoricalStockProgress[[#This Row],[Date]])</f>
        <v>2019</v>
      </c>
      <c r="N532" s="34">
        <f>MONTH(HistoricalStockProgress[[#This Row],[Date]])</f>
        <v>1</v>
      </c>
    </row>
    <row r="533" spans="2:14">
      <c r="B533" s="15">
        <v>43496</v>
      </c>
      <c r="C533" s="34" t="s">
        <v>84</v>
      </c>
      <c r="D533" s="34" t="e" vm="7">
        <f>_xlfn.XLOOKUP(HistoricalStockProgress[[#This Row],[Company Ticker]],CompanyDetailsList[Company Ticker],CompanyDetailsList[Official Name],,0)</f>
        <v>#VALUE!</v>
      </c>
      <c r="E5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5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533" s="17">
        <f>IFERROR(HistoricalStockProgress[[#This Row],[Cost of Shares]]/HistoricalStockProgress[[#This Row],[No. of Shares]],0)</f>
        <v>104.18087504950869</v>
      </c>
      <c r="H533" s="16" vm="1066">
        <v>133.08000000000001</v>
      </c>
      <c r="I533" s="16">
        <f>IF(HistoricalStockProgress[[#This Row],[No. of Shares]]&lt;&gt;0,HistoricalStockProgress[[#This Row],[Price of Shares]]*HistoricalStockProgress[[#This Row],[No. of Shares]],0)</f>
        <v>6787.0800000000008</v>
      </c>
      <c r="J533" s="16">
        <f>IF(HistoricalStockProgress[[#This Row],[No. of Shares]]&lt;&gt;0,HistoricalStockProgress[[#This Row],[Price of Shares]]-HistoricalStockProgress[[#This Row],[Cost of Shares]]/HistoricalStockProgress[[#This Row],[No. of Shares]],0)</f>
        <v>28.899124950491327</v>
      </c>
      <c r="K533" s="17">
        <f>IF(HistoricalStockProgress[[#This Row],[Total Price of Shares]]&lt;&gt;0,HistoricalStockProgress[[#This Row],[Total Price of Shares]]-HistoricalStockProgress[[#This Row],[Cost of Shares]],0)</f>
        <v>1473.8553724750582</v>
      </c>
      <c r="L533" s="34" t="b" cm="1">
        <f t="array" ref="L533">IFERROR(IF(HistoricalStockProgress[[#This Row],[Price of Shares]]="",_xlfn.STOCKHISTORY(HistoricalStockProgress[[#This Row],[Full Company Name]],HistoricalStockProgress[[#This Row],[Date]],,2,0,1)),0)</f>
        <v>0</v>
      </c>
      <c r="M533" s="34">
        <f>YEAR(HistoricalStockProgress[[#This Row],[Date]])</f>
        <v>2019</v>
      </c>
      <c r="N533" s="34">
        <f>MONTH(HistoricalStockProgress[[#This Row],[Date]])</f>
        <v>1</v>
      </c>
    </row>
    <row r="534" spans="2:14">
      <c r="B534" s="15">
        <v>43496</v>
      </c>
      <c r="C534" s="34" t="s">
        <v>86</v>
      </c>
      <c r="D534" s="34" t="e" vm="8">
        <f>_xlfn.XLOOKUP(HistoricalStockProgress[[#This Row],[Company Ticker]],CompanyDetailsList[Company Ticker],CompanyDetailsList[Official Name],,0)</f>
        <v>#VALUE!</v>
      </c>
      <c r="E5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5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534" s="17">
        <f>IFERROR(HistoricalStockProgress[[#This Row],[Cost of Shares]]/HistoricalStockProgress[[#This Row],[No. of Shares]],0)</f>
        <v>85.876031764920896</v>
      </c>
      <c r="H534" s="16" vm="1067">
        <v>80.290000000000006</v>
      </c>
      <c r="I534" s="16">
        <f>IF(HistoricalStockProgress[[#This Row],[No. of Shares]]&lt;&gt;0,HistoricalStockProgress[[#This Row],[Price of Shares]]*HistoricalStockProgress[[#This Row],[No. of Shares]],0)</f>
        <v>4255.37</v>
      </c>
      <c r="J534" s="16">
        <f>IF(HistoricalStockProgress[[#This Row],[No. of Shares]]&lt;&gt;0,HistoricalStockProgress[[#This Row],[Price of Shares]]-HistoricalStockProgress[[#This Row],[Cost of Shares]]/HistoricalStockProgress[[#This Row],[No. of Shares]],0)</f>
        <v>-5.5860317649208895</v>
      </c>
      <c r="K534" s="17">
        <f>IF(HistoricalStockProgress[[#This Row],[Total Price of Shares]]&lt;&gt;0,HistoricalStockProgress[[#This Row],[Total Price of Shares]]-HistoricalStockProgress[[#This Row],[Cost of Shares]],0)</f>
        <v>-296.05968354080778</v>
      </c>
      <c r="L534" s="34" t="b" cm="1">
        <f t="array" ref="L534">IFERROR(IF(HistoricalStockProgress[[#This Row],[Price of Shares]]="",_xlfn.STOCKHISTORY(HistoricalStockProgress[[#This Row],[Full Company Name]],HistoricalStockProgress[[#This Row],[Date]],,2,0,1)),0)</f>
        <v>0</v>
      </c>
      <c r="M534" s="34">
        <f>YEAR(HistoricalStockProgress[[#This Row],[Date]])</f>
        <v>2019</v>
      </c>
      <c r="N534" s="34">
        <f>MONTH(HistoricalStockProgress[[#This Row],[Date]])</f>
        <v>1</v>
      </c>
    </row>
    <row r="535" spans="2:14">
      <c r="B535" s="15">
        <v>43496</v>
      </c>
      <c r="C535" s="34" t="s">
        <v>22</v>
      </c>
      <c r="D535" s="34" t="e" vm="10">
        <f>_xlfn.XLOOKUP(HistoricalStockProgress[[#This Row],[Company Ticker]],CompanyDetailsList[Company Ticker],CompanyDetailsList[Official Name],,0)</f>
        <v>#VALUE!</v>
      </c>
      <c r="E5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5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535" s="17">
        <f>IFERROR(HistoricalStockProgress[[#This Row],[Cost of Shares]]/HistoricalStockProgress[[#This Row],[No. of Shares]],0)</f>
        <v>83.61275075159574</v>
      </c>
      <c r="H535" s="16" vm="1068">
        <v>133.16</v>
      </c>
      <c r="I535" s="16">
        <f>IF(HistoricalStockProgress[[#This Row],[No. of Shares]]&lt;&gt;0,HistoricalStockProgress[[#This Row],[Price of Shares]]*HistoricalStockProgress[[#This Row],[No. of Shares]],0)</f>
        <v>8122.76</v>
      </c>
      <c r="J535" s="16">
        <f>IF(HistoricalStockProgress[[#This Row],[No. of Shares]]&lt;&gt;0,HistoricalStockProgress[[#This Row],[Price of Shares]]-HistoricalStockProgress[[#This Row],[Cost of Shares]]/HistoricalStockProgress[[#This Row],[No. of Shares]],0)</f>
        <v>49.547249248404256</v>
      </c>
      <c r="K535" s="17">
        <f>IF(HistoricalStockProgress[[#This Row],[Total Price of Shares]]&lt;&gt;0,HistoricalStockProgress[[#This Row],[Total Price of Shares]]-HistoricalStockProgress[[#This Row],[Cost of Shares]],0)</f>
        <v>3022.3822041526601</v>
      </c>
      <c r="L535" s="34" t="b" cm="1">
        <f t="array" ref="L535">IFERROR(IF(HistoricalStockProgress[[#This Row],[Price of Shares]]="",_xlfn.STOCKHISTORY(HistoricalStockProgress[[#This Row],[Full Company Name]],HistoricalStockProgress[[#This Row],[Date]],,2,0,1)),0)</f>
        <v>0</v>
      </c>
      <c r="M535" s="34">
        <f>YEAR(HistoricalStockProgress[[#This Row],[Date]])</f>
        <v>2019</v>
      </c>
      <c r="N535" s="34">
        <f>MONTH(HistoricalStockProgress[[#This Row],[Date]])</f>
        <v>1</v>
      </c>
    </row>
    <row r="536" spans="2:14">
      <c r="B536" s="15">
        <v>43496</v>
      </c>
      <c r="C536" s="34" t="s">
        <v>91</v>
      </c>
      <c r="D536" s="34" t="e" vm="11">
        <f>_xlfn.XLOOKUP(HistoricalStockProgress[[#This Row],[Company Ticker]],CompanyDetailsList[Company Ticker],CompanyDetailsList[Official Name],,0)</f>
        <v>#VALUE!</v>
      </c>
      <c r="E5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5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7639.549422502746</v>
      </c>
      <c r="G536" s="17">
        <f>IFERROR(HistoricalStockProgress[[#This Row],[Cost of Shares]]/HistoricalStockProgress[[#This Row],[No. of Shares]],0)</f>
        <v>72.071220967007037</v>
      </c>
      <c r="H536" s="16" vm="1069">
        <v>104.43</v>
      </c>
      <c r="I536" s="16">
        <f>IF(HistoricalStockProgress[[#This Row],[No. of Shares]]&lt;&gt;0,HistoricalStockProgress[[#This Row],[Price of Shares]]*HistoricalStockProgress[[#This Row],[No. of Shares]],0)</f>
        <v>11069.58</v>
      </c>
      <c r="J536" s="16">
        <f>IF(HistoricalStockProgress[[#This Row],[No. of Shares]]&lt;&gt;0,HistoricalStockProgress[[#This Row],[Price of Shares]]-HistoricalStockProgress[[#This Row],[Cost of Shares]]/HistoricalStockProgress[[#This Row],[No. of Shares]],0)</f>
        <v>32.35877903299297</v>
      </c>
      <c r="K536" s="17">
        <f>IF(HistoricalStockProgress[[#This Row],[Total Price of Shares]]&lt;&gt;0,HistoricalStockProgress[[#This Row],[Total Price of Shares]]-HistoricalStockProgress[[#This Row],[Cost of Shares]],0)</f>
        <v>3430.0305774972539</v>
      </c>
      <c r="L536" s="34" t="b" cm="1">
        <f t="array" ref="L536">IFERROR(IF(HistoricalStockProgress[[#This Row],[Price of Shares]]="",_xlfn.STOCKHISTORY(HistoricalStockProgress[[#This Row],[Full Company Name]],HistoricalStockProgress[[#This Row],[Date]],,2,0,1)),0)</f>
        <v>0</v>
      </c>
      <c r="M536" s="34">
        <f>YEAR(HistoricalStockProgress[[#This Row],[Date]])</f>
        <v>2019</v>
      </c>
      <c r="N536" s="34">
        <f>MONTH(HistoricalStockProgress[[#This Row],[Date]])</f>
        <v>1</v>
      </c>
    </row>
    <row r="537" spans="2:14">
      <c r="B537" s="15">
        <v>43496</v>
      </c>
      <c r="C537" s="34" t="s">
        <v>16</v>
      </c>
      <c r="D537" s="34" t="e" vm="12">
        <f>_xlfn.XLOOKUP(HistoricalStockProgress[[#This Row],[Company Ticker]],CompanyDetailsList[Company Ticker],CompanyDetailsList[Official Name],,0)</f>
        <v>#VALUE!</v>
      </c>
      <c r="E5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5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537" s="17">
        <f>IFERROR(HistoricalStockProgress[[#This Row],[Cost of Shares]]/HistoricalStockProgress[[#This Row],[No. of Shares]],0)</f>
        <v>82.900834685216523</v>
      </c>
      <c r="H537" s="16" vm="1070">
        <v>73.28</v>
      </c>
      <c r="I537" s="16">
        <f>IF(HistoricalStockProgress[[#This Row],[No. of Shares]]&lt;&gt;0,HistoricalStockProgress[[#This Row],[Price of Shares]]*HistoricalStockProgress[[#This Row],[No. of Shares]],0)</f>
        <v>10625.6</v>
      </c>
      <c r="J537" s="16">
        <f>IF(HistoricalStockProgress[[#This Row],[No. of Shares]]&lt;&gt;0,HistoricalStockProgress[[#This Row],[Price of Shares]]-HistoricalStockProgress[[#This Row],[Cost of Shares]]/HistoricalStockProgress[[#This Row],[No. of Shares]],0)</f>
        <v>-9.6208346852165221</v>
      </c>
      <c r="K537" s="17">
        <f>IF(HistoricalStockProgress[[#This Row],[Total Price of Shares]]&lt;&gt;0,HistoricalStockProgress[[#This Row],[Total Price of Shares]]-HistoricalStockProgress[[#This Row],[Cost of Shares]],0)</f>
        <v>-1395.021029356396</v>
      </c>
      <c r="L537" s="34" t="b" cm="1">
        <f t="array" ref="L537">IFERROR(IF(HistoricalStockProgress[[#This Row],[Price of Shares]]="",_xlfn.STOCKHISTORY(HistoricalStockProgress[[#This Row],[Full Company Name]],HistoricalStockProgress[[#This Row],[Date]],,2,0,1)),0)</f>
        <v>0</v>
      </c>
      <c r="M537" s="34">
        <f>YEAR(HistoricalStockProgress[[#This Row],[Date]])</f>
        <v>2019</v>
      </c>
      <c r="N537" s="34">
        <f>MONTH(HistoricalStockProgress[[#This Row],[Date]])</f>
        <v>1</v>
      </c>
    </row>
    <row r="538" spans="2:14">
      <c r="B538" s="15">
        <v>43496</v>
      </c>
      <c r="C538" s="34" t="s">
        <v>95</v>
      </c>
      <c r="D538" s="34" t="e" vm="13">
        <f>_xlfn.XLOOKUP(HistoricalStockProgress[[#This Row],[Company Ticker]],CompanyDetailsList[Company Ticker],CompanyDetailsList[Official Name],,0)</f>
        <v>#VALUE!</v>
      </c>
      <c r="E5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5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538" s="17">
        <f>IFERROR(HistoricalStockProgress[[#This Row],[Cost of Shares]]/HistoricalStockProgress[[#This Row],[No. of Shares]],0)</f>
        <v>143.29758396474452</v>
      </c>
      <c r="H538" s="16" vm="1071">
        <v>183.53</v>
      </c>
      <c r="I538" s="16">
        <f>IF(HistoricalStockProgress[[#This Row],[No. of Shares]]&lt;&gt;0,HistoricalStockProgress[[#This Row],[Price of Shares]]*HistoricalStockProgress[[#This Row],[No. of Shares]],0)</f>
        <v>7891.79</v>
      </c>
      <c r="J538" s="16">
        <f>IF(HistoricalStockProgress[[#This Row],[No. of Shares]]&lt;&gt;0,HistoricalStockProgress[[#This Row],[Price of Shares]]-HistoricalStockProgress[[#This Row],[Cost of Shares]]/HistoricalStockProgress[[#This Row],[No. of Shares]],0)</f>
        <v>40.232416035255483</v>
      </c>
      <c r="K538" s="17">
        <f>IF(HistoricalStockProgress[[#This Row],[Total Price of Shares]]&lt;&gt;0,HistoricalStockProgress[[#This Row],[Total Price of Shares]]-HistoricalStockProgress[[#This Row],[Cost of Shares]],0)</f>
        <v>1729.9938895159858</v>
      </c>
      <c r="L538" s="34" t="b" cm="1">
        <f t="array" ref="L538">IFERROR(IF(HistoricalStockProgress[[#This Row],[Price of Shares]]="",_xlfn.STOCKHISTORY(HistoricalStockProgress[[#This Row],[Full Company Name]],HistoricalStockProgress[[#This Row],[Date]],,2,0,1)),0)</f>
        <v>0</v>
      </c>
      <c r="M538" s="34">
        <f>YEAR(HistoricalStockProgress[[#This Row],[Date]])</f>
        <v>2019</v>
      </c>
      <c r="N538" s="34">
        <f>MONTH(HistoricalStockProgress[[#This Row],[Date]])</f>
        <v>1</v>
      </c>
    </row>
    <row r="539" spans="2:14">
      <c r="B539" s="15">
        <v>43496</v>
      </c>
      <c r="C539" s="34" t="s">
        <v>17</v>
      </c>
      <c r="D539" s="34" t="e" vm="14">
        <f>_xlfn.XLOOKUP(HistoricalStockProgress[[#This Row],[Company Ticker]],CompanyDetailsList[Company Ticker],CompanyDetailsList[Official Name],,0)</f>
        <v>#VALUE!</v>
      </c>
      <c r="E5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5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9484.3704371074709</v>
      </c>
      <c r="G539" s="17">
        <f>IFERROR(HistoricalStockProgress[[#This Row],[Cost of Shares]]/HistoricalStockProgress[[#This Row],[No. of Shares]],0)</f>
        <v>150.54556249376938</v>
      </c>
      <c r="H539" s="16" vm="1072">
        <v>134.41999999999999</v>
      </c>
      <c r="I539" s="16">
        <f>IF(HistoricalStockProgress[[#This Row],[No. of Shares]]&lt;&gt;0,HistoricalStockProgress[[#This Row],[Price of Shares]]*HistoricalStockProgress[[#This Row],[No. of Shares]],0)</f>
        <v>8468.4599999999991</v>
      </c>
      <c r="J539" s="16">
        <f>IF(HistoricalStockProgress[[#This Row],[No. of Shares]]&lt;&gt;0,HistoricalStockProgress[[#This Row],[Price of Shares]]-HistoricalStockProgress[[#This Row],[Cost of Shares]]/HistoricalStockProgress[[#This Row],[No. of Shares]],0)</f>
        <v>-16.125562493769394</v>
      </c>
      <c r="K539" s="17">
        <f>IF(HistoricalStockProgress[[#This Row],[Total Price of Shares]]&lt;&gt;0,HistoricalStockProgress[[#This Row],[Total Price of Shares]]-HistoricalStockProgress[[#This Row],[Cost of Shares]],0)</f>
        <v>-1015.9104371074718</v>
      </c>
      <c r="L539" s="34" t="b" cm="1">
        <f t="array" ref="L539">IFERROR(IF(HistoricalStockProgress[[#This Row],[Price of Shares]]="",_xlfn.STOCKHISTORY(HistoricalStockProgress[[#This Row],[Full Company Name]],HistoricalStockProgress[[#This Row],[Date]],,2,0,1)),0)</f>
        <v>0</v>
      </c>
      <c r="M539" s="34">
        <f>YEAR(HistoricalStockProgress[[#This Row],[Date]])</f>
        <v>2019</v>
      </c>
      <c r="N539" s="34">
        <f>MONTH(HistoricalStockProgress[[#This Row],[Date]])</f>
        <v>1</v>
      </c>
    </row>
    <row r="540" spans="2:14">
      <c r="B540" s="15">
        <v>43496</v>
      </c>
      <c r="C540" s="34" t="s">
        <v>98</v>
      </c>
      <c r="D540" s="34" t="e" vm="15">
        <f>_xlfn.XLOOKUP(HistoricalStockProgress[[#This Row],[Company Ticker]],CompanyDetailsList[Company Ticker],CompanyDetailsList[Official Name],,0)</f>
        <v>#VALUE!</v>
      </c>
      <c r="E5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5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540" s="17">
        <f>IFERROR(HistoricalStockProgress[[#This Row],[Cost of Shares]]/HistoricalStockProgress[[#This Row],[No. of Shares]],0)</f>
        <v>39.627242008882604</v>
      </c>
      <c r="H540" s="16" vm="1073">
        <v>44.744999999999997</v>
      </c>
      <c r="I540" s="16">
        <f>IF(HistoricalStockProgress[[#This Row],[No. of Shares]]&lt;&gt;0,HistoricalStockProgress[[#This Row],[Price of Shares]]*HistoricalStockProgress[[#This Row],[No. of Shares]],0)</f>
        <v>3266.3849999999998</v>
      </c>
      <c r="J540" s="16">
        <f>IF(HistoricalStockProgress[[#This Row],[No. of Shares]]&lt;&gt;0,HistoricalStockProgress[[#This Row],[Price of Shares]]-HistoricalStockProgress[[#This Row],[Cost of Shares]]/HistoricalStockProgress[[#This Row],[No. of Shares]],0)</f>
        <v>5.1177579911173936</v>
      </c>
      <c r="K540" s="17">
        <f>IF(HistoricalStockProgress[[#This Row],[Total Price of Shares]]&lt;&gt;0,HistoricalStockProgress[[#This Row],[Total Price of Shares]]-HistoricalStockProgress[[#This Row],[Cost of Shares]],0)</f>
        <v>373.59633335156968</v>
      </c>
      <c r="L540" s="34" t="b" cm="1">
        <f t="array" ref="L540">IFERROR(IF(HistoricalStockProgress[[#This Row],[Price of Shares]]="",_xlfn.STOCKHISTORY(HistoricalStockProgress[[#This Row],[Full Company Name]],HistoricalStockProgress[[#This Row],[Date]],,2,0,1)),0)</f>
        <v>0</v>
      </c>
      <c r="M540" s="34">
        <f>YEAR(HistoricalStockProgress[[#This Row],[Date]])</f>
        <v>2019</v>
      </c>
      <c r="N540" s="34">
        <f>MONTH(HistoricalStockProgress[[#This Row],[Date]])</f>
        <v>1</v>
      </c>
    </row>
    <row r="541" spans="2:14">
      <c r="B541" s="15">
        <v>43496</v>
      </c>
      <c r="C541" s="34" t="s">
        <v>100</v>
      </c>
      <c r="D541" s="34" t="e" vm="16">
        <f>_xlfn.XLOOKUP(HistoricalStockProgress[[#This Row],[Company Ticker]],CompanyDetailsList[Company Ticker],CompanyDetailsList[Official Name],,0)</f>
        <v>#VALUE!</v>
      </c>
      <c r="E5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33</v>
      </c>
      <c r="F5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2788.7981594443772</v>
      </c>
      <c r="G541" s="17">
        <f>IFERROR(HistoricalStockProgress[[#This Row],[Cost of Shares]]/HistoricalStockProgress[[#This Row],[No. of Shares]],0)</f>
        <v>84.509035134678101</v>
      </c>
      <c r="H541" s="16" vm="466">
        <v>87.78</v>
      </c>
      <c r="I541" s="16">
        <f>IF(HistoricalStockProgress[[#This Row],[No. of Shares]]&lt;&gt;0,HistoricalStockProgress[[#This Row],[Price of Shares]]*HistoricalStockProgress[[#This Row],[No. of Shares]],0)</f>
        <v>2896.7400000000002</v>
      </c>
      <c r="J541" s="16">
        <f>IF(HistoricalStockProgress[[#This Row],[No. of Shares]]&lt;&gt;0,HistoricalStockProgress[[#This Row],[Price of Shares]]-HistoricalStockProgress[[#This Row],[Cost of Shares]]/HistoricalStockProgress[[#This Row],[No. of Shares]],0)</f>
        <v>3.2709648653219006</v>
      </c>
      <c r="K541" s="17">
        <f>IF(HistoricalStockProgress[[#This Row],[Total Price of Shares]]&lt;&gt;0,HistoricalStockProgress[[#This Row],[Total Price of Shares]]-HistoricalStockProgress[[#This Row],[Cost of Shares]],0)</f>
        <v>107.941840555623</v>
      </c>
      <c r="L541" s="34" t="b" cm="1">
        <f t="array" ref="L541">IFERROR(IF(HistoricalStockProgress[[#This Row],[Price of Shares]]="",_xlfn.STOCKHISTORY(HistoricalStockProgress[[#This Row],[Full Company Name]],HistoricalStockProgress[[#This Row],[Date]],,2,0,1)),0)</f>
        <v>0</v>
      </c>
      <c r="M541" s="34">
        <f>YEAR(HistoricalStockProgress[[#This Row],[Date]])</f>
        <v>2019</v>
      </c>
      <c r="N541" s="34">
        <f>MONTH(HistoricalStockProgress[[#This Row],[Date]])</f>
        <v>1</v>
      </c>
    </row>
    <row r="542" spans="2:14">
      <c r="B542" s="15">
        <v>43496</v>
      </c>
      <c r="C542" s="34" t="s">
        <v>15</v>
      </c>
      <c r="D542" s="34" t="e" vm="17">
        <f>_xlfn.XLOOKUP(HistoricalStockProgress[[#This Row],[Company Ticker]],CompanyDetailsList[Company Ticker],CompanyDetailsList[Official Name],,0)</f>
        <v>#VALUE!</v>
      </c>
      <c r="E5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5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542" s="17">
        <f>IFERROR(HistoricalStockProgress[[#This Row],[Cost of Shares]]/HistoricalStockProgress[[#This Row],[No. of Shares]],0)</f>
        <v>26.081956457072195</v>
      </c>
      <c r="H542" s="16" vm="1074">
        <v>22.700700000000001</v>
      </c>
      <c r="I542" s="16">
        <f>IF(HistoricalStockProgress[[#This Row],[No. of Shares]]&lt;&gt;0,HistoricalStockProgress[[#This Row],[Price of Shares]]*HistoricalStockProgress[[#This Row],[No. of Shares]],0)</f>
        <v>2814.8868000000002</v>
      </c>
      <c r="J542" s="16">
        <f>IF(HistoricalStockProgress[[#This Row],[No. of Shares]]&lt;&gt;0,HistoricalStockProgress[[#This Row],[Price of Shares]]-HistoricalStockProgress[[#This Row],[Cost of Shares]]/HistoricalStockProgress[[#This Row],[No. of Shares]],0)</f>
        <v>-3.3812564570721939</v>
      </c>
      <c r="K542" s="17">
        <f>IF(HistoricalStockProgress[[#This Row],[Total Price of Shares]]&lt;&gt;0,HistoricalStockProgress[[#This Row],[Total Price of Shares]]-HistoricalStockProgress[[#This Row],[Cost of Shares]],0)</f>
        <v>-419.2758006769518</v>
      </c>
      <c r="L542" s="34" t="b" cm="1">
        <f t="array" ref="L542">IFERROR(IF(HistoricalStockProgress[[#This Row],[Price of Shares]]="",_xlfn.STOCKHISTORY(HistoricalStockProgress[[#This Row],[Full Company Name]],HistoricalStockProgress[[#This Row],[Date]],,2,0,1)),0)</f>
        <v>0</v>
      </c>
      <c r="M542" s="34">
        <f>YEAR(HistoricalStockProgress[[#This Row],[Date]])</f>
        <v>2019</v>
      </c>
      <c r="N542" s="34">
        <f>MONTH(HistoricalStockProgress[[#This Row],[Date]])</f>
        <v>1</v>
      </c>
    </row>
    <row r="543" spans="2:14">
      <c r="B543" s="15">
        <v>43496</v>
      </c>
      <c r="C543" s="34" t="s">
        <v>13</v>
      </c>
      <c r="D543" s="34" t="e" vm="18">
        <f>_xlfn.XLOOKUP(HistoricalStockProgress[[#This Row],[Company Ticker]],CompanyDetailsList[Company Ticker],CompanyDetailsList[Official Name],,0)</f>
        <v>#VALUE!</v>
      </c>
      <c r="E5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5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543" s="17">
        <f>IFERROR(HistoricalStockProgress[[#This Row],[Cost of Shares]]/HistoricalStockProgress[[#This Row],[No. of Shares]],0)</f>
        <v>31.383479678650293</v>
      </c>
      <c r="H543" s="16" vm="1075">
        <v>40.240499999999997</v>
      </c>
      <c r="I543" s="16">
        <f>IF(HistoricalStockProgress[[#This Row],[No. of Shares]]&lt;&gt;0,HistoricalStockProgress[[#This Row],[Price of Shares]]*HistoricalStockProgress[[#This Row],[No. of Shares]],0)</f>
        <v>1006.0124999999999</v>
      </c>
      <c r="J543" s="16">
        <f>IF(HistoricalStockProgress[[#This Row],[No. of Shares]]&lt;&gt;0,HistoricalStockProgress[[#This Row],[Price of Shares]]-HistoricalStockProgress[[#This Row],[Cost of Shares]]/HistoricalStockProgress[[#This Row],[No. of Shares]],0)</f>
        <v>8.8570203213497045</v>
      </c>
      <c r="K543" s="17">
        <f>IF(HistoricalStockProgress[[#This Row],[Total Price of Shares]]&lt;&gt;0,HistoricalStockProgress[[#This Row],[Total Price of Shares]]-HistoricalStockProgress[[#This Row],[Cost of Shares]],0)</f>
        <v>221.42550803374263</v>
      </c>
      <c r="L543" s="34" t="b" cm="1">
        <f t="array" ref="L543">IFERROR(IF(HistoricalStockProgress[[#This Row],[Price of Shares]]="",_xlfn.STOCKHISTORY(HistoricalStockProgress[[#This Row],[Full Company Name]],HistoricalStockProgress[[#This Row],[Date]],,2,0,1)),0)</f>
        <v>0</v>
      </c>
      <c r="M543" s="34">
        <f>YEAR(HistoricalStockProgress[[#This Row],[Date]])</f>
        <v>2019</v>
      </c>
      <c r="N543" s="34">
        <f>MONTH(HistoricalStockProgress[[#This Row],[Date]])</f>
        <v>1</v>
      </c>
    </row>
    <row r="544" spans="2:14">
      <c r="B544" s="15">
        <v>43496</v>
      </c>
      <c r="C544" s="34" t="s">
        <v>20</v>
      </c>
      <c r="D544" s="34" t="e" vm="19">
        <f>_xlfn.XLOOKUP(HistoricalStockProgress[[#This Row],[Company Ticker]],CompanyDetailsList[Company Ticker],CompanyDetailsList[Official Name],,0)</f>
        <v>#VALUE!</v>
      </c>
      <c r="E5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5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544" s="17">
        <f>IFERROR(HistoricalStockProgress[[#This Row],[Cost of Shares]]/HistoricalStockProgress[[#This Row],[No. of Shares]],0)</f>
        <v>93.912242833589502</v>
      </c>
      <c r="H544" s="16" vm="1076">
        <v>103.5</v>
      </c>
      <c r="I544" s="16">
        <f>IF(HistoricalStockProgress[[#This Row],[No. of Shares]]&lt;&gt;0,HistoricalStockProgress[[#This Row],[Price of Shares]]*HistoricalStockProgress[[#This Row],[No. of Shares]],0)</f>
        <v>8073</v>
      </c>
      <c r="J544" s="16">
        <f>IF(HistoricalStockProgress[[#This Row],[No. of Shares]]&lt;&gt;0,HistoricalStockProgress[[#This Row],[Price of Shares]]-HistoricalStockProgress[[#This Row],[Cost of Shares]]/HistoricalStockProgress[[#This Row],[No. of Shares]],0)</f>
        <v>9.5877571664104977</v>
      </c>
      <c r="K544" s="17">
        <f>IF(HistoricalStockProgress[[#This Row],[Total Price of Shares]]&lt;&gt;0,HistoricalStockProgress[[#This Row],[Total Price of Shares]]-HistoricalStockProgress[[#This Row],[Cost of Shares]],0)</f>
        <v>747.84505898001862</v>
      </c>
      <c r="L544" s="34" t="b" cm="1">
        <f t="array" ref="L544">IFERROR(IF(HistoricalStockProgress[[#This Row],[Price of Shares]]="",_xlfn.STOCKHISTORY(HistoricalStockProgress[[#This Row],[Full Company Name]],HistoricalStockProgress[[#This Row],[Date]],,2,0,1)),0)</f>
        <v>0</v>
      </c>
      <c r="M544" s="34">
        <f>YEAR(HistoricalStockProgress[[#This Row],[Date]])</f>
        <v>2019</v>
      </c>
      <c r="N544" s="34">
        <f>MONTH(HistoricalStockProgress[[#This Row],[Date]])</f>
        <v>1</v>
      </c>
    </row>
    <row r="545" spans="2:14">
      <c r="B545" s="15">
        <v>43496</v>
      </c>
      <c r="C545" s="34" t="s">
        <v>106</v>
      </c>
      <c r="D545" s="34" t="e" vm="20">
        <f>_xlfn.XLOOKUP(HistoricalStockProgress[[#This Row],[Company Ticker]],CompanyDetailsList[Company Ticker],CompanyDetailsList[Official Name],,0)</f>
        <v>#VALUE!</v>
      </c>
      <c r="E5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52</v>
      </c>
      <c r="F5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5315.8302476196659</v>
      </c>
      <c r="G545" s="17">
        <f>IFERROR(HistoricalStockProgress[[#This Row],[Cost of Shares]]/HistoricalStockProgress[[#This Row],[No. of Shares]],0)</f>
        <v>102.22750476191665</v>
      </c>
      <c r="H545" s="16" vm="1077">
        <v>105.44</v>
      </c>
      <c r="I545" s="16">
        <f>IF(HistoricalStockProgress[[#This Row],[No. of Shares]]&lt;&gt;0,HistoricalStockProgress[[#This Row],[Price of Shares]]*HistoricalStockProgress[[#This Row],[No. of Shares]],0)</f>
        <v>5482.88</v>
      </c>
      <c r="J545" s="16">
        <f>IF(HistoricalStockProgress[[#This Row],[No. of Shares]]&lt;&gt;0,HistoricalStockProgress[[#This Row],[Price of Shares]]-HistoricalStockProgress[[#This Row],[Cost of Shares]]/HistoricalStockProgress[[#This Row],[No. of Shares]],0)</f>
        <v>3.2124952380833491</v>
      </c>
      <c r="K545" s="17">
        <f>IF(HistoricalStockProgress[[#This Row],[Total Price of Shares]]&lt;&gt;0,HistoricalStockProgress[[#This Row],[Total Price of Shares]]-HistoricalStockProgress[[#This Row],[Cost of Shares]],0)</f>
        <v>167.04975238033421</v>
      </c>
      <c r="L545" s="34" t="b" cm="1">
        <f t="array" ref="L545">IFERROR(IF(HistoricalStockProgress[[#This Row],[Price of Shares]]="",_xlfn.STOCKHISTORY(HistoricalStockProgress[[#This Row],[Full Company Name]],HistoricalStockProgress[[#This Row],[Date]],,2,0,1)),0)</f>
        <v>0</v>
      </c>
      <c r="M545" s="34">
        <f>YEAR(HistoricalStockProgress[[#This Row],[Date]])</f>
        <v>2019</v>
      </c>
      <c r="N545" s="34">
        <f>MONTH(HistoricalStockProgress[[#This Row],[Date]])</f>
        <v>1</v>
      </c>
    </row>
    <row r="546" spans="2:14">
      <c r="B546" s="15">
        <v>43524</v>
      </c>
      <c r="C546" s="34" t="s">
        <v>12</v>
      </c>
      <c r="D546" s="34" t="e" vm="1">
        <f>_xlfn.XLOOKUP(HistoricalStockProgress[[#This Row],[Company Ticker]],CompanyDetailsList[Company Ticker],CompanyDetailsList[Official Name],,0)</f>
        <v>#VALUE!</v>
      </c>
      <c r="E5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5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546" s="17">
        <f>IFERROR(HistoricalStockProgress[[#This Row],[Cost of Shares]]/HistoricalStockProgress[[#This Row],[No. of Shares]],0)</f>
        <v>57.188485025896703</v>
      </c>
      <c r="H546" s="16" vm="1078">
        <v>69.16</v>
      </c>
      <c r="I546" s="16">
        <f>IF(HistoricalStockProgress[[#This Row],[No. of Shares]]&lt;&gt;0,HistoricalStockProgress[[#This Row],[Price of Shares]]*HistoricalStockProgress[[#This Row],[No. of Shares]],0)</f>
        <v>414.96</v>
      </c>
      <c r="J546" s="16">
        <f>IF(HistoricalStockProgress[[#This Row],[No. of Shares]]&lt;&gt;0,HistoricalStockProgress[[#This Row],[Price of Shares]]-HistoricalStockProgress[[#This Row],[Cost of Shares]]/HistoricalStockProgress[[#This Row],[No. of Shares]],0)</f>
        <v>11.971514974103293</v>
      </c>
      <c r="K546" s="17">
        <f>IF(HistoricalStockProgress[[#This Row],[Total Price of Shares]]&lt;&gt;0,HistoricalStockProgress[[#This Row],[Total Price of Shares]]-HistoricalStockProgress[[#This Row],[Cost of Shares]],0)</f>
        <v>71.829089844619773</v>
      </c>
      <c r="L546" s="34" t="b" cm="1">
        <f t="array" ref="L546">IFERROR(IF(HistoricalStockProgress[[#This Row],[Price of Shares]]="",_xlfn.STOCKHISTORY(HistoricalStockProgress[[#This Row],[Full Company Name]],HistoricalStockProgress[[#This Row],[Date]],,2,0,1)),0)</f>
        <v>0</v>
      </c>
      <c r="M546" s="34">
        <f>YEAR(HistoricalStockProgress[[#This Row],[Date]])</f>
        <v>2019</v>
      </c>
      <c r="N546" s="34">
        <f>MONTH(HistoricalStockProgress[[#This Row],[Date]])</f>
        <v>2</v>
      </c>
    </row>
    <row r="547" spans="2:14">
      <c r="B547" s="15">
        <v>43524</v>
      </c>
      <c r="C547" s="34" t="s">
        <v>23</v>
      </c>
      <c r="D547" s="34" t="e" vm="4">
        <f>_xlfn.XLOOKUP(HistoricalStockProgress[[#This Row],[Company Ticker]],CompanyDetailsList[Company Ticker],CompanyDetailsList[Official Name],,0)</f>
        <v>#VALUE!</v>
      </c>
      <c r="E5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5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547" s="17">
        <f>IFERROR(HistoricalStockProgress[[#This Row],[Cost of Shares]]/HistoricalStockProgress[[#This Row],[No. of Shares]],0)</f>
        <v>45.768494888570878</v>
      </c>
      <c r="H547" s="16" vm="1079">
        <v>45.34</v>
      </c>
      <c r="I547" s="16">
        <f>IF(HistoricalStockProgress[[#This Row],[No. of Shares]]&lt;&gt;0,HistoricalStockProgress[[#This Row],[Price of Shares]]*HistoricalStockProgress[[#This Row],[No. of Shares]],0)</f>
        <v>2629.7200000000003</v>
      </c>
      <c r="J547" s="16">
        <f>IF(HistoricalStockProgress[[#This Row],[No. of Shares]]&lt;&gt;0,HistoricalStockProgress[[#This Row],[Price of Shares]]-HistoricalStockProgress[[#This Row],[Cost of Shares]]/HistoricalStockProgress[[#This Row],[No. of Shares]],0)</f>
        <v>-0.42849488857087437</v>
      </c>
      <c r="K547" s="17">
        <f>IF(HistoricalStockProgress[[#This Row],[Total Price of Shares]]&lt;&gt;0,HistoricalStockProgress[[#This Row],[Total Price of Shares]]-HistoricalStockProgress[[#This Row],[Cost of Shares]],0)</f>
        <v>-24.852703537110756</v>
      </c>
      <c r="L547" s="34" t="b" cm="1">
        <f t="array" ref="L547">IFERROR(IF(HistoricalStockProgress[[#This Row],[Price of Shares]]="",_xlfn.STOCKHISTORY(HistoricalStockProgress[[#This Row],[Full Company Name]],HistoricalStockProgress[[#This Row],[Date]],,2,0,1)),0)</f>
        <v>0</v>
      </c>
      <c r="M547" s="34">
        <f>YEAR(HistoricalStockProgress[[#This Row],[Date]])</f>
        <v>2019</v>
      </c>
      <c r="N547" s="34">
        <f>MONTH(HistoricalStockProgress[[#This Row],[Date]])</f>
        <v>2</v>
      </c>
    </row>
    <row r="548" spans="2:14">
      <c r="B548" s="15">
        <v>43524</v>
      </c>
      <c r="C548" s="34" t="s">
        <v>84</v>
      </c>
      <c r="D548" s="34" t="e" vm="7">
        <f>_xlfn.XLOOKUP(HistoricalStockProgress[[#This Row],[Company Ticker]],CompanyDetailsList[Company Ticker],CompanyDetailsList[Official Name],,0)</f>
        <v>#VALUE!</v>
      </c>
      <c r="E5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5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548" s="17">
        <f>IFERROR(HistoricalStockProgress[[#This Row],[Cost of Shares]]/HistoricalStockProgress[[#This Row],[No. of Shares]],0)</f>
        <v>104.18087504950869</v>
      </c>
      <c r="H548" s="16" vm="1080">
        <v>136.63999999999999</v>
      </c>
      <c r="I548" s="16">
        <f>IF(HistoricalStockProgress[[#This Row],[No. of Shares]]&lt;&gt;0,HistoricalStockProgress[[#This Row],[Price of Shares]]*HistoricalStockProgress[[#This Row],[No. of Shares]],0)</f>
        <v>6968.6399999999994</v>
      </c>
      <c r="J548" s="16">
        <f>IF(HistoricalStockProgress[[#This Row],[No. of Shares]]&lt;&gt;0,HistoricalStockProgress[[#This Row],[Price of Shares]]-HistoricalStockProgress[[#This Row],[Cost of Shares]]/HistoricalStockProgress[[#This Row],[No. of Shares]],0)</f>
        <v>32.459124950491301</v>
      </c>
      <c r="K548" s="17">
        <f>IF(HistoricalStockProgress[[#This Row],[Total Price of Shares]]&lt;&gt;0,HistoricalStockProgress[[#This Row],[Total Price of Shares]]-HistoricalStockProgress[[#This Row],[Cost of Shares]],0)</f>
        <v>1655.4153724750568</v>
      </c>
      <c r="L548" s="34" t="b" cm="1">
        <f t="array" ref="L548">IFERROR(IF(HistoricalStockProgress[[#This Row],[Price of Shares]]="",_xlfn.STOCKHISTORY(HistoricalStockProgress[[#This Row],[Full Company Name]],HistoricalStockProgress[[#This Row],[Date]],,2,0,1)),0)</f>
        <v>0</v>
      </c>
      <c r="M548" s="34">
        <f>YEAR(HistoricalStockProgress[[#This Row],[Date]])</f>
        <v>2019</v>
      </c>
      <c r="N548" s="34">
        <f>MONTH(HistoricalStockProgress[[#This Row],[Date]])</f>
        <v>2</v>
      </c>
    </row>
    <row r="549" spans="2:14">
      <c r="B549" s="15">
        <v>43524</v>
      </c>
      <c r="C549" s="34" t="s">
        <v>86</v>
      </c>
      <c r="D549" s="34" t="e" vm="8">
        <f>_xlfn.XLOOKUP(HistoricalStockProgress[[#This Row],[Company Ticker]],CompanyDetailsList[Company Ticker],CompanyDetailsList[Official Name],,0)</f>
        <v>#VALUE!</v>
      </c>
      <c r="E5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5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549" s="17">
        <f>IFERROR(HistoricalStockProgress[[#This Row],[Cost of Shares]]/HistoricalStockProgress[[#This Row],[No. of Shares]],0)</f>
        <v>85.876031764920896</v>
      </c>
      <c r="H549" s="16" vm="1081">
        <v>79.239999999999995</v>
      </c>
      <c r="I549" s="16">
        <f>IF(HistoricalStockProgress[[#This Row],[No. of Shares]]&lt;&gt;0,HistoricalStockProgress[[#This Row],[Price of Shares]]*HistoricalStockProgress[[#This Row],[No. of Shares]],0)</f>
        <v>4199.7199999999993</v>
      </c>
      <c r="J549" s="16">
        <f>IF(HistoricalStockProgress[[#This Row],[No. of Shares]]&lt;&gt;0,HistoricalStockProgress[[#This Row],[Price of Shares]]-HistoricalStockProgress[[#This Row],[Cost of Shares]]/HistoricalStockProgress[[#This Row],[No. of Shares]],0)</f>
        <v>-6.6360317649209009</v>
      </c>
      <c r="K549" s="17">
        <f>IF(HistoricalStockProgress[[#This Row],[Total Price of Shares]]&lt;&gt;0,HistoricalStockProgress[[#This Row],[Total Price of Shares]]-HistoricalStockProgress[[#This Row],[Cost of Shares]],0)</f>
        <v>-351.70968354080833</v>
      </c>
      <c r="L549" s="34" t="b" cm="1">
        <f t="array" ref="L549">IFERROR(IF(HistoricalStockProgress[[#This Row],[Price of Shares]]="",_xlfn.STOCKHISTORY(HistoricalStockProgress[[#This Row],[Full Company Name]],HistoricalStockProgress[[#This Row],[Date]],,2,0,1)),0)</f>
        <v>0</v>
      </c>
      <c r="M549" s="34">
        <f>YEAR(HistoricalStockProgress[[#This Row],[Date]])</f>
        <v>2019</v>
      </c>
      <c r="N549" s="34">
        <f>MONTH(HistoricalStockProgress[[#This Row],[Date]])</f>
        <v>2</v>
      </c>
    </row>
    <row r="550" spans="2:14">
      <c r="B550" s="15">
        <v>43524</v>
      </c>
      <c r="C550" s="34" t="s">
        <v>22</v>
      </c>
      <c r="D550" s="34" t="e" vm="10">
        <f>_xlfn.XLOOKUP(HistoricalStockProgress[[#This Row],[Company Ticker]],CompanyDetailsList[Company Ticker],CompanyDetailsList[Official Name],,0)</f>
        <v>#VALUE!</v>
      </c>
      <c r="E5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5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550" s="17">
        <f>IFERROR(HistoricalStockProgress[[#This Row],[Cost of Shares]]/HistoricalStockProgress[[#This Row],[No. of Shares]],0)</f>
        <v>83.61275075159574</v>
      </c>
      <c r="H550" s="16" vm="1082">
        <v>137.34</v>
      </c>
      <c r="I550" s="16">
        <f>IF(HistoricalStockProgress[[#This Row],[No. of Shares]]&lt;&gt;0,HistoricalStockProgress[[#This Row],[Price of Shares]]*HistoricalStockProgress[[#This Row],[No. of Shares]],0)</f>
        <v>8377.74</v>
      </c>
      <c r="J550" s="16">
        <f>IF(HistoricalStockProgress[[#This Row],[No. of Shares]]&lt;&gt;0,HistoricalStockProgress[[#This Row],[Price of Shares]]-HistoricalStockProgress[[#This Row],[Cost of Shares]]/HistoricalStockProgress[[#This Row],[No. of Shares]],0)</f>
        <v>53.727249248404263</v>
      </c>
      <c r="K550" s="17">
        <f>IF(HistoricalStockProgress[[#This Row],[Total Price of Shares]]&lt;&gt;0,HistoricalStockProgress[[#This Row],[Total Price of Shares]]-HistoricalStockProgress[[#This Row],[Cost of Shares]],0)</f>
        <v>3277.3622041526596</v>
      </c>
      <c r="L550" s="34" t="b" cm="1">
        <f t="array" ref="L550">IFERROR(IF(HistoricalStockProgress[[#This Row],[Price of Shares]]="",_xlfn.STOCKHISTORY(HistoricalStockProgress[[#This Row],[Full Company Name]],HistoricalStockProgress[[#This Row],[Date]],,2,0,1)),0)</f>
        <v>0</v>
      </c>
      <c r="M550" s="34">
        <f>YEAR(HistoricalStockProgress[[#This Row],[Date]])</f>
        <v>2019</v>
      </c>
      <c r="N550" s="34">
        <f>MONTH(HistoricalStockProgress[[#This Row],[Date]])</f>
        <v>2</v>
      </c>
    </row>
    <row r="551" spans="2:14">
      <c r="B551" s="15">
        <v>43524</v>
      </c>
      <c r="C551" s="34" t="s">
        <v>91</v>
      </c>
      <c r="D551" s="34" t="e" vm="11">
        <f>_xlfn.XLOOKUP(HistoricalStockProgress[[#This Row],[Company Ticker]],CompanyDetailsList[Company Ticker],CompanyDetailsList[Official Name],,0)</f>
        <v>#VALUE!</v>
      </c>
      <c r="E5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5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7639.549422502746</v>
      </c>
      <c r="G551" s="17">
        <f>IFERROR(HistoricalStockProgress[[#This Row],[Cost of Shares]]/HistoricalStockProgress[[#This Row],[No. of Shares]],0)</f>
        <v>72.071220967007037</v>
      </c>
      <c r="H551" s="16" vm="1083">
        <v>112.03</v>
      </c>
      <c r="I551" s="16">
        <f>IF(HistoricalStockProgress[[#This Row],[No. of Shares]]&lt;&gt;0,HistoricalStockProgress[[#This Row],[Price of Shares]]*HistoricalStockProgress[[#This Row],[No. of Shares]],0)</f>
        <v>11875.18</v>
      </c>
      <c r="J551" s="16">
        <f>IF(HistoricalStockProgress[[#This Row],[No. of Shares]]&lt;&gt;0,HistoricalStockProgress[[#This Row],[Price of Shares]]-HistoricalStockProgress[[#This Row],[Cost of Shares]]/HistoricalStockProgress[[#This Row],[No. of Shares]],0)</f>
        <v>39.958779032992965</v>
      </c>
      <c r="K551" s="17">
        <f>IF(HistoricalStockProgress[[#This Row],[Total Price of Shares]]&lt;&gt;0,HistoricalStockProgress[[#This Row],[Total Price of Shares]]-HistoricalStockProgress[[#This Row],[Cost of Shares]],0)</f>
        <v>4235.6305774972543</v>
      </c>
      <c r="L551" s="34" t="b" cm="1">
        <f t="array" ref="L551">IFERROR(IF(HistoricalStockProgress[[#This Row],[Price of Shares]]="",_xlfn.STOCKHISTORY(HistoricalStockProgress[[#This Row],[Full Company Name]],HistoricalStockProgress[[#This Row],[Date]],,2,0,1)),0)</f>
        <v>0</v>
      </c>
      <c r="M551" s="34">
        <f>YEAR(HistoricalStockProgress[[#This Row],[Date]])</f>
        <v>2019</v>
      </c>
      <c r="N551" s="34">
        <f>MONTH(HistoricalStockProgress[[#This Row],[Date]])</f>
        <v>2</v>
      </c>
    </row>
    <row r="552" spans="2:14">
      <c r="B552" s="15">
        <v>43524</v>
      </c>
      <c r="C552" s="34" t="s">
        <v>16</v>
      </c>
      <c r="D552" s="34" t="e" vm="12">
        <f>_xlfn.XLOOKUP(HistoricalStockProgress[[#This Row],[Company Ticker]],CompanyDetailsList[Company Ticker],CompanyDetailsList[Official Name],,0)</f>
        <v>#VALUE!</v>
      </c>
      <c r="E5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5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552" s="17">
        <f>IFERROR(HistoricalStockProgress[[#This Row],[Cost of Shares]]/HistoricalStockProgress[[#This Row],[No. of Shares]],0)</f>
        <v>82.900834685216523</v>
      </c>
      <c r="H552" s="16" vm="1084">
        <v>79.03</v>
      </c>
      <c r="I552" s="16">
        <f>IF(HistoricalStockProgress[[#This Row],[No. of Shares]]&lt;&gt;0,HistoricalStockProgress[[#This Row],[Price of Shares]]*HistoricalStockProgress[[#This Row],[No. of Shares]],0)</f>
        <v>11459.35</v>
      </c>
      <c r="J552" s="16">
        <f>IF(HistoricalStockProgress[[#This Row],[No. of Shares]]&lt;&gt;0,HistoricalStockProgress[[#This Row],[Price of Shares]]-HistoricalStockProgress[[#This Row],[Cost of Shares]]/HistoricalStockProgress[[#This Row],[No. of Shares]],0)</f>
        <v>-3.8708346852165221</v>
      </c>
      <c r="K552" s="17">
        <f>IF(HistoricalStockProgress[[#This Row],[Total Price of Shares]]&lt;&gt;0,HistoricalStockProgress[[#This Row],[Total Price of Shares]]-HistoricalStockProgress[[#This Row],[Cost of Shares]],0)</f>
        <v>-561.27102935639596</v>
      </c>
      <c r="L552" s="34" t="b" cm="1">
        <f t="array" ref="L552">IFERROR(IF(HistoricalStockProgress[[#This Row],[Price of Shares]]="",_xlfn.STOCKHISTORY(HistoricalStockProgress[[#This Row],[Full Company Name]],HistoricalStockProgress[[#This Row],[Date]],,2,0,1)),0)</f>
        <v>0</v>
      </c>
      <c r="M552" s="34">
        <f>YEAR(HistoricalStockProgress[[#This Row],[Date]])</f>
        <v>2019</v>
      </c>
      <c r="N552" s="34">
        <f>MONTH(HistoricalStockProgress[[#This Row],[Date]])</f>
        <v>2</v>
      </c>
    </row>
    <row r="553" spans="2:14">
      <c r="B553" s="15">
        <v>43524</v>
      </c>
      <c r="C553" s="34" t="s">
        <v>95</v>
      </c>
      <c r="D553" s="34" t="e" vm="13">
        <f>_xlfn.XLOOKUP(HistoricalStockProgress[[#This Row],[Company Ticker]],CompanyDetailsList[Company Ticker],CompanyDetailsList[Official Name],,0)</f>
        <v>#VALUE!</v>
      </c>
      <c r="E5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5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553" s="17">
        <f>IFERROR(HistoricalStockProgress[[#This Row],[Cost of Shares]]/HistoricalStockProgress[[#This Row],[No. of Shares]],0)</f>
        <v>143.29758396474452</v>
      </c>
      <c r="H553" s="16" vm="1085">
        <v>185.14</v>
      </c>
      <c r="I553" s="16">
        <f>IF(HistoricalStockProgress[[#This Row],[No. of Shares]]&lt;&gt;0,HistoricalStockProgress[[#This Row],[Price of Shares]]*HistoricalStockProgress[[#This Row],[No. of Shares]],0)</f>
        <v>7961.0199999999995</v>
      </c>
      <c r="J553" s="16">
        <f>IF(HistoricalStockProgress[[#This Row],[No. of Shares]]&lt;&gt;0,HistoricalStockProgress[[#This Row],[Price of Shares]]-HistoricalStockProgress[[#This Row],[Cost of Shares]]/HistoricalStockProgress[[#This Row],[No. of Shares]],0)</f>
        <v>41.842416035255468</v>
      </c>
      <c r="K553" s="17">
        <f>IF(HistoricalStockProgress[[#This Row],[Total Price of Shares]]&lt;&gt;0,HistoricalStockProgress[[#This Row],[Total Price of Shares]]-HistoricalStockProgress[[#This Row],[Cost of Shares]],0)</f>
        <v>1799.2238895159853</v>
      </c>
      <c r="L553" s="34" t="b" cm="1">
        <f t="array" ref="L553">IFERROR(IF(HistoricalStockProgress[[#This Row],[Price of Shares]]="",_xlfn.STOCKHISTORY(HistoricalStockProgress[[#This Row],[Full Company Name]],HistoricalStockProgress[[#This Row],[Date]],,2,0,1)),0)</f>
        <v>0</v>
      </c>
      <c r="M553" s="34">
        <f>YEAR(HistoricalStockProgress[[#This Row],[Date]])</f>
        <v>2019</v>
      </c>
      <c r="N553" s="34">
        <f>MONTH(HistoricalStockProgress[[#This Row],[Date]])</f>
        <v>2</v>
      </c>
    </row>
    <row r="554" spans="2:14">
      <c r="B554" s="15">
        <v>43524</v>
      </c>
      <c r="C554" s="34" t="s">
        <v>17</v>
      </c>
      <c r="D554" s="34" t="e" vm="14">
        <f>_xlfn.XLOOKUP(HistoricalStockProgress[[#This Row],[Company Ticker]],CompanyDetailsList[Company Ticker],CompanyDetailsList[Official Name],,0)</f>
        <v>#VALUE!</v>
      </c>
      <c r="E5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5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9484.3704371074709</v>
      </c>
      <c r="G554" s="17">
        <f>IFERROR(HistoricalStockProgress[[#This Row],[Cost of Shares]]/HistoricalStockProgress[[#This Row],[No. of Shares]],0)</f>
        <v>150.54556249376938</v>
      </c>
      <c r="H554" s="16" vm="1086">
        <v>138.13</v>
      </c>
      <c r="I554" s="16">
        <f>IF(HistoricalStockProgress[[#This Row],[No. of Shares]]&lt;&gt;0,HistoricalStockProgress[[#This Row],[Price of Shares]]*HistoricalStockProgress[[#This Row],[No. of Shares]],0)</f>
        <v>8702.19</v>
      </c>
      <c r="J554" s="16">
        <f>IF(HistoricalStockProgress[[#This Row],[No. of Shares]]&lt;&gt;0,HistoricalStockProgress[[#This Row],[Price of Shares]]-HistoricalStockProgress[[#This Row],[Cost of Shares]]/HistoricalStockProgress[[#This Row],[No. of Shares]],0)</f>
        <v>-12.415562493769386</v>
      </c>
      <c r="K554" s="17">
        <f>IF(HistoricalStockProgress[[#This Row],[Total Price of Shares]]&lt;&gt;0,HistoricalStockProgress[[#This Row],[Total Price of Shares]]-HistoricalStockProgress[[#This Row],[Cost of Shares]],0)</f>
        <v>-782.18043710747042</v>
      </c>
      <c r="L554" s="34" t="b" cm="1">
        <f t="array" ref="L554">IFERROR(IF(HistoricalStockProgress[[#This Row],[Price of Shares]]="",_xlfn.STOCKHISTORY(HistoricalStockProgress[[#This Row],[Full Company Name]],HistoricalStockProgress[[#This Row],[Date]],,2,0,1)),0)</f>
        <v>0</v>
      </c>
      <c r="M554" s="34">
        <f>YEAR(HistoricalStockProgress[[#This Row],[Date]])</f>
        <v>2019</v>
      </c>
      <c r="N554" s="34">
        <f>MONTH(HistoricalStockProgress[[#This Row],[Date]])</f>
        <v>2</v>
      </c>
    </row>
    <row r="555" spans="2:14">
      <c r="B555" s="15">
        <v>43524</v>
      </c>
      <c r="C555" s="34" t="s">
        <v>98</v>
      </c>
      <c r="D555" s="34" t="e" vm="15">
        <f>_xlfn.XLOOKUP(HistoricalStockProgress[[#This Row],[Company Ticker]],CompanyDetailsList[Company Ticker],CompanyDetailsList[Official Name],,0)</f>
        <v>#VALUE!</v>
      </c>
      <c r="E5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5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555" s="17">
        <f>IFERROR(HistoricalStockProgress[[#This Row],[Cost of Shares]]/HistoricalStockProgress[[#This Row],[No. of Shares]],0)</f>
        <v>39.627242008882604</v>
      </c>
      <c r="H555" s="16" vm="1087">
        <v>46.93</v>
      </c>
      <c r="I555" s="16">
        <f>IF(HistoricalStockProgress[[#This Row],[No. of Shares]]&lt;&gt;0,HistoricalStockProgress[[#This Row],[Price of Shares]]*HistoricalStockProgress[[#This Row],[No. of Shares]],0)</f>
        <v>3425.89</v>
      </c>
      <c r="J555" s="16">
        <f>IF(HistoricalStockProgress[[#This Row],[No. of Shares]]&lt;&gt;0,HistoricalStockProgress[[#This Row],[Price of Shares]]-HistoricalStockProgress[[#This Row],[Cost of Shares]]/HistoricalStockProgress[[#This Row],[No. of Shares]],0)</f>
        <v>7.3027579911173959</v>
      </c>
      <c r="K555" s="17">
        <f>IF(HistoricalStockProgress[[#This Row],[Total Price of Shares]]&lt;&gt;0,HistoricalStockProgress[[#This Row],[Total Price of Shares]]-HistoricalStockProgress[[#This Row],[Cost of Shares]],0)</f>
        <v>533.10133335156979</v>
      </c>
      <c r="L555" s="34" t="b" cm="1">
        <f t="array" ref="L555">IFERROR(IF(HistoricalStockProgress[[#This Row],[Price of Shares]]="",_xlfn.STOCKHISTORY(HistoricalStockProgress[[#This Row],[Full Company Name]],HistoricalStockProgress[[#This Row],[Date]],,2,0,1)),0)</f>
        <v>0</v>
      </c>
      <c r="M555" s="34">
        <f>YEAR(HistoricalStockProgress[[#This Row],[Date]])</f>
        <v>2019</v>
      </c>
      <c r="N555" s="34">
        <f>MONTH(HistoricalStockProgress[[#This Row],[Date]])</f>
        <v>2</v>
      </c>
    </row>
    <row r="556" spans="2:14">
      <c r="B556" s="15">
        <v>43524</v>
      </c>
      <c r="C556" s="34" t="s">
        <v>100</v>
      </c>
      <c r="D556" s="34" t="e" vm="16">
        <f>_xlfn.XLOOKUP(HistoricalStockProgress[[#This Row],[Company Ticker]],CompanyDetailsList[Company Ticker],CompanyDetailsList[Official Name],,0)</f>
        <v>#VALUE!</v>
      </c>
      <c r="E5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66</v>
      </c>
      <c r="F5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5686.9595359740797</v>
      </c>
      <c r="G556" s="17">
        <f>IFERROR(HistoricalStockProgress[[#This Row],[Cost of Shares]]/HistoricalStockProgress[[#This Row],[No. of Shares]],0)</f>
        <v>86.166053575364842</v>
      </c>
      <c r="H556" s="16" vm="1088">
        <v>89.66</v>
      </c>
      <c r="I556" s="16">
        <f>IF(HistoricalStockProgress[[#This Row],[No. of Shares]]&lt;&gt;0,HistoricalStockProgress[[#This Row],[Price of Shares]]*HistoricalStockProgress[[#This Row],[No. of Shares]],0)</f>
        <v>5917.5599999999995</v>
      </c>
      <c r="J556" s="16">
        <f>IF(HistoricalStockProgress[[#This Row],[No. of Shares]]&lt;&gt;0,HistoricalStockProgress[[#This Row],[Price of Shares]]-HistoricalStockProgress[[#This Row],[Cost of Shares]]/HistoricalStockProgress[[#This Row],[No. of Shares]],0)</f>
        <v>3.4939464246351548</v>
      </c>
      <c r="K556" s="17">
        <f>IF(HistoricalStockProgress[[#This Row],[Total Price of Shares]]&lt;&gt;0,HistoricalStockProgress[[#This Row],[Total Price of Shares]]-HistoricalStockProgress[[#This Row],[Cost of Shares]],0)</f>
        <v>230.60046402591979</v>
      </c>
      <c r="L556" s="34" t="b" cm="1">
        <f t="array" ref="L556">IFERROR(IF(HistoricalStockProgress[[#This Row],[Price of Shares]]="",_xlfn.STOCKHISTORY(HistoricalStockProgress[[#This Row],[Full Company Name]],HistoricalStockProgress[[#This Row],[Date]],,2,0,1)),0)</f>
        <v>0</v>
      </c>
      <c r="M556" s="34">
        <f>YEAR(HistoricalStockProgress[[#This Row],[Date]])</f>
        <v>2019</v>
      </c>
      <c r="N556" s="34">
        <f>MONTH(HistoricalStockProgress[[#This Row],[Date]])</f>
        <v>2</v>
      </c>
    </row>
    <row r="557" spans="2:14">
      <c r="B557" s="15">
        <v>43524</v>
      </c>
      <c r="C557" s="34" t="s">
        <v>15</v>
      </c>
      <c r="D557" s="34" t="e" vm="17">
        <f>_xlfn.XLOOKUP(HistoricalStockProgress[[#This Row],[Company Ticker]],CompanyDetailsList[Company Ticker],CompanyDetailsList[Official Name],,0)</f>
        <v>#VALUE!</v>
      </c>
      <c r="E5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5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557" s="17">
        <f>IFERROR(HistoricalStockProgress[[#This Row],[Cost of Shares]]/HistoricalStockProgress[[#This Row],[No. of Shares]],0)</f>
        <v>26.081956457072195</v>
      </c>
      <c r="H557" s="16" vm="1089">
        <v>23.501200000000001</v>
      </c>
      <c r="I557" s="16">
        <f>IF(HistoricalStockProgress[[#This Row],[No. of Shares]]&lt;&gt;0,HistoricalStockProgress[[#This Row],[Price of Shares]]*HistoricalStockProgress[[#This Row],[No. of Shares]],0)</f>
        <v>2914.1487999999999</v>
      </c>
      <c r="J557" s="16">
        <f>IF(HistoricalStockProgress[[#This Row],[No. of Shares]]&lt;&gt;0,HistoricalStockProgress[[#This Row],[Price of Shares]]-HistoricalStockProgress[[#This Row],[Cost of Shares]]/HistoricalStockProgress[[#This Row],[No. of Shares]],0)</f>
        <v>-2.5807564570721944</v>
      </c>
      <c r="K557" s="17">
        <f>IF(HistoricalStockProgress[[#This Row],[Total Price of Shares]]&lt;&gt;0,HistoricalStockProgress[[#This Row],[Total Price of Shares]]-HistoricalStockProgress[[#This Row],[Cost of Shares]],0)</f>
        <v>-320.01380067695209</v>
      </c>
      <c r="L557" s="34" t="b" cm="1">
        <f t="array" ref="L557">IFERROR(IF(HistoricalStockProgress[[#This Row],[Price of Shares]]="",_xlfn.STOCKHISTORY(HistoricalStockProgress[[#This Row],[Full Company Name]],HistoricalStockProgress[[#This Row],[Date]],,2,0,1)),0)</f>
        <v>0</v>
      </c>
      <c r="M557" s="34">
        <f>YEAR(HistoricalStockProgress[[#This Row],[Date]])</f>
        <v>2019</v>
      </c>
      <c r="N557" s="34">
        <f>MONTH(HistoricalStockProgress[[#This Row],[Date]])</f>
        <v>2</v>
      </c>
    </row>
    <row r="558" spans="2:14">
      <c r="B558" s="15">
        <v>43524</v>
      </c>
      <c r="C558" s="34" t="s">
        <v>13</v>
      </c>
      <c r="D558" s="34" t="e" vm="18">
        <f>_xlfn.XLOOKUP(HistoricalStockProgress[[#This Row],[Company Ticker]],CompanyDetailsList[Company Ticker],CompanyDetailsList[Official Name],,0)</f>
        <v>#VALUE!</v>
      </c>
      <c r="E5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5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558" s="17">
        <f>IFERROR(HistoricalStockProgress[[#This Row],[Cost of Shares]]/HistoricalStockProgress[[#This Row],[No. of Shares]],0)</f>
        <v>31.383479678650293</v>
      </c>
      <c r="H558" s="16" vm="1090">
        <v>41.093600000000002</v>
      </c>
      <c r="I558" s="16">
        <f>IF(HistoricalStockProgress[[#This Row],[No. of Shares]]&lt;&gt;0,HistoricalStockProgress[[#This Row],[Price of Shares]]*HistoricalStockProgress[[#This Row],[No. of Shares]],0)</f>
        <v>1027.3400000000001</v>
      </c>
      <c r="J558" s="16">
        <f>IF(HistoricalStockProgress[[#This Row],[No. of Shares]]&lt;&gt;0,HistoricalStockProgress[[#This Row],[Price of Shares]]-HistoricalStockProgress[[#This Row],[Cost of Shares]]/HistoricalStockProgress[[#This Row],[No. of Shares]],0)</f>
        <v>9.7101203213497094</v>
      </c>
      <c r="K558" s="17">
        <f>IF(HistoricalStockProgress[[#This Row],[Total Price of Shares]]&lt;&gt;0,HistoricalStockProgress[[#This Row],[Total Price of Shares]]-HistoricalStockProgress[[#This Row],[Cost of Shares]],0)</f>
        <v>242.75300803374284</v>
      </c>
      <c r="L558" s="34" t="b" cm="1">
        <f t="array" ref="L558">IFERROR(IF(HistoricalStockProgress[[#This Row],[Price of Shares]]="",_xlfn.STOCKHISTORY(HistoricalStockProgress[[#This Row],[Full Company Name]],HistoricalStockProgress[[#This Row],[Date]],,2,0,1)),0)</f>
        <v>0</v>
      </c>
      <c r="M558" s="34">
        <f>YEAR(HistoricalStockProgress[[#This Row],[Date]])</f>
        <v>2019</v>
      </c>
      <c r="N558" s="34">
        <f>MONTH(HistoricalStockProgress[[#This Row],[Date]])</f>
        <v>2</v>
      </c>
    </row>
    <row r="559" spans="2:14">
      <c r="B559" s="15">
        <v>43524</v>
      </c>
      <c r="C559" s="34" t="s">
        <v>20</v>
      </c>
      <c r="D559" s="34" t="e" vm="19">
        <f>_xlfn.XLOOKUP(HistoricalStockProgress[[#This Row],[Company Ticker]],CompanyDetailsList[Company Ticker],CompanyDetailsList[Official Name],,0)</f>
        <v>#VALUE!</v>
      </c>
      <c r="E5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5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559" s="17">
        <f>IFERROR(HistoricalStockProgress[[#This Row],[Cost of Shares]]/HistoricalStockProgress[[#This Row],[No. of Shares]],0)</f>
        <v>93.912242833589502</v>
      </c>
      <c r="H559" s="16" vm="1091">
        <v>104.36</v>
      </c>
      <c r="I559" s="16">
        <f>IF(HistoricalStockProgress[[#This Row],[No. of Shares]]&lt;&gt;0,HistoricalStockProgress[[#This Row],[Price of Shares]]*HistoricalStockProgress[[#This Row],[No. of Shares]],0)</f>
        <v>8140.08</v>
      </c>
      <c r="J559" s="16">
        <f>IF(HistoricalStockProgress[[#This Row],[No. of Shares]]&lt;&gt;0,HistoricalStockProgress[[#This Row],[Price of Shares]]-HistoricalStockProgress[[#This Row],[Cost of Shares]]/HistoricalStockProgress[[#This Row],[No. of Shares]],0)</f>
        <v>10.447757166410497</v>
      </c>
      <c r="K559" s="17">
        <f>IF(HistoricalStockProgress[[#This Row],[Total Price of Shares]]&lt;&gt;0,HistoricalStockProgress[[#This Row],[Total Price of Shares]]-HistoricalStockProgress[[#This Row],[Cost of Shares]],0)</f>
        <v>814.92505898001855</v>
      </c>
      <c r="L559" s="34" t="b" cm="1">
        <f t="array" ref="L559">IFERROR(IF(HistoricalStockProgress[[#This Row],[Price of Shares]]="",_xlfn.STOCKHISTORY(HistoricalStockProgress[[#This Row],[Full Company Name]],HistoricalStockProgress[[#This Row],[Date]],,2,0,1)),0)</f>
        <v>0</v>
      </c>
      <c r="M559" s="34">
        <f>YEAR(HistoricalStockProgress[[#This Row],[Date]])</f>
        <v>2019</v>
      </c>
      <c r="N559" s="34">
        <f>MONTH(HistoricalStockProgress[[#This Row],[Date]])</f>
        <v>2</v>
      </c>
    </row>
    <row r="560" spans="2:14">
      <c r="B560" s="15">
        <v>43524</v>
      </c>
      <c r="C560" s="34" t="s">
        <v>106</v>
      </c>
      <c r="D560" s="34" t="e" vm="20">
        <f>_xlfn.XLOOKUP(HistoricalStockProgress[[#This Row],[Company Ticker]],CompanyDetailsList[Company Ticker],CompanyDetailsList[Official Name],,0)</f>
        <v>#VALUE!</v>
      </c>
      <c r="E5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52</v>
      </c>
      <c r="F5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5315.8302476196659</v>
      </c>
      <c r="G560" s="17">
        <f>IFERROR(HistoricalStockProgress[[#This Row],[Cost of Shares]]/HistoricalStockProgress[[#This Row],[No. of Shares]],0)</f>
        <v>102.22750476191665</v>
      </c>
      <c r="H560" s="16" vm="1092">
        <v>111.97</v>
      </c>
      <c r="I560" s="16">
        <f>IF(HistoricalStockProgress[[#This Row],[No. of Shares]]&lt;&gt;0,HistoricalStockProgress[[#This Row],[Price of Shares]]*HistoricalStockProgress[[#This Row],[No. of Shares]],0)</f>
        <v>5822.44</v>
      </c>
      <c r="J560" s="16">
        <f>IF(HistoricalStockProgress[[#This Row],[No. of Shares]]&lt;&gt;0,HistoricalStockProgress[[#This Row],[Price of Shares]]-HistoricalStockProgress[[#This Row],[Cost of Shares]]/HistoricalStockProgress[[#This Row],[No. of Shares]],0)</f>
        <v>9.7424952380833503</v>
      </c>
      <c r="K560" s="17">
        <f>IF(HistoricalStockProgress[[#This Row],[Total Price of Shares]]&lt;&gt;0,HistoricalStockProgress[[#This Row],[Total Price of Shares]]-HistoricalStockProgress[[#This Row],[Cost of Shares]],0)</f>
        <v>506.6097523803337</v>
      </c>
      <c r="L560" s="34" t="b" cm="1">
        <f t="array" ref="L560">IFERROR(IF(HistoricalStockProgress[[#This Row],[Price of Shares]]="",_xlfn.STOCKHISTORY(HistoricalStockProgress[[#This Row],[Full Company Name]],HistoricalStockProgress[[#This Row],[Date]],,2,0,1)),0)</f>
        <v>0</v>
      </c>
      <c r="M560" s="34">
        <f>YEAR(HistoricalStockProgress[[#This Row],[Date]])</f>
        <v>2019</v>
      </c>
      <c r="N560" s="34">
        <f>MONTH(HistoricalStockProgress[[#This Row],[Date]])</f>
        <v>2</v>
      </c>
    </row>
    <row r="561" spans="2:14">
      <c r="B561" s="15">
        <v>43555</v>
      </c>
      <c r="C561" s="34" t="s">
        <v>12</v>
      </c>
      <c r="D561" s="34" t="e" vm="1">
        <f>_xlfn.XLOOKUP(HistoricalStockProgress[[#This Row],[Company Ticker]],CompanyDetailsList[Company Ticker],CompanyDetailsList[Official Name],,0)</f>
        <v>#VALUE!</v>
      </c>
      <c r="E5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5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561" s="17">
        <f>IFERROR(HistoricalStockProgress[[#This Row],[Cost of Shares]]/HistoricalStockProgress[[#This Row],[No. of Shares]],0)</f>
        <v>57.188485025896703</v>
      </c>
      <c r="H561" s="16" vm="1093">
        <v>73.56</v>
      </c>
      <c r="I561" s="16">
        <f>IF(HistoricalStockProgress[[#This Row],[No. of Shares]]&lt;&gt;0,HistoricalStockProgress[[#This Row],[Price of Shares]]*HistoricalStockProgress[[#This Row],[No. of Shares]],0)</f>
        <v>441.36</v>
      </c>
      <c r="J561" s="16">
        <f>IF(HistoricalStockProgress[[#This Row],[No. of Shares]]&lt;&gt;0,HistoricalStockProgress[[#This Row],[Price of Shares]]-HistoricalStockProgress[[#This Row],[Cost of Shares]]/HistoricalStockProgress[[#This Row],[No. of Shares]],0)</f>
        <v>16.371514974103299</v>
      </c>
      <c r="K561" s="17">
        <f>IF(HistoricalStockProgress[[#This Row],[Total Price of Shares]]&lt;&gt;0,HistoricalStockProgress[[#This Row],[Total Price of Shares]]-HistoricalStockProgress[[#This Row],[Cost of Shares]],0)</f>
        <v>98.229089844619807</v>
      </c>
      <c r="L561" s="34" t="b" cm="1">
        <f t="array" ref="L561">IFERROR(IF(HistoricalStockProgress[[#This Row],[Price of Shares]]="",_xlfn.STOCKHISTORY(HistoricalStockProgress[[#This Row],[Full Company Name]],HistoricalStockProgress[[#This Row],[Date]],,2,0,1)),0)</f>
        <v>0</v>
      </c>
      <c r="M561" s="34">
        <f>YEAR(HistoricalStockProgress[[#This Row],[Date]])</f>
        <v>2019</v>
      </c>
      <c r="N561" s="34">
        <f>MONTH(HistoricalStockProgress[[#This Row],[Date]])</f>
        <v>3</v>
      </c>
    </row>
    <row r="562" spans="2:14">
      <c r="B562" s="15">
        <v>43555</v>
      </c>
      <c r="C562" s="34" t="s">
        <v>19</v>
      </c>
      <c r="D562" s="34" t="e" vm="3">
        <f>_xlfn.XLOOKUP(HistoricalStockProgress[[#This Row],[Company Ticker]],CompanyDetailsList[Company Ticker],CompanyDetailsList[Official Name],,0)</f>
        <v>#VALUE!</v>
      </c>
      <c r="E5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32</v>
      </c>
      <c r="F5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5052.8411971764708</v>
      </c>
      <c r="G562" s="17">
        <f>IFERROR(HistoricalStockProgress[[#This Row],[Cost of Shares]]/HistoricalStockProgress[[#This Row],[No. of Shares]],0)</f>
        <v>157.90128741176471</v>
      </c>
      <c r="H562" s="16" vm="1094">
        <v>160.46</v>
      </c>
      <c r="I562" s="16">
        <f>IF(HistoricalStockProgress[[#This Row],[No. of Shares]]&lt;&gt;0,HistoricalStockProgress[[#This Row],[Price of Shares]]*HistoricalStockProgress[[#This Row],[No. of Shares]],0)</f>
        <v>5134.72</v>
      </c>
      <c r="J562" s="16">
        <f>IF(HistoricalStockProgress[[#This Row],[No. of Shares]]&lt;&gt;0,HistoricalStockProgress[[#This Row],[Price of Shares]]-HistoricalStockProgress[[#This Row],[Cost of Shares]]/HistoricalStockProgress[[#This Row],[No. of Shares]],0)</f>
        <v>2.558712588235295</v>
      </c>
      <c r="K562" s="17">
        <f>IF(HistoricalStockProgress[[#This Row],[Total Price of Shares]]&lt;&gt;0,HistoricalStockProgress[[#This Row],[Total Price of Shares]]-HistoricalStockProgress[[#This Row],[Cost of Shares]],0)</f>
        <v>81.878802823529441</v>
      </c>
      <c r="L562" s="34" t="b" cm="1">
        <f t="array" ref="L562">IFERROR(IF(HistoricalStockProgress[[#This Row],[Price of Shares]]="",_xlfn.STOCKHISTORY(HistoricalStockProgress[[#This Row],[Full Company Name]],HistoricalStockProgress[[#This Row],[Date]],,2,0,1)),0)</f>
        <v>0</v>
      </c>
      <c r="M562" s="34">
        <f>YEAR(HistoricalStockProgress[[#This Row],[Date]])</f>
        <v>2019</v>
      </c>
      <c r="N562" s="34">
        <f>MONTH(HistoricalStockProgress[[#This Row],[Date]])</f>
        <v>3</v>
      </c>
    </row>
    <row r="563" spans="2:14">
      <c r="B563" s="15">
        <v>43555</v>
      </c>
      <c r="C563" s="34" t="s">
        <v>23</v>
      </c>
      <c r="D563" s="34" t="e" vm="4">
        <f>_xlfn.XLOOKUP(HistoricalStockProgress[[#This Row],[Company Ticker]],CompanyDetailsList[Company Ticker],CompanyDetailsList[Official Name],,0)</f>
        <v>#VALUE!</v>
      </c>
      <c r="E5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5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563" s="17">
        <f>IFERROR(HistoricalStockProgress[[#This Row],[Cost of Shares]]/HistoricalStockProgress[[#This Row],[No. of Shares]],0)</f>
        <v>45.768494888570878</v>
      </c>
      <c r="H563" s="16" vm="1095">
        <v>46.86</v>
      </c>
      <c r="I563" s="16">
        <f>IF(HistoricalStockProgress[[#This Row],[No. of Shares]]&lt;&gt;0,HistoricalStockProgress[[#This Row],[Price of Shares]]*HistoricalStockProgress[[#This Row],[No. of Shares]],0)</f>
        <v>2717.88</v>
      </c>
      <c r="J563" s="16">
        <f>IF(HistoricalStockProgress[[#This Row],[No. of Shares]]&lt;&gt;0,HistoricalStockProgress[[#This Row],[Price of Shares]]-HistoricalStockProgress[[#This Row],[Cost of Shares]]/HistoricalStockProgress[[#This Row],[No. of Shares]],0)</f>
        <v>1.0915051114291217</v>
      </c>
      <c r="K563" s="17">
        <f>IF(HistoricalStockProgress[[#This Row],[Total Price of Shares]]&lt;&gt;0,HistoricalStockProgress[[#This Row],[Total Price of Shares]]-HistoricalStockProgress[[#This Row],[Cost of Shares]],0)</f>
        <v>63.307296462889099</v>
      </c>
      <c r="L563" s="34" t="b" cm="1">
        <f t="array" ref="L563">IFERROR(IF(HistoricalStockProgress[[#This Row],[Price of Shares]]="",_xlfn.STOCKHISTORY(HistoricalStockProgress[[#This Row],[Full Company Name]],HistoricalStockProgress[[#This Row],[Date]],,2,0,1)),0)</f>
        <v>0</v>
      </c>
      <c r="M563" s="34">
        <f>YEAR(HistoricalStockProgress[[#This Row],[Date]])</f>
        <v>2019</v>
      </c>
      <c r="N563" s="34">
        <f>MONTH(HistoricalStockProgress[[#This Row],[Date]])</f>
        <v>3</v>
      </c>
    </row>
    <row r="564" spans="2:14">
      <c r="B564" s="15">
        <v>43555</v>
      </c>
      <c r="C564" s="34" t="s">
        <v>84</v>
      </c>
      <c r="D564" s="34" t="e" vm="7">
        <f>_xlfn.XLOOKUP(HistoricalStockProgress[[#This Row],[Company Ticker]],CompanyDetailsList[Company Ticker],CompanyDetailsList[Official Name],,0)</f>
        <v>#VALUE!</v>
      </c>
      <c r="E5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5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564" s="17">
        <f>IFERROR(HistoricalStockProgress[[#This Row],[Cost of Shares]]/HistoricalStockProgress[[#This Row],[No. of Shares]],0)</f>
        <v>104.18087504950869</v>
      </c>
      <c r="H564" s="16" vm="1096">
        <v>139.79</v>
      </c>
      <c r="I564" s="16">
        <f>IF(HistoricalStockProgress[[#This Row],[No. of Shares]]&lt;&gt;0,HistoricalStockProgress[[#This Row],[Price of Shares]]*HistoricalStockProgress[[#This Row],[No. of Shares]],0)</f>
        <v>7129.29</v>
      </c>
      <c r="J564" s="16">
        <f>IF(HistoricalStockProgress[[#This Row],[No. of Shares]]&lt;&gt;0,HistoricalStockProgress[[#This Row],[Price of Shares]]-HistoricalStockProgress[[#This Row],[Cost of Shares]]/HistoricalStockProgress[[#This Row],[No. of Shares]],0)</f>
        <v>35.609124950491307</v>
      </c>
      <c r="K564" s="17">
        <f>IF(HistoricalStockProgress[[#This Row],[Total Price of Shares]]&lt;&gt;0,HistoricalStockProgress[[#This Row],[Total Price of Shares]]-HistoricalStockProgress[[#This Row],[Cost of Shares]],0)</f>
        <v>1816.0653724750573</v>
      </c>
      <c r="L564" s="34" t="b" cm="1">
        <f t="array" ref="L564">IFERROR(IF(HistoricalStockProgress[[#This Row],[Price of Shares]]="",_xlfn.STOCKHISTORY(HistoricalStockProgress[[#This Row],[Full Company Name]],HistoricalStockProgress[[#This Row],[Date]],,2,0,1)),0)</f>
        <v>0</v>
      </c>
      <c r="M564" s="34">
        <f>YEAR(HistoricalStockProgress[[#This Row],[Date]])</f>
        <v>2019</v>
      </c>
      <c r="N564" s="34">
        <f>MONTH(HistoricalStockProgress[[#This Row],[Date]])</f>
        <v>3</v>
      </c>
    </row>
    <row r="565" spans="2:14">
      <c r="B565" s="15">
        <v>43555</v>
      </c>
      <c r="C565" s="34" t="s">
        <v>86</v>
      </c>
      <c r="D565" s="34" t="e" vm="8">
        <f>_xlfn.XLOOKUP(HistoricalStockProgress[[#This Row],[Company Ticker]],CompanyDetailsList[Company Ticker],CompanyDetailsList[Official Name],,0)</f>
        <v>#VALUE!</v>
      </c>
      <c r="E5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5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565" s="17">
        <f>IFERROR(HistoricalStockProgress[[#This Row],[Cost of Shares]]/HistoricalStockProgress[[#This Row],[No. of Shares]],0)</f>
        <v>85.876031764920896</v>
      </c>
      <c r="H565" s="16" vm="1097">
        <v>80.59</v>
      </c>
      <c r="I565" s="16">
        <f>IF(HistoricalStockProgress[[#This Row],[No. of Shares]]&lt;&gt;0,HistoricalStockProgress[[#This Row],[Price of Shares]]*HistoricalStockProgress[[#This Row],[No. of Shares]],0)</f>
        <v>4271.2700000000004</v>
      </c>
      <c r="J565" s="16">
        <f>IF(HistoricalStockProgress[[#This Row],[No. of Shares]]&lt;&gt;0,HistoricalStockProgress[[#This Row],[Price of Shares]]-HistoricalStockProgress[[#This Row],[Cost of Shares]]/HistoricalStockProgress[[#This Row],[No. of Shares]],0)</f>
        <v>-5.2860317649208923</v>
      </c>
      <c r="K565" s="17">
        <f>IF(HistoricalStockProgress[[#This Row],[Total Price of Shares]]&lt;&gt;0,HistoricalStockProgress[[#This Row],[Total Price of Shares]]-HistoricalStockProgress[[#This Row],[Cost of Shares]],0)</f>
        <v>-280.15968354080724</v>
      </c>
      <c r="L565" s="34" t="b" cm="1">
        <f t="array" ref="L565">IFERROR(IF(HistoricalStockProgress[[#This Row],[Price of Shares]]="",_xlfn.STOCKHISTORY(HistoricalStockProgress[[#This Row],[Full Company Name]],HistoricalStockProgress[[#This Row],[Date]],,2,0,1)),0)</f>
        <v>0</v>
      </c>
      <c r="M565" s="34">
        <f>YEAR(HistoricalStockProgress[[#This Row],[Date]])</f>
        <v>2019</v>
      </c>
      <c r="N565" s="34">
        <f>MONTH(HistoricalStockProgress[[#This Row],[Date]])</f>
        <v>3</v>
      </c>
    </row>
    <row r="566" spans="2:14">
      <c r="B566" s="15">
        <v>43555</v>
      </c>
      <c r="C566" s="34" t="s">
        <v>22</v>
      </c>
      <c r="D566" s="34" t="e" vm="10">
        <f>_xlfn.XLOOKUP(HistoricalStockProgress[[#This Row],[Company Ticker]],CompanyDetailsList[Company Ticker],CompanyDetailsList[Official Name],,0)</f>
        <v>#VALUE!</v>
      </c>
      <c r="E5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5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566" s="17">
        <f>IFERROR(HistoricalStockProgress[[#This Row],[Cost of Shares]]/HistoricalStockProgress[[#This Row],[No. of Shares]],0)</f>
        <v>83.61275075159574</v>
      </c>
      <c r="H566" s="16" vm="1098">
        <v>135.49</v>
      </c>
      <c r="I566" s="16">
        <f>IF(HistoricalStockProgress[[#This Row],[No. of Shares]]&lt;&gt;0,HistoricalStockProgress[[#This Row],[Price of Shares]]*HistoricalStockProgress[[#This Row],[No. of Shares]],0)</f>
        <v>8264.8900000000012</v>
      </c>
      <c r="J566" s="16">
        <f>IF(HistoricalStockProgress[[#This Row],[No. of Shares]]&lt;&gt;0,HistoricalStockProgress[[#This Row],[Price of Shares]]-HistoricalStockProgress[[#This Row],[Cost of Shares]]/HistoricalStockProgress[[#This Row],[No. of Shares]],0)</f>
        <v>51.877249248404269</v>
      </c>
      <c r="K566" s="17">
        <f>IF(HistoricalStockProgress[[#This Row],[Total Price of Shares]]&lt;&gt;0,HistoricalStockProgress[[#This Row],[Total Price of Shares]]-HistoricalStockProgress[[#This Row],[Cost of Shares]],0)</f>
        <v>3164.5122041526611</v>
      </c>
      <c r="L566" s="34" t="b" cm="1">
        <f t="array" ref="L566">IFERROR(IF(HistoricalStockProgress[[#This Row],[Price of Shares]]="",_xlfn.STOCKHISTORY(HistoricalStockProgress[[#This Row],[Full Company Name]],HistoricalStockProgress[[#This Row],[Date]],,2,0,1)),0)</f>
        <v>0</v>
      </c>
      <c r="M566" s="34">
        <f>YEAR(HistoricalStockProgress[[#This Row],[Date]])</f>
        <v>2019</v>
      </c>
      <c r="N566" s="34">
        <f>MONTH(HistoricalStockProgress[[#This Row],[Date]])</f>
        <v>3</v>
      </c>
    </row>
    <row r="567" spans="2:14">
      <c r="B567" s="15">
        <v>43555</v>
      </c>
      <c r="C567" s="34" t="s">
        <v>91</v>
      </c>
      <c r="D567" s="34" t="e" vm="11">
        <f>_xlfn.XLOOKUP(HistoricalStockProgress[[#This Row],[Company Ticker]],CompanyDetailsList[Company Ticker],CompanyDetailsList[Official Name],,0)</f>
        <v>#VALUE!</v>
      </c>
      <c r="E5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5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7639.549422502746</v>
      </c>
      <c r="G567" s="17">
        <f>IFERROR(HistoricalStockProgress[[#This Row],[Cost of Shares]]/HistoricalStockProgress[[#This Row],[No. of Shares]],0)</f>
        <v>72.071220967007037</v>
      </c>
      <c r="H567" s="16" vm="1099">
        <v>117.94</v>
      </c>
      <c r="I567" s="16">
        <f>IF(HistoricalStockProgress[[#This Row],[No. of Shares]]&lt;&gt;0,HistoricalStockProgress[[#This Row],[Price of Shares]]*HistoricalStockProgress[[#This Row],[No. of Shares]],0)</f>
        <v>12501.64</v>
      </c>
      <c r="J567" s="16">
        <f>IF(HistoricalStockProgress[[#This Row],[No. of Shares]]&lt;&gt;0,HistoricalStockProgress[[#This Row],[Price of Shares]]-HistoricalStockProgress[[#This Row],[Cost of Shares]]/HistoricalStockProgress[[#This Row],[No. of Shares]],0)</f>
        <v>45.868779032992961</v>
      </c>
      <c r="K567" s="17">
        <f>IF(HistoricalStockProgress[[#This Row],[Total Price of Shares]]&lt;&gt;0,HistoricalStockProgress[[#This Row],[Total Price of Shares]]-HistoricalStockProgress[[#This Row],[Cost of Shares]],0)</f>
        <v>4862.0905774972534</v>
      </c>
      <c r="L567" s="34" t="b" cm="1">
        <f t="array" ref="L567">IFERROR(IF(HistoricalStockProgress[[#This Row],[Price of Shares]]="",_xlfn.STOCKHISTORY(HistoricalStockProgress[[#This Row],[Full Company Name]],HistoricalStockProgress[[#This Row],[Date]],,2,0,1)),0)</f>
        <v>0</v>
      </c>
      <c r="M567" s="34">
        <f>YEAR(HistoricalStockProgress[[#This Row],[Date]])</f>
        <v>2019</v>
      </c>
      <c r="N567" s="34">
        <f>MONTH(HistoricalStockProgress[[#This Row],[Date]])</f>
        <v>3</v>
      </c>
    </row>
    <row r="568" spans="2:14">
      <c r="B568" s="15">
        <v>43555</v>
      </c>
      <c r="C568" s="34" t="s">
        <v>16</v>
      </c>
      <c r="D568" s="34" t="e" vm="12">
        <f>_xlfn.XLOOKUP(HistoricalStockProgress[[#This Row],[Company Ticker]],CompanyDetailsList[Company Ticker],CompanyDetailsList[Official Name],,0)</f>
        <v>#VALUE!</v>
      </c>
      <c r="E5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5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568" s="17">
        <f>IFERROR(HistoricalStockProgress[[#This Row],[Cost of Shares]]/HistoricalStockProgress[[#This Row],[No. of Shares]],0)</f>
        <v>82.900834685216523</v>
      </c>
      <c r="H568" s="16" vm="1100">
        <v>80.8</v>
      </c>
      <c r="I568" s="16">
        <f>IF(HistoricalStockProgress[[#This Row],[No. of Shares]]&lt;&gt;0,HistoricalStockProgress[[#This Row],[Price of Shares]]*HistoricalStockProgress[[#This Row],[No. of Shares]],0)</f>
        <v>11716</v>
      </c>
      <c r="J568" s="16">
        <f>IF(HistoricalStockProgress[[#This Row],[No. of Shares]]&lt;&gt;0,HistoricalStockProgress[[#This Row],[Price of Shares]]-HistoricalStockProgress[[#This Row],[Cost of Shares]]/HistoricalStockProgress[[#This Row],[No. of Shares]],0)</f>
        <v>-2.1008346852165261</v>
      </c>
      <c r="K568" s="17">
        <f>IF(HistoricalStockProgress[[#This Row],[Total Price of Shares]]&lt;&gt;0,HistoricalStockProgress[[#This Row],[Total Price of Shares]]-HistoricalStockProgress[[#This Row],[Cost of Shares]],0)</f>
        <v>-304.62102935639632</v>
      </c>
      <c r="L568" s="34" t="b" cm="1">
        <f t="array" ref="L568">IFERROR(IF(HistoricalStockProgress[[#This Row],[Price of Shares]]="",_xlfn.STOCKHISTORY(HistoricalStockProgress[[#This Row],[Full Company Name]],HistoricalStockProgress[[#This Row],[Date]],,2,0,1)),0)</f>
        <v>0</v>
      </c>
      <c r="M568" s="34">
        <f>YEAR(HistoricalStockProgress[[#This Row],[Date]])</f>
        <v>2019</v>
      </c>
      <c r="N568" s="34">
        <f>MONTH(HistoricalStockProgress[[#This Row],[Date]])</f>
        <v>3</v>
      </c>
    </row>
    <row r="569" spans="2:14">
      <c r="B569" s="15">
        <v>43555</v>
      </c>
      <c r="C569" s="34" t="s">
        <v>95</v>
      </c>
      <c r="D569" s="34" t="e" vm="13">
        <f>_xlfn.XLOOKUP(HistoricalStockProgress[[#This Row],[Company Ticker]],CompanyDetailsList[Company Ticker],CompanyDetailsList[Official Name],,0)</f>
        <v>#VALUE!</v>
      </c>
      <c r="E5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5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569" s="17">
        <f>IFERROR(HistoricalStockProgress[[#This Row],[Cost of Shares]]/HistoricalStockProgress[[#This Row],[No. of Shares]],0)</f>
        <v>143.29758396474452</v>
      </c>
      <c r="H569" s="16" vm="1101">
        <v>191.89</v>
      </c>
      <c r="I569" s="16">
        <f>IF(HistoricalStockProgress[[#This Row],[No. of Shares]]&lt;&gt;0,HistoricalStockProgress[[#This Row],[Price of Shares]]*HistoricalStockProgress[[#This Row],[No. of Shares]],0)</f>
        <v>8251.2699999999986</v>
      </c>
      <c r="J569" s="16">
        <f>IF(HistoricalStockProgress[[#This Row],[No. of Shares]]&lt;&gt;0,HistoricalStockProgress[[#This Row],[Price of Shares]]-HistoricalStockProgress[[#This Row],[Cost of Shares]]/HistoricalStockProgress[[#This Row],[No. of Shares]],0)</f>
        <v>48.592416035255468</v>
      </c>
      <c r="K569" s="17">
        <f>IF(HistoricalStockProgress[[#This Row],[Total Price of Shares]]&lt;&gt;0,HistoricalStockProgress[[#This Row],[Total Price of Shares]]-HistoricalStockProgress[[#This Row],[Cost of Shares]],0)</f>
        <v>2089.4738895159844</v>
      </c>
      <c r="L569" s="34" t="b" cm="1">
        <f t="array" ref="L569">IFERROR(IF(HistoricalStockProgress[[#This Row],[Price of Shares]]="",_xlfn.STOCKHISTORY(HistoricalStockProgress[[#This Row],[Full Company Name]],HistoricalStockProgress[[#This Row],[Date]],,2,0,1)),0)</f>
        <v>0</v>
      </c>
      <c r="M569" s="34">
        <f>YEAR(HistoricalStockProgress[[#This Row],[Date]])</f>
        <v>2019</v>
      </c>
      <c r="N569" s="34">
        <f>MONTH(HistoricalStockProgress[[#This Row],[Date]])</f>
        <v>3</v>
      </c>
    </row>
    <row r="570" spans="2:14">
      <c r="B570" s="15">
        <v>43555</v>
      </c>
      <c r="C570" s="34" t="s">
        <v>17</v>
      </c>
      <c r="D570" s="34" t="e" vm="14">
        <f>_xlfn.XLOOKUP(HistoricalStockProgress[[#This Row],[Company Ticker]],CompanyDetailsList[Company Ticker],CompanyDetailsList[Official Name],,0)</f>
        <v>#VALUE!</v>
      </c>
      <c r="E5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5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9484.3704371074709</v>
      </c>
      <c r="G570" s="17">
        <f>IFERROR(HistoricalStockProgress[[#This Row],[Cost of Shares]]/HistoricalStockProgress[[#This Row],[No. of Shares]],0)</f>
        <v>150.54556249376938</v>
      </c>
      <c r="H570" s="16" vm="1102">
        <v>141.1</v>
      </c>
      <c r="I570" s="16">
        <f>IF(HistoricalStockProgress[[#This Row],[No. of Shares]]&lt;&gt;0,HistoricalStockProgress[[#This Row],[Price of Shares]]*HistoricalStockProgress[[#This Row],[No. of Shares]],0)</f>
        <v>8889.2999999999993</v>
      </c>
      <c r="J570" s="16">
        <f>IF(HistoricalStockProgress[[#This Row],[No. of Shares]]&lt;&gt;0,HistoricalStockProgress[[#This Row],[Price of Shares]]-HistoricalStockProgress[[#This Row],[Cost of Shares]]/HistoricalStockProgress[[#This Row],[No. of Shares]],0)</f>
        <v>-9.4455624937693869</v>
      </c>
      <c r="K570" s="17">
        <f>IF(HistoricalStockProgress[[#This Row],[Total Price of Shares]]&lt;&gt;0,HistoricalStockProgress[[#This Row],[Total Price of Shares]]-HistoricalStockProgress[[#This Row],[Cost of Shares]],0)</f>
        <v>-595.07043710747166</v>
      </c>
      <c r="L570" s="34" t="b" cm="1">
        <f t="array" ref="L570">IFERROR(IF(HistoricalStockProgress[[#This Row],[Price of Shares]]="",_xlfn.STOCKHISTORY(HistoricalStockProgress[[#This Row],[Full Company Name]],HistoricalStockProgress[[#This Row],[Date]],,2,0,1)),0)</f>
        <v>0</v>
      </c>
      <c r="M570" s="34">
        <f>YEAR(HistoricalStockProgress[[#This Row],[Date]])</f>
        <v>2019</v>
      </c>
      <c r="N570" s="34">
        <f>MONTH(HistoricalStockProgress[[#This Row],[Date]])</f>
        <v>3</v>
      </c>
    </row>
    <row r="571" spans="2:14">
      <c r="B571" s="15">
        <v>43555</v>
      </c>
      <c r="C571" s="34" t="s">
        <v>98</v>
      </c>
      <c r="D571" s="34" t="e" vm="15">
        <f>_xlfn.XLOOKUP(HistoricalStockProgress[[#This Row],[Company Ticker]],CompanyDetailsList[Company Ticker],CompanyDetailsList[Official Name],,0)</f>
        <v>#VALUE!</v>
      </c>
      <c r="E5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5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571" s="17">
        <f>IFERROR(HistoricalStockProgress[[#This Row],[Cost of Shares]]/HistoricalStockProgress[[#This Row],[No. of Shares]],0)</f>
        <v>39.627242008882604</v>
      </c>
      <c r="H571" s="16" vm="1103">
        <v>48.33</v>
      </c>
      <c r="I571" s="16">
        <f>IF(HistoricalStockProgress[[#This Row],[No. of Shares]]&lt;&gt;0,HistoricalStockProgress[[#This Row],[Price of Shares]]*HistoricalStockProgress[[#This Row],[No. of Shares]],0)</f>
        <v>3528.0899999999997</v>
      </c>
      <c r="J571" s="16">
        <f>IF(HistoricalStockProgress[[#This Row],[No. of Shares]]&lt;&gt;0,HistoricalStockProgress[[#This Row],[Price of Shares]]-HistoricalStockProgress[[#This Row],[Cost of Shares]]/HistoricalStockProgress[[#This Row],[No. of Shares]],0)</f>
        <v>8.7027579911173945</v>
      </c>
      <c r="K571" s="17">
        <f>IF(HistoricalStockProgress[[#This Row],[Total Price of Shares]]&lt;&gt;0,HistoricalStockProgress[[#This Row],[Total Price of Shares]]-HistoricalStockProgress[[#This Row],[Cost of Shares]],0)</f>
        <v>635.30133335156961</v>
      </c>
      <c r="L571" s="34" t="b" cm="1">
        <f t="array" ref="L571">IFERROR(IF(HistoricalStockProgress[[#This Row],[Price of Shares]]="",_xlfn.STOCKHISTORY(HistoricalStockProgress[[#This Row],[Full Company Name]],HistoricalStockProgress[[#This Row],[Date]],,2,0,1)),0)</f>
        <v>0</v>
      </c>
      <c r="M571" s="34">
        <f>YEAR(HistoricalStockProgress[[#This Row],[Date]])</f>
        <v>2019</v>
      </c>
      <c r="N571" s="34">
        <f>MONTH(HistoricalStockProgress[[#This Row],[Date]])</f>
        <v>3</v>
      </c>
    </row>
    <row r="572" spans="2:14">
      <c r="B572" s="15">
        <v>43555</v>
      </c>
      <c r="C572" s="34" t="s">
        <v>100</v>
      </c>
      <c r="D572" s="34" t="e" vm="16">
        <f>_xlfn.XLOOKUP(HistoricalStockProgress[[#This Row],[Company Ticker]],CompanyDetailsList[Company Ticker],CompanyDetailsList[Official Name],,0)</f>
        <v>#VALUE!</v>
      </c>
      <c r="E5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66</v>
      </c>
      <c r="F5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5686.9595359740797</v>
      </c>
      <c r="G572" s="17">
        <f>IFERROR(HistoricalStockProgress[[#This Row],[Cost of Shares]]/HistoricalStockProgress[[#This Row],[No. of Shares]],0)</f>
        <v>86.166053575364842</v>
      </c>
      <c r="H572" s="16" vm="1104">
        <v>90</v>
      </c>
      <c r="I572" s="16">
        <f>IF(HistoricalStockProgress[[#This Row],[No. of Shares]]&lt;&gt;0,HistoricalStockProgress[[#This Row],[Price of Shares]]*HistoricalStockProgress[[#This Row],[No. of Shares]],0)</f>
        <v>5940</v>
      </c>
      <c r="J572" s="16">
        <f>IF(HistoricalStockProgress[[#This Row],[No. of Shares]]&lt;&gt;0,HistoricalStockProgress[[#This Row],[Price of Shares]]-HistoricalStockProgress[[#This Row],[Cost of Shares]]/HistoricalStockProgress[[#This Row],[No. of Shares]],0)</f>
        <v>3.8339464246351582</v>
      </c>
      <c r="K572" s="17">
        <f>IF(HistoricalStockProgress[[#This Row],[Total Price of Shares]]&lt;&gt;0,HistoricalStockProgress[[#This Row],[Total Price of Shares]]-HistoricalStockProgress[[#This Row],[Cost of Shares]],0)</f>
        <v>253.0404640259203</v>
      </c>
      <c r="L572" s="34" t="b" cm="1">
        <f t="array" ref="L572">IFERROR(IF(HistoricalStockProgress[[#This Row],[Price of Shares]]="",_xlfn.STOCKHISTORY(HistoricalStockProgress[[#This Row],[Full Company Name]],HistoricalStockProgress[[#This Row],[Date]],,2,0,1)),0)</f>
        <v>0</v>
      </c>
      <c r="M572" s="34">
        <f>YEAR(HistoricalStockProgress[[#This Row],[Date]])</f>
        <v>2019</v>
      </c>
      <c r="N572" s="34">
        <f>MONTH(HistoricalStockProgress[[#This Row],[Date]])</f>
        <v>3</v>
      </c>
    </row>
    <row r="573" spans="2:14">
      <c r="B573" s="15">
        <v>43555</v>
      </c>
      <c r="C573" s="34" t="s">
        <v>15</v>
      </c>
      <c r="D573" s="34" t="e" vm="17">
        <f>_xlfn.XLOOKUP(HistoricalStockProgress[[#This Row],[Company Ticker]],CompanyDetailsList[Company Ticker],CompanyDetailsList[Official Name],,0)</f>
        <v>#VALUE!</v>
      </c>
      <c r="E5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5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573" s="17">
        <f>IFERROR(HistoricalStockProgress[[#This Row],[Cost of Shares]]/HistoricalStockProgress[[#This Row],[No. of Shares]],0)</f>
        <v>26.081956457072195</v>
      </c>
      <c r="H573" s="16" vm="1105">
        <v>23.682400000000001</v>
      </c>
      <c r="I573" s="16">
        <f>IF(HistoricalStockProgress[[#This Row],[No. of Shares]]&lt;&gt;0,HistoricalStockProgress[[#This Row],[Price of Shares]]*HistoricalStockProgress[[#This Row],[No. of Shares]],0)</f>
        <v>2936.6176</v>
      </c>
      <c r="J573" s="16">
        <f>IF(HistoricalStockProgress[[#This Row],[No. of Shares]]&lt;&gt;0,HistoricalStockProgress[[#This Row],[Price of Shares]]-HistoricalStockProgress[[#This Row],[Cost of Shares]]/HistoricalStockProgress[[#This Row],[No. of Shares]],0)</f>
        <v>-2.3995564570721939</v>
      </c>
      <c r="K573" s="17">
        <f>IF(HistoricalStockProgress[[#This Row],[Total Price of Shares]]&lt;&gt;0,HistoricalStockProgress[[#This Row],[Total Price of Shares]]-HistoricalStockProgress[[#This Row],[Cost of Shares]],0)</f>
        <v>-297.54500067695199</v>
      </c>
      <c r="L573" s="34" t="b" cm="1">
        <f t="array" ref="L573">IFERROR(IF(HistoricalStockProgress[[#This Row],[Price of Shares]]="",_xlfn.STOCKHISTORY(HistoricalStockProgress[[#This Row],[Full Company Name]],HistoricalStockProgress[[#This Row],[Date]],,2,0,1)),0)</f>
        <v>0</v>
      </c>
      <c r="M573" s="34">
        <f>YEAR(HistoricalStockProgress[[#This Row],[Date]])</f>
        <v>2019</v>
      </c>
      <c r="N573" s="34">
        <f>MONTH(HistoricalStockProgress[[#This Row],[Date]])</f>
        <v>3</v>
      </c>
    </row>
    <row r="574" spans="2:14">
      <c r="B574" s="15">
        <v>43555</v>
      </c>
      <c r="C574" s="34" t="s">
        <v>13</v>
      </c>
      <c r="D574" s="34" t="e" vm="18">
        <f>_xlfn.XLOOKUP(HistoricalStockProgress[[#This Row],[Company Ticker]],CompanyDetailsList[Company Ticker],CompanyDetailsList[Official Name],,0)</f>
        <v>#VALUE!</v>
      </c>
      <c r="E5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5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574" s="17">
        <f>IFERROR(HistoricalStockProgress[[#This Row],[Cost of Shares]]/HistoricalStockProgress[[#This Row],[No. of Shares]],0)</f>
        <v>31.383479678650293</v>
      </c>
      <c r="H574" s="16" vm="1106">
        <v>40.259399999999999</v>
      </c>
      <c r="I574" s="16">
        <f>IF(HistoricalStockProgress[[#This Row],[No. of Shares]]&lt;&gt;0,HistoricalStockProgress[[#This Row],[Price of Shares]]*HistoricalStockProgress[[#This Row],[No. of Shares]],0)</f>
        <v>1006.485</v>
      </c>
      <c r="J574" s="16">
        <f>IF(HistoricalStockProgress[[#This Row],[No. of Shares]]&lt;&gt;0,HistoricalStockProgress[[#This Row],[Price of Shares]]-HistoricalStockProgress[[#This Row],[Cost of Shares]]/HistoricalStockProgress[[#This Row],[No. of Shares]],0)</f>
        <v>8.8759203213497067</v>
      </c>
      <c r="K574" s="17">
        <f>IF(HistoricalStockProgress[[#This Row],[Total Price of Shares]]&lt;&gt;0,HistoricalStockProgress[[#This Row],[Total Price of Shares]]-HistoricalStockProgress[[#This Row],[Cost of Shares]],0)</f>
        <v>221.89800803374271</v>
      </c>
      <c r="L574" s="34" t="b" cm="1">
        <f t="array" ref="L574">IFERROR(IF(HistoricalStockProgress[[#This Row],[Price of Shares]]="",_xlfn.STOCKHISTORY(HistoricalStockProgress[[#This Row],[Full Company Name]],HistoricalStockProgress[[#This Row],[Date]],,2,0,1)),0)</f>
        <v>0</v>
      </c>
      <c r="M574" s="34">
        <f>YEAR(HistoricalStockProgress[[#This Row],[Date]])</f>
        <v>2019</v>
      </c>
      <c r="N574" s="34">
        <f>MONTH(HistoricalStockProgress[[#This Row],[Date]])</f>
        <v>3</v>
      </c>
    </row>
    <row r="575" spans="2:14">
      <c r="B575" s="15">
        <v>43555</v>
      </c>
      <c r="C575" s="34" t="s">
        <v>20</v>
      </c>
      <c r="D575" s="34" t="e" vm="19">
        <f>_xlfn.XLOOKUP(HistoricalStockProgress[[#This Row],[Company Ticker]],CompanyDetailsList[Company Ticker],CompanyDetailsList[Official Name],,0)</f>
        <v>#VALUE!</v>
      </c>
      <c r="E5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5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575" s="17">
        <f>IFERROR(HistoricalStockProgress[[#This Row],[Cost of Shares]]/HistoricalStockProgress[[#This Row],[No. of Shares]],0)</f>
        <v>93.912242833589502</v>
      </c>
      <c r="H575" s="16" vm="1107">
        <v>101.23</v>
      </c>
      <c r="I575" s="16">
        <f>IF(HistoricalStockProgress[[#This Row],[No. of Shares]]&lt;&gt;0,HistoricalStockProgress[[#This Row],[Price of Shares]]*HistoricalStockProgress[[#This Row],[No. of Shares]],0)</f>
        <v>7895.9400000000005</v>
      </c>
      <c r="J575" s="16">
        <f>IF(HistoricalStockProgress[[#This Row],[No. of Shares]]&lt;&gt;0,HistoricalStockProgress[[#This Row],[Price of Shares]]-HistoricalStockProgress[[#This Row],[Cost of Shares]]/HistoricalStockProgress[[#This Row],[No. of Shares]],0)</f>
        <v>7.3177571664105017</v>
      </c>
      <c r="K575" s="17">
        <f>IF(HistoricalStockProgress[[#This Row],[Total Price of Shares]]&lt;&gt;0,HistoricalStockProgress[[#This Row],[Total Price of Shares]]-HistoricalStockProgress[[#This Row],[Cost of Shares]],0)</f>
        <v>570.78505898001913</v>
      </c>
      <c r="L575" s="34" t="b" cm="1">
        <f t="array" ref="L575">IFERROR(IF(HistoricalStockProgress[[#This Row],[Price of Shares]]="",_xlfn.STOCKHISTORY(HistoricalStockProgress[[#This Row],[Full Company Name]],HistoricalStockProgress[[#This Row],[Date]],,2,0,1)),0)</f>
        <v>0</v>
      </c>
      <c r="M575" s="34">
        <f>YEAR(HistoricalStockProgress[[#This Row],[Date]])</f>
        <v>2019</v>
      </c>
      <c r="N575" s="34">
        <f>MONTH(HistoricalStockProgress[[#This Row],[Date]])</f>
        <v>3</v>
      </c>
    </row>
    <row r="576" spans="2:14">
      <c r="B576" s="15">
        <v>43555</v>
      </c>
      <c r="C576" s="34" t="s">
        <v>106</v>
      </c>
      <c r="D576" s="34" t="e" vm="20">
        <f>_xlfn.XLOOKUP(HistoricalStockProgress[[#This Row],[Company Ticker]],CompanyDetailsList[Company Ticker],CompanyDetailsList[Official Name],,0)</f>
        <v>#VALUE!</v>
      </c>
      <c r="E5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52</v>
      </c>
      <c r="F5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5315.8302476196659</v>
      </c>
      <c r="G576" s="17">
        <f>IFERROR(HistoricalStockProgress[[#This Row],[Cost of Shares]]/HistoricalStockProgress[[#This Row],[No. of Shares]],0)</f>
        <v>102.22750476191665</v>
      </c>
      <c r="H576" s="16" vm="1108">
        <v>112.87</v>
      </c>
      <c r="I576" s="16">
        <f>IF(HistoricalStockProgress[[#This Row],[No. of Shares]]&lt;&gt;0,HistoricalStockProgress[[#This Row],[Price of Shares]]*HistoricalStockProgress[[#This Row],[No. of Shares]],0)</f>
        <v>5869.24</v>
      </c>
      <c r="J576" s="16">
        <f>IF(HistoricalStockProgress[[#This Row],[No. of Shares]]&lt;&gt;0,HistoricalStockProgress[[#This Row],[Price of Shares]]-HistoricalStockProgress[[#This Row],[Cost of Shares]]/HistoricalStockProgress[[#This Row],[No. of Shares]],0)</f>
        <v>10.642495238083356</v>
      </c>
      <c r="K576" s="17">
        <f>IF(HistoricalStockProgress[[#This Row],[Total Price of Shares]]&lt;&gt;0,HistoricalStockProgress[[#This Row],[Total Price of Shares]]-HistoricalStockProgress[[#This Row],[Cost of Shares]],0)</f>
        <v>553.40975238033388</v>
      </c>
      <c r="L576" s="34" t="b" cm="1">
        <f t="array" ref="L576">IFERROR(IF(HistoricalStockProgress[[#This Row],[Price of Shares]]="",_xlfn.STOCKHISTORY(HistoricalStockProgress[[#This Row],[Full Company Name]],HistoricalStockProgress[[#This Row],[Date]],,2,0,1)),0)</f>
        <v>0</v>
      </c>
      <c r="M576" s="34">
        <f>YEAR(HistoricalStockProgress[[#This Row],[Date]])</f>
        <v>2019</v>
      </c>
      <c r="N576" s="34">
        <f>MONTH(HistoricalStockProgress[[#This Row],[Date]])</f>
        <v>3</v>
      </c>
    </row>
    <row r="577" spans="2:14">
      <c r="B577" s="15">
        <v>43585</v>
      </c>
      <c r="C577" s="34" t="s">
        <v>12</v>
      </c>
      <c r="D577" s="34" t="e" vm="1">
        <f>_xlfn.XLOOKUP(HistoricalStockProgress[[#This Row],[Company Ticker]],CompanyDetailsList[Company Ticker],CompanyDetailsList[Official Name],,0)</f>
        <v>#VALUE!</v>
      </c>
      <c r="E5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v>
      </c>
      <c r="F5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343.13091015538021</v>
      </c>
      <c r="G577" s="17">
        <f>IFERROR(HistoricalStockProgress[[#This Row],[Cost of Shares]]/HistoricalStockProgress[[#This Row],[No. of Shares]],0)</f>
        <v>57.188485025896703</v>
      </c>
      <c r="H577" s="16" vm="1109">
        <v>70.010000000000005</v>
      </c>
      <c r="I577" s="16">
        <f>IF(HistoricalStockProgress[[#This Row],[No. of Shares]]&lt;&gt;0,HistoricalStockProgress[[#This Row],[Price of Shares]]*HistoricalStockProgress[[#This Row],[No. of Shares]],0)</f>
        <v>420.06000000000006</v>
      </c>
      <c r="J577" s="16">
        <f>IF(HistoricalStockProgress[[#This Row],[No. of Shares]]&lt;&gt;0,HistoricalStockProgress[[#This Row],[Price of Shares]]-HistoricalStockProgress[[#This Row],[Cost of Shares]]/HistoricalStockProgress[[#This Row],[No. of Shares]],0)</f>
        <v>12.821514974103302</v>
      </c>
      <c r="K577" s="17">
        <f>IF(HistoricalStockProgress[[#This Row],[Total Price of Shares]]&lt;&gt;0,HistoricalStockProgress[[#This Row],[Total Price of Shares]]-HistoricalStockProgress[[#This Row],[Cost of Shares]],0)</f>
        <v>76.929089844619853</v>
      </c>
      <c r="L577" s="34" t="b" cm="1">
        <f t="array" ref="L577">IFERROR(IF(HistoricalStockProgress[[#This Row],[Price of Shares]]="",_xlfn.STOCKHISTORY(HistoricalStockProgress[[#This Row],[Full Company Name]],HistoricalStockProgress[[#This Row],[Date]],,2,0,1)),0)</f>
        <v>0</v>
      </c>
      <c r="M577" s="34">
        <f>YEAR(HistoricalStockProgress[[#This Row],[Date]])</f>
        <v>2019</v>
      </c>
      <c r="N577" s="34">
        <f>MONTH(HistoricalStockProgress[[#This Row],[Date]])</f>
        <v>4</v>
      </c>
    </row>
    <row r="578" spans="2:14">
      <c r="B578" s="15">
        <v>43585</v>
      </c>
      <c r="C578" s="34" t="s">
        <v>19</v>
      </c>
      <c r="D578" s="34" t="e" vm="3">
        <f>_xlfn.XLOOKUP(HistoricalStockProgress[[#This Row],[Company Ticker]],CompanyDetailsList[Company Ticker],CompanyDetailsList[Official Name],,0)</f>
        <v>#VALUE!</v>
      </c>
      <c r="E5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32</v>
      </c>
      <c r="F5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5052.8411971764708</v>
      </c>
      <c r="G578" s="17">
        <f>IFERROR(HistoricalStockProgress[[#This Row],[Cost of Shares]]/HistoricalStockProgress[[#This Row],[No. of Shares]],0)</f>
        <v>157.90128741176471</v>
      </c>
      <c r="H578" s="16" vm="1110">
        <v>159.72999999999999</v>
      </c>
      <c r="I578" s="16">
        <f>IF(HistoricalStockProgress[[#This Row],[No. of Shares]]&lt;&gt;0,HistoricalStockProgress[[#This Row],[Price of Shares]]*HistoricalStockProgress[[#This Row],[No. of Shares]],0)</f>
        <v>5111.3599999999997</v>
      </c>
      <c r="J578" s="16">
        <f>IF(HistoricalStockProgress[[#This Row],[No. of Shares]]&lt;&gt;0,HistoricalStockProgress[[#This Row],[Price of Shares]]-HistoricalStockProgress[[#This Row],[Cost of Shares]]/HistoricalStockProgress[[#This Row],[No. of Shares]],0)</f>
        <v>1.8287125882352768</v>
      </c>
      <c r="K578" s="17">
        <f>IF(HistoricalStockProgress[[#This Row],[Total Price of Shares]]&lt;&gt;0,HistoricalStockProgress[[#This Row],[Total Price of Shares]]-HistoricalStockProgress[[#This Row],[Cost of Shares]],0)</f>
        <v>58.518802823528858</v>
      </c>
      <c r="L578" s="34" t="b" cm="1">
        <f t="array" ref="L578">IFERROR(IF(HistoricalStockProgress[[#This Row],[Price of Shares]]="",_xlfn.STOCKHISTORY(HistoricalStockProgress[[#This Row],[Full Company Name]],HistoricalStockProgress[[#This Row],[Date]],,2,0,1)),0)</f>
        <v>0</v>
      </c>
      <c r="M578" s="34">
        <f>YEAR(HistoricalStockProgress[[#This Row],[Date]])</f>
        <v>2019</v>
      </c>
      <c r="N578" s="34">
        <f>MONTH(HistoricalStockProgress[[#This Row],[Date]])</f>
        <v>4</v>
      </c>
    </row>
    <row r="579" spans="2:14">
      <c r="B579" s="15">
        <v>43585</v>
      </c>
      <c r="C579" s="34" t="s">
        <v>23</v>
      </c>
      <c r="D579" s="34" t="e" vm="4">
        <f>_xlfn.XLOOKUP(HistoricalStockProgress[[#This Row],[Company Ticker]],CompanyDetailsList[Company Ticker],CompanyDetailsList[Official Name],,0)</f>
        <v>#VALUE!</v>
      </c>
      <c r="E5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5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579" s="17">
        <f>IFERROR(HistoricalStockProgress[[#This Row],[Cost of Shares]]/HistoricalStockProgress[[#This Row],[No. of Shares]],0)</f>
        <v>45.768494888570878</v>
      </c>
      <c r="H579" s="16" vm="1111">
        <v>49.06</v>
      </c>
      <c r="I579" s="16">
        <f>IF(HistoricalStockProgress[[#This Row],[No. of Shares]]&lt;&gt;0,HistoricalStockProgress[[#This Row],[Price of Shares]]*HistoricalStockProgress[[#This Row],[No. of Shares]],0)</f>
        <v>2845.48</v>
      </c>
      <c r="J579" s="16">
        <f>IF(HistoricalStockProgress[[#This Row],[No. of Shares]]&lt;&gt;0,HistoricalStockProgress[[#This Row],[Price of Shares]]-HistoricalStockProgress[[#This Row],[Cost of Shares]]/HistoricalStockProgress[[#This Row],[No. of Shares]],0)</f>
        <v>3.2915051114291245</v>
      </c>
      <c r="K579" s="17">
        <f>IF(HistoricalStockProgress[[#This Row],[Total Price of Shares]]&lt;&gt;0,HistoricalStockProgress[[#This Row],[Total Price of Shares]]-HistoricalStockProgress[[#This Row],[Cost of Shares]],0)</f>
        <v>190.90729646288901</v>
      </c>
      <c r="L579" s="34" t="b" cm="1">
        <f t="array" ref="L579">IFERROR(IF(HistoricalStockProgress[[#This Row],[Price of Shares]]="",_xlfn.STOCKHISTORY(HistoricalStockProgress[[#This Row],[Full Company Name]],HistoricalStockProgress[[#This Row],[Date]],,2,0,1)),0)</f>
        <v>0</v>
      </c>
      <c r="M579" s="34">
        <f>YEAR(HistoricalStockProgress[[#This Row],[Date]])</f>
        <v>2019</v>
      </c>
      <c r="N579" s="34">
        <f>MONTH(HistoricalStockProgress[[#This Row],[Date]])</f>
        <v>4</v>
      </c>
    </row>
    <row r="580" spans="2:14">
      <c r="B580" s="15">
        <v>43585</v>
      </c>
      <c r="C580" s="34" t="s">
        <v>84</v>
      </c>
      <c r="D580" s="34" t="e" vm="7">
        <f>_xlfn.XLOOKUP(HistoricalStockProgress[[#This Row],[Company Ticker]],CompanyDetailsList[Company Ticker],CompanyDetailsList[Official Name],,0)</f>
        <v>#VALUE!</v>
      </c>
      <c r="E5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5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580" s="17">
        <f>IFERROR(HistoricalStockProgress[[#This Row],[Cost of Shares]]/HistoricalStockProgress[[#This Row],[No. of Shares]],0)</f>
        <v>104.18087504950869</v>
      </c>
      <c r="H580" s="16" vm="1112">
        <v>141.19999999999999</v>
      </c>
      <c r="I580" s="16">
        <f>IF(HistoricalStockProgress[[#This Row],[No. of Shares]]&lt;&gt;0,HistoricalStockProgress[[#This Row],[Price of Shares]]*HistoricalStockProgress[[#This Row],[No. of Shares]],0)</f>
        <v>7201.2</v>
      </c>
      <c r="J580" s="16">
        <f>IF(HistoricalStockProgress[[#This Row],[No. of Shares]]&lt;&gt;0,HistoricalStockProgress[[#This Row],[Price of Shares]]-HistoricalStockProgress[[#This Row],[Cost of Shares]]/HistoricalStockProgress[[#This Row],[No. of Shares]],0)</f>
        <v>37.019124950491303</v>
      </c>
      <c r="K580" s="17">
        <f>IF(HistoricalStockProgress[[#This Row],[Total Price of Shares]]&lt;&gt;0,HistoricalStockProgress[[#This Row],[Total Price of Shares]]-HistoricalStockProgress[[#This Row],[Cost of Shares]],0)</f>
        <v>1887.9753724750572</v>
      </c>
      <c r="L580" s="34" t="b" cm="1">
        <f t="array" ref="L580">IFERROR(IF(HistoricalStockProgress[[#This Row],[Price of Shares]]="",_xlfn.STOCKHISTORY(HistoricalStockProgress[[#This Row],[Full Company Name]],HistoricalStockProgress[[#This Row],[Date]],,2,0,1)),0)</f>
        <v>0</v>
      </c>
      <c r="M580" s="34">
        <f>YEAR(HistoricalStockProgress[[#This Row],[Date]])</f>
        <v>2019</v>
      </c>
      <c r="N580" s="34">
        <f>MONTH(HistoricalStockProgress[[#This Row],[Date]])</f>
        <v>4</v>
      </c>
    </row>
    <row r="581" spans="2:14">
      <c r="B581" s="15">
        <v>43585</v>
      </c>
      <c r="C581" s="34" t="s">
        <v>86</v>
      </c>
      <c r="D581" s="34" t="e" vm="8">
        <f>_xlfn.XLOOKUP(HistoricalStockProgress[[#This Row],[Company Ticker]],CompanyDetailsList[Company Ticker],CompanyDetailsList[Official Name],,0)</f>
        <v>#VALUE!</v>
      </c>
      <c r="E5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5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581" s="17">
        <f>IFERROR(HistoricalStockProgress[[#This Row],[Cost of Shares]]/HistoricalStockProgress[[#This Row],[No. of Shares]],0)</f>
        <v>85.876031764920896</v>
      </c>
      <c r="H581" s="16" vm="1113">
        <v>79.39</v>
      </c>
      <c r="I581" s="16">
        <f>IF(HistoricalStockProgress[[#This Row],[No. of Shares]]&lt;&gt;0,HistoricalStockProgress[[#This Row],[Price of Shares]]*HistoricalStockProgress[[#This Row],[No. of Shares]],0)</f>
        <v>4207.67</v>
      </c>
      <c r="J581" s="16">
        <f>IF(HistoricalStockProgress[[#This Row],[No. of Shares]]&lt;&gt;0,HistoricalStockProgress[[#This Row],[Price of Shares]]-HistoricalStockProgress[[#This Row],[Cost of Shares]]/HistoricalStockProgress[[#This Row],[No. of Shares]],0)</f>
        <v>-6.4860317649208952</v>
      </c>
      <c r="K581" s="17">
        <f>IF(HistoricalStockProgress[[#This Row],[Total Price of Shares]]&lt;&gt;0,HistoricalStockProgress[[#This Row],[Total Price of Shares]]-HistoricalStockProgress[[#This Row],[Cost of Shares]],0)</f>
        <v>-343.7596835408076</v>
      </c>
      <c r="L581" s="34" t="b" cm="1">
        <f t="array" ref="L581">IFERROR(IF(HistoricalStockProgress[[#This Row],[Price of Shares]]="",_xlfn.STOCKHISTORY(HistoricalStockProgress[[#This Row],[Full Company Name]],HistoricalStockProgress[[#This Row],[Date]],,2,0,1)),0)</f>
        <v>0</v>
      </c>
      <c r="M581" s="34">
        <f>YEAR(HistoricalStockProgress[[#This Row],[Date]])</f>
        <v>2019</v>
      </c>
      <c r="N581" s="34">
        <f>MONTH(HistoricalStockProgress[[#This Row],[Date]])</f>
        <v>4</v>
      </c>
    </row>
    <row r="582" spans="2:14">
      <c r="B582" s="15">
        <v>43585</v>
      </c>
      <c r="C582" s="34" t="s">
        <v>22</v>
      </c>
      <c r="D582" s="34" t="e" vm="10">
        <f>_xlfn.XLOOKUP(HistoricalStockProgress[[#This Row],[Company Ticker]],CompanyDetailsList[Company Ticker],CompanyDetailsList[Official Name],,0)</f>
        <v>#VALUE!</v>
      </c>
      <c r="E5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5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582" s="17">
        <f>IFERROR(HistoricalStockProgress[[#This Row],[Cost of Shares]]/HistoricalStockProgress[[#This Row],[No. of Shares]],0)</f>
        <v>83.61275075159574</v>
      </c>
      <c r="H582" s="16" vm="1114">
        <v>139.41999999999999</v>
      </c>
      <c r="I582" s="16">
        <f>IF(HistoricalStockProgress[[#This Row],[No. of Shares]]&lt;&gt;0,HistoricalStockProgress[[#This Row],[Price of Shares]]*HistoricalStockProgress[[#This Row],[No. of Shares]],0)</f>
        <v>8504.619999999999</v>
      </c>
      <c r="J582" s="16">
        <f>IF(HistoricalStockProgress[[#This Row],[No. of Shares]]&lt;&gt;0,HistoricalStockProgress[[#This Row],[Price of Shares]]-HistoricalStockProgress[[#This Row],[Cost of Shares]]/HistoricalStockProgress[[#This Row],[No. of Shares]],0)</f>
        <v>55.807249248404247</v>
      </c>
      <c r="K582" s="17">
        <f>IF(HistoricalStockProgress[[#This Row],[Total Price of Shares]]&lt;&gt;0,HistoricalStockProgress[[#This Row],[Total Price of Shares]]-HistoricalStockProgress[[#This Row],[Cost of Shares]],0)</f>
        <v>3404.2422041526588</v>
      </c>
      <c r="L582" s="34" t="b" cm="1">
        <f t="array" ref="L582">IFERROR(IF(HistoricalStockProgress[[#This Row],[Price of Shares]]="",_xlfn.STOCKHISTORY(HistoricalStockProgress[[#This Row],[Full Company Name]],HistoricalStockProgress[[#This Row],[Date]],,2,0,1)),0)</f>
        <v>0</v>
      </c>
      <c r="M582" s="34">
        <f>YEAR(HistoricalStockProgress[[#This Row],[Date]])</f>
        <v>2019</v>
      </c>
      <c r="N582" s="34">
        <f>MONTH(HistoricalStockProgress[[#This Row],[Date]])</f>
        <v>4</v>
      </c>
    </row>
    <row r="583" spans="2:14">
      <c r="B583" s="15">
        <v>43585</v>
      </c>
      <c r="C583" s="34" t="s">
        <v>91</v>
      </c>
      <c r="D583" s="34" t="e" vm="11">
        <f>_xlfn.XLOOKUP(HistoricalStockProgress[[#This Row],[Company Ticker]],CompanyDetailsList[Company Ticker],CompanyDetailsList[Official Name],,0)</f>
        <v>#VALUE!</v>
      </c>
      <c r="E5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5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7639.549422502746</v>
      </c>
      <c r="G583" s="17">
        <f>IFERROR(HistoricalStockProgress[[#This Row],[Cost of Shares]]/HistoricalStockProgress[[#This Row],[No. of Shares]],0)</f>
        <v>72.071220967007037</v>
      </c>
      <c r="H583" s="16" vm="1115">
        <v>130.6</v>
      </c>
      <c r="I583" s="16">
        <f>IF(HistoricalStockProgress[[#This Row],[No. of Shares]]&lt;&gt;0,HistoricalStockProgress[[#This Row],[Price of Shares]]*HistoricalStockProgress[[#This Row],[No. of Shares]],0)</f>
        <v>13843.599999999999</v>
      </c>
      <c r="J583" s="16">
        <f>IF(HistoricalStockProgress[[#This Row],[No. of Shares]]&lt;&gt;0,HistoricalStockProgress[[#This Row],[Price of Shares]]-HistoricalStockProgress[[#This Row],[Cost of Shares]]/HistoricalStockProgress[[#This Row],[No. of Shares]],0)</f>
        <v>58.528779032992958</v>
      </c>
      <c r="K583" s="17">
        <f>IF(HistoricalStockProgress[[#This Row],[Total Price of Shares]]&lt;&gt;0,HistoricalStockProgress[[#This Row],[Total Price of Shares]]-HistoricalStockProgress[[#This Row],[Cost of Shares]],0)</f>
        <v>6204.0505774972526</v>
      </c>
      <c r="L583" s="34" t="b" cm="1">
        <f t="array" ref="L583">IFERROR(IF(HistoricalStockProgress[[#This Row],[Price of Shares]]="",_xlfn.STOCKHISTORY(HistoricalStockProgress[[#This Row],[Full Company Name]],HistoricalStockProgress[[#This Row],[Date]],,2,0,1)),0)</f>
        <v>0</v>
      </c>
      <c r="M583" s="34">
        <f>YEAR(HistoricalStockProgress[[#This Row],[Date]])</f>
        <v>2019</v>
      </c>
      <c r="N583" s="34">
        <f>MONTH(HistoricalStockProgress[[#This Row],[Date]])</f>
        <v>4</v>
      </c>
    </row>
    <row r="584" spans="2:14">
      <c r="B584" s="15">
        <v>43585</v>
      </c>
      <c r="C584" s="34" t="s">
        <v>16</v>
      </c>
      <c r="D584" s="34" t="e" vm="12">
        <f>_xlfn.XLOOKUP(HistoricalStockProgress[[#This Row],[Company Ticker]],CompanyDetailsList[Company Ticker],CompanyDetailsList[Official Name],,0)</f>
        <v>#VALUE!</v>
      </c>
      <c r="E5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5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584" s="17">
        <f>IFERROR(HistoricalStockProgress[[#This Row],[Cost of Shares]]/HistoricalStockProgress[[#This Row],[No. of Shares]],0)</f>
        <v>82.900834685216523</v>
      </c>
      <c r="H584" s="16" vm="1116">
        <v>80.28</v>
      </c>
      <c r="I584" s="16">
        <f>IF(HistoricalStockProgress[[#This Row],[No. of Shares]]&lt;&gt;0,HistoricalStockProgress[[#This Row],[Price of Shares]]*HistoricalStockProgress[[#This Row],[No. of Shares]],0)</f>
        <v>11640.6</v>
      </c>
      <c r="J584" s="16">
        <f>IF(HistoricalStockProgress[[#This Row],[No. of Shares]]&lt;&gt;0,HistoricalStockProgress[[#This Row],[Price of Shares]]-HistoricalStockProgress[[#This Row],[Cost of Shares]]/HistoricalStockProgress[[#This Row],[No. of Shares]],0)</f>
        <v>-2.6208346852165221</v>
      </c>
      <c r="K584" s="17">
        <f>IF(HistoricalStockProgress[[#This Row],[Total Price of Shares]]&lt;&gt;0,HistoricalStockProgress[[#This Row],[Total Price of Shares]]-HistoricalStockProgress[[#This Row],[Cost of Shares]],0)</f>
        <v>-380.02102935639596</v>
      </c>
      <c r="L584" s="34" t="b" cm="1">
        <f t="array" ref="L584">IFERROR(IF(HistoricalStockProgress[[#This Row],[Price of Shares]]="",_xlfn.STOCKHISTORY(HistoricalStockProgress[[#This Row],[Full Company Name]],HistoricalStockProgress[[#This Row],[Date]],,2,0,1)),0)</f>
        <v>0</v>
      </c>
      <c r="M584" s="34">
        <f>YEAR(HistoricalStockProgress[[#This Row],[Date]])</f>
        <v>2019</v>
      </c>
      <c r="N584" s="34">
        <f>MONTH(HistoricalStockProgress[[#This Row],[Date]])</f>
        <v>4</v>
      </c>
    </row>
    <row r="585" spans="2:14">
      <c r="B585" s="15">
        <v>43585</v>
      </c>
      <c r="C585" s="34" t="s">
        <v>95</v>
      </c>
      <c r="D585" s="34" t="e" vm="13">
        <f>_xlfn.XLOOKUP(HistoricalStockProgress[[#This Row],[Company Ticker]],CompanyDetailsList[Company Ticker],CompanyDetailsList[Official Name],,0)</f>
        <v>#VALUE!</v>
      </c>
      <c r="E5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5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585" s="17">
        <f>IFERROR(HistoricalStockProgress[[#This Row],[Cost of Shares]]/HistoricalStockProgress[[#This Row],[No. of Shares]],0)</f>
        <v>143.29758396474452</v>
      </c>
      <c r="H585" s="16" vm="1117">
        <v>203.7</v>
      </c>
      <c r="I585" s="16">
        <f>IF(HistoricalStockProgress[[#This Row],[No. of Shares]]&lt;&gt;0,HistoricalStockProgress[[#This Row],[Price of Shares]]*HistoricalStockProgress[[#This Row],[No. of Shares]],0)</f>
        <v>8759.1</v>
      </c>
      <c r="J585" s="16">
        <f>IF(HistoricalStockProgress[[#This Row],[No. of Shares]]&lt;&gt;0,HistoricalStockProgress[[#This Row],[Price of Shares]]-HistoricalStockProgress[[#This Row],[Cost of Shares]]/HistoricalStockProgress[[#This Row],[No. of Shares]],0)</f>
        <v>60.40241603525547</v>
      </c>
      <c r="K585" s="17">
        <f>IF(HistoricalStockProgress[[#This Row],[Total Price of Shares]]&lt;&gt;0,HistoricalStockProgress[[#This Row],[Total Price of Shares]]-HistoricalStockProgress[[#This Row],[Cost of Shares]],0)</f>
        <v>2597.3038895159862</v>
      </c>
      <c r="L585" s="34" t="b" cm="1">
        <f t="array" ref="L585">IFERROR(IF(HistoricalStockProgress[[#This Row],[Price of Shares]]="",_xlfn.STOCKHISTORY(HistoricalStockProgress[[#This Row],[Full Company Name]],HistoricalStockProgress[[#This Row],[Date]],,2,0,1)),0)</f>
        <v>0</v>
      </c>
      <c r="M585" s="34">
        <f>YEAR(HistoricalStockProgress[[#This Row],[Date]])</f>
        <v>2019</v>
      </c>
      <c r="N585" s="34">
        <f>MONTH(HistoricalStockProgress[[#This Row],[Date]])</f>
        <v>4</v>
      </c>
    </row>
    <row r="586" spans="2:14">
      <c r="B586" s="15">
        <v>43585</v>
      </c>
      <c r="C586" s="34" t="s">
        <v>17</v>
      </c>
      <c r="D586" s="34" t="e" vm="14">
        <f>_xlfn.XLOOKUP(HistoricalStockProgress[[#This Row],[Company Ticker]],CompanyDetailsList[Company Ticker],CompanyDetailsList[Official Name],,0)</f>
        <v>#VALUE!</v>
      </c>
      <c r="E5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5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9484.3704371074709</v>
      </c>
      <c r="G586" s="17">
        <f>IFERROR(HistoricalStockProgress[[#This Row],[Cost of Shares]]/HistoricalStockProgress[[#This Row],[No. of Shares]],0)</f>
        <v>150.54556249376938</v>
      </c>
      <c r="H586" s="16" vm="1118">
        <v>140.27000000000001</v>
      </c>
      <c r="I586" s="16">
        <f>IF(HistoricalStockProgress[[#This Row],[No. of Shares]]&lt;&gt;0,HistoricalStockProgress[[#This Row],[Price of Shares]]*HistoricalStockProgress[[#This Row],[No. of Shares]],0)</f>
        <v>8837.01</v>
      </c>
      <c r="J586" s="16">
        <f>IF(HistoricalStockProgress[[#This Row],[No. of Shares]]&lt;&gt;0,HistoricalStockProgress[[#This Row],[Price of Shares]]-HistoricalStockProgress[[#This Row],[Cost of Shares]]/HistoricalStockProgress[[#This Row],[No. of Shares]],0)</f>
        <v>-10.275562493769371</v>
      </c>
      <c r="K586" s="17">
        <f>IF(HistoricalStockProgress[[#This Row],[Total Price of Shares]]&lt;&gt;0,HistoricalStockProgress[[#This Row],[Total Price of Shares]]-HistoricalStockProgress[[#This Row],[Cost of Shares]],0)</f>
        <v>-647.36043710747072</v>
      </c>
      <c r="L586" s="34" t="b" cm="1">
        <f t="array" ref="L586">IFERROR(IF(HistoricalStockProgress[[#This Row],[Price of Shares]]="",_xlfn.STOCKHISTORY(HistoricalStockProgress[[#This Row],[Full Company Name]],HistoricalStockProgress[[#This Row],[Date]],,2,0,1)),0)</f>
        <v>0</v>
      </c>
      <c r="M586" s="34">
        <f>YEAR(HistoricalStockProgress[[#This Row],[Date]])</f>
        <v>2019</v>
      </c>
      <c r="N586" s="34">
        <f>MONTH(HistoricalStockProgress[[#This Row],[Date]])</f>
        <v>4</v>
      </c>
    </row>
    <row r="587" spans="2:14">
      <c r="B587" s="15">
        <v>43585</v>
      </c>
      <c r="C587" s="34" t="s">
        <v>98</v>
      </c>
      <c r="D587" s="34" t="e" vm="15">
        <f>_xlfn.XLOOKUP(HistoricalStockProgress[[#This Row],[Company Ticker]],CompanyDetailsList[Company Ticker],CompanyDetailsList[Official Name],,0)</f>
        <v>#VALUE!</v>
      </c>
      <c r="E5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5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587" s="17">
        <f>IFERROR(HistoricalStockProgress[[#This Row],[Cost of Shares]]/HistoricalStockProgress[[#This Row],[No. of Shares]],0)</f>
        <v>39.627242008882604</v>
      </c>
      <c r="H587" s="16" vm="1119">
        <v>48.61</v>
      </c>
      <c r="I587" s="16">
        <f>IF(HistoricalStockProgress[[#This Row],[No. of Shares]]&lt;&gt;0,HistoricalStockProgress[[#This Row],[Price of Shares]]*HistoricalStockProgress[[#This Row],[No. of Shares]],0)</f>
        <v>3548.5299999999997</v>
      </c>
      <c r="J587" s="16">
        <f>IF(HistoricalStockProgress[[#This Row],[No. of Shares]]&lt;&gt;0,HistoricalStockProgress[[#This Row],[Price of Shares]]-HistoricalStockProgress[[#This Row],[Cost of Shares]]/HistoricalStockProgress[[#This Row],[No. of Shares]],0)</f>
        <v>8.9827579911173956</v>
      </c>
      <c r="K587" s="17">
        <f>IF(HistoricalStockProgress[[#This Row],[Total Price of Shares]]&lt;&gt;0,HistoricalStockProgress[[#This Row],[Total Price of Shares]]-HistoricalStockProgress[[#This Row],[Cost of Shares]],0)</f>
        <v>655.74133335156966</v>
      </c>
      <c r="L587" s="34" t="b" cm="1">
        <f t="array" ref="L587">IFERROR(IF(HistoricalStockProgress[[#This Row],[Price of Shares]]="",_xlfn.STOCKHISTORY(HistoricalStockProgress[[#This Row],[Full Company Name]],HistoricalStockProgress[[#This Row],[Date]],,2,0,1)),0)</f>
        <v>0</v>
      </c>
      <c r="M587" s="34">
        <f>YEAR(HistoricalStockProgress[[#This Row],[Date]])</f>
        <v>2019</v>
      </c>
      <c r="N587" s="34">
        <f>MONTH(HistoricalStockProgress[[#This Row],[Date]])</f>
        <v>4</v>
      </c>
    </row>
    <row r="588" spans="2:14">
      <c r="B588" s="15">
        <v>43585</v>
      </c>
      <c r="C588" s="34" t="s">
        <v>100</v>
      </c>
      <c r="D588" s="34" t="e" vm="16">
        <f>_xlfn.XLOOKUP(HistoricalStockProgress[[#This Row],[Company Ticker]],CompanyDetailsList[Company Ticker],CompanyDetailsList[Official Name],,0)</f>
        <v>#VALUE!</v>
      </c>
      <c r="E5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74</v>
      </c>
      <c r="F5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6400.3550613930956</v>
      </c>
      <c r="G588" s="17">
        <f>IFERROR(HistoricalStockProgress[[#This Row],[Cost of Shares]]/HistoricalStockProgress[[#This Row],[No. of Shares]],0)</f>
        <v>86.491284613420206</v>
      </c>
      <c r="H588" s="16" vm="1120">
        <v>91.12</v>
      </c>
      <c r="I588" s="16">
        <f>IF(HistoricalStockProgress[[#This Row],[No. of Shares]]&lt;&gt;0,HistoricalStockProgress[[#This Row],[Price of Shares]]*HistoricalStockProgress[[#This Row],[No. of Shares]],0)</f>
        <v>6742.88</v>
      </c>
      <c r="J588" s="16">
        <f>IF(HistoricalStockProgress[[#This Row],[No. of Shares]]&lt;&gt;0,HistoricalStockProgress[[#This Row],[Price of Shares]]-HistoricalStockProgress[[#This Row],[Cost of Shares]]/HistoricalStockProgress[[#This Row],[No. of Shares]],0)</f>
        <v>4.628715386579799</v>
      </c>
      <c r="K588" s="17">
        <f>IF(HistoricalStockProgress[[#This Row],[Total Price of Shares]]&lt;&gt;0,HistoricalStockProgress[[#This Row],[Total Price of Shares]]-HistoricalStockProgress[[#This Row],[Cost of Shares]],0)</f>
        <v>342.52493860690447</v>
      </c>
      <c r="L588" s="34" t="b" cm="1">
        <f t="array" ref="L588">IFERROR(IF(HistoricalStockProgress[[#This Row],[Price of Shares]]="",_xlfn.STOCKHISTORY(HistoricalStockProgress[[#This Row],[Full Company Name]],HistoricalStockProgress[[#This Row],[Date]],,2,0,1)),0)</f>
        <v>0</v>
      </c>
      <c r="M588" s="34">
        <f>YEAR(HistoricalStockProgress[[#This Row],[Date]])</f>
        <v>2019</v>
      </c>
      <c r="N588" s="34">
        <f>MONTH(HistoricalStockProgress[[#This Row],[Date]])</f>
        <v>4</v>
      </c>
    </row>
    <row r="589" spans="2:14">
      <c r="B589" s="15">
        <v>43585</v>
      </c>
      <c r="C589" s="34" t="s">
        <v>15</v>
      </c>
      <c r="D589" s="34" t="e" vm="17">
        <f>_xlfn.XLOOKUP(HistoricalStockProgress[[#This Row],[Company Ticker]],CompanyDetailsList[Company Ticker],CompanyDetailsList[Official Name],,0)</f>
        <v>#VALUE!</v>
      </c>
      <c r="E5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5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589" s="17">
        <f>IFERROR(HistoricalStockProgress[[#This Row],[Cost of Shares]]/HistoricalStockProgress[[#This Row],[No. of Shares]],0)</f>
        <v>26.081956457072195</v>
      </c>
      <c r="H589" s="16" vm="1121">
        <v>23.380400000000002</v>
      </c>
      <c r="I589" s="16">
        <f>IF(HistoricalStockProgress[[#This Row],[No. of Shares]]&lt;&gt;0,HistoricalStockProgress[[#This Row],[Price of Shares]]*HistoricalStockProgress[[#This Row],[No. of Shares]],0)</f>
        <v>2899.1696000000002</v>
      </c>
      <c r="J589" s="16">
        <f>IF(HistoricalStockProgress[[#This Row],[No. of Shares]]&lt;&gt;0,HistoricalStockProgress[[#This Row],[Price of Shares]]-HistoricalStockProgress[[#This Row],[Cost of Shares]]/HistoricalStockProgress[[#This Row],[No. of Shares]],0)</f>
        <v>-2.7015564570721935</v>
      </c>
      <c r="K589" s="17">
        <f>IF(HistoricalStockProgress[[#This Row],[Total Price of Shares]]&lt;&gt;0,HistoricalStockProgress[[#This Row],[Total Price of Shares]]-HistoricalStockProgress[[#This Row],[Cost of Shares]],0)</f>
        <v>-334.99300067695185</v>
      </c>
      <c r="L589" s="34" t="b" cm="1">
        <f t="array" ref="L589">IFERROR(IF(HistoricalStockProgress[[#This Row],[Price of Shares]]="",_xlfn.STOCKHISTORY(HistoricalStockProgress[[#This Row],[Full Company Name]],HistoricalStockProgress[[#This Row],[Date]],,2,0,1)),0)</f>
        <v>0</v>
      </c>
      <c r="M589" s="34">
        <f>YEAR(HistoricalStockProgress[[#This Row],[Date]])</f>
        <v>2019</v>
      </c>
      <c r="N589" s="34">
        <f>MONTH(HistoricalStockProgress[[#This Row],[Date]])</f>
        <v>4</v>
      </c>
    </row>
    <row r="590" spans="2:14">
      <c r="B590" s="15">
        <v>43585</v>
      </c>
      <c r="C590" s="34" t="s">
        <v>13</v>
      </c>
      <c r="D590" s="34" t="e" vm="18">
        <f>_xlfn.XLOOKUP(HistoricalStockProgress[[#This Row],[Company Ticker]],CompanyDetailsList[Company Ticker],CompanyDetailsList[Official Name],,0)</f>
        <v>#VALUE!</v>
      </c>
      <c r="E5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5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784.5869919662573</v>
      </c>
      <c r="G590" s="17">
        <f>IFERROR(HistoricalStockProgress[[#This Row],[Cost of Shares]]/HistoricalStockProgress[[#This Row],[No. of Shares]],0)</f>
        <v>31.383479678650293</v>
      </c>
      <c r="H590" s="16" vm="1122">
        <v>38.496200000000002</v>
      </c>
      <c r="I590" s="16">
        <f>IF(HistoricalStockProgress[[#This Row],[No. of Shares]]&lt;&gt;0,HistoricalStockProgress[[#This Row],[Price of Shares]]*HistoricalStockProgress[[#This Row],[No. of Shares]],0)</f>
        <v>962.40500000000009</v>
      </c>
      <c r="J590" s="16">
        <f>IF(HistoricalStockProgress[[#This Row],[No. of Shares]]&lt;&gt;0,HistoricalStockProgress[[#This Row],[Price of Shares]]-HistoricalStockProgress[[#This Row],[Cost of Shares]]/HistoricalStockProgress[[#This Row],[No. of Shares]],0)</f>
        <v>7.112720321349709</v>
      </c>
      <c r="K590" s="17">
        <f>IF(HistoricalStockProgress[[#This Row],[Total Price of Shares]]&lt;&gt;0,HistoricalStockProgress[[#This Row],[Total Price of Shares]]-HistoricalStockProgress[[#This Row],[Cost of Shares]],0)</f>
        <v>177.81800803374279</v>
      </c>
      <c r="L590" s="34" t="b" cm="1">
        <f t="array" ref="L590">IFERROR(IF(HistoricalStockProgress[[#This Row],[Price of Shares]]="",_xlfn.STOCKHISTORY(HistoricalStockProgress[[#This Row],[Full Company Name]],HistoricalStockProgress[[#This Row],[Date]],,2,0,1)),0)</f>
        <v>0</v>
      </c>
      <c r="M590" s="34">
        <f>YEAR(HistoricalStockProgress[[#This Row],[Date]])</f>
        <v>2019</v>
      </c>
      <c r="N590" s="34">
        <f>MONTH(HistoricalStockProgress[[#This Row],[Date]])</f>
        <v>4</v>
      </c>
    </row>
    <row r="591" spans="2:14">
      <c r="B591" s="15">
        <v>43585</v>
      </c>
      <c r="C591" s="34" t="s">
        <v>20</v>
      </c>
      <c r="D591" s="34" t="e" vm="19">
        <f>_xlfn.XLOOKUP(HistoricalStockProgress[[#This Row],[Company Ticker]],CompanyDetailsList[Company Ticker],CompanyDetailsList[Official Name],,0)</f>
        <v>#VALUE!</v>
      </c>
      <c r="E5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5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591" s="17">
        <f>IFERROR(HistoricalStockProgress[[#This Row],[Cost of Shares]]/HistoricalStockProgress[[#This Row],[No. of Shares]],0)</f>
        <v>93.912242833589502</v>
      </c>
      <c r="H591" s="16" vm="1123">
        <v>116.05</v>
      </c>
      <c r="I591" s="16">
        <f>IF(HistoricalStockProgress[[#This Row],[No. of Shares]]&lt;&gt;0,HistoricalStockProgress[[#This Row],[Price of Shares]]*HistoricalStockProgress[[#This Row],[No. of Shares]],0)</f>
        <v>9051.9</v>
      </c>
      <c r="J591" s="16">
        <f>IF(HistoricalStockProgress[[#This Row],[No. of Shares]]&lt;&gt;0,HistoricalStockProgress[[#This Row],[Price of Shares]]-HistoricalStockProgress[[#This Row],[Cost of Shares]]/HistoricalStockProgress[[#This Row],[No. of Shares]],0)</f>
        <v>22.137757166410495</v>
      </c>
      <c r="K591" s="17">
        <f>IF(HistoricalStockProgress[[#This Row],[Total Price of Shares]]&lt;&gt;0,HistoricalStockProgress[[#This Row],[Total Price of Shares]]-HistoricalStockProgress[[#This Row],[Cost of Shares]],0)</f>
        <v>1726.7450589800183</v>
      </c>
      <c r="L591" s="34" t="b" cm="1">
        <f t="array" ref="L591">IFERROR(IF(HistoricalStockProgress[[#This Row],[Price of Shares]]="",_xlfn.STOCKHISTORY(HistoricalStockProgress[[#This Row],[Full Company Name]],HistoricalStockProgress[[#This Row],[Date]],,2,0,1)),0)</f>
        <v>0</v>
      </c>
      <c r="M591" s="34">
        <f>YEAR(HistoricalStockProgress[[#This Row],[Date]])</f>
        <v>2019</v>
      </c>
      <c r="N591" s="34">
        <f>MONTH(HistoricalStockProgress[[#This Row],[Date]])</f>
        <v>4</v>
      </c>
    </row>
    <row r="592" spans="2:14">
      <c r="B592" s="15">
        <v>43585</v>
      </c>
      <c r="C592" s="34" t="s">
        <v>106</v>
      </c>
      <c r="D592" s="34" t="e" vm="20">
        <f>_xlfn.XLOOKUP(HistoricalStockProgress[[#This Row],[Company Ticker]],CompanyDetailsList[Company Ticker],CompanyDetailsList[Official Name],,0)</f>
        <v>#VALUE!</v>
      </c>
      <c r="E5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52</v>
      </c>
      <c r="F5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5315.8302476196659</v>
      </c>
      <c r="G592" s="17">
        <f>IFERROR(HistoricalStockProgress[[#This Row],[Cost of Shares]]/HistoricalStockProgress[[#This Row],[No. of Shares]],0)</f>
        <v>102.22750476191665</v>
      </c>
      <c r="H592" s="16" vm="1124">
        <v>117.5</v>
      </c>
      <c r="I592" s="16">
        <f>IF(HistoricalStockProgress[[#This Row],[No. of Shares]]&lt;&gt;0,HistoricalStockProgress[[#This Row],[Price of Shares]]*HistoricalStockProgress[[#This Row],[No. of Shares]],0)</f>
        <v>6110</v>
      </c>
      <c r="J592" s="16">
        <f>IF(HistoricalStockProgress[[#This Row],[No. of Shares]]&lt;&gt;0,HistoricalStockProgress[[#This Row],[Price of Shares]]-HistoricalStockProgress[[#This Row],[Cost of Shares]]/HistoricalStockProgress[[#This Row],[No. of Shares]],0)</f>
        <v>15.272495238083351</v>
      </c>
      <c r="K592" s="17">
        <f>IF(HistoricalStockProgress[[#This Row],[Total Price of Shares]]&lt;&gt;0,HistoricalStockProgress[[#This Row],[Total Price of Shares]]-HistoricalStockProgress[[#This Row],[Cost of Shares]],0)</f>
        <v>794.1697523803341</v>
      </c>
      <c r="L592" s="34" t="b" cm="1">
        <f t="array" ref="L592">IFERROR(IF(HistoricalStockProgress[[#This Row],[Price of Shares]]="",_xlfn.STOCKHISTORY(HistoricalStockProgress[[#This Row],[Full Company Name]],HistoricalStockProgress[[#This Row],[Date]],,2,0,1)),0)</f>
        <v>0</v>
      </c>
      <c r="M592" s="34">
        <f>YEAR(HistoricalStockProgress[[#This Row],[Date]])</f>
        <v>2019</v>
      </c>
      <c r="N592" s="34">
        <f>MONTH(HistoricalStockProgress[[#This Row],[Date]])</f>
        <v>4</v>
      </c>
    </row>
    <row r="593" spans="2:14">
      <c r="B593" s="15">
        <v>43616</v>
      </c>
      <c r="C593" s="34" t="s">
        <v>12</v>
      </c>
      <c r="D593" s="34" t="e" vm="1">
        <f>_xlfn.XLOOKUP(HistoricalStockProgress[[#This Row],[Company Ticker]],CompanyDetailsList[Company Ticker],CompanyDetailsList[Official Name],,0)</f>
        <v>#VALUE!</v>
      </c>
      <c r="E5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5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1953.8799010350301</v>
      </c>
      <c r="G593" s="17">
        <f>IFERROR(HistoricalStockProgress[[#This Row],[Cost of Shares]]/HistoricalStockProgress[[#This Row],[No. of Shares]],0)</f>
        <v>67.375169001207937</v>
      </c>
      <c r="H593" s="16" vm="1125">
        <v>70.08</v>
      </c>
      <c r="I593" s="16">
        <f>IF(HistoricalStockProgress[[#This Row],[No. of Shares]]&lt;&gt;0,HistoricalStockProgress[[#This Row],[Price of Shares]]*HistoricalStockProgress[[#This Row],[No. of Shares]],0)</f>
        <v>2032.32</v>
      </c>
      <c r="J593" s="16">
        <f>IF(HistoricalStockProgress[[#This Row],[No. of Shares]]&lt;&gt;0,HistoricalStockProgress[[#This Row],[Price of Shares]]-HistoricalStockProgress[[#This Row],[Cost of Shares]]/HistoricalStockProgress[[#This Row],[No. of Shares]],0)</f>
        <v>2.7048309987920618</v>
      </c>
      <c r="K593" s="17">
        <f>IF(HistoricalStockProgress[[#This Row],[Total Price of Shares]]&lt;&gt;0,HistoricalStockProgress[[#This Row],[Total Price of Shares]]-HistoricalStockProgress[[#This Row],[Cost of Shares]],0)</f>
        <v>78.44009896496982</v>
      </c>
      <c r="L593" s="34" t="b" cm="1">
        <f t="array" ref="L593">IFERROR(IF(HistoricalStockProgress[[#This Row],[Price of Shares]]="",_xlfn.STOCKHISTORY(HistoricalStockProgress[[#This Row],[Full Company Name]],HistoricalStockProgress[[#This Row],[Date]],,2,0,1)),0)</f>
        <v>0</v>
      </c>
      <c r="M593" s="34">
        <f>YEAR(HistoricalStockProgress[[#This Row],[Date]])</f>
        <v>2019</v>
      </c>
      <c r="N593" s="34">
        <f>MONTH(HistoricalStockProgress[[#This Row],[Date]])</f>
        <v>5</v>
      </c>
    </row>
    <row r="594" spans="2:14">
      <c r="B594" s="15">
        <v>43616</v>
      </c>
      <c r="C594" s="34" t="s">
        <v>19</v>
      </c>
      <c r="D594" s="34" t="e" vm="3">
        <f>_xlfn.XLOOKUP(HistoricalStockProgress[[#This Row],[Company Ticker]],CompanyDetailsList[Company Ticker],CompanyDetailsList[Official Name],,0)</f>
        <v>#VALUE!</v>
      </c>
      <c r="E5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32</v>
      </c>
      <c r="F5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5052.8411971764708</v>
      </c>
      <c r="G594" s="17">
        <f>IFERROR(HistoricalStockProgress[[#This Row],[Cost of Shares]]/HistoricalStockProgress[[#This Row],[No. of Shares]],0)</f>
        <v>157.90128741176471</v>
      </c>
      <c r="H594" s="16" vm="1126">
        <v>148.81</v>
      </c>
      <c r="I594" s="16">
        <f>IF(HistoricalStockProgress[[#This Row],[No. of Shares]]&lt;&gt;0,HistoricalStockProgress[[#This Row],[Price of Shares]]*HistoricalStockProgress[[#This Row],[No. of Shares]],0)</f>
        <v>4761.92</v>
      </c>
      <c r="J594" s="16">
        <f>IF(HistoricalStockProgress[[#This Row],[No. of Shares]]&lt;&gt;0,HistoricalStockProgress[[#This Row],[Price of Shares]]-HistoricalStockProgress[[#This Row],[Cost of Shares]]/HistoricalStockProgress[[#This Row],[No. of Shares]],0)</f>
        <v>-9.0912874117647107</v>
      </c>
      <c r="K594" s="17">
        <f>IF(HistoricalStockProgress[[#This Row],[Total Price of Shares]]&lt;&gt;0,HistoricalStockProgress[[#This Row],[Total Price of Shares]]-HistoricalStockProgress[[#This Row],[Cost of Shares]],0)</f>
        <v>-290.92119717647074</v>
      </c>
      <c r="L594" s="34" t="b" cm="1">
        <f t="array" ref="L594">IFERROR(IF(HistoricalStockProgress[[#This Row],[Price of Shares]]="",_xlfn.STOCKHISTORY(HistoricalStockProgress[[#This Row],[Full Company Name]],HistoricalStockProgress[[#This Row],[Date]],,2,0,1)),0)</f>
        <v>0</v>
      </c>
      <c r="M594" s="34">
        <f>YEAR(HistoricalStockProgress[[#This Row],[Date]])</f>
        <v>2019</v>
      </c>
      <c r="N594" s="34">
        <f>MONTH(HistoricalStockProgress[[#This Row],[Date]])</f>
        <v>5</v>
      </c>
    </row>
    <row r="595" spans="2:14">
      <c r="B595" s="15">
        <v>43616</v>
      </c>
      <c r="C595" s="34" t="s">
        <v>23</v>
      </c>
      <c r="D595" s="34" t="e" vm="4">
        <f>_xlfn.XLOOKUP(HistoricalStockProgress[[#This Row],[Company Ticker]],CompanyDetailsList[Company Ticker],CompanyDetailsList[Official Name],,0)</f>
        <v>#VALUE!</v>
      </c>
      <c r="E5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5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595" s="17">
        <f>IFERROR(HistoricalStockProgress[[#This Row],[Cost of Shares]]/HistoricalStockProgress[[#This Row],[No. of Shares]],0)</f>
        <v>45.768494888570878</v>
      </c>
      <c r="H595" s="16" vm="1127">
        <v>49.13</v>
      </c>
      <c r="I595" s="16">
        <f>IF(HistoricalStockProgress[[#This Row],[No. of Shares]]&lt;&gt;0,HistoricalStockProgress[[#This Row],[Price of Shares]]*HistoricalStockProgress[[#This Row],[No. of Shares]],0)</f>
        <v>2849.54</v>
      </c>
      <c r="J595" s="16">
        <f>IF(HistoricalStockProgress[[#This Row],[No. of Shares]]&lt;&gt;0,HistoricalStockProgress[[#This Row],[Price of Shares]]-HistoricalStockProgress[[#This Row],[Cost of Shares]]/HistoricalStockProgress[[#This Row],[No. of Shares]],0)</f>
        <v>3.3615051114291248</v>
      </c>
      <c r="K595" s="17">
        <f>IF(HistoricalStockProgress[[#This Row],[Total Price of Shares]]&lt;&gt;0,HistoricalStockProgress[[#This Row],[Total Price of Shares]]-HistoricalStockProgress[[#This Row],[Cost of Shares]],0)</f>
        <v>194.96729646288895</v>
      </c>
      <c r="L595" s="34" t="b" cm="1">
        <f t="array" ref="L595">IFERROR(IF(HistoricalStockProgress[[#This Row],[Price of Shares]]="",_xlfn.STOCKHISTORY(HistoricalStockProgress[[#This Row],[Full Company Name]],HistoricalStockProgress[[#This Row],[Date]],,2,0,1)),0)</f>
        <v>0</v>
      </c>
      <c r="M595" s="34">
        <f>YEAR(HistoricalStockProgress[[#This Row],[Date]])</f>
        <v>2019</v>
      </c>
      <c r="N595" s="34">
        <f>MONTH(HistoricalStockProgress[[#This Row],[Date]])</f>
        <v>5</v>
      </c>
    </row>
    <row r="596" spans="2:14">
      <c r="B596" s="15">
        <v>43616</v>
      </c>
      <c r="C596" s="34" t="s">
        <v>84</v>
      </c>
      <c r="D596" s="34" t="e" vm="7">
        <f>_xlfn.XLOOKUP(HistoricalStockProgress[[#This Row],[Company Ticker]],CompanyDetailsList[Company Ticker],CompanyDetailsList[Official Name],,0)</f>
        <v>#VALUE!</v>
      </c>
      <c r="E5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5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596" s="17">
        <f>IFERROR(HistoricalStockProgress[[#This Row],[Cost of Shares]]/HistoricalStockProgress[[#This Row],[No. of Shares]],0)</f>
        <v>104.18087504950869</v>
      </c>
      <c r="H596" s="16" vm="1128">
        <v>131.15</v>
      </c>
      <c r="I596" s="16">
        <f>IF(HistoricalStockProgress[[#This Row],[No. of Shares]]&lt;&gt;0,HistoricalStockProgress[[#This Row],[Price of Shares]]*HistoricalStockProgress[[#This Row],[No. of Shares]],0)</f>
        <v>6688.6500000000005</v>
      </c>
      <c r="J596" s="16">
        <f>IF(HistoricalStockProgress[[#This Row],[No. of Shares]]&lt;&gt;0,HistoricalStockProgress[[#This Row],[Price of Shares]]-HistoricalStockProgress[[#This Row],[Cost of Shares]]/HistoricalStockProgress[[#This Row],[No. of Shares]],0)</f>
        <v>26.96912495049132</v>
      </c>
      <c r="K596" s="17">
        <f>IF(HistoricalStockProgress[[#This Row],[Total Price of Shares]]&lt;&gt;0,HistoricalStockProgress[[#This Row],[Total Price of Shares]]-HistoricalStockProgress[[#This Row],[Cost of Shares]],0)</f>
        <v>1375.4253724750579</v>
      </c>
      <c r="L596" s="34" t="b" cm="1">
        <f t="array" ref="L596">IFERROR(IF(HistoricalStockProgress[[#This Row],[Price of Shares]]="",_xlfn.STOCKHISTORY(HistoricalStockProgress[[#This Row],[Full Company Name]],HistoricalStockProgress[[#This Row],[Date]],,2,0,1)),0)</f>
        <v>0</v>
      </c>
      <c r="M596" s="34">
        <f>YEAR(HistoricalStockProgress[[#This Row],[Date]])</f>
        <v>2019</v>
      </c>
      <c r="N596" s="34">
        <f>MONTH(HistoricalStockProgress[[#This Row],[Date]])</f>
        <v>5</v>
      </c>
    </row>
    <row r="597" spans="2:14">
      <c r="B597" s="15">
        <v>43616</v>
      </c>
      <c r="C597" s="34" t="s">
        <v>86</v>
      </c>
      <c r="D597" s="34" t="e" vm="8">
        <f>_xlfn.XLOOKUP(HistoricalStockProgress[[#This Row],[Company Ticker]],CompanyDetailsList[Company Ticker],CompanyDetailsList[Official Name],,0)</f>
        <v>#VALUE!</v>
      </c>
      <c r="E5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5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597" s="17">
        <f>IFERROR(HistoricalStockProgress[[#This Row],[Cost of Shares]]/HistoricalStockProgress[[#This Row],[No. of Shares]],0)</f>
        <v>85.876031764920896</v>
      </c>
      <c r="H597" s="16" vm="1129">
        <v>76.709999999999994</v>
      </c>
      <c r="I597" s="16">
        <f>IF(HistoricalStockProgress[[#This Row],[No. of Shares]]&lt;&gt;0,HistoricalStockProgress[[#This Row],[Price of Shares]]*HistoricalStockProgress[[#This Row],[No. of Shares]],0)</f>
        <v>4065.6299999999997</v>
      </c>
      <c r="J597" s="16">
        <f>IF(HistoricalStockProgress[[#This Row],[No. of Shares]]&lt;&gt;0,HistoricalStockProgress[[#This Row],[Price of Shares]]-HistoricalStockProgress[[#This Row],[Cost of Shares]]/HistoricalStockProgress[[#This Row],[No. of Shares]],0)</f>
        <v>-9.166031764920902</v>
      </c>
      <c r="K597" s="17">
        <f>IF(HistoricalStockProgress[[#This Row],[Total Price of Shares]]&lt;&gt;0,HistoricalStockProgress[[#This Row],[Total Price of Shares]]-HistoricalStockProgress[[#This Row],[Cost of Shares]],0)</f>
        <v>-485.79968354080802</v>
      </c>
      <c r="L597" s="34" t="b" cm="1">
        <f t="array" ref="L597">IFERROR(IF(HistoricalStockProgress[[#This Row],[Price of Shares]]="",_xlfn.STOCKHISTORY(HistoricalStockProgress[[#This Row],[Full Company Name]],HistoricalStockProgress[[#This Row],[Date]],,2,0,1)),0)</f>
        <v>0</v>
      </c>
      <c r="M597" s="34">
        <f>YEAR(HistoricalStockProgress[[#This Row],[Date]])</f>
        <v>2019</v>
      </c>
      <c r="N597" s="34">
        <f>MONTH(HistoricalStockProgress[[#This Row],[Date]])</f>
        <v>5</v>
      </c>
    </row>
    <row r="598" spans="2:14">
      <c r="B598" s="15">
        <v>43616</v>
      </c>
      <c r="C598" s="34" t="s">
        <v>22</v>
      </c>
      <c r="D598" s="34" t="e" vm="10">
        <f>_xlfn.XLOOKUP(HistoricalStockProgress[[#This Row],[Company Ticker]],CompanyDetailsList[Company Ticker],CompanyDetailsList[Official Name],,0)</f>
        <v>#VALUE!</v>
      </c>
      <c r="E5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61</v>
      </c>
      <c r="F5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5100.3777958473402</v>
      </c>
      <c r="G598" s="17">
        <f>IFERROR(HistoricalStockProgress[[#This Row],[Cost of Shares]]/HistoricalStockProgress[[#This Row],[No. of Shares]],0)</f>
        <v>83.61275075159574</v>
      </c>
      <c r="H598" s="16" vm="1130">
        <v>119.81</v>
      </c>
      <c r="I598" s="16">
        <f>IF(HistoricalStockProgress[[#This Row],[No. of Shares]]&lt;&gt;0,HistoricalStockProgress[[#This Row],[Price of Shares]]*HistoricalStockProgress[[#This Row],[No. of Shares]],0)</f>
        <v>7308.41</v>
      </c>
      <c r="J598" s="16">
        <f>IF(HistoricalStockProgress[[#This Row],[No. of Shares]]&lt;&gt;0,HistoricalStockProgress[[#This Row],[Price of Shares]]-HistoricalStockProgress[[#This Row],[Cost of Shares]]/HistoricalStockProgress[[#This Row],[No. of Shares]],0)</f>
        <v>36.197249248404262</v>
      </c>
      <c r="K598" s="17">
        <f>IF(HistoricalStockProgress[[#This Row],[Total Price of Shares]]&lt;&gt;0,HistoricalStockProgress[[#This Row],[Total Price of Shares]]-HistoricalStockProgress[[#This Row],[Cost of Shares]],0)</f>
        <v>2208.0322041526597</v>
      </c>
      <c r="L598" s="34" t="b" cm="1">
        <f t="array" ref="L598">IFERROR(IF(HistoricalStockProgress[[#This Row],[Price of Shares]]="",_xlfn.STOCKHISTORY(HistoricalStockProgress[[#This Row],[Full Company Name]],HistoricalStockProgress[[#This Row],[Date]],,2,0,1)),0)</f>
        <v>0</v>
      </c>
      <c r="M598" s="34">
        <f>YEAR(HistoricalStockProgress[[#This Row],[Date]])</f>
        <v>2019</v>
      </c>
      <c r="N598" s="34">
        <f>MONTH(HistoricalStockProgress[[#This Row],[Date]])</f>
        <v>5</v>
      </c>
    </row>
    <row r="599" spans="2:14">
      <c r="B599" s="15">
        <v>43616</v>
      </c>
      <c r="C599" s="34" t="s">
        <v>91</v>
      </c>
      <c r="D599" s="34" t="e" vm="11">
        <f>_xlfn.XLOOKUP(HistoricalStockProgress[[#This Row],[Company Ticker]],CompanyDetailsList[Company Ticker],CompanyDetailsList[Official Name],,0)</f>
        <v>#VALUE!</v>
      </c>
      <c r="E5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5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7639.549422502746</v>
      </c>
      <c r="G599" s="17">
        <f>IFERROR(HistoricalStockProgress[[#This Row],[Cost of Shares]]/HistoricalStockProgress[[#This Row],[No. of Shares]],0)</f>
        <v>72.071220967007037</v>
      </c>
      <c r="H599" s="16" vm="1131">
        <v>123.68</v>
      </c>
      <c r="I599" s="16">
        <f>IF(HistoricalStockProgress[[#This Row],[No. of Shares]]&lt;&gt;0,HistoricalStockProgress[[#This Row],[Price of Shares]]*HistoricalStockProgress[[#This Row],[No. of Shares]],0)</f>
        <v>13110.08</v>
      </c>
      <c r="J599" s="16">
        <f>IF(HistoricalStockProgress[[#This Row],[No. of Shares]]&lt;&gt;0,HistoricalStockProgress[[#This Row],[Price of Shares]]-HistoricalStockProgress[[#This Row],[Cost of Shares]]/HistoricalStockProgress[[#This Row],[No. of Shares]],0)</f>
        <v>51.60877903299297</v>
      </c>
      <c r="K599" s="17">
        <f>IF(HistoricalStockProgress[[#This Row],[Total Price of Shares]]&lt;&gt;0,HistoricalStockProgress[[#This Row],[Total Price of Shares]]-HistoricalStockProgress[[#This Row],[Cost of Shares]],0)</f>
        <v>5470.5305774972539</v>
      </c>
      <c r="L599" s="34" t="b" cm="1">
        <f t="array" ref="L599">IFERROR(IF(HistoricalStockProgress[[#This Row],[Price of Shares]]="",_xlfn.STOCKHISTORY(HistoricalStockProgress[[#This Row],[Full Company Name]],HistoricalStockProgress[[#This Row],[Date]],,2,0,1)),0)</f>
        <v>0</v>
      </c>
      <c r="M599" s="34">
        <f>YEAR(HistoricalStockProgress[[#This Row],[Date]])</f>
        <v>2019</v>
      </c>
      <c r="N599" s="34">
        <f>MONTH(HistoricalStockProgress[[#This Row],[Date]])</f>
        <v>5</v>
      </c>
    </row>
    <row r="600" spans="2:14">
      <c r="B600" s="15">
        <v>43616</v>
      </c>
      <c r="C600" s="34" t="s">
        <v>16</v>
      </c>
      <c r="D600" s="34" t="e" vm="12">
        <f>_xlfn.XLOOKUP(HistoricalStockProgress[[#This Row],[Company Ticker]],CompanyDetailsList[Company Ticker],CompanyDetailsList[Official Name],,0)</f>
        <v>#VALUE!</v>
      </c>
      <c r="E6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6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600" s="17">
        <f>IFERROR(HistoricalStockProgress[[#This Row],[Cost of Shares]]/HistoricalStockProgress[[#This Row],[No. of Shares]],0)</f>
        <v>82.900834685216523</v>
      </c>
      <c r="H600" s="16" vm="1132">
        <v>70.77</v>
      </c>
      <c r="I600" s="16">
        <f>IF(HistoricalStockProgress[[#This Row],[No. of Shares]]&lt;&gt;0,HistoricalStockProgress[[#This Row],[Price of Shares]]*HistoricalStockProgress[[#This Row],[No. of Shares]],0)</f>
        <v>10261.65</v>
      </c>
      <c r="J600" s="16">
        <f>IF(HistoricalStockProgress[[#This Row],[No. of Shares]]&lt;&gt;0,HistoricalStockProgress[[#This Row],[Price of Shares]]-HistoricalStockProgress[[#This Row],[Cost of Shares]]/HistoricalStockProgress[[#This Row],[No. of Shares]],0)</f>
        <v>-12.130834685216527</v>
      </c>
      <c r="K600" s="17">
        <f>IF(HistoricalStockProgress[[#This Row],[Total Price of Shares]]&lt;&gt;0,HistoricalStockProgress[[#This Row],[Total Price of Shares]]-HistoricalStockProgress[[#This Row],[Cost of Shares]],0)</f>
        <v>-1758.9710293563967</v>
      </c>
      <c r="L600" s="34" t="b" cm="1">
        <f t="array" ref="L600">IFERROR(IF(HistoricalStockProgress[[#This Row],[Price of Shares]]="",_xlfn.STOCKHISTORY(HistoricalStockProgress[[#This Row],[Full Company Name]],HistoricalStockProgress[[#This Row],[Date]],,2,0,1)),0)</f>
        <v>0</v>
      </c>
      <c r="M600" s="34">
        <f>YEAR(HistoricalStockProgress[[#This Row],[Date]])</f>
        <v>2019</v>
      </c>
      <c r="N600" s="34">
        <f>MONTH(HistoricalStockProgress[[#This Row],[Date]])</f>
        <v>5</v>
      </c>
    </row>
    <row r="601" spans="2:14">
      <c r="B601" s="15">
        <v>43616</v>
      </c>
      <c r="C601" s="34" t="s">
        <v>95</v>
      </c>
      <c r="D601" s="34" t="e" vm="13">
        <f>_xlfn.XLOOKUP(HistoricalStockProgress[[#This Row],[Company Ticker]],CompanyDetailsList[Company Ticker],CompanyDetailsList[Official Name],,0)</f>
        <v>#VALUE!</v>
      </c>
      <c r="E6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6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601" s="17">
        <f>IFERROR(HistoricalStockProgress[[#This Row],[Cost of Shares]]/HistoricalStockProgress[[#This Row],[No. of Shares]],0)</f>
        <v>143.29758396474452</v>
      </c>
      <c r="H601" s="16" vm="1133">
        <v>189.85</v>
      </c>
      <c r="I601" s="16">
        <f>IF(HistoricalStockProgress[[#This Row],[No. of Shares]]&lt;&gt;0,HistoricalStockProgress[[#This Row],[Price of Shares]]*HistoricalStockProgress[[#This Row],[No. of Shares]],0)</f>
        <v>8163.55</v>
      </c>
      <c r="J601" s="16">
        <f>IF(HistoricalStockProgress[[#This Row],[No. of Shares]]&lt;&gt;0,HistoricalStockProgress[[#This Row],[Price of Shares]]-HistoricalStockProgress[[#This Row],[Cost of Shares]]/HistoricalStockProgress[[#This Row],[No. of Shares]],0)</f>
        <v>46.552416035255476</v>
      </c>
      <c r="K601" s="17">
        <f>IF(HistoricalStockProgress[[#This Row],[Total Price of Shares]]&lt;&gt;0,HistoricalStockProgress[[#This Row],[Total Price of Shares]]-HistoricalStockProgress[[#This Row],[Cost of Shares]],0)</f>
        <v>2001.753889515986</v>
      </c>
      <c r="L601" s="34" t="b" cm="1">
        <f t="array" ref="L601">IFERROR(IF(HistoricalStockProgress[[#This Row],[Price of Shares]]="",_xlfn.STOCKHISTORY(HistoricalStockProgress[[#This Row],[Full Company Name]],HistoricalStockProgress[[#This Row],[Date]],,2,0,1)),0)</f>
        <v>0</v>
      </c>
      <c r="M601" s="34">
        <f>YEAR(HistoricalStockProgress[[#This Row],[Date]])</f>
        <v>2019</v>
      </c>
      <c r="N601" s="34">
        <f>MONTH(HistoricalStockProgress[[#This Row],[Date]])</f>
        <v>5</v>
      </c>
    </row>
    <row r="602" spans="2:14">
      <c r="B602" s="15">
        <v>43616</v>
      </c>
      <c r="C602" s="34" t="s">
        <v>17</v>
      </c>
      <c r="D602" s="34" t="e" vm="14">
        <f>_xlfn.XLOOKUP(HistoricalStockProgress[[#This Row],[Company Ticker]],CompanyDetailsList[Company Ticker],CompanyDetailsList[Official Name],,0)</f>
        <v>#VALUE!</v>
      </c>
      <c r="E6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6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9484.3704371074709</v>
      </c>
      <c r="G602" s="17">
        <f>IFERROR(HistoricalStockProgress[[#This Row],[Cost of Shares]]/HistoricalStockProgress[[#This Row],[No. of Shares]],0)</f>
        <v>150.54556249376938</v>
      </c>
      <c r="H602" s="16" vm="1134">
        <v>126.99</v>
      </c>
      <c r="I602" s="16">
        <f>IF(HistoricalStockProgress[[#This Row],[No. of Shares]]&lt;&gt;0,HistoricalStockProgress[[#This Row],[Price of Shares]]*HistoricalStockProgress[[#This Row],[No. of Shares]],0)</f>
        <v>8000.37</v>
      </c>
      <c r="J602" s="16">
        <f>IF(HistoricalStockProgress[[#This Row],[No. of Shares]]&lt;&gt;0,HistoricalStockProgress[[#This Row],[Price of Shares]]-HistoricalStockProgress[[#This Row],[Cost of Shares]]/HistoricalStockProgress[[#This Row],[No. of Shares]],0)</f>
        <v>-23.555562493769386</v>
      </c>
      <c r="K602" s="17">
        <f>IF(HistoricalStockProgress[[#This Row],[Total Price of Shares]]&lt;&gt;0,HistoricalStockProgress[[#This Row],[Total Price of Shares]]-HistoricalStockProgress[[#This Row],[Cost of Shares]],0)</f>
        <v>-1484.000437107471</v>
      </c>
      <c r="L602" s="34" t="b" cm="1">
        <f t="array" ref="L602">IFERROR(IF(HistoricalStockProgress[[#This Row],[Price of Shares]]="",_xlfn.STOCKHISTORY(HistoricalStockProgress[[#This Row],[Full Company Name]],HistoricalStockProgress[[#This Row],[Date]],,2,0,1)),0)</f>
        <v>0</v>
      </c>
      <c r="M602" s="34">
        <f>YEAR(HistoricalStockProgress[[#This Row],[Date]])</f>
        <v>2019</v>
      </c>
      <c r="N602" s="34">
        <f>MONTH(HistoricalStockProgress[[#This Row],[Date]])</f>
        <v>5</v>
      </c>
    </row>
    <row r="603" spans="2:14">
      <c r="B603" s="15">
        <v>43616</v>
      </c>
      <c r="C603" s="34" t="s">
        <v>98</v>
      </c>
      <c r="D603" s="34" t="e" vm="15">
        <f>_xlfn.XLOOKUP(HistoricalStockProgress[[#This Row],[Company Ticker]],CompanyDetailsList[Company Ticker],CompanyDetailsList[Official Name],,0)</f>
        <v>#VALUE!</v>
      </c>
      <c r="E6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6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603" s="17">
        <f>IFERROR(HistoricalStockProgress[[#This Row],[Cost of Shares]]/HistoricalStockProgress[[#This Row],[No. of Shares]],0)</f>
        <v>39.627242008882604</v>
      </c>
      <c r="H603" s="16" vm="1135">
        <v>49.552500000000002</v>
      </c>
      <c r="I603" s="16">
        <f>IF(HistoricalStockProgress[[#This Row],[No. of Shares]]&lt;&gt;0,HistoricalStockProgress[[#This Row],[Price of Shares]]*HistoricalStockProgress[[#This Row],[No. of Shares]],0)</f>
        <v>3617.3325</v>
      </c>
      <c r="J603" s="16">
        <f>IF(HistoricalStockProgress[[#This Row],[No. of Shares]]&lt;&gt;0,HistoricalStockProgress[[#This Row],[Price of Shares]]-HistoricalStockProgress[[#This Row],[Cost of Shares]]/HistoricalStockProgress[[#This Row],[No. of Shares]],0)</f>
        <v>9.9252579911173981</v>
      </c>
      <c r="K603" s="17">
        <f>IF(HistoricalStockProgress[[#This Row],[Total Price of Shares]]&lt;&gt;0,HistoricalStockProgress[[#This Row],[Total Price of Shares]]-HistoricalStockProgress[[#This Row],[Cost of Shares]],0)</f>
        <v>724.5438333515699</v>
      </c>
      <c r="L603" s="34" t="b" cm="1">
        <f t="array" ref="L603">IFERROR(IF(HistoricalStockProgress[[#This Row],[Price of Shares]]="",_xlfn.STOCKHISTORY(HistoricalStockProgress[[#This Row],[Full Company Name]],HistoricalStockProgress[[#This Row],[Date]],,2,0,1)),0)</f>
        <v>0</v>
      </c>
      <c r="M603" s="34">
        <f>YEAR(HistoricalStockProgress[[#This Row],[Date]])</f>
        <v>2019</v>
      </c>
      <c r="N603" s="34">
        <f>MONTH(HistoricalStockProgress[[#This Row],[Date]])</f>
        <v>5</v>
      </c>
    </row>
    <row r="604" spans="2:14">
      <c r="B604" s="15">
        <v>43616</v>
      </c>
      <c r="C604" s="34" t="s">
        <v>100</v>
      </c>
      <c r="D604" s="34" t="e" vm="16">
        <f>_xlfn.XLOOKUP(HistoricalStockProgress[[#This Row],[Company Ticker]],CompanyDetailsList[Company Ticker],CompanyDetailsList[Official Name],,0)</f>
        <v>#VALUE!</v>
      </c>
      <c r="E6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74</v>
      </c>
      <c r="F6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6400.3550613930956</v>
      </c>
      <c r="G604" s="17">
        <f>IFERROR(HistoricalStockProgress[[#This Row],[Cost of Shares]]/HistoricalStockProgress[[#This Row],[No. of Shares]],0)</f>
        <v>86.491284613420206</v>
      </c>
      <c r="H604" s="16" vm="1136">
        <v>85.61</v>
      </c>
      <c r="I604" s="16">
        <f>IF(HistoricalStockProgress[[#This Row],[No. of Shares]]&lt;&gt;0,HistoricalStockProgress[[#This Row],[Price of Shares]]*HistoricalStockProgress[[#This Row],[No. of Shares]],0)</f>
        <v>6335.14</v>
      </c>
      <c r="J604" s="16">
        <f>IF(HistoricalStockProgress[[#This Row],[No. of Shares]]&lt;&gt;0,HistoricalStockProgress[[#This Row],[Price of Shares]]-HistoricalStockProgress[[#This Row],[Cost of Shares]]/HistoricalStockProgress[[#This Row],[No. of Shares]],0)</f>
        <v>-0.88128461342020614</v>
      </c>
      <c r="K604" s="17">
        <f>IF(HistoricalStockProgress[[#This Row],[Total Price of Shares]]&lt;&gt;0,HistoricalStockProgress[[#This Row],[Total Price of Shares]]-HistoricalStockProgress[[#This Row],[Cost of Shares]],0)</f>
        <v>-65.215061393095311</v>
      </c>
      <c r="L604" s="34" t="b" cm="1">
        <f t="array" ref="L604">IFERROR(IF(HistoricalStockProgress[[#This Row],[Price of Shares]]="",_xlfn.STOCKHISTORY(HistoricalStockProgress[[#This Row],[Full Company Name]],HistoricalStockProgress[[#This Row],[Date]],,2,0,1)),0)</f>
        <v>0</v>
      </c>
      <c r="M604" s="34">
        <f>YEAR(HistoricalStockProgress[[#This Row],[Date]])</f>
        <v>2019</v>
      </c>
      <c r="N604" s="34">
        <f>MONTH(HistoricalStockProgress[[#This Row],[Date]])</f>
        <v>5</v>
      </c>
    </row>
    <row r="605" spans="2:14">
      <c r="B605" s="15">
        <v>43616</v>
      </c>
      <c r="C605" s="34" t="s">
        <v>15</v>
      </c>
      <c r="D605" s="34" t="e" vm="17">
        <f>_xlfn.XLOOKUP(HistoricalStockProgress[[#This Row],[Company Ticker]],CompanyDetailsList[Company Ticker],CompanyDetailsList[Official Name],,0)</f>
        <v>#VALUE!</v>
      </c>
      <c r="E6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6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605" s="17">
        <f>IFERROR(HistoricalStockProgress[[#This Row],[Cost of Shares]]/HistoricalStockProgress[[#This Row],[No. of Shares]],0)</f>
        <v>26.081956457072195</v>
      </c>
      <c r="H605" s="16" vm="1137">
        <v>23.093399999999999</v>
      </c>
      <c r="I605" s="16">
        <f>IF(HistoricalStockProgress[[#This Row],[No. of Shares]]&lt;&gt;0,HistoricalStockProgress[[#This Row],[Price of Shares]]*HistoricalStockProgress[[#This Row],[No. of Shares]],0)</f>
        <v>2863.5816</v>
      </c>
      <c r="J605" s="16">
        <f>IF(HistoricalStockProgress[[#This Row],[No. of Shares]]&lt;&gt;0,HistoricalStockProgress[[#This Row],[Price of Shares]]-HistoricalStockProgress[[#This Row],[Cost of Shares]]/HistoricalStockProgress[[#This Row],[No. of Shares]],0)</f>
        <v>-2.9885564570721961</v>
      </c>
      <c r="K605" s="17">
        <f>IF(HistoricalStockProgress[[#This Row],[Total Price of Shares]]&lt;&gt;0,HistoricalStockProgress[[#This Row],[Total Price of Shares]]-HistoricalStockProgress[[#This Row],[Cost of Shares]],0)</f>
        <v>-370.58100067695204</v>
      </c>
      <c r="L605" s="34" t="b" cm="1">
        <f t="array" ref="L605">IFERROR(IF(HistoricalStockProgress[[#This Row],[Price of Shares]]="",_xlfn.STOCKHISTORY(HistoricalStockProgress[[#This Row],[Full Company Name]],HistoricalStockProgress[[#This Row],[Date]],,2,0,1)),0)</f>
        <v>0</v>
      </c>
      <c r="M605" s="34">
        <f>YEAR(HistoricalStockProgress[[#This Row],[Date]])</f>
        <v>2019</v>
      </c>
      <c r="N605" s="34">
        <f>MONTH(HistoricalStockProgress[[#This Row],[Date]])</f>
        <v>5</v>
      </c>
    </row>
    <row r="606" spans="2:14">
      <c r="B606" s="15">
        <v>43616</v>
      </c>
      <c r="C606" s="34" t="s">
        <v>13</v>
      </c>
      <c r="D606" s="34" t="e" vm="18">
        <f>_xlfn.XLOOKUP(HistoricalStockProgress[[#This Row],[Company Ticker]],CompanyDetailsList[Company Ticker],CompanyDetailsList[Official Name],,0)</f>
        <v>#VALUE!</v>
      </c>
      <c r="E6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6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606" s="17">
        <f>IFERROR(HistoricalStockProgress[[#This Row],[Cost of Shares]]/HistoricalStockProgress[[#This Row],[No. of Shares]],0)</f>
        <v>35.846938938346874</v>
      </c>
      <c r="H606" s="16" vm="1005">
        <v>39.358899999999998</v>
      </c>
      <c r="I606" s="16">
        <f>IF(HistoricalStockProgress[[#This Row],[No. of Shares]]&lt;&gt;0,HistoricalStockProgress[[#This Row],[Price of Shares]]*HistoricalStockProgress[[#This Row],[No. of Shares]],0)</f>
        <v>2164.7395000000001</v>
      </c>
      <c r="J606" s="16">
        <f>IF(HistoricalStockProgress[[#This Row],[No. of Shares]]&lt;&gt;0,HistoricalStockProgress[[#This Row],[Price of Shares]]-HistoricalStockProgress[[#This Row],[Cost of Shares]]/HistoricalStockProgress[[#This Row],[No. of Shares]],0)</f>
        <v>3.5119610616531247</v>
      </c>
      <c r="K606" s="17">
        <f>IF(HistoricalStockProgress[[#This Row],[Total Price of Shares]]&lt;&gt;0,HistoricalStockProgress[[#This Row],[Total Price of Shares]]-HistoricalStockProgress[[#This Row],[Cost of Shares]],0)</f>
        <v>193.157858390922</v>
      </c>
      <c r="L606" s="34" t="b" cm="1">
        <f t="array" ref="L606">IFERROR(IF(HistoricalStockProgress[[#This Row],[Price of Shares]]="",_xlfn.STOCKHISTORY(HistoricalStockProgress[[#This Row],[Full Company Name]],HistoricalStockProgress[[#This Row],[Date]],,2,0,1)),0)</f>
        <v>0</v>
      </c>
      <c r="M606" s="34">
        <f>YEAR(HistoricalStockProgress[[#This Row],[Date]])</f>
        <v>2019</v>
      </c>
      <c r="N606" s="34">
        <f>MONTH(HistoricalStockProgress[[#This Row],[Date]])</f>
        <v>5</v>
      </c>
    </row>
    <row r="607" spans="2:14">
      <c r="B607" s="15">
        <v>43616</v>
      </c>
      <c r="C607" s="34" t="s">
        <v>20</v>
      </c>
      <c r="D607" s="34" t="e" vm="19">
        <f>_xlfn.XLOOKUP(HistoricalStockProgress[[#This Row],[Company Ticker]],CompanyDetailsList[Company Ticker],CompanyDetailsList[Official Name],,0)</f>
        <v>#VALUE!</v>
      </c>
      <c r="E6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6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607" s="17">
        <f>IFERROR(HistoricalStockProgress[[#This Row],[Cost of Shares]]/HistoricalStockProgress[[#This Row],[No. of Shares]],0)</f>
        <v>93.912242833589502</v>
      </c>
      <c r="H607" s="16" vm="1138">
        <v>105.96</v>
      </c>
      <c r="I607" s="16">
        <f>IF(HistoricalStockProgress[[#This Row],[No. of Shares]]&lt;&gt;0,HistoricalStockProgress[[#This Row],[Price of Shares]]*HistoricalStockProgress[[#This Row],[No. of Shares]],0)</f>
        <v>8264.8799999999992</v>
      </c>
      <c r="J607" s="16">
        <f>IF(HistoricalStockProgress[[#This Row],[No. of Shares]]&lt;&gt;0,HistoricalStockProgress[[#This Row],[Price of Shares]]-HistoricalStockProgress[[#This Row],[Cost of Shares]]/HistoricalStockProgress[[#This Row],[No. of Shares]],0)</f>
        <v>12.047757166410491</v>
      </c>
      <c r="K607" s="17">
        <f>IF(HistoricalStockProgress[[#This Row],[Total Price of Shares]]&lt;&gt;0,HistoricalStockProgress[[#This Row],[Total Price of Shares]]-HistoricalStockProgress[[#This Row],[Cost of Shares]],0)</f>
        <v>939.72505898001782</v>
      </c>
      <c r="L607" s="34" t="b" cm="1">
        <f t="array" ref="L607">IFERROR(IF(HistoricalStockProgress[[#This Row],[Price of Shares]]="",_xlfn.STOCKHISTORY(HistoricalStockProgress[[#This Row],[Full Company Name]],HistoricalStockProgress[[#This Row],[Date]],,2,0,1)),0)</f>
        <v>0</v>
      </c>
      <c r="M607" s="34">
        <f>YEAR(HistoricalStockProgress[[#This Row],[Date]])</f>
        <v>2019</v>
      </c>
      <c r="N607" s="34">
        <f>MONTH(HistoricalStockProgress[[#This Row],[Date]])</f>
        <v>5</v>
      </c>
    </row>
    <row r="608" spans="2:14">
      <c r="B608" s="15">
        <v>43616</v>
      </c>
      <c r="C608" s="34" t="s">
        <v>106</v>
      </c>
      <c r="D608" s="34" t="e" vm="20">
        <f>_xlfn.XLOOKUP(HistoricalStockProgress[[#This Row],[Company Ticker]],CompanyDetailsList[Company Ticker],CompanyDetailsList[Official Name],,0)</f>
        <v>#VALUE!</v>
      </c>
      <c r="E6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52</v>
      </c>
      <c r="F6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5315.8302476196659</v>
      </c>
      <c r="G608" s="17">
        <f>IFERROR(HistoricalStockProgress[[#This Row],[Cost of Shares]]/HistoricalStockProgress[[#This Row],[No. of Shares]],0)</f>
        <v>102.22750476191665</v>
      </c>
      <c r="H608" s="16" vm="1139">
        <v>104.65</v>
      </c>
      <c r="I608" s="16">
        <f>IF(HistoricalStockProgress[[#This Row],[No. of Shares]]&lt;&gt;0,HistoricalStockProgress[[#This Row],[Price of Shares]]*HistoricalStockProgress[[#This Row],[No. of Shares]],0)</f>
        <v>5441.8</v>
      </c>
      <c r="J608" s="16">
        <f>IF(HistoricalStockProgress[[#This Row],[No. of Shares]]&lt;&gt;0,HistoricalStockProgress[[#This Row],[Price of Shares]]-HistoricalStockProgress[[#This Row],[Cost of Shares]]/HistoricalStockProgress[[#This Row],[No. of Shares]],0)</f>
        <v>2.4224952380833571</v>
      </c>
      <c r="K608" s="17">
        <f>IF(HistoricalStockProgress[[#This Row],[Total Price of Shares]]&lt;&gt;0,HistoricalStockProgress[[#This Row],[Total Price of Shares]]-HistoricalStockProgress[[#This Row],[Cost of Shares]],0)</f>
        <v>125.96975238033428</v>
      </c>
      <c r="L608" s="34" t="b" cm="1">
        <f t="array" ref="L608">IFERROR(IF(HistoricalStockProgress[[#This Row],[Price of Shares]]="",_xlfn.STOCKHISTORY(HistoricalStockProgress[[#This Row],[Full Company Name]],HistoricalStockProgress[[#This Row],[Date]],,2,0,1)),0)</f>
        <v>0</v>
      </c>
      <c r="M608" s="34">
        <f>YEAR(HistoricalStockProgress[[#This Row],[Date]])</f>
        <v>2019</v>
      </c>
      <c r="N608" s="34">
        <f>MONTH(HistoricalStockProgress[[#This Row],[Date]])</f>
        <v>5</v>
      </c>
    </row>
    <row r="609" spans="2:14">
      <c r="B609" s="15">
        <v>43646</v>
      </c>
      <c r="C609" s="34" t="s">
        <v>12</v>
      </c>
      <c r="D609" s="34" t="e" vm="1">
        <f>_xlfn.XLOOKUP(HistoricalStockProgress[[#This Row],[Company Ticker]],CompanyDetailsList[Company Ticker],CompanyDetailsList[Official Name],,0)</f>
        <v>#VALUE!</v>
      </c>
      <c r="E6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6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1953.8799010350301</v>
      </c>
      <c r="G609" s="17">
        <f>IFERROR(HistoricalStockProgress[[#This Row],[Cost of Shares]]/HistoricalStockProgress[[#This Row],[No. of Shares]],0)</f>
        <v>67.375169001207937</v>
      </c>
      <c r="H609" s="16" vm="1140">
        <v>68.97</v>
      </c>
      <c r="I609" s="16">
        <f>IF(HistoricalStockProgress[[#This Row],[No. of Shares]]&lt;&gt;0,HistoricalStockProgress[[#This Row],[Price of Shares]]*HistoricalStockProgress[[#This Row],[No. of Shares]],0)</f>
        <v>2000.1299999999999</v>
      </c>
      <c r="J609" s="16">
        <f>IF(HistoricalStockProgress[[#This Row],[No. of Shares]]&lt;&gt;0,HistoricalStockProgress[[#This Row],[Price of Shares]]-HistoricalStockProgress[[#This Row],[Cost of Shares]]/HistoricalStockProgress[[#This Row],[No. of Shares]],0)</f>
        <v>1.5948309987920624</v>
      </c>
      <c r="K609" s="17">
        <f>IF(HistoricalStockProgress[[#This Row],[Total Price of Shares]]&lt;&gt;0,HistoricalStockProgress[[#This Row],[Total Price of Shares]]-HistoricalStockProgress[[#This Row],[Cost of Shares]],0)</f>
        <v>46.250098964969766</v>
      </c>
      <c r="L609" s="34" t="b" cm="1">
        <f t="array" ref="L609">IFERROR(IF(HistoricalStockProgress[[#This Row],[Price of Shares]]="",_xlfn.STOCKHISTORY(HistoricalStockProgress[[#This Row],[Full Company Name]],HistoricalStockProgress[[#This Row],[Date]],,2,0,1)),0)</f>
        <v>0</v>
      </c>
      <c r="M609" s="34">
        <f>YEAR(HistoricalStockProgress[[#This Row],[Date]])</f>
        <v>2019</v>
      </c>
      <c r="N609" s="34">
        <f>MONTH(HistoricalStockProgress[[#This Row],[Date]])</f>
        <v>6</v>
      </c>
    </row>
    <row r="610" spans="2:14">
      <c r="B610" s="15">
        <v>43646</v>
      </c>
      <c r="C610" s="34" t="s">
        <v>19</v>
      </c>
      <c r="D610" s="34" t="e" vm="3">
        <f>_xlfn.XLOOKUP(HistoricalStockProgress[[#This Row],[Company Ticker]],CompanyDetailsList[Company Ticker],CompanyDetailsList[Official Name],,0)</f>
        <v>#VALUE!</v>
      </c>
      <c r="E6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32</v>
      </c>
      <c r="F6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5052.8411971764708</v>
      </c>
      <c r="G610" s="17">
        <f>IFERROR(HistoricalStockProgress[[#This Row],[Cost of Shares]]/HistoricalStockProgress[[#This Row],[No. of Shares]],0)</f>
        <v>157.90128741176471</v>
      </c>
      <c r="H610" s="16" vm="1141">
        <v>153.11000000000001</v>
      </c>
      <c r="I610" s="16">
        <f>IF(HistoricalStockProgress[[#This Row],[No. of Shares]]&lt;&gt;0,HistoricalStockProgress[[#This Row],[Price of Shares]]*HistoricalStockProgress[[#This Row],[No. of Shares]],0)</f>
        <v>4899.5200000000004</v>
      </c>
      <c r="J610" s="16">
        <f>IF(HistoricalStockProgress[[#This Row],[No. of Shares]]&lt;&gt;0,HistoricalStockProgress[[#This Row],[Price of Shares]]-HistoricalStockProgress[[#This Row],[Cost of Shares]]/HistoricalStockProgress[[#This Row],[No. of Shares]],0)</f>
        <v>-4.7912874117646993</v>
      </c>
      <c r="K610" s="17">
        <f>IF(HistoricalStockProgress[[#This Row],[Total Price of Shares]]&lt;&gt;0,HistoricalStockProgress[[#This Row],[Total Price of Shares]]-HistoricalStockProgress[[#This Row],[Cost of Shares]],0)</f>
        <v>-153.32119717647038</v>
      </c>
      <c r="L610" s="34" t="b" cm="1">
        <f t="array" ref="L610">IFERROR(IF(HistoricalStockProgress[[#This Row],[Price of Shares]]="",_xlfn.STOCKHISTORY(HistoricalStockProgress[[#This Row],[Full Company Name]],HistoricalStockProgress[[#This Row],[Date]],,2,0,1)),0)</f>
        <v>0</v>
      </c>
      <c r="M610" s="34">
        <f>YEAR(HistoricalStockProgress[[#This Row],[Date]])</f>
        <v>2019</v>
      </c>
      <c r="N610" s="34">
        <f>MONTH(HistoricalStockProgress[[#This Row],[Date]])</f>
        <v>6</v>
      </c>
    </row>
    <row r="611" spans="2:14">
      <c r="B611" s="15">
        <v>43646</v>
      </c>
      <c r="C611" s="34" t="s">
        <v>23</v>
      </c>
      <c r="D611" s="34" t="e" vm="4">
        <f>_xlfn.XLOOKUP(HistoricalStockProgress[[#This Row],[Company Ticker]],CompanyDetailsList[Company Ticker],CompanyDetailsList[Official Name],,0)</f>
        <v>#VALUE!</v>
      </c>
      <c r="E6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6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611" s="17">
        <f>IFERROR(HistoricalStockProgress[[#This Row],[Cost of Shares]]/HistoricalStockProgress[[#This Row],[No. of Shares]],0)</f>
        <v>45.768494888570878</v>
      </c>
      <c r="H611" s="16" vm="1142">
        <v>50.92</v>
      </c>
      <c r="I611" s="16">
        <f>IF(HistoricalStockProgress[[#This Row],[No. of Shares]]&lt;&gt;0,HistoricalStockProgress[[#This Row],[Price of Shares]]*HistoricalStockProgress[[#This Row],[No. of Shares]],0)</f>
        <v>2953.36</v>
      </c>
      <c r="J611" s="16">
        <f>IF(HistoricalStockProgress[[#This Row],[No. of Shares]]&lt;&gt;0,HistoricalStockProgress[[#This Row],[Price of Shares]]-HistoricalStockProgress[[#This Row],[Cost of Shares]]/HistoricalStockProgress[[#This Row],[No. of Shares]],0)</f>
        <v>5.1515051114291239</v>
      </c>
      <c r="K611" s="17">
        <f>IF(HistoricalStockProgress[[#This Row],[Total Price of Shares]]&lt;&gt;0,HistoricalStockProgress[[#This Row],[Total Price of Shares]]-HistoricalStockProgress[[#This Row],[Cost of Shares]],0)</f>
        <v>298.78729646288912</v>
      </c>
      <c r="L611" s="34" t="b" cm="1">
        <f t="array" ref="L611">IFERROR(IF(HistoricalStockProgress[[#This Row],[Price of Shares]]="",_xlfn.STOCKHISTORY(HistoricalStockProgress[[#This Row],[Full Company Name]],HistoricalStockProgress[[#This Row],[Date]],,2,0,1)),0)</f>
        <v>0</v>
      </c>
      <c r="M611" s="34">
        <f>YEAR(HistoricalStockProgress[[#This Row],[Date]])</f>
        <v>2019</v>
      </c>
      <c r="N611" s="34">
        <f>MONTH(HistoricalStockProgress[[#This Row],[Date]])</f>
        <v>6</v>
      </c>
    </row>
    <row r="612" spans="2:14">
      <c r="B612" s="15">
        <v>43646</v>
      </c>
      <c r="C612" s="34" t="s">
        <v>84</v>
      </c>
      <c r="D612" s="34" t="e" vm="7">
        <f>_xlfn.XLOOKUP(HistoricalStockProgress[[#This Row],[Company Ticker]],CompanyDetailsList[Company Ticker],CompanyDetailsList[Official Name],,0)</f>
        <v>#VALUE!</v>
      </c>
      <c r="E6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6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612" s="17">
        <f>IFERROR(HistoricalStockProgress[[#This Row],[Cost of Shares]]/HistoricalStockProgress[[#This Row],[No. of Shares]],0)</f>
        <v>104.18087504950869</v>
      </c>
      <c r="H612" s="16" vm="1143">
        <v>139.28</v>
      </c>
      <c r="I612" s="16">
        <f>IF(HistoricalStockProgress[[#This Row],[No. of Shares]]&lt;&gt;0,HistoricalStockProgress[[#This Row],[Price of Shares]]*HistoricalStockProgress[[#This Row],[No. of Shares]],0)</f>
        <v>7103.28</v>
      </c>
      <c r="J612" s="16">
        <f>IF(HistoricalStockProgress[[#This Row],[No. of Shares]]&lt;&gt;0,HistoricalStockProgress[[#This Row],[Price of Shares]]-HistoricalStockProgress[[#This Row],[Cost of Shares]]/HistoricalStockProgress[[#This Row],[No. of Shares]],0)</f>
        <v>35.099124950491316</v>
      </c>
      <c r="K612" s="17">
        <f>IF(HistoricalStockProgress[[#This Row],[Total Price of Shares]]&lt;&gt;0,HistoricalStockProgress[[#This Row],[Total Price of Shares]]-HistoricalStockProgress[[#This Row],[Cost of Shares]],0)</f>
        <v>1790.0553724750571</v>
      </c>
      <c r="L612" s="34" t="b" cm="1">
        <f t="array" ref="L612">IFERROR(IF(HistoricalStockProgress[[#This Row],[Price of Shares]]="",_xlfn.STOCKHISTORY(HistoricalStockProgress[[#This Row],[Full Company Name]],HistoricalStockProgress[[#This Row],[Date]],,2,0,1)),0)</f>
        <v>0</v>
      </c>
      <c r="M612" s="34">
        <f>YEAR(HistoricalStockProgress[[#This Row],[Date]])</f>
        <v>2019</v>
      </c>
      <c r="N612" s="34">
        <f>MONTH(HistoricalStockProgress[[#This Row],[Date]])</f>
        <v>6</v>
      </c>
    </row>
    <row r="613" spans="2:14">
      <c r="B613" s="15">
        <v>43646</v>
      </c>
      <c r="C613" s="34" t="s">
        <v>86</v>
      </c>
      <c r="D613" s="34" t="e" vm="8">
        <f>_xlfn.XLOOKUP(HistoricalStockProgress[[#This Row],[Company Ticker]],CompanyDetailsList[Company Ticker],CompanyDetailsList[Official Name],,0)</f>
        <v>#VALUE!</v>
      </c>
      <c r="E6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6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613" s="17">
        <f>IFERROR(HistoricalStockProgress[[#This Row],[Cost of Shares]]/HistoricalStockProgress[[#This Row],[No. of Shares]],0)</f>
        <v>85.876031764920896</v>
      </c>
      <c r="H613" s="16" vm="1144">
        <v>72.72</v>
      </c>
      <c r="I613" s="16">
        <f>IF(HistoricalStockProgress[[#This Row],[No. of Shares]]&lt;&gt;0,HistoricalStockProgress[[#This Row],[Price of Shares]]*HistoricalStockProgress[[#This Row],[No. of Shares]],0)</f>
        <v>3854.16</v>
      </c>
      <c r="J613" s="16">
        <f>IF(HistoricalStockProgress[[#This Row],[No. of Shares]]&lt;&gt;0,HistoricalStockProgress[[#This Row],[Price of Shares]]-HistoricalStockProgress[[#This Row],[Cost of Shares]]/HistoricalStockProgress[[#This Row],[No. of Shares]],0)</f>
        <v>-13.156031764920897</v>
      </c>
      <c r="K613" s="17">
        <f>IF(HistoricalStockProgress[[#This Row],[Total Price of Shares]]&lt;&gt;0,HistoricalStockProgress[[#This Row],[Total Price of Shares]]-HistoricalStockProgress[[#This Row],[Cost of Shares]],0)</f>
        <v>-697.26968354080782</v>
      </c>
      <c r="L613" s="34" t="b" cm="1">
        <f t="array" ref="L613">IFERROR(IF(HistoricalStockProgress[[#This Row],[Price of Shares]]="",_xlfn.STOCKHISTORY(HistoricalStockProgress[[#This Row],[Full Company Name]],HistoricalStockProgress[[#This Row],[Date]],,2,0,1)),0)</f>
        <v>0</v>
      </c>
      <c r="M613" s="34">
        <f>YEAR(HistoricalStockProgress[[#This Row],[Date]])</f>
        <v>2019</v>
      </c>
      <c r="N613" s="34">
        <f>MONTH(HistoricalStockProgress[[#This Row],[Date]])</f>
        <v>6</v>
      </c>
    </row>
    <row r="614" spans="2:14">
      <c r="B614" s="15">
        <v>43646</v>
      </c>
      <c r="C614" s="34" t="s">
        <v>22</v>
      </c>
      <c r="D614" s="34" t="e" vm="10">
        <f>_xlfn.XLOOKUP(HistoricalStockProgress[[#This Row],[Company Ticker]],CompanyDetailsList[Company Ticker],CompanyDetailsList[Official Name],,0)</f>
        <v>#VALUE!</v>
      </c>
      <c r="E6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6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614" s="17">
        <f>IFERROR(HistoricalStockProgress[[#This Row],[Cost of Shares]]/HistoricalStockProgress[[#This Row],[No. of Shares]],0)</f>
        <v>96.351727068187571</v>
      </c>
      <c r="H614" s="16" vm="1145">
        <v>136.29</v>
      </c>
      <c r="I614" s="16">
        <f>IF(HistoricalStockProgress[[#This Row],[No. of Shares]]&lt;&gt;0,HistoricalStockProgress[[#This Row],[Price of Shares]]*HistoricalStockProgress[[#This Row],[No. of Shares]],0)</f>
        <v>11039.49</v>
      </c>
      <c r="J614" s="16">
        <f>IF(HistoricalStockProgress[[#This Row],[No. of Shares]]&lt;&gt;0,HistoricalStockProgress[[#This Row],[Price of Shares]]-HistoricalStockProgress[[#This Row],[Cost of Shares]]/HistoricalStockProgress[[#This Row],[No. of Shares]],0)</f>
        <v>39.938272931812421</v>
      </c>
      <c r="K614" s="17">
        <f>IF(HistoricalStockProgress[[#This Row],[Total Price of Shares]]&lt;&gt;0,HistoricalStockProgress[[#This Row],[Total Price of Shares]]-HistoricalStockProgress[[#This Row],[Cost of Shares]],0)</f>
        <v>3235.000107476807</v>
      </c>
      <c r="L614" s="34" t="b" cm="1">
        <f t="array" ref="L614">IFERROR(IF(HistoricalStockProgress[[#This Row],[Price of Shares]]="",_xlfn.STOCKHISTORY(HistoricalStockProgress[[#This Row],[Full Company Name]],HistoricalStockProgress[[#This Row],[Date]],,2,0,1)),0)</f>
        <v>0</v>
      </c>
      <c r="M614" s="34">
        <f>YEAR(HistoricalStockProgress[[#This Row],[Date]])</f>
        <v>2019</v>
      </c>
      <c r="N614" s="34">
        <f>MONTH(HistoricalStockProgress[[#This Row],[Date]])</f>
        <v>6</v>
      </c>
    </row>
    <row r="615" spans="2:14">
      <c r="B615" s="15">
        <v>43646</v>
      </c>
      <c r="C615" s="34" t="s">
        <v>91</v>
      </c>
      <c r="D615" s="34" t="e" vm="11">
        <f>_xlfn.XLOOKUP(HistoricalStockProgress[[#This Row],[Company Ticker]],CompanyDetailsList[Company Ticker],CompanyDetailsList[Official Name],,0)</f>
        <v>#VALUE!</v>
      </c>
      <c r="E6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6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7639.549422502746</v>
      </c>
      <c r="G615" s="17">
        <f>IFERROR(HistoricalStockProgress[[#This Row],[Cost of Shares]]/HistoricalStockProgress[[#This Row],[No. of Shares]],0)</f>
        <v>72.071220967007037</v>
      </c>
      <c r="H615" s="16" vm="1146">
        <v>133.96</v>
      </c>
      <c r="I615" s="16">
        <f>IF(HistoricalStockProgress[[#This Row],[No. of Shares]]&lt;&gt;0,HistoricalStockProgress[[#This Row],[Price of Shares]]*HistoricalStockProgress[[#This Row],[No. of Shares]],0)</f>
        <v>14199.76</v>
      </c>
      <c r="J615" s="16">
        <f>IF(HistoricalStockProgress[[#This Row],[No. of Shares]]&lt;&gt;0,HistoricalStockProgress[[#This Row],[Price of Shares]]-HistoricalStockProgress[[#This Row],[Cost of Shares]]/HistoricalStockProgress[[#This Row],[No. of Shares]],0)</f>
        <v>61.888779032992971</v>
      </c>
      <c r="K615" s="17">
        <f>IF(HistoricalStockProgress[[#This Row],[Total Price of Shares]]&lt;&gt;0,HistoricalStockProgress[[#This Row],[Total Price of Shares]]-HistoricalStockProgress[[#This Row],[Cost of Shares]],0)</f>
        <v>6560.2105774972542</v>
      </c>
      <c r="L615" s="34" t="b" cm="1">
        <f t="array" ref="L615">IFERROR(IF(HistoricalStockProgress[[#This Row],[Price of Shares]]="",_xlfn.STOCKHISTORY(HistoricalStockProgress[[#This Row],[Full Company Name]],HistoricalStockProgress[[#This Row],[Date]],,2,0,1)),0)</f>
        <v>0</v>
      </c>
      <c r="M615" s="34">
        <f>YEAR(HistoricalStockProgress[[#This Row],[Date]])</f>
        <v>2019</v>
      </c>
      <c r="N615" s="34">
        <f>MONTH(HistoricalStockProgress[[#This Row],[Date]])</f>
        <v>6</v>
      </c>
    </row>
    <row r="616" spans="2:14">
      <c r="B616" s="15">
        <v>43646</v>
      </c>
      <c r="C616" s="34" t="s">
        <v>16</v>
      </c>
      <c r="D616" s="34" t="e" vm="12">
        <f>_xlfn.XLOOKUP(HistoricalStockProgress[[#This Row],[Company Ticker]],CompanyDetailsList[Company Ticker],CompanyDetailsList[Official Name],,0)</f>
        <v>#VALUE!</v>
      </c>
      <c r="E6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6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616" s="17">
        <f>IFERROR(HistoricalStockProgress[[#This Row],[Cost of Shares]]/HistoricalStockProgress[[#This Row],[No. of Shares]],0)</f>
        <v>82.900834685216523</v>
      </c>
      <c r="H616" s="16" vm="1147">
        <v>76.63</v>
      </c>
      <c r="I616" s="16">
        <f>IF(HistoricalStockProgress[[#This Row],[No. of Shares]]&lt;&gt;0,HistoricalStockProgress[[#This Row],[Price of Shares]]*HistoricalStockProgress[[#This Row],[No. of Shares]],0)</f>
        <v>11111.349999999999</v>
      </c>
      <c r="J616" s="16">
        <f>IF(HistoricalStockProgress[[#This Row],[No. of Shares]]&lt;&gt;0,HistoricalStockProgress[[#This Row],[Price of Shares]]-HistoricalStockProgress[[#This Row],[Cost of Shares]]/HistoricalStockProgress[[#This Row],[No. of Shares]],0)</f>
        <v>-6.2708346852165278</v>
      </c>
      <c r="K616" s="17">
        <f>IF(HistoricalStockProgress[[#This Row],[Total Price of Shares]]&lt;&gt;0,HistoricalStockProgress[[#This Row],[Total Price of Shares]]-HistoricalStockProgress[[#This Row],[Cost of Shares]],0)</f>
        <v>-909.27102935639778</v>
      </c>
      <c r="L616" s="34" t="b" cm="1">
        <f t="array" ref="L616">IFERROR(IF(HistoricalStockProgress[[#This Row],[Price of Shares]]="",_xlfn.STOCKHISTORY(HistoricalStockProgress[[#This Row],[Full Company Name]],HistoricalStockProgress[[#This Row],[Date]],,2,0,1)),0)</f>
        <v>0</v>
      </c>
      <c r="M616" s="34">
        <f>YEAR(HistoricalStockProgress[[#This Row],[Date]])</f>
        <v>2019</v>
      </c>
      <c r="N616" s="34">
        <f>MONTH(HistoricalStockProgress[[#This Row],[Date]])</f>
        <v>6</v>
      </c>
    </row>
    <row r="617" spans="2:14">
      <c r="B617" s="15">
        <v>43646</v>
      </c>
      <c r="C617" s="34" t="s">
        <v>95</v>
      </c>
      <c r="D617" s="34" t="e" vm="13">
        <f>_xlfn.XLOOKUP(HistoricalStockProgress[[#This Row],[Company Ticker]],CompanyDetailsList[Company Ticker],CompanyDetailsList[Official Name],,0)</f>
        <v>#VALUE!</v>
      </c>
      <c r="E6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6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617" s="17">
        <f>IFERROR(HistoricalStockProgress[[#This Row],[Cost of Shares]]/HistoricalStockProgress[[#This Row],[No. of Shares]],0)</f>
        <v>143.29758396474452</v>
      </c>
      <c r="H617" s="16" vm="1148">
        <v>207.97</v>
      </c>
      <c r="I617" s="16">
        <f>IF(HistoricalStockProgress[[#This Row],[No. of Shares]]&lt;&gt;0,HistoricalStockProgress[[#This Row],[Price of Shares]]*HistoricalStockProgress[[#This Row],[No. of Shares]],0)</f>
        <v>8942.7099999999991</v>
      </c>
      <c r="J617" s="16">
        <f>IF(HistoricalStockProgress[[#This Row],[No. of Shares]]&lt;&gt;0,HistoricalStockProgress[[#This Row],[Price of Shares]]-HistoricalStockProgress[[#This Row],[Cost of Shares]]/HistoricalStockProgress[[#This Row],[No. of Shares]],0)</f>
        <v>64.67241603525548</v>
      </c>
      <c r="K617" s="17">
        <f>IF(HistoricalStockProgress[[#This Row],[Total Price of Shares]]&lt;&gt;0,HistoricalStockProgress[[#This Row],[Total Price of Shares]]-HistoricalStockProgress[[#This Row],[Cost of Shares]],0)</f>
        <v>2780.9138895159849</v>
      </c>
      <c r="L617" s="34" t="b" cm="1">
        <f t="array" ref="L617">IFERROR(IF(HistoricalStockProgress[[#This Row],[Price of Shares]]="",_xlfn.STOCKHISTORY(HistoricalStockProgress[[#This Row],[Full Company Name]],HistoricalStockProgress[[#This Row],[Date]],,2,0,1)),0)</f>
        <v>0</v>
      </c>
      <c r="M617" s="34">
        <f>YEAR(HistoricalStockProgress[[#This Row],[Date]])</f>
        <v>2019</v>
      </c>
      <c r="N617" s="34">
        <f>MONTH(HistoricalStockProgress[[#This Row],[Date]])</f>
        <v>6</v>
      </c>
    </row>
    <row r="618" spans="2:14">
      <c r="B618" s="15">
        <v>43646</v>
      </c>
      <c r="C618" s="34" t="s">
        <v>17</v>
      </c>
      <c r="D618" s="34" t="e" vm="14">
        <f>_xlfn.XLOOKUP(HistoricalStockProgress[[#This Row],[Company Ticker]],CompanyDetailsList[Company Ticker],CompanyDetailsList[Official Name],,0)</f>
        <v>#VALUE!</v>
      </c>
      <c r="E6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6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9484.3704371074709</v>
      </c>
      <c r="G618" s="17">
        <f>IFERROR(HistoricalStockProgress[[#This Row],[Cost of Shares]]/HistoricalStockProgress[[#This Row],[No. of Shares]],0)</f>
        <v>150.54556249376938</v>
      </c>
      <c r="H618" s="16" vm="1149">
        <v>137.9</v>
      </c>
      <c r="I618" s="16">
        <f>IF(HistoricalStockProgress[[#This Row],[No. of Shares]]&lt;&gt;0,HistoricalStockProgress[[#This Row],[Price of Shares]]*HistoricalStockProgress[[#This Row],[No. of Shares]],0)</f>
        <v>8687.7000000000007</v>
      </c>
      <c r="J618" s="16">
        <f>IF(HistoricalStockProgress[[#This Row],[No. of Shares]]&lt;&gt;0,HistoricalStockProgress[[#This Row],[Price of Shares]]-HistoricalStockProgress[[#This Row],[Cost of Shares]]/HistoricalStockProgress[[#This Row],[No. of Shares]],0)</f>
        <v>-12.645562493769376</v>
      </c>
      <c r="K618" s="17">
        <f>IF(HistoricalStockProgress[[#This Row],[Total Price of Shares]]&lt;&gt;0,HistoricalStockProgress[[#This Row],[Total Price of Shares]]-HistoricalStockProgress[[#This Row],[Cost of Shares]],0)</f>
        <v>-796.67043710747021</v>
      </c>
      <c r="L618" s="34" t="b" cm="1">
        <f t="array" ref="L618">IFERROR(IF(HistoricalStockProgress[[#This Row],[Price of Shares]]="",_xlfn.STOCKHISTORY(HistoricalStockProgress[[#This Row],[Full Company Name]],HistoricalStockProgress[[#This Row],[Date]],,2,0,1)),0)</f>
        <v>0</v>
      </c>
      <c r="M618" s="34">
        <f>YEAR(HistoricalStockProgress[[#This Row],[Date]])</f>
        <v>2019</v>
      </c>
      <c r="N618" s="34">
        <f>MONTH(HistoricalStockProgress[[#This Row],[Date]])</f>
        <v>6</v>
      </c>
    </row>
    <row r="619" spans="2:14">
      <c r="B619" s="15">
        <v>43646</v>
      </c>
      <c r="C619" s="34" t="s">
        <v>98</v>
      </c>
      <c r="D619" s="34" t="e" vm="15">
        <f>_xlfn.XLOOKUP(HistoricalStockProgress[[#This Row],[Company Ticker]],CompanyDetailsList[Company Ticker],CompanyDetailsList[Official Name],,0)</f>
        <v>#VALUE!</v>
      </c>
      <c r="E6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6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619" s="17">
        <f>IFERROR(HistoricalStockProgress[[#This Row],[Cost of Shares]]/HistoricalStockProgress[[#This Row],[No. of Shares]],0)</f>
        <v>39.627242008882604</v>
      </c>
      <c r="H619" s="16" vm="1150">
        <v>51.215000000000003</v>
      </c>
      <c r="I619" s="16">
        <f>IF(HistoricalStockProgress[[#This Row],[No. of Shares]]&lt;&gt;0,HistoricalStockProgress[[#This Row],[Price of Shares]]*HistoricalStockProgress[[#This Row],[No. of Shares]],0)</f>
        <v>3738.6950000000002</v>
      </c>
      <c r="J619" s="16">
        <f>IF(HistoricalStockProgress[[#This Row],[No. of Shares]]&lt;&gt;0,HistoricalStockProgress[[#This Row],[Price of Shares]]-HistoricalStockProgress[[#This Row],[Cost of Shares]]/HistoricalStockProgress[[#This Row],[No. of Shares]],0)</f>
        <v>11.5877579911174</v>
      </c>
      <c r="K619" s="17">
        <f>IF(HistoricalStockProgress[[#This Row],[Total Price of Shares]]&lt;&gt;0,HistoricalStockProgress[[#This Row],[Total Price of Shares]]-HistoricalStockProgress[[#This Row],[Cost of Shares]],0)</f>
        <v>845.90633335157008</v>
      </c>
      <c r="L619" s="34" t="b" cm="1">
        <f t="array" ref="L619">IFERROR(IF(HistoricalStockProgress[[#This Row],[Price of Shares]]="",_xlfn.STOCKHISTORY(HistoricalStockProgress[[#This Row],[Full Company Name]],HistoricalStockProgress[[#This Row],[Date]],,2,0,1)),0)</f>
        <v>0</v>
      </c>
      <c r="M619" s="34">
        <f>YEAR(HistoricalStockProgress[[#This Row],[Date]])</f>
        <v>2019</v>
      </c>
      <c r="N619" s="34">
        <f>MONTH(HistoricalStockProgress[[#This Row],[Date]])</f>
        <v>6</v>
      </c>
    </row>
    <row r="620" spans="2:14">
      <c r="B620" s="15">
        <v>43646</v>
      </c>
      <c r="C620" s="34" t="s">
        <v>100</v>
      </c>
      <c r="D620" s="34" t="e" vm="16">
        <f>_xlfn.XLOOKUP(HistoricalStockProgress[[#This Row],[Company Ticker]],CompanyDetailsList[Company Ticker],CompanyDetailsList[Official Name],,0)</f>
        <v>#VALUE!</v>
      </c>
      <c r="E6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74</v>
      </c>
      <c r="F6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6400.3550613930956</v>
      </c>
      <c r="G620" s="17">
        <f>IFERROR(HistoricalStockProgress[[#This Row],[Cost of Shares]]/HistoricalStockProgress[[#This Row],[No. of Shares]],0)</f>
        <v>86.491284613420206</v>
      </c>
      <c r="H620" s="16" vm="1151">
        <v>88.24</v>
      </c>
      <c r="I620" s="16">
        <f>IF(HistoricalStockProgress[[#This Row],[No. of Shares]]&lt;&gt;0,HistoricalStockProgress[[#This Row],[Price of Shares]]*HistoricalStockProgress[[#This Row],[No. of Shares]],0)</f>
        <v>6529.7599999999993</v>
      </c>
      <c r="J620" s="16">
        <f>IF(HistoricalStockProgress[[#This Row],[No. of Shares]]&lt;&gt;0,HistoricalStockProgress[[#This Row],[Price of Shares]]-HistoricalStockProgress[[#This Row],[Cost of Shares]]/HistoricalStockProgress[[#This Row],[No. of Shares]],0)</f>
        <v>1.7487153865797893</v>
      </c>
      <c r="K620" s="17">
        <f>IF(HistoricalStockProgress[[#This Row],[Total Price of Shares]]&lt;&gt;0,HistoricalStockProgress[[#This Row],[Total Price of Shares]]-HistoricalStockProgress[[#This Row],[Cost of Shares]],0)</f>
        <v>129.40493860690367</v>
      </c>
      <c r="L620" s="34" t="b" cm="1">
        <f t="array" ref="L620">IFERROR(IF(HistoricalStockProgress[[#This Row],[Price of Shares]]="",_xlfn.STOCKHISTORY(HistoricalStockProgress[[#This Row],[Full Company Name]],HistoricalStockProgress[[#This Row],[Date]],,2,0,1)),0)</f>
        <v>0</v>
      </c>
      <c r="M620" s="34">
        <f>YEAR(HistoricalStockProgress[[#This Row],[Date]])</f>
        <v>2019</v>
      </c>
      <c r="N620" s="34">
        <f>MONTH(HistoricalStockProgress[[#This Row],[Date]])</f>
        <v>6</v>
      </c>
    </row>
    <row r="621" spans="2:14">
      <c r="B621" s="15">
        <v>43646</v>
      </c>
      <c r="C621" s="34" t="s">
        <v>15</v>
      </c>
      <c r="D621" s="34" t="e" vm="17">
        <f>_xlfn.XLOOKUP(HistoricalStockProgress[[#This Row],[Company Ticker]],CompanyDetailsList[Company Ticker],CompanyDetailsList[Official Name],,0)</f>
        <v>#VALUE!</v>
      </c>
      <c r="E6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6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621" s="17">
        <f>IFERROR(HistoricalStockProgress[[#This Row],[Cost of Shares]]/HistoricalStockProgress[[#This Row],[No. of Shares]],0)</f>
        <v>26.081956457072195</v>
      </c>
      <c r="H621" s="16" vm="599">
        <v>25.306100000000001</v>
      </c>
      <c r="I621" s="16">
        <f>IF(HistoricalStockProgress[[#This Row],[No. of Shares]]&lt;&gt;0,HistoricalStockProgress[[#This Row],[Price of Shares]]*HistoricalStockProgress[[#This Row],[No. of Shares]],0)</f>
        <v>3137.9564</v>
      </c>
      <c r="J621" s="16">
        <f>IF(HistoricalStockProgress[[#This Row],[No. of Shares]]&lt;&gt;0,HistoricalStockProgress[[#This Row],[Price of Shares]]-HistoricalStockProgress[[#This Row],[Cost of Shares]]/HistoricalStockProgress[[#This Row],[No. of Shares]],0)</f>
        <v>-0.77585645707219442</v>
      </c>
      <c r="K621" s="17">
        <f>IF(HistoricalStockProgress[[#This Row],[Total Price of Shares]]&lt;&gt;0,HistoricalStockProgress[[#This Row],[Total Price of Shares]]-HistoricalStockProgress[[#This Row],[Cost of Shares]],0)</f>
        <v>-96.206200676951994</v>
      </c>
      <c r="L621" s="34" t="b" cm="1">
        <f t="array" ref="L621">IFERROR(IF(HistoricalStockProgress[[#This Row],[Price of Shares]]="",_xlfn.STOCKHISTORY(HistoricalStockProgress[[#This Row],[Full Company Name]],HistoricalStockProgress[[#This Row],[Date]],,2,0,1)),0)</f>
        <v>0</v>
      </c>
      <c r="M621" s="34">
        <f>YEAR(HistoricalStockProgress[[#This Row],[Date]])</f>
        <v>2019</v>
      </c>
      <c r="N621" s="34">
        <f>MONTH(HistoricalStockProgress[[#This Row],[Date]])</f>
        <v>6</v>
      </c>
    </row>
    <row r="622" spans="2:14">
      <c r="B622" s="15">
        <v>43646</v>
      </c>
      <c r="C622" s="34" t="s">
        <v>13</v>
      </c>
      <c r="D622" s="34" t="e" vm="18">
        <f>_xlfn.XLOOKUP(HistoricalStockProgress[[#This Row],[Company Ticker]],CompanyDetailsList[Company Ticker],CompanyDetailsList[Official Name],,0)</f>
        <v>#VALUE!</v>
      </c>
      <c r="E6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6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622" s="17">
        <f>IFERROR(HistoricalStockProgress[[#This Row],[Cost of Shares]]/HistoricalStockProgress[[#This Row],[No. of Shares]],0)</f>
        <v>35.846938938346874</v>
      </c>
      <c r="H622" s="16" vm="1152">
        <v>41.065199999999997</v>
      </c>
      <c r="I622" s="16">
        <f>IF(HistoricalStockProgress[[#This Row],[No. of Shares]]&lt;&gt;0,HistoricalStockProgress[[#This Row],[Price of Shares]]*HistoricalStockProgress[[#This Row],[No. of Shares]],0)</f>
        <v>2258.5859999999998</v>
      </c>
      <c r="J622" s="16">
        <f>IF(HistoricalStockProgress[[#This Row],[No. of Shares]]&lt;&gt;0,HistoricalStockProgress[[#This Row],[Price of Shares]]-HistoricalStockProgress[[#This Row],[Cost of Shares]]/HistoricalStockProgress[[#This Row],[No. of Shares]],0)</f>
        <v>5.2182610616531235</v>
      </c>
      <c r="K622" s="17">
        <f>IF(HistoricalStockProgress[[#This Row],[Total Price of Shares]]&lt;&gt;0,HistoricalStockProgress[[#This Row],[Total Price of Shares]]-HistoricalStockProgress[[#This Row],[Cost of Shares]],0)</f>
        <v>287.00435839092165</v>
      </c>
      <c r="L622" s="34" t="b" cm="1">
        <f t="array" ref="L622">IFERROR(IF(HistoricalStockProgress[[#This Row],[Price of Shares]]="",_xlfn.STOCKHISTORY(HistoricalStockProgress[[#This Row],[Full Company Name]],HistoricalStockProgress[[#This Row],[Date]],,2,0,1)),0)</f>
        <v>0</v>
      </c>
      <c r="M622" s="34">
        <f>YEAR(HistoricalStockProgress[[#This Row],[Date]])</f>
        <v>2019</v>
      </c>
      <c r="N622" s="34">
        <f>MONTH(HistoricalStockProgress[[#This Row],[Date]])</f>
        <v>6</v>
      </c>
    </row>
    <row r="623" spans="2:14">
      <c r="B623" s="15">
        <v>43646</v>
      </c>
      <c r="C623" s="34" t="s">
        <v>20</v>
      </c>
      <c r="D623" s="34" t="e" vm="19">
        <f>_xlfn.XLOOKUP(HistoricalStockProgress[[#This Row],[Company Ticker]],CompanyDetailsList[Company Ticker],CompanyDetailsList[Official Name],,0)</f>
        <v>#VALUE!</v>
      </c>
      <c r="E6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6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623" s="17">
        <f>IFERROR(HistoricalStockProgress[[#This Row],[Cost of Shares]]/HistoricalStockProgress[[#This Row],[No. of Shares]],0)</f>
        <v>93.912242833589502</v>
      </c>
      <c r="H623" s="16" vm="1153">
        <v>111.8</v>
      </c>
      <c r="I623" s="16">
        <f>IF(HistoricalStockProgress[[#This Row],[No. of Shares]]&lt;&gt;0,HistoricalStockProgress[[#This Row],[Price of Shares]]*HistoricalStockProgress[[#This Row],[No. of Shares]],0)</f>
        <v>8720.4</v>
      </c>
      <c r="J623" s="16">
        <f>IF(HistoricalStockProgress[[#This Row],[No. of Shares]]&lt;&gt;0,HistoricalStockProgress[[#This Row],[Price of Shares]]-HistoricalStockProgress[[#This Row],[Cost of Shares]]/HistoricalStockProgress[[#This Row],[No. of Shares]],0)</f>
        <v>17.887757166410495</v>
      </c>
      <c r="K623" s="17">
        <f>IF(HistoricalStockProgress[[#This Row],[Total Price of Shares]]&lt;&gt;0,HistoricalStockProgress[[#This Row],[Total Price of Shares]]-HistoricalStockProgress[[#This Row],[Cost of Shares]],0)</f>
        <v>1395.2450589800183</v>
      </c>
      <c r="L623" s="34" t="b" cm="1">
        <f t="array" ref="L623">IFERROR(IF(HistoricalStockProgress[[#This Row],[Price of Shares]]="",_xlfn.STOCKHISTORY(HistoricalStockProgress[[#This Row],[Full Company Name]],HistoricalStockProgress[[#This Row],[Date]],,2,0,1)),0)</f>
        <v>0</v>
      </c>
      <c r="M623" s="34">
        <f>YEAR(HistoricalStockProgress[[#This Row],[Date]])</f>
        <v>2019</v>
      </c>
      <c r="N623" s="34">
        <f>MONTH(HistoricalStockProgress[[#This Row],[Date]])</f>
        <v>6</v>
      </c>
    </row>
    <row r="624" spans="2:14">
      <c r="B624" s="15">
        <v>43646</v>
      </c>
      <c r="C624" s="34" t="s">
        <v>106</v>
      </c>
      <c r="D624" s="34" t="e" vm="20">
        <f>_xlfn.XLOOKUP(HistoricalStockProgress[[#This Row],[Company Ticker]],CompanyDetailsList[Company Ticker],CompanyDetailsList[Official Name],,0)</f>
        <v>#VALUE!</v>
      </c>
      <c r="E6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52</v>
      </c>
      <c r="F6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5315.8302476196659</v>
      </c>
      <c r="G624" s="17">
        <f>IFERROR(HistoricalStockProgress[[#This Row],[Cost of Shares]]/HistoricalStockProgress[[#This Row],[No. of Shares]],0)</f>
        <v>102.22750476191665</v>
      </c>
      <c r="H624" s="16" vm="1154">
        <v>116.71</v>
      </c>
      <c r="I624" s="16">
        <f>IF(HistoricalStockProgress[[#This Row],[No. of Shares]]&lt;&gt;0,HistoricalStockProgress[[#This Row],[Price of Shares]]*HistoricalStockProgress[[#This Row],[No. of Shares]],0)</f>
        <v>6068.92</v>
      </c>
      <c r="J624" s="16">
        <f>IF(HistoricalStockProgress[[#This Row],[No. of Shares]]&lt;&gt;0,HistoricalStockProgress[[#This Row],[Price of Shares]]-HistoricalStockProgress[[#This Row],[Cost of Shares]]/HistoricalStockProgress[[#This Row],[No. of Shares]],0)</f>
        <v>14.482495238083345</v>
      </c>
      <c r="K624" s="17">
        <f>IF(HistoricalStockProgress[[#This Row],[Total Price of Shares]]&lt;&gt;0,HistoricalStockProgress[[#This Row],[Total Price of Shares]]-HistoricalStockProgress[[#This Row],[Cost of Shares]],0)</f>
        <v>753.08975238033418</v>
      </c>
      <c r="L624" s="34" t="b" cm="1">
        <f t="array" ref="L624">IFERROR(IF(HistoricalStockProgress[[#This Row],[Price of Shares]]="",_xlfn.STOCKHISTORY(HistoricalStockProgress[[#This Row],[Full Company Name]],HistoricalStockProgress[[#This Row],[Date]],,2,0,1)),0)</f>
        <v>0</v>
      </c>
      <c r="M624" s="34">
        <f>YEAR(HistoricalStockProgress[[#This Row],[Date]])</f>
        <v>2019</v>
      </c>
      <c r="N624" s="34">
        <f>MONTH(HistoricalStockProgress[[#This Row],[Date]])</f>
        <v>6</v>
      </c>
    </row>
    <row r="625" spans="2:14">
      <c r="B625" s="15">
        <v>43677</v>
      </c>
      <c r="C625" s="34" t="s">
        <v>12</v>
      </c>
      <c r="D625" s="34" t="e" vm="1">
        <f>_xlfn.XLOOKUP(HistoricalStockProgress[[#This Row],[Company Ticker]],CompanyDetailsList[Company Ticker],CompanyDetailsList[Official Name],,0)</f>
        <v>#VALUE!</v>
      </c>
      <c r="E6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6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1953.8799010350301</v>
      </c>
      <c r="G625" s="17">
        <f>IFERROR(HistoricalStockProgress[[#This Row],[Cost of Shares]]/HistoricalStockProgress[[#This Row],[No. of Shares]],0)</f>
        <v>67.375169001207937</v>
      </c>
      <c r="H625" s="16" vm="1155">
        <v>69.209999999999994</v>
      </c>
      <c r="I625" s="16">
        <f>IF(HistoricalStockProgress[[#This Row],[No. of Shares]]&lt;&gt;0,HistoricalStockProgress[[#This Row],[Price of Shares]]*HistoricalStockProgress[[#This Row],[No. of Shares]],0)</f>
        <v>2007.09</v>
      </c>
      <c r="J625" s="16">
        <f>IF(HistoricalStockProgress[[#This Row],[No. of Shares]]&lt;&gt;0,HistoricalStockProgress[[#This Row],[Price of Shares]]-HistoricalStockProgress[[#This Row],[Cost of Shares]]/HistoricalStockProgress[[#This Row],[No. of Shares]],0)</f>
        <v>1.8348309987920572</v>
      </c>
      <c r="K625" s="17">
        <f>IF(HistoricalStockProgress[[#This Row],[Total Price of Shares]]&lt;&gt;0,HistoricalStockProgress[[#This Row],[Total Price of Shares]]-HistoricalStockProgress[[#This Row],[Cost of Shares]],0)</f>
        <v>53.210098964969802</v>
      </c>
      <c r="L625" s="34" t="b" cm="1">
        <f t="array" ref="L625">IFERROR(IF(HistoricalStockProgress[[#This Row],[Price of Shares]]="",_xlfn.STOCKHISTORY(HistoricalStockProgress[[#This Row],[Full Company Name]],HistoricalStockProgress[[#This Row],[Date]],,2,0,1)),0)</f>
        <v>0</v>
      </c>
      <c r="M625" s="34">
        <f>YEAR(HistoricalStockProgress[[#This Row],[Date]])</f>
        <v>2019</v>
      </c>
      <c r="N625" s="34">
        <f>MONTH(HistoricalStockProgress[[#This Row],[Date]])</f>
        <v>7</v>
      </c>
    </row>
    <row r="626" spans="2:14">
      <c r="B626" s="15">
        <v>43677</v>
      </c>
      <c r="C626" s="34" t="s">
        <v>19</v>
      </c>
      <c r="D626" s="34" t="e" vm="3">
        <f>_xlfn.XLOOKUP(HistoricalStockProgress[[#This Row],[Company Ticker]],CompanyDetailsList[Company Ticker],CompanyDetailsList[Official Name],,0)</f>
        <v>#VALUE!</v>
      </c>
      <c r="E6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32</v>
      </c>
      <c r="F6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5052.8411971764708</v>
      </c>
      <c r="G626" s="17">
        <f>IFERROR(HistoricalStockProgress[[#This Row],[Cost of Shares]]/HistoricalStockProgress[[#This Row],[No. of Shares]],0)</f>
        <v>157.90128741176471</v>
      </c>
      <c r="H626" s="16" vm="1156">
        <v>162.6</v>
      </c>
      <c r="I626" s="16">
        <f>IF(HistoricalStockProgress[[#This Row],[No. of Shares]]&lt;&gt;0,HistoricalStockProgress[[#This Row],[Price of Shares]]*HistoricalStockProgress[[#This Row],[No. of Shares]],0)</f>
        <v>5203.2</v>
      </c>
      <c r="J626" s="16">
        <f>IF(HistoricalStockProgress[[#This Row],[No. of Shares]]&lt;&gt;0,HistoricalStockProgress[[#This Row],[Price of Shares]]-HistoricalStockProgress[[#This Row],[Cost of Shares]]/HistoricalStockProgress[[#This Row],[No. of Shares]],0)</f>
        <v>4.6987125882352814</v>
      </c>
      <c r="K626" s="17">
        <f>IF(HistoricalStockProgress[[#This Row],[Total Price of Shares]]&lt;&gt;0,HistoricalStockProgress[[#This Row],[Total Price of Shares]]-HistoricalStockProgress[[#This Row],[Cost of Shares]],0)</f>
        <v>150.358802823529</v>
      </c>
      <c r="L626" s="34" t="b" cm="1">
        <f t="array" ref="L626">IFERROR(IF(HistoricalStockProgress[[#This Row],[Price of Shares]]="",_xlfn.STOCKHISTORY(HistoricalStockProgress[[#This Row],[Full Company Name]],HistoricalStockProgress[[#This Row],[Date]],,2,0,1)),0)</f>
        <v>0</v>
      </c>
      <c r="M626" s="34">
        <f>YEAR(HistoricalStockProgress[[#This Row],[Date]])</f>
        <v>2019</v>
      </c>
      <c r="N626" s="34">
        <f>MONTH(HistoricalStockProgress[[#This Row],[Date]])</f>
        <v>7</v>
      </c>
    </row>
    <row r="627" spans="2:14">
      <c r="B627" s="15">
        <v>43677</v>
      </c>
      <c r="C627" s="34" t="s">
        <v>23</v>
      </c>
      <c r="D627" s="34" t="e" vm="4">
        <f>_xlfn.XLOOKUP(HistoricalStockProgress[[#This Row],[Company Ticker]],CompanyDetailsList[Company Ticker],CompanyDetailsList[Official Name],,0)</f>
        <v>#VALUE!</v>
      </c>
      <c r="E6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6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627" s="17">
        <f>IFERROR(HistoricalStockProgress[[#This Row],[Cost of Shares]]/HistoricalStockProgress[[#This Row],[No. of Shares]],0)</f>
        <v>45.768494888570878</v>
      </c>
      <c r="H627" s="16" vm="1157">
        <v>52.63</v>
      </c>
      <c r="I627" s="16">
        <f>IF(HistoricalStockProgress[[#This Row],[No. of Shares]]&lt;&gt;0,HistoricalStockProgress[[#This Row],[Price of Shares]]*HistoricalStockProgress[[#This Row],[No. of Shares]],0)</f>
        <v>3052.54</v>
      </c>
      <c r="J627" s="16">
        <f>IF(HistoricalStockProgress[[#This Row],[No. of Shares]]&lt;&gt;0,HistoricalStockProgress[[#This Row],[Price of Shares]]-HistoricalStockProgress[[#This Row],[Cost of Shares]]/HistoricalStockProgress[[#This Row],[No. of Shares]],0)</f>
        <v>6.8615051114291248</v>
      </c>
      <c r="K627" s="17">
        <f>IF(HistoricalStockProgress[[#This Row],[Total Price of Shares]]&lt;&gt;0,HistoricalStockProgress[[#This Row],[Total Price of Shares]]-HistoricalStockProgress[[#This Row],[Cost of Shares]],0)</f>
        <v>397.96729646288895</v>
      </c>
      <c r="L627" s="34" t="b" cm="1">
        <f t="array" ref="L627">IFERROR(IF(HistoricalStockProgress[[#This Row],[Price of Shares]]="",_xlfn.STOCKHISTORY(HistoricalStockProgress[[#This Row],[Full Company Name]],HistoricalStockProgress[[#This Row],[Date]],,2,0,1)),0)</f>
        <v>0</v>
      </c>
      <c r="M627" s="34">
        <f>YEAR(HistoricalStockProgress[[#This Row],[Date]])</f>
        <v>2019</v>
      </c>
      <c r="N627" s="34">
        <f>MONTH(HistoricalStockProgress[[#This Row],[Date]])</f>
        <v>7</v>
      </c>
    </row>
    <row r="628" spans="2:14">
      <c r="B628" s="15">
        <v>43677</v>
      </c>
      <c r="C628" s="34" t="s">
        <v>84</v>
      </c>
      <c r="D628" s="34" t="e" vm="7">
        <f>_xlfn.XLOOKUP(HistoricalStockProgress[[#This Row],[Company Ticker]],CompanyDetailsList[Company Ticker],CompanyDetailsList[Official Name],,0)</f>
        <v>#VALUE!</v>
      </c>
      <c r="E6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6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628" s="17">
        <f>IFERROR(HistoricalStockProgress[[#This Row],[Cost of Shares]]/HistoricalStockProgress[[#This Row],[No. of Shares]],0)</f>
        <v>104.18087504950869</v>
      </c>
      <c r="H628" s="16" vm="1158">
        <v>130.22</v>
      </c>
      <c r="I628" s="16">
        <f>IF(HistoricalStockProgress[[#This Row],[No. of Shares]]&lt;&gt;0,HistoricalStockProgress[[#This Row],[Price of Shares]]*HistoricalStockProgress[[#This Row],[No. of Shares]],0)</f>
        <v>6641.22</v>
      </c>
      <c r="J628" s="16">
        <f>IF(HistoricalStockProgress[[#This Row],[No. of Shares]]&lt;&gt;0,HistoricalStockProgress[[#This Row],[Price of Shares]]-HistoricalStockProgress[[#This Row],[Cost of Shares]]/HistoricalStockProgress[[#This Row],[No. of Shares]],0)</f>
        <v>26.039124950491313</v>
      </c>
      <c r="K628" s="17">
        <f>IF(HistoricalStockProgress[[#This Row],[Total Price of Shares]]&lt;&gt;0,HistoricalStockProgress[[#This Row],[Total Price of Shares]]-HistoricalStockProgress[[#This Row],[Cost of Shares]],0)</f>
        <v>1327.9953724750576</v>
      </c>
      <c r="L628" s="34" t="b" cm="1">
        <f t="array" ref="L628">IFERROR(IF(HistoricalStockProgress[[#This Row],[Price of Shares]]="",_xlfn.STOCKHISTORY(HistoricalStockProgress[[#This Row],[Full Company Name]],HistoricalStockProgress[[#This Row],[Date]],,2,0,1)),0)</f>
        <v>0</v>
      </c>
      <c r="M628" s="34">
        <f>YEAR(HistoricalStockProgress[[#This Row],[Date]])</f>
        <v>2019</v>
      </c>
      <c r="N628" s="34">
        <f>MONTH(HistoricalStockProgress[[#This Row],[Date]])</f>
        <v>7</v>
      </c>
    </row>
    <row r="629" spans="2:14">
      <c r="B629" s="15">
        <v>43677</v>
      </c>
      <c r="C629" s="34" t="s">
        <v>86</v>
      </c>
      <c r="D629" s="34" t="e" vm="8">
        <f>_xlfn.XLOOKUP(HistoricalStockProgress[[#This Row],[Company Ticker]],CompanyDetailsList[Company Ticker],CompanyDetailsList[Official Name],,0)</f>
        <v>#VALUE!</v>
      </c>
      <c r="E6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6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629" s="17">
        <f>IFERROR(HistoricalStockProgress[[#This Row],[Cost of Shares]]/HistoricalStockProgress[[#This Row],[No. of Shares]],0)</f>
        <v>85.876031764920896</v>
      </c>
      <c r="H629" s="16" vm="1159">
        <v>66.62</v>
      </c>
      <c r="I629" s="16">
        <f>IF(HistoricalStockProgress[[#This Row],[No. of Shares]]&lt;&gt;0,HistoricalStockProgress[[#This Row],[Price of Shares]]*HistoricalStockProgress[[#This Row],[No. of Shares]],0)</f>
        <v>3530.86</v>
      </c>
      <c r="J629" s="16">
        <f>IF(HistoricalStockProgress[[#This Row],[No. of Shares]]&lt;&gt;0,HistoricalStockProgress[[#This Row],[Price of Shares]]-HistoricalStockProgress[[#This Row],[Cost of Shares]]/HistoricalStockProgress[[#This Row],[No. of Shares]],0)</f>
        <v>-19.256031764920891</v>
      </c>
      <c r="K629" s="17">
        <f>IF(HistoricalStockProgress[[#This Row],[Total Price of Shares]]&lt;&gt;0,HistoricalStockProgress[[#This Row],[Total Price of Shares]]-HistoricalStockProgress[[#This Row],[Cost of Shares]],0)</f>
        <v>-1020.5696835408075</v>
      </c>
      <c r="L629" s="34" t="b" cm="1">
        <f t="array" ref="L629">IFERROR(IF(HistoricalStockProgress[[#This Row],[Price of Shares]]="",_xlfn.STOCKHISTORY(HistoricalStockProgress[[#This Row],[Full Company Name]],HistoricalStockProgress[[#This Row],[Date]],,2,0,1)),0)</f>
        <v>0</v>
      </c>
      <c r="M629" s="34">
        <f>YEAR(HistoricalStockProgress[[#This Row],[Date]])</f>
        <v>2019</v>
      </c>
      <c r="N629" s="34">
        <f>MONTH(HistoricalStockProgress[[#This Row],[Date]])</f>
        <v>7</v>
      </c>
    </row>
    <row r="630" spans="2:14">
      <c r="B630" s="15">
        <v>43677</v>
      </c>
      <c r="C630" s="34" t="s">
        <v>22</v>
      </c>
      <c r="D630" s="34" t="e" vm="10">
        <f>_xlfn.XLOOKUP(HistoricalStockProgress[[#This Row],[Company Ticker]],CompanyDetailsList[Company Ticker],CompanyDetailsList[Official Name],,0)</f>
        <v>#VALUE!</v>
      </c>
      <c r="E6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6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630" s="17">
        <f>IFERROR(HistoricalStockProgress[[#This Row],[Cost of Shares]]/HistoricalStockProgress[[#This Row],[No. of Shares]],0)</f>
        <v>96.351727068187571</v>
      </c>
      <c r="H630" s="16" vm="1160">
        <v>131.66999999999999</v>
      </c>
      <c r="I630" s="16">
        <f>IF(HistoricalStockProgress[[#This Row],[No. of Shares]]&lt;&gt;0,HistoricalStockProgress[[#This Row],[Price of Shares]]*HistoricalStockProgress[[#This Row],[No. of Shares]],0)</f>
        <v>10665.269999999999</v>
      </c>
      <c r="J630" s="16">
        <f>IF(HistoricalStockProgress[[#This Row],[No. of Shares]]&lt;&gt;0,HistoricalStockProgress[[#This Row],[Price of Shares]]-HistoricalStockProgress[[#This Row],[Cost of Shares]]/HistoricalStockProgress[[#This Row],[No. of Shares]],0)</f>
        <v>35.318272931812416</v>
      </c>
      <c r="K630" s="17">
        <f>IF(HistoricalStockProgress[[#This Row],[Total Price of Shares]]&lt;&gt;0,HistoricalStockProgress[[#This Row],[Total Price of Shares]]-HistoricalStockProgress[[#This Row],[Cost of Shares]],0)</f>
        <v>2860.7801074768058</v>
      </c>
      <c r="L630" s="34" t="b" cm="1">
        <f t="array" ref="L630">IFERROR(IF(HistoricalStockProgress[[#This Row],[Price of Shares]]="",_xlfn.STOCKHISTORY(HistoricalStockProgress[[#This Row],[Full Company Name]],HistoricalStockProgress[[#This Row],[Date]],,2,0,1)),0)</f>
        <v>0</v>
      </c>
      <c r="M630" s="34">
        <f>YEAR(HistoricalStockProgress[[#This Row],[Date]])</f>
        <v>2019</v>
      </c>
      <c r="N630" s="34">
        <f>MONTH(HistoricalStockProgress[[#This Row],[Date]])</f>
        <v>7</v>
      </c>
    </row>
    <row r="631" spans="2:14">
      <c r="B631" s="15">
        <v>43677</v>
      </c>
      <c r="C631" s="34" t="s">
        <v>91</v>
      </c>
      <c r="D631" s="34" t="e" vm="11">
        <f>_xlfn.XLOOKUP(HistoricalStockProgress[[#This Row],[Company Ticker]],CompanyDetailsList[Company Ticker],CompanyDetailsList[Official Name],,0)</f>
        <v>#VALUE!</v>
      </c>
      <c r="E6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6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7639.549422502746</v>
      </c>
      <c r="G631" s="17">
        <f>IFERROR(HistoricalStockProgress[[#This Row],[Cost of Shares]]/HistoricalStockProgress[[#This Row],[No. of Shares]],0)</f>
        <v>72.071220967007037</v>
      </c>
      <c r="H631" s="16" vm="1161">
        <v>136.27000000000001</v>
      </c>
      <c r="I631" s="16">
        <f>IF(HistoricalStockProgress[[#This Row],[No. of Shares]]&lt;&gt;0,HistoricalStockProgress[[#This Row],[Price of Shares]]*HistoricalStockProgress[[#This Row],[No. of Shares]],0)</f>
        <v>14444.62</v>
      </c>
      <c r="J631" s="16">
        <f>IF(HistoricalStockProgress[[#This Row],[No. of Shares]]&lt;&gt;0,HistoricalStockProgress[[#This Row],[Price of Shares]]-HistoricalStockProgress[[#This Row],[Cost of Shares]]/HistoricalStockProgress[[#This Row],[No. of Shares]],0)</f>
        <v>64.198779032992974</v>
      </c>
      <c r="K631" s="17">
        <f>IF(HistoricalStockProgress[[#This Row],[Total Price of Shares]]&lt;&gt;0,HistoricalStockProgress[[#This Row],[Total Price of Shares]]-HistoricalStockProgress[[#This Row],[Cost of Shares]],0)</f>
        <v>6805.0705774972548</v>
      </c>
      <c r="L631" s="34" t="b" cm="1">
        <f t="array" ref="L631">IFERROR(IF(HistoricalStockProgress[[#This Row],[Price of Shares]]="",_xlfn.STOCKHISTORY(HistoricalStockProgress[[#This Row],[Full Company Name]],HistoricalStockProgress[[#This Row],[Date]],,2,0,1)),0)</f>
        <v>0</v>
      </c>
      <c r="M631" s="34">
        <f>YEAR(HistoricalStockProgress[[#This Row],[Date]])</f>
        <v>2019</v>
      </c>
      <c r="N631" s="34">
        <f>MONTH(HistoricalStockProgress[[#This Row],[Date]])</f>
        <v>7</v>
      </c>
    </row>
    <row r="632" spans="2:14">
      <c r="B632" s="15">
        <v>43677</v>
      </c>
      <c r="C632" s="34" t="s">
        <v>16</v>
      </c>
      <c r="D632" s="34" t="e" vm="12">
        <f>_xlfn.XLOOKUP(HistoricalStockProgress[[#This Row],[Company Ticker]],CompanyDetailsList[Company Ticker],CompanyDetailsList[Official Name],,0)</f>
        <v>#VALUE!</v>
      </c>
      <c r="E6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6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632" s="17">
        <f>IFERROR(HistoricalStockProgress[[#This Row],[Cost of Shares]]/HistoricalStockProgress[[#This Row],[No. of Shares]],0)</f>
        <v>82.900834685216523</v>
      </c>
      <c r="H632" s="16" vm="1162">
        <v>74.36</v>
      </c>
      <c r="I632" s="16">
        <f>IF(HistoricalStockProgress[[#This Row],[No. of Shares]]&lt;&gt;0,HistoricalStockProgress[[#This Row],[Price of Shares]]*HistoricalStockProgress[[#This Row],[No. of Shares]],0)</f>
        <v>10782.2</v>
      </c>
      <c r="J632" s="16">
        <f>IF(HistoricalStockProgress[[#This Row],[No. of Shares]]&lt;&gt;0,HistoricalStockProgress[[#This Row],[Price of Shares]]-HistoricalStockProgress[[#This Row],[Cost of Shares]]/HistoricalStockProgress[[#This Row],[No. of Shares]],0)</f>
        <v>-8.5408346852165238</v>
      </c>
      <c r="K632" s="17">
        <f>IF(HistoricalStockProgress[[#This Row],[Total Price of Shares]]&lt;&gt;0,HistoricalStockProgress[[#This Row],[Total Price of Shares]]-HistoricalStockProgress[[#This Row],[Cost of Shares]],0)</f>
        <v>-1238.4210293563956</v>
      </c>
      <c r="L632" s="34" t="b" cm="1">
        <f t="array" ref="L632">IFERROR(IF(HistoricalStockProgress[[#This Row],[Price of Shares]]="",_xlfn.STOCKHISTORY(HistoricalStockProgress[[#This Row],[Full Company Name]],HistoricalStockProgress[[#This Row],[Date]],,2,0,1)),0)</f>
        <v>0</v>
      </c>
      <c r="M632" s="34">
        <f>YEAR(HistoricalStockProgress[[#This Row],[Date]])</f>
        <v>2019</v>
      </c>
      <c r="N632" s="34">
        <f>MONTH(HistoricalStockProgress[[#This Row],[Date]])</f>
        <v>7</v>
      </c>
    </row>
    <row r="633" spans="2:14">
      <c r="B633" s="15">
        <v>43677</v>
      </c>
      <c r="C633" s="34" t="s">
        <v>95</v>
      </c>
      <c r="D633" s="34" t="e" vm="13">
        <f>_xlfn.XLOOKUP(HistoricalStockProgress[[#This Row],[Company Ticker]],CompanyDetailsList[Company Ticker],CompanyDetailsList[Official Name],,0)</f>
        <v>#VALUE!</v>
      </c>
      <c r="E6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6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633" s="17">
        <f>IFERROR(HistoricalStockProgress[[#This Row],[Cost of Shares]]/HistoricalStockProgress[[#This Row],[No. of Shares]],0)</f>
        <v>143.29758396474452</v>
      </c>
      <c r="H633" s="16" vm="1163">
        <v>213.69</v>
      </c>
      <c r="I633" s="16">
        <f>IF(HistoricalStockProgress[[#This Row],[No. of Shares]]&lt;&gt;0,HistoricalStockProgress[[#This Row],[Price of Shares]]*HistoricalStockProgress[[#This Row],[No. of Shares]],0)</f>
        <v>9188.67</v>
      </c>
      <c r="J633" s="16">
        <f>IF(HistoricalStockProgress[[#This Row],[No. of Shares]]&lt;&gt;0,HistoricalStockProgress[[#This Row],[Price of Shares]]-HistoricalStockProgress[[#This Row],[Cost of Shares]]/HistoricalStockProgress[[#This Row],[No. of Shares]],0)</f>
        <v>70.392416035255479</v>
      </c>
      <c r="K633" s="17">
        <f>IF(HistoricalStockProgress[[#This Row],[Total Price of Shares]]&lt;&gt;0,HistoricalStockProgress[[#This Row],[Total Price of Shares]]-HistoricalStockProgress[[#This Row],[Cost of Shares]],0)</f>
        <v>3026.8738895159859</v>
      </c>
      <c r="L633" s="34" t="b" cm="1">
        <f t="array" ref="L633">IFERROR(IF(HistoricalStockProgress[[#This Row],[Price of Shares]]="",_xlfn.STOCKHISTORY(HistoricalStockProgress[[#This Row],[Full Company Name]],HistoricalStockProgress[[#This Row],[Date]],,2,0,1)),0)</f>
        <v>0</v>
      </c>
      <c r="M633" s="34">
        <f>YEAR(HistoricalStockProgress[[#This Row],[Date]])</f>
        <v>2019</v>
      </c>
      <c r="N633" s="34">
        <f>MONTH(HistoricalStockProgress[[#This Row],[Date]])</f>
        <v>7</v>
      </c>
    </row>
    <row r="634" spans="2:14">
      <c r="B634" s="15">
        <v>43677</v>
      </c>
      <c r="C634" s="34" t="s">
        <v>17</v>
      </c>
      <c r="D634" s="34" t="e" vm="14">
        <f>_xlfn.XLOOKUP(HistoricalStockProgress[[#This Row],[Company Ticker]],CompanyDetailsList[Company Ticker],CompanyDetailsList[Official Name],,0)</f>
        <v>#VALUE!</v>
      </c>
      <c r="E6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6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9484.3704371074709</v>
      </c>
      <c r="G634" s="17">
        <f>IFERROR(HistoricalStockProgress[[#This Row],[Cost of Shares]]/HistoricalStockProgress[[#This Row],[No. of Shares]],0)</f>
        <v>150.54556249376938</v>
      </c>
      <c r="H634" s="16" vm="1164">
        <v>148.24</v>
      </c>
      <c r="I634" s="16">
        <f>IF(HistoricalStockProgress[[#This Row],[No. of Shares]]&lt;&gt;0,HistoricalStockProgress[[#This Row],[Price of Shares]]*HistoricalStockProgress[[#This Row],[No. of Shares]],0)</f>
        <v>9339.1200000000008</v>
      </c>
      <c r="J634" s="16">
        <f>IF(HistoricalStockProgress[[#This Row],[No. of Shares]]&lt;&gt;0,HistoricalStockProgress[[#This Row],[Price of Shares]]-HistoricalStockProgress[[#This Row],[Cost of Shares]]/HistoricalStockProgress[[#This Row],[No. of Shares]],0)</f>
        <v>-2.3055624937693722</v>
      </c>
      <c r="K634" s="17">
        <f>IF(HistoricalStockProgress[[#This Row],[Total Price of Shares]]&lt;&gt;0,HistoricalStockProgress[[#This Row],[Total Price of Shares]]-HistoricalStockProgress[[#This Row],[Cost of Shares]],0)</f>
        <v>-145.25043710747013</v>
      </c>
      <c r="L634" s="34" t="b" cm="1">
        <f t="array" ref="L634">IFERROR(IF(HistoricalStockProgress[[#This Row],[Price of Shares]]="",_xlfn.STOCKHISTORY(HistoricalStockProgress[[#This Row],[Full Company Name]],HistoricalStockProgress[[#This Row],[Date]],,2,0,1)),0)</f>
        <v>0</v>
      </c>
      <c r="M634" s="34">
        <f>YEAR(HistoricalStockProgress[[#This Row],[Date]])</f>
        <v>2019</v>
      </c>
      <c r="N634" s="34">
        <f>MONTH(HistoricalStockProgress[[#This Row],[Date]])</f>
        <v>7</v>
      </c>
    </row>
    <row r="635" spans="2:14">
      <c r="B635" s="15">
        <v>43677</v>
      </c>
      <c r="C635" s="34" t="s">
        <v>98</v>
      </c>
      <c r="D635" s="34" t="e" vm="15">
        <f>_xlfn.XLOOKUP(HistoricalStockProgress[[#This Row],[Company Ticker]],CompanyDetailsList[Company Ticker],CompanyDetailsList[Official Name],,0)</f>
        <v>#VALUE!</v>
      </c>
      <c r="E6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6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635" s="17">
        <f>IFERROR(HistoricalStockProgress[[#This Row],[Cost of Shares]]/HistoricalStockProgress[[#This Row],[No. of Shares]],0)</f>
        <v>39.627242008882604</v>
      </c>
      <c r="H635" s="16" vm="1165">
        <v>51.792499999999997</v>
      </c>
      <c r="I635" s="16">
        <f>IF(HistoricalStockProgress[[#This Row],[No. of Shares]]&lt;&gt;0,HistoricalStockProgress[[#This Row],[Price of Shares]]*HistoricalStockProgress[[#This Row],[No. of Shares]],0)</f>
        <v>3780.8525</v>
      </c>
      <c r="J635" s="16">
        <f>IF(HistoricalStockProgress[[#This Row],[No. of Shares]]&lt;&gt;0,HistoricalStockProgress[[#This Row],[Price of Shares]]-HistoricalStockProgress[[#This Row],[Cost of Shares]]/HistoricalStockProgress[[#This Row],[No. of Shares]],0)</f>
        <v>12.165257991117393</v>
      </c>
      <c r="K635" s="17">
        <f>IF(HistoricalStockProgress[[#This Row],[Total Price of Shares]]&lt;&gt;0,HistoricalStockProgress[[#This Row],[Total Price of Shares]]-HistoricalStockProgress[[#This Row],[Cost of Shares]],0)</f>
        <v>888.06383335156988</v>
      </c>
      <c r="L635" s="34" t="b" cm="1">
        <f t="array" ref="L635">IFERROR(IF(HistoricalStockProgress[[#This Row],[Price of Shares]]="",_xlfn.STOCKHISTORY(HistoricalStockProgress[[#This Row],[Full Company Name]],HistoricalStockProgress[[#This Row],[Date]],,2,0,1)),0)</f>
        <v>0</v>
      </c>
      <c r="M635" s="34">
        <f>YEAR(HistoricalStockProgress[[#This Row],[Date]])</f>
        <v>2019</v>
      </c>
      <c r="N635" s="34">
        <f>MONTH(HistoricalStockProgress[[#This Row],[Date]])</f>
        <v>7</v>
      </c>
    </row>
    <row r="636" spans="2:14">
      <c r="B636" s="15">
        <v>43677</v>
      </c>
      <c r="C636" s="34" t="s">
        <v>100</v>
      </c>
      <c r="D636" s="34" t="e" vm="16">
        <f>_xlfn.XLOOKUP(HistoricalStockProgress[[#This Row],[Company Ticker]],CompanyDetailsList[Company Ticker],CompanyDetailsList[Official Name],,0)</f>
        <v>#VALUE!</v>
      </c>
      <c r="E6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74</v>
      </c>
      <c r="F6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6400.3550613930956</v>
      </c>
      <c r="G636" s="17">
        <f>IFERROR(HistoricalStockProgress[[#This Row],[Cost of Shares]]/HistoricalStockProgress[[#This Row],[No. of Shares]],0)</f>
        <v>86.491284613420206</v>
      </c>
      <c r="H636" s="16" vm="1166">
        <v>86.72</v>
      </c>
      <c r="I636" s="16">
        <f>IF(HistoricalStockProgress[[#This Row],[No. of Shares]]&lt;&gt;0,HistoricalStockProgress[[#This Row],[Price of Shares]]*HistoricalStockProgress[[#This Row],[No. of Shares]],0)</f>
        <v>6417.28</v>
      </c>
      <c r="J636" s="16">
        <f>IF(HistoricalStockProgress[[#This Row],[No. of Shares]]&lt;&gt;0,HistoricalStockProgress[[#This Row],[Price of Shares]]-HistoricalStockProgress[[#This Row],[Cost of Shares]]/HistoricalStockProgress[[#This Row],[No. of Shares]],0)</f>
        <v>0.22871538657979329</v>
      </c>
      <c r="K636" s="17">
        <f>IF(HistoricalStockProgress[[#This Row],[Total Price of Shares]]&lt;&gt;0,HistoricalStockProgress[[#This Row],[Total Price of Shares]]-HistoricalStockProgress[[#This Row],[Cost of Shares]],0)</f>
        <v>16.924938606904107</v>
      </c>
      <c r="L636" s="34" t="b" cm="1">
        <f t="array" ref="L636">IFERROR(IF(HistoricalStockProgress[[#This Row],[Price of Shares]]="",_xlfn.STOCKHISTORY(HistoricalStockProgress[[#This Row],[Full Company Name]],HistoricalStockProgress[[#This Row],[Date]],,2,0,1)),0)</f>
        <v>0</v>
      </c>
      <c r="M636" s="34">
        <f>YEAR(HistoricalStockProgress[[#This Row],[Date]])</f>
        <v>2019</v>
      </c>
      <c r="N636" s="34">
        <f>MONTH(HistoricalStockProgress[[#This Row],[Date]])</f>
        <v>7</v>
      </c>
    </row>
    <row r="637" spans="2:14">
      <c r="B637" s="15">
        <v>43677</v>
      </c>
      <c r="C637" s="34" t="s">
        <v>15</v>
      </c>
      <c r="D637" s="34" t="e" vm="17">
        <f>_xlfn.XLOOKUP(HistoricalStockProgress[[#This Row],[Company Ticker]],CompanyDetailsList[Company Ticker],CompanyDetailsList[Official Name],,0)</f>
        <v>#VALUE!</v>
      </c>
      <c r="E6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6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637" s="17">
        <f>IFERROR(HistoricalStockProgress[[#This Row],[Cost of Shares]]/HistoricalStockProgress[[#This Row],[No. of Shares]],0)</f>
        <v>26.081956457072195</v>
      </c>
      <c r="H637" s="16" vm="1167">
        <v>25.713899999999999</v>
      </c>
      <c r="I637" s="16">
        <f>IF(HistoricalStockProgress[[#This Row],[No. of Shares]]&lt;&gt;0,HistoricalStockProgress[[#This Row],[Price of Shares]]*HistoricalStockProgress[[#This Row],[No. of Shares]],0)</f>
        <v>3188.5236</v>
      </c>
      <c r="J637" s="16">
        <f>IF(HistoricalStockProgress[[#This Row],[No. of Shares]]&lt;&gt;0,HistoricalStockProgress[[#This Row],[Price of Shares]]-HistoricalStockProgress[[#This Row],[Cost of Shares]]/HistoricalStockProgress[[#This Row],[No. of Shares]],0)</f>
        <v>-0.36805645707219625</v>
      </c>
      <c r="K637" s="17">
        <f>IF(HistoricalStockProgress[[#This Row],[Total Price of Shares]]&lt;&gt;0,HistoricalStockProgress[[#This Row],[Total Price of Shares]]-HistoricalStockProgress[[#This Row],[Cost of Shares]],0)</f>
        <v>-45.639000676952037</v>
      </c>
      <c r="L637" s="34" t="b" cm="1">
        <f t="array" ref="L637">IFERROR(IF(HistoricalStockProgress[[#This Row],[Price of Shares]]="",_xlfn.STOCKHISTORY(HistoricalStockProgress[[#This Row],[Full Company Name]],HistoricalStockProgress[[#This Row],[Date]],,2,0,1)),0)</f>
        <v>0</v>
      </c>
      <c r="M637" s="34">
        <f>YEAR(HistoricalStockProgress[[#This Row],[Date]])</f>
        <v>2019</v>
      </c>
      <c r="N637" s="34">
        <f>MONTH(HistoricalStockProgress[[#This Row],[Date]])</f>
        <v>7</v>
      </c>
    </row>
    <row r="638" spans="2:14">
      <c r="B638" s="15">
        <v>43677</v>
      </c>
      <c r="C638" s="34" t="s">
        <v>13</v>
      </c>
      <c r="D638" s="34" t="e" vm="18">
        <f>_xlfn.XLOOKUP(HistoricalStockProgress[[#This Row],[Company Ticker]],CompanyDetailsList[Company Ticker],CompanyDetailsList[Official Name],,0)</f>
        <v>#VALUE!</v>
      </c>
      <c r="E6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6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638" s="17">
        <f>IFERROR(HistoricalStockProgress[[#This Row],[Cost of Shares]]/HistoricalStockProgress[[#This Row],[No. of Shares]],0)</f>
        <v>35.846938938346874</v>
      </c>
      <c r="H638" s="16" vm="1168">
        <v>36.818399999999997</v>
      </c>
      <c r="I638" s="16">
        <f>IF(HistoricalStockProgress[[#This Row],[No. of Shares]]&lt;&gt;0,HistoricalStockProgress[[#This Row],[Price of Shares]]*HistoricalStockProgress[[#This Row],[No. of Shares]],0)</f>
        <v>2025.0119999999997</v>
      </c>
      <c r="J638" s="16">
        <f>IF(HistoricalStockProgress[[#This Row],[No. of Shares]]&lt;&gt;0,HistoricalStockProgress[[#This Row],[Price of Shares]]-HistoricalStockProgress[[#This Row],[Cost of Shares]]/HistoricalStockProgress[[#This Row],[No. of Shares]],0)</f>
        <v>0.97146106165312318</v>
      </c>
      <c r="K638" s="17">
        <f>IF(HistoricalStockProgress[[#This Row],[Total Price of Shares]]&lt;&gt;0,HistoricalStockProgress[[#This Row],[Total Price of Shares]]-HistoricalStockProgress[[#This Row],[Cost of Shares]],0)</f>
        <v>53.430358390921583</v>
      </c>
      <c r="L638" s="34" t="b" cm="1">
        <f t="array" ref="L638">IFERROR(IF(HistoricalStockProgress[[#This Row],[Price of Shares]]="",_xlfn.STOCKHISTORY(HistoricalStockProgress[[#This Row],[Full Company Name]],HistoricalStockProgress[[#This Row],[Date]],,2,0,1)),0)</f>
        <v>0</v>
      </c>
      <c r="M638" s="34">
        <f>YEAR(HistoricalStockProgress[[#This Row],[Date]])</f>
        <v>2019</v>
      </c>
      <c r="N638" s="34">
        <f>MONTH(HistoricalStockProgress[[#This Row],[Date]])</f>
        <v>7</v>
      </c>
    </row>
    <row r="639" spans="2:14">
      <c r="B639" s="15">
        <v>43677</v>
      </c>
      <c r="C639" s="34" t="s">
        <v>20</v>
      </c>
      <c r="D639" s="34" t="e" vm="19">
        <f>_xlfn.XLOOKUP(HistoricalStockProgress[[#This Row],[Company Ticker]],CompanyDetailsList[Company Ticker],CompanyDetailsList[Official Name],,0)</f>
        <v>#VALUE!</v>
      </c>
      <c r="E6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6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639" s="17">
        <f>IFERROR(HistoricalStockProgress[[#This Row],[Cost of Shares]]/HistoricalStockProgress[[#This Row],[No. of Shares]],0)</f>
        <v>93.912242833589502</v>
      </c>
      <c r="H639" s="16" vm="1169">
        <v>116</v>
      </c>
      <c r="I639" s="16">
        <f>IF(HistoricalStockProgress[[#This Row],[No. of Shares]]&lt;&gt;0,HistoricalStockProgress[[#This Row],[Price of Shares]]*HistoricalStockProgress[[#This Row],[No. of Shares]],0)</f>
        <v>9048</v>
      </c>
      <c r="J639" s="16">
        <f>IF(HistoricalStockProgress[[#This Row],[No. of Shares]]&lt;&gt;0,HistoricalStockProgress[[#This Row],[Price of Shares]]-HistoricalStockProgress[[#This Row],[Cost of Shares]]/HistoricalStockProgress[[#This Row],[No. of Shares]],0)</f>
        <v>22.087757166410498</v>
      </c>
      <c r="K639" s="17">
        <f>IF(HistoricalStockProgress[[#This Row],[Total Price of Shares]]&lt;&gt;0,HistoricalStockProgress[[#This Row],[Total Price of Shares]]-HistoricalStockProgress[[#This Row],[Cost of Shares]],0)</f>
        <v>1722.8450589800186</v>
      </c>
      <c r="L639" s="34" t="b" cm="1">
        <f t="array" ref="L639">IFERROR(IF(HistoricalStockProgress[[#This Row],[Price of Shares]]="",_xlfn.STOCKHISTORY(HistoricalStockProgress[[#This Row],[Full Company Name]],HistoricalStockProgress[[#This Row],[Date]],,2,0,1)),0)</f>
        <v>0</v>
      </c>
      <c r="M639" s="34">
        <f>YEAR(HistoricalStockProgress[[#This Row],[Date]])</f>
        <v>2019</v>
      </c>
      <c r="N639" s="34">
        <f>MONTH(HistoricalStockProgress[[#This Row],[Date]])</f>
        <v>7</v>
      </c>
    </row>
    <row r="640" spans="2:14">
      <c r="B640" s="15">
        <v>43677</v>
      </c>
      <c r="C640" s="34" t="s">
        <v>106</v>
      </c>
      <c r="D640" s="34" t="e" vm="20">
        <f>_xlfn.XLOOKUP(HistoricalStockProgress[[#This Row],[Company Ticker]],CompanyDetailsList[Company Ticker],CompanyDetailsList[Official Name],,0)</f>
        <v>#VALUE!</v>
      </c>
      <c r="E6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52</v>
      </c>
      <c r="F6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5315.8302476196659</v>
      </c>
      <c r="G640" s="17">
        <f>IFERROR(HistoricalStockProgress[[#This Row],[Cost of Shares]]/HistoricalStockProgress[[#This Row],[No. of Shares]],0)</f>
        <v>102.22750476191665</v>
      </c>
      <c r="H640" s="16" vm="1170">
        <v>117.39</v>
      </c>
      <c r="I640" s="16">
        <f>IF(HistoricalStockProgress[[#This Row],[No. of Shares]]&lt;&gt;0,HistoricalStockProgress[[#This Row],[Price of Shares]]*HistoricalStockProgress[[#This Row],[No. of Shares]],0)</f>
        <v>6104.28</v>
      </c>
      <c r="J640" s="16">
        <f>IF(HistoricalStockProgress[[#This Row],[No. of Shares]]&lt;&gt;0,HistoricalStockProgress[[#This Row],[Price of Shares]]-HistoricalStockProgress[[#This Row],[Cost of Shares]]/HistoricalStockProgress[[#This Row],[No. of Shares]],0)</f>
        <v>15.162495238083352</v>
      </c>
      <c r="K640" s="17">
        <f>IF(HistoricalStockProgress[[#This Row],[Total Price of Shares]]&lt;&gt;0,HistoricalStockProgress[[#This Row],[Total Price of Shares]]-HistoricalStockProgress[[#This Row],[Cost of Shares]],0)</f>
        <v>788.44975238033385</v>
      </c>
      <c r="L640" s="34" t="b" cm="1">
        <f t="array" ref="L640">IFERROR(IF(HistoricalStockProgress[[#This Row],[Price of Shares]]="",_xlfn.STOCKHISTORY(HistoricalStockProgress[[#This Row],[Full Company Name]],HistoricalStockProgress[[#This Row],[Date]],,2,0,1)),0)</f>
        <v>0</v>
      </c>
      <c r="M640" s="34">
        <f>YEAR(HistoricalStockProgress[[#This Row],[Date]])</f>
        <v>2019</v>
      </c>
      <c r="N640" s="34">
        <f>MONTH(HistoricalStockProgress[[#This Row],[Date]])</f>
        <v>7</v>
      </c>
    </row>
    <row r="641" spans="2:14">
      <c r="B641" s="15">
        <v>43708</v>
      </c>
      <c r="C641" s="34" t="s">
        <v>12</v>
      </c>
      <c r="D641" s="34" t="e" vm="1">
        <f>_xlfn.XLOOKUP(HistoricalStockProgress[[#This Row],[Company Ticker]],CompanyDetailsList[Company Ticker],CompanyDetailsList[Official Name],,0)</f>
        <v>#VALUE!</v>
      </c>
      <c r="E6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6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1953.8799010350301</v>
      </c>
      <c r="G641" s="17">
        <f>IFERROR(HistoricalStockProgress[[#This Row],[Cost of Shares]]/HistoricalStockProgress[[#This Row],[No. of Shares]],0)</f>
        <v>67.375169001207937</v>
      </c>
      <c r="H641" s="16" vm="1171">
        <v>73.81</v>
      </c>
      <c r="I641" s="16">
        <f>IF(HistoricalStockProgress[[#This Row],[No. of Shares]]&lt;&gt;0,HistoricalStockProgress[[#This Row],[Price of Shares]]*HistoricalStockProgress[[#This Row],[No. of Shares]],0)</f>
        <v>2140.4900000000002</v>
      </c>
      <c r="J641" s="16">
        <f>IF(HistoricalStockProgress[[#This Row],[No. of Shares]]&lt;&gt;0,HistoricalStockProgress[[#This Row],[Price of Shares]]-HistoricalStockProgress[[#This Row],[Cost of Shares]]/HistoricalStockProgress[[#This Row],[No. of Shares]],0)</f>
        <v>6.4348309987920658</v>
      </c>
      <c r="K641" s="17">
        <f>IF(HistoricalStockProgress[[#This Row],[Total Price of Shares]]&lt;&gt;0,HistoricalStockProgress[[#This Row],[Total Price of Shares]]-HistoricalStockProgress[[#This Row],[Cost of Shares]],0)</f>
        <v>186.61009896497012</v>
      </c>
      <c r="L641" s="34" t="b" cm="1">
        <f t="array" ref="L641">IFERROR(IF(HistoricalStockProgress[[#This Row],[Price of Shares]]="",_xlfn.STOCKHISTORY(HistoricalStockProgress[[#This Row],[Full Company Name]],HistoricalStockProgress[[#This Row],[Date]],,2,0,1)),0)</f>
        <v>0</v>
      </c>
      <c r="M641" s="34">
        <f>YEAR(HistoricalStockProgress[[#This Row],[Date]])</f>
        <v>2019</v>
      </c>
      <c r="N641" s="34">
        <f>MONTH(HistoricalStockProgress[[#This Row],[Date]])</f>
        <v>8</v>
      </c>
    </row>
    <row r="642" spans="2:14">
      <c r="B642" s="15">
        <v>43708</v>
      </c>
      <c r="C642" s="34" t="s">
        <v>19</v>
      </c>
      <c r="D642" s="34" t="e" vm="3">
        <f>_xlfn.XLOOKUP(HistoricalStockProgress[[#This Row],[Company Ticker]],CompanyDetailsList[Company Ticker],CompanyDetailsList[Official Name],,0)</f>
        <v>#VALUE!</v>
      </c>
      <c r="E6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32</v>
      </c>
      <c r="F6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5052.8411971764708</v>
      </c>
      <c r="G642" s="17">
        <f>IFERROR(HistoricalStockProgress[[#This Row],[Cost of Shares]]/HistoricalStockProgress[[#This Row],[No. of Shares]],0)</f>
        <v>157.90128741176471</v>
      </c>
      <c r="H642" s="16" vm="1172">
        <v>158.16</v>
      </c>
      <c r="I642" s="16">
        <f>IF(HistoricalStockProgress[[#This Row],[No. of Shares]]&lt;&gt;0,HistoricalStockProgress[[#This Row],[Price of Shares]]*HistoricalStockProgress[[#This Row],[No. of Shares]],0)</f>
        <v>5061.12</v>
      </c>
      <c r="J642" s="16">
        <f>IF(HistoricalStockProgress[[#This Row],[No. of Shares]]&lt;&gt;0,HistoricalStockProgress[[#This Row],[Price of Shares]]-HistoricalStockProgress[[#This Row],[Cost of Shares]]/HistoricalStockProgress[[#This Row],[No. of Shares]],0)</f>
        <v>0.25871258823528365</v>
      </c>
      <c r="K642" s="17">
        <f>IF(HistoricalStockProgress[[#This Row],[Total Price of Shares]]&lt;&gt;0,HistoricalStockProgress[[#This Row],[Total Price of Shares]]-HistoricalStockProgress[[#This Row],[Cost of Shares]],0)</f>
        <v>8.2788028235290767</v>
      </c>
      <c r="L642" s="34" t="b" cm="1">
        <f t="array" ref="L642">IFERROR(IF(HistoricalStockProgress[[#This Row],[Price of Shares]]="",_xlfn.STOCKHISTORY(HistoricalStockProgress[[#This Row],[Full Company Name]],HistoricalStockProgress[[#This Row],[Date]],,2,0,1)),0)</f>
        <v>0</v>
      </c>
      <c r="M642" s="34">
        <f>YEAR(HistoricalStockProgress[[#This Row],[Date]])</f>
        <v>2019</v>
      </c>
      <c r="N642" s="34">
        <f>MONTH(HistoricalStockProgress[[#This Row],[Date]])</f>
        <v>8</v>
      </c>
    </row>
    <row r="643" spans="2:14">
      <c r="B643" s="15">
        <v>43708</v>
      </c>
      <c r="C643" s="34" t="s">
        <v>23</v>
      </c>
      <c r="D643" s="34" t="e" vm="4">
        <f>_xlfn.XLOOKUP(HistoricalStockProgress[[#This Row],[Company Ticker]],CompanyDetailsList[Company Ticker],CompanyDetailsList[Official Name],,0)</f>
        <v>#VALUE!</v>
      </c>
      <c r="E6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6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643" s="17">
        <f>IFERROR(HistoricalStockProgress[[#This Row],[Cost of Shares]]/HistoricalStockProgress[[#This Row],[No. of Shares]],0)</f>
        <v>45.768494888570878</v>
      </c>
      <c r="H643" s="16" vm="1173">
        <v>55.04</v>
      </c>
      <c r="I643" s="16">
        <f>IF(HistoricalStockProgress[[#This Row],[No. of Shares]]&lt;&gt;0,HistoricalStockProgress[[#This Row],[Price of Shares]]*HistoricalStockProgress[[#This Row],[No. of Shares]],0)</f>
        <v>3192.32</v>
      </c>
      <c r="J643" s="16">
        <f>IF(HistoricalStockProgress[[#This Row],[No. of Shares]]&lt;&gt;0,HistoricalStockProgress[[#This Row],[Price of Shares]]-HistoricalStockProgress[[#This Row],[Cost of Shares]]/HistoricalStockProgress[[#This Row],[No. of Shares]],0)</f>
        <v>9.2715051114291214</v>
      </c>
      <c r="K643" s="17">
        <f>IF(HistoricalStockProgress[[#This Row],[Total Price of Shares]]&lt;&gt;0,HistoricalStockProgress[[#This Row],[Total Price of Shares]]-HistoricalStockProgress[[#This Row],[Cost of Shares]],0)</f>
        <v>537.74729646288915</v>
      </c>
      <c r="L643" s="34" t="b" cm="1">
        <f t="array" ref="L643">IFERROR(IF(HistoricalStockProgress[[#This Row],[Price of Shares]]="",_xlfn.STOCKHISTORY(HistoricalStockProgress[[#This Row],[Full Company Name]],HistoricalStockProgress[[#This Row],[Date]],,2,0,1)),0)</f>
        <v>0</v>
      </c>
      <c r="M643" s="34">
        <f>YEAR(HistoricalStockProgress[[#This Row],[Date]])</f>
        <v>2019</v>
      </c>
      <c r="N643" s="34">
        <f>MONTH(HistoricalStockProgress[[#This Row],[Date]])</f>
        <v>8</v>
      </c>
    </row>
    <row r="644" spans="2:14">
      <c r="B644" s="15">
        <v>43708</v>
      </c>
      <c r="C644" s="34" t="s">
        <v>84</v>
      </c>
      <c r="D644" s="34" t="e" vm="7">
        <f>_xlfn.XLOOKUP(HistoricalStockProgress[[#This Row],[Company Ticker]],CompanyDetailsList[Company Ticker],CompanyDetailsList[Official Name],,0)</f>
        <v>#VALUE!</v>
      </c>
      <c r="E6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6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644" s="17">
        <f>IFERROR(HistoricalStockProgress[[#This Row],[Cost of Shares]]/HistoricalStockProgress[[#This Row],[No. of Shares]],0)</f>
        <v>104.18087504950869</v>
      </c>
      <c r="H644" s="16" vm="1174">
        <v>128.36000000000001</v>
      </c>
      <c r="I644" s="16">
        <f>IF(HistoricalStockProgress[[#This Row],[No. of Shares]]&lt;&gt;0,HistoricalStockProgress[[#This Row],[Price of Shares]]*HistoricalStockProgress[[#This Row],[No. of Shares]],0)</f>
        <v>6546.3600000000006</v>
      </c>
      <c r="J644" s="16">
        <f>IF(HistoricalStockProgress[[#This Row],[No. of Shares]]&lt;&gt;0,HistoricalStockProgress[[#This Row],[Price of Shares]]-HistoricalStockProgress[[#This Row],[Cost of Shares]]/HistoricalStockProgress[[#This Row],[No. of Shares]],0)</f>
        <v>24.179124950491328</v>
      </c>
      <c r="K644" s="17">
        <f>IF(HistoricalStockProgress[[#This Row],[Total Price of Shares]]&lt;&gt;0,HistoricalStockProgress[[#This Row],[Total Price of Shares]]-HistoricalStockProgress[[#This Row],[Cost of Shares]],0)</f>
        <v>1233.1353724750579</v>
      </c>
      <c r="L644" s="34" t="b" cm="1">
        <f t="array" ref="L644">IFERROR(IF(HistoricalStockProgress[[#This Row],[Price of Shares]]="",_xlfn.STOCKHISTORY(HistoricalStockProgress[[#This Row],[Full Company Name]],HistoricalStockProgress[[#This Row],[Date]],,2,0,1)),0)</f>
        <v>0</v>
      </c>
      <c r="M644" s="34">
        <f>YEAR(HistoricalStockProgress[[#This Row],[Date]])</f>
        <v>2019</v>
      </c>
      <c r="N644" s="34">
        <f>MONTH(HistoricalStockProgress[[#This Row],[Date]])</f>
        <v>8</v>
      </c>
    </row>
    <row r="645" spans="2:14">
      <c r="B645" s="15">
        <v>43708</v>
      </c>
      <c r="C645" s="34" t="s">
        <v>86</v>
      </c>
      <c r="D645" s="34" t="e" vm="8">
        <f>_xlfn.XLOOKUP(HistoricalStockProgress[[#This Row],[Company Ticker]],CompanyDetailsList[Company Ticker],CompanyDetailsList[Official Name],,0)</f>
        <v>#VALUE!</v>
      </c>
      <c r="E6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6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645" s="17">
        <f>IFERROR(HistoricalStockProgress[[#This Row],[Cost of Shares]]/HistoricalStockProgress[[#This Row],[No. of Shares]],0)</f>
        <v>85.876031764920896</v>
      </c>
      <c r="H645" s="16" vm="1175">
        <v>65.739999999999995</v>
      </c>
      <c r="I645" s="16">
        <f>IF(HistoricalStockProgress[[#This Row],[No. of Shares]]&lt;&gt;0,HistoricalStockProgress[[#This Row],[Price of Shares]]*HistoricalStockProgress[[#This Row],[No. of Shares]],0)</f>
        <v>3484.22</v>
      </c>
      <c r="J645" s="16">
        <f>IF(HistoricalStockProgress[[#This Row],[No. of Shares]]&lt;&gt;0,HistoricalStockProgress[[#This Row],[Price of Shares]]-HistoricalStockProgress[[#This Row],[Cost of Shares]]/HistoricalStockProgress[[#This Row],[No. of Shares]],0)</f>
        <v>-20.136031764920901</v>
      </c>
      <c r="K645" s="17">
        <f>IF(HistoricalStockProgress[[#This Row],[Total Price of Shares]]&lt;&gt;0,HistoricalStockProgress[[#This Row],[Total Price of Shares]]-HistoricalStockProgress[[#This Row],[Cost of Shares]],0)</f>
        <v>-1067.2096835408079</v>
      </c>
      <c r="L645" s="34" t="b" cm="1">
        <f t="array" ref="L645">IFERROR(IF(HistoricalStockProgress[[#This Row],[Price of Shares]]="",_xlfn.STOCKHISTORY(HistoricalStockProgress[[#This Row],[Full Company Name]],HistoricalStockProgress[[#This Row],[Date]],,2,0,1)),0)</f>
        <v>0</v>
      </c>
      <c r="M645" s="34">
        <f>YEAR(HistoricalStockProgress[[#This Row],[Date]])</f>
        <v>2019</v>
      </c>
      <c r="N645" s="34">
        <f>MONTH(HistoricalStockProgress[[#This Row],[Date]])</f>
        <v>8</v>
      </c>
    </row>
    <row r="646" spans="2:14">
      <c r="B646" s="15">
        <v>43708</v>
      </c>
      <c r="C646" s="34" t="s">
        <v>88</v>
      </c>
      <c r="D646" s="34" t="e" vm="9">
        <f>_xlfn.XLOOKUP(HistoricalStockProgress[[#This Row],[Company Ticker]],CompanyDetailsList[Company Ticker],CompanyDetailsList[Official Name],,0)</f>
        <v>#VALUE!</v>
      </c>
      <c r="E6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v>
      </c>
      <c r="F6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4283.7073138981596</v>
      </c>
      <c r="G646" s="17">
        <f>IFERROR(HistoricalStockProgress[[#This Row],[Cost of Shares]]/HistoricalStockProgress[[#This Row],[No. of Shares]],0)</f>
        <v>214.18536569490797</v>
      </c>
      <c r="H646" s="16" vm="1176">
        <v>217.97</v>
      </c>
      <c r="I646" s="16">
        <f>IF(HistoricalStockProgress[[#This Row],[No. of Shares]]&lt;&gt;0,HistoricalStockProgress[[#This Row],[Price of Shares]]*HistoricalStockProgress[[#This Row],[No. of Shares]],0)</f>
        <v>4359.3999999999996</v>
      </c>
      <c r="J646" s="16">
        <f>IF(HistoricalStockProgress[[#This Row],[No. of Shares]]&lt;&gt;0,HistoricalStockProgress[[#This Row],[Price of Shares]]-HistoricalStockProgress[[#This Row],[Cost of Shares]]/HistoricalStockProgress[[#This Row],[No. of Shares]],0)</f>
        <v>3.7846343050920268</v>
      </c>
      <c r="K646" s="17">
        <f>IF(HistoricalStockProgress[[#This Row],[Total Price of Shares]]&lt;&gt;0,HistoricalStockProgress[[#This Row],[Total Price of Shares]]-HistoricalStockProgress[[#This Row],[Cost of Shares]],0)</f>
        <v>75.692686101840081</v>
      </c>
      <c r="L646" s="34" t="b" cm="1">
        <f t="array" ref="L646">IFERROR(IF(HistoricalStockProgress[[#This Row],[Price of Shares]]="",_xlfn.STOCKHISTORY(HistoricalStockProgress[[#This Row],[Full Company Name]],HistoricalStockProgress[[#This Row],[Date]],,2,0,1)),0)</f>
        <v>0</v>
      </c>
      <c r="M646" s="34">
        <f>YEAR(HistoricalStockProgress[[#This Row],[Date]])</f>
        <v>2019</v>
      </c>
      <c r="N646" s="34">
        <f>MONTH(HistoricalStockProgress[[#This Row],[Date]])</f>
        <v>8</v>
      </c>
    </row>
    <row r="647" spans="2:14">
      <c r="B647" s="15">
        <v>43708</v>
      </c>
      <c r="C647" s="34" t="s">
        <v>22</v>
      </c>
      <c r="D647" s="34" t="e" vm="10">
        <f>_xlfn.XLOOKUP(HistoricalStockProgress[[#This Row],[Company Ticker]],CompanyDetailsList[Company Ticker],CompanyDetailsList[Official Name],,0)</f>
        <v>#VALUE!</v>
      </c>
      <c r="E6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6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647" s="17">
        <f>IFERROR(HistoricalStockProgress[[#This Row],[Cost of Shares]]/HistoricalStockProgress[[#This Row],[No. of Shares]],0)</f>
        <v>96.351727068187571</v>
      </c>
      <c r="H647" s="16" vm="1177">
        <v>119</v>
      </c>
      <c r="I647" s="16">
        <f>IF(HistoricalStockProgress[[#This Row],[No. of Shares]]&lt;&gt;0,HistoricalStockProgress[[#This Row],[Price of Shares]]*HistoricalStockProgress[[#This Row],[No. of Shares]],0)</f>
        <v>9639</v>
      </c>
      <c r="J647" s="16">
        <f>IF(HistoricalStockProgress[[#This Row],[No. of Shares]]&lt;&gt;0,HistoricalStockProgress[[#This Row],[Price of Shares]]-HistoricalStockProgress[[#This Row],[Cost of Shares]]/HistoricalStockProgress[[#This Row],[No. of Shares]],0)</f>
        <v>22.648272931812429</v>
      </c>
      <c r="K647" s="17">
        <f>IF(HistoricalStockProgress[[#This Row],[Total Price of Shares]]&lt;&gt;0,HistoricalStockProgress[[#This Row],[Total Price of Shares]]-HistoricalStockProgress[[#This Row],[Cost of Shares]],0)</f>
        <v>1834.5101074768072</v>
      </c>
      <c r="L647" s="34" t="b" cm="1">
        <f t="array" ref="L647">IFERROR(IF(HistoricalStockProgress[[#This Row],[Price of Shares]]="",_xlfn.STOCKHISTORY(HistoricalStockProgress[[#This Row],[Full Company Name]],HistoricalStockProgress[[#This Row],[Date]],,2,0,1)),0)</f>
        <v>0</v>
      </c>
      <c r="M647" s="34">
        <f>YEAR(HistoricalStockProgress[[#This Row],[Date]])</f>
        <v>2019</v>
      </c>
      <c r="N647" s="34">
        <f>MONTH(HistoricalStockProgress[[#This Row],[Date]])</f>
        <v>8</v>
      </c>
    </row>
    <row r="648" spans="2:14">
      <c r="B648" s="15">
        <v>43708</v>
      </c>
      <c r="C648" s="34" t="s">
        <v>91</v>
      </c>
      <c r="D648" s="34" t="e" vm="11">
        <f>_xlfn.XLOOKUP(HistoricalStockProgress[[#This Row],[Company Ticker]],CompanyDetailsList[Company Ticker],CompanyDetailsList[Official Name],,0)</f>
        <v>#VALUE!</v>
      </c>
      <c r="E6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6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7639.549422502746</v>
      </c>
      <c r="G648" s="17">
        <f>IFERROR(HistoricalStockProgress[[#This Row],[Cost of Shares]]/HistoricalStockProgress[[#This Row],[No. of Shares]],0)</f>
        <v>72.071220967007037</v>
      </c>
      <c r="H648" s="16" vm="1178">
        <v>137.86000000000001</v>
      </c>
      <c r="I648" s="16">
        <f>IF(HistoricalStockProgress[[#This Row],[No. of Shares]]&lt;&gt;0,HistoricalStockProgress[[#This Row],[Price of Shares]]*HistoricalStockProgress[[#This Row],[No. of Shares]],0)</f>
        <v>14613.160000000002</v>
      </c>
      <c r="J648" s="16">
        <f>IF(HistoricalStockProgress[[#This Row],[No. of Shares]]&lt;&gt;0,HistoricalStockProgress[[#This Row],[Price of Shares]]-HistoricalStockProgress[[#This Row],[Cost of Shares]]/HistoricalStockProgress[[#This Row],[No. of Shares]],0)</f>
        <v>65.788779032992977</v>
      </c>
      <c r="K648" s="17">
        <f>IF(HistoricalStockProgress[[#This Row],[Total Price of Shares]]&lt;&gt;0,HistoricalStockProgress[[#This Row],[Total Price of Shares]]-HistoricalStockProgress[[#This Row],[Cost of Shares]],0)</f>
        <v>6973.6105774972557</v>
      </c>
      <c r="L648" s="34" t="b" cm="1">
        <f t="array" ref="L648">IFERROR(IF(HistoricalStockProgress[[#This Row],[Price of Shares]]="",_xlfn.STOCKHISTORY(HistoricalStockProgress[[#This Row],[Full Company Name]],HistoricalStockProgress[[#This Row],[Date]],,2,0,1)),0)</f>
        <v>0</v>
      </c>
      <c r="M648" s="34">
        <f>YEAR(HistoricalStockProgress[[#This Row],[Date]])</f>
        <v>2019</v>
      </c>
      <c r="N648" s="34">
        <f>MONTH(HistoricalStockProgress[[#This Row],[Date]])</f>
        <v>8</v>
      </c>
    </row>
    <row r="649" spans="2:14">
      <c r="B649" s="15">
        <v>43708</v>
      </c>
      <c r="C649" s="34" t="s">
        <v>16</v>
      </c>
      <c r="D649" s="34" t="e" vm="12">
        <f>_xlfn.XLOOKUP(HistoricalStockProgress[[#This Row],[Company Ticker]],CompanyDetailsList[Company Ticker],CompanyDetailsList[Official Name],,0)</f>
        <v>#VALUE!</v>
      </c>
      <c r="E6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6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649" s="17">
        <f>IFERROR(HistoricalStockProgress[[#This Row],[Cost of Shares]]/HistoricalStockProgress[[#This Row],[No. of Shares]],0)</f>
        <v>82.900834685216523</v>
      </c>
      <c r="H649" s="16" vm="1179">
        <v>68.48</v>
      </c>
      <c r="I649" s="16">
        <f>IF(HistoricalStockProgress[[#This Row],[No. of Shares]]&lt;&gt;0,HistoricalStockProgress[[#This Row],[Price of Shares]]*HistoricalStockProgress[[#This Row],[No. of Shares]],0)</f>
        <v>9929.6</v>
      </c>
      <c r="J649" s="16">
        <f>IF(HistoricalStockProgress[[#This Row],[No. of Shares]]&lt;&gt;0,HistoricalStockProgress[[#This Row],[Price of Shares]]-HistoricalStockProgress[[#This Row],[Cost of Shares]]/HistoricalStockProgress[[#This Row],[No. of Shares]],0)</f>
        <v>-14.420834685216519</v>
      </c>
      <c r="K649" s="17">
        <f>IF(HistoricalStockProgress[[#This Row],[Total Price of Shares]]&lt;&gt;0,HistoricalStockProgress[[#This Row],[Total Price of Shares]]-HistoricalStockProgress[[#This Row],[Cost of Shares]],0)</f>
        <v>-2091.021029356396</v>
      </c>
      <c r="L649" s="34" t="b" cm="1">
        <f t="array" ref="L649">IFERROR(IF(HistoricalStockProgress[[#This Row],[Price of Shares]]="",_xlfn.STOCKHISTORY(HistoricalStockProgress[[#This Row],[Full Company Name]],HistoricalStockProgress[[#This Row],[Date]],,2,0,1)),0)</f>
        <v>0</v>
      </c>
      <c r="M649" s="34">
        <f>YEAR(HistoricalStockProgress[[#This Row],[Date]])</f>
        <v>2019</v>
      </c>
      <c r="N649" s="34">
        <f>MONTH(HistoricalStockProgress[[#This Row],[Date]])</f>
        <v>8</v>
      </c>
    </row>
    <row r="650" spans="2:14">
      <c r="B650" s="15">
        <v>43708</v>
      </c>
      <c r="C650" s="34" t="s">
        <v>95</v>
      </c>
      <c r="D650" s="34" t="e" vm="13">
        <f>_xlfn.XLOOKUP(HistoricalStockProgress[[#This Row],[Company Ticker]],CompanyDetailsList[Company Ticker],CompanyDetailsList[Official Name],,0)</f>
        <v>#VALUE!</v>
      </c>
      <c r="E6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6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650" s="17">
        <f>IFERROR(HistoricalStockProgress[[#This Row],[Cost of Shares]]/HistoricalStockProgress[[#This Row],[No. of Shares]],0)</f>
        <v>143.29758396474452</v>
      </c>
      <c r="H650" s="16" vm="1180">
        <v>227.91</v>
      </c>
      <c r="I650" s="16">
        <f>IF(HistoricalStockProgress[[#This Row],[No. of Shares]]&lt;&gt;0,HistoricalStockProgress[[#This Row],[Price of Shares]]*HistoricalStockProgress[[#This Row],[No. of Shares]],0)</f>
        <v>9800.1299999999992</v>
      </c>
      <c r="J650" s="16">
        <f>IF(HistoricalStockProgress[[#This Row],[No. of Shares]]&lt;&gt;0,HistoricalStockProgress[[#This Row],[Price of Shares]]-HistoricalStockProgress[[#This Row],[Cost of Shares]]/HistoricalStockProgress[[#This Row],[No. of Shares]],0)</f>
        <v>84.612416035255478</v>
      </c>
      <c r="K650" s="17">
        <f>IF(HistoricalStockProgress[[#This Row],[Total Price of Shares]]&lt;&gt;0,HistoricalStockProgress[[#This Row],[Total Price of Shares]]-HistoricalStockProgress[[#This Row],[Cost of Shares]],0)</f>
        <v>3638.333889515985</v>
      </c>
      <c r="L650" s="34" t="b" cm="1">
        <f t="array" ref="L650">IFERROR(IF(HistoricalStockProgress[[#This Row],[Price of Shares]]="",_xlfn.STOCKHISTORY(HistoricalStockProgress[[#This Row],[Full Company Name]],HistoricalStockProgress[[#This Row],[Date]],,2,0,1)),0)</f>
        <v>0</v>
      </c>
      <c r="M650" s="34">
        <f>YEAR(HistoricalStockProgress[[#This Row],[Date]])</f>
        <v>2019</v>
      </c>
      <c r="N650" s="34">
        <f>MONTH(HistoricalStockProgress[[#This Row],[Date]])</f>
        <v>8</v>
      </c>
    </row>
    <row r="651" spans="2:14">
      <c r="B651" s="15">
        <v>43708</v>
      </c>
      <c r="C651" s="34" t="s">
        <v>17</v>
      </c>
      <c r="D651" s="34" t="e" vm="14">
        <f>_xlfn.XLOOKUP(HistoricalStockProgress[[#This Row],[Company Ticker]],CompanyDetailsList[Company Ticker],CompanyDetailsList[Official Name],,0)</f>
        <v>#VALUE!</v>
      </c>
      <c r="E6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6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9484.3704371074709</v>
      </c>
      <c r="G651" s="17">
        <f>IFERROR(HistoricalStockProgress[[#This Row],[Cost of Shares]]/HistoricalStockProgress[[#This Row],[No. of Shares]],0)</f>
        <v>150.54556249376938</v>
      </c>
      <c r="H651" s="16" vm="1181">
        <v>135.53</v>
      </c>
      <c r="I651" s="16">
        <f>IF(HistoricalStockProgress[[#This Row],[No. of Shares]]&lt;&gt;0,HistoricalStockProgress[[#This Row],[Price of Shares]]*HistoricalStockProgress[[#This Row],[No. of Shares]],0)</f>
        <v>8538.39</v>
      </c>
      <c r="J651" s="16">
        <f>IF(HistoricalStockProgress[[#This Row],[No. of Shares]]&lt;&gt;0,HistoricalStockProgress[[#This Row],[Price of Shares]]-HistoricalStockProgress[[#This Row],[Cost of Shares]]/HistoricalStockProgress[[#This Row],[No. of Shares]],0)</f>
        <v>-15.01556249376938</v>
      </c>
      <c r="K651" s="17">
        <f>IF(HistoricalStockProgress[[#This Row],[Total Price of Shares]]&lt;&gt;0,HistoricalStockProgress[[#This Row],[Total Price of Shares]]-HistoricalStockProgress[[#This Row],[Cost of Shares]],0)</f>
        <v>-945.98043710747152</v>
      </c>
      <c r="L651" s="34" t="b" cm="1">
        <f t="array" ref="L651">IFERROR(IF(HistoricalStockProgress[[#This Row],[Price of Shares]]="",_xlfn.STOCKHISTORY(HistoricalStockProgress[[#This Row],[Full Company Name]],HistoricalStockProgress[[#This Row],[Date]],,2,0,1)),0)</f>
        <v>0</v>
      </c>
      <c r="M651" s="34">
        <f>YEAR(HistoricalStockProgress[[#This Row],[Date]])</f>
        <v>2019</v>
      </c>
      <c r="N651" s="34">
        <f>MONTH(HistoricalStockProgress[[#This Row],[Date]])</f>
        <v>8</v>
      </c>
    </row>
    <row r="652" spans="2:14">
      <c r="B652" s="15">
        <v>43708</v>
      </c>
      <c r="C652" s="34" t="s">
        <v>98</v>
      </c>
      <c r="D652" s="34" t="e" vm="15">
        <f>_xlfn.XLOOKUP(HistoricalStockProgress[[#This Row],[Company Ticker]],CompanyDetailsList[Company Ticker],CompanyDetailsList[Official Name],,0)</f>
        <v>#VALUE!</v>
      </c>
      <c r="E6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6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652" s="17">
        <f>IFERROR(HistoricalStockProgress[[#This Row],[Cost of Shares]]/HistoricalStockProgress[[#This Row],[No. of Shares]],0)</f>
        <v>39.627242008882604</v>
      </c>
      <c r="H652" s="16" vm="1182">
        <v>54.77</v>
      </c>
      <c r="I652" s="16">
        <f>IF(HistoricalStockProgress[[#This Row],[No. of Shares]]&lt;&gt;0,HistoricalStockProgress[[#This Row],[Price of Shares]]*HistoricalStockProgress[[#This Row],[No. of Shares]],0)</f>
        <v>3998.21</v>
      </c>
      <c r="J652" s="16">
        <f>IF(HistoricalStockProgress[[#This Row],[No. of Shares]]&lt;&gt;0,HistoricalStockProgress[[#This Row],[Price of Shares]]-HistoricalStockProgress[[#This Row],[Cost of Shares]]/HistoricalStockProgress[[#This Row],[No. of Shares]],0)</f>
        <v>15.142757991117399</v>
      </c>
      <c r="K652" s="17">
        <f>IF(HistoricalStockProgress[[#This Row],[Total Price of Shares]]&lt;&gt;0,HistoricalStockProgress[[#This Row],[Total Price of Shares]]-HistoricalStockProgress[[#This Row],[Cost of Shares]],0)</f>
        <v>1105.42133335157</v>
      </c>
      <c r="L652" s="34" t="b" cm="1">
        <f t="array" ref="L652">IFERROR(IF(HistoricalStockProgress[[#This Row],[Price of Shares]]="",_xlfn.STOCKHISTORY(HistoricalStockProgress[[#This Row],[Full Company Name]],HistoricalStockProgress[[#This Row],[Date]],,2,0,1)),0)</f>
        <v>0</v>
      </c>
      <c r="M652" s="34">
        <f>YEAR(HistoricalStockProgress[[#This Row],[Date]])</f>
        <v>2019</v>
      </c>
      <c r="N652" s="34">
        <f>MONTH(HistoricalStockProgress[[#This Row],[Date]])</f>
        <v>8</v>
      </c>
    </row>
    <row r="653" spans="2:14">
      <c r="B653" s="15">
        <v>43708</v>
      </c>
      <c r="C653" s="34" t="s">
        <v>100</v>
      </c>
      <c r="D653" s="34" t="e" vm="16">
        <f>_xlfn.XLOOKUP(HistoricalStockProgress[[#This Row],[Company Ticker]],CompanyDetailsList[Company Ticker],CompanyDetailsList[Official Name],,0)</f>
        <v>#VALUE!</v>
      </c>
      <c r="E6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74</v>
      </c>
      <c r="F6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6400.3550613930956</v>
      </c>
      <c r="G653" s="17">
        <f>IFERROR(HistoricalStockProgress[[#This Row],[Cost of Shares]]/HistoricalStockProgress[[#This Row],[No. of Shares]],0)</f>
        <v>86.491284613420206</v>
      </c>
      <c r="H653" s="16" vm="739">
        <v>92.74</v>
      </c>
      <c r="I653" s="16">
        <f>IF(HistoricalStockProgress[[#This Row],[No. of Shares]]&lt;&gt;0,HistoricalStockProgress[[#This Row],[Price of Shares]]*HistoricalStockProgress[[#This Row],[No. of Shares]],0)</f>
        <v>6862.7599999999993</v>
      </c>
      <c r="J653" s="16">
        <f>IF(HistoricalStockProgress[[#This Row],[No. of Shares]]&lt;&gt;0,HistoricalStockProgress[[#This Row],[Price of Shares]]-HistoricalStockProgress[[#This Row],[Cost of Shares]]/HistoricalStockProgress[[#This Row],[No. of Shares]],0)</f>
        <v>6.2487153865797893</v>
      </c>
      <c r="K653" s="17">
        <f>IF(HistoricalStockProgress[[#This Row],[Total Price of Shares]]&lt;&gt;0,HistoricalStockProgress[[#This Row],[Total Price of Shares]]-HistoricalStockProgress[[#This Row],[Cost of Shares]],0)</f>
        <v>462.40493860690367</v>
      </c>
      <c r="L653" s="34" t="b" cm="1">
        <f t="array" ref="L653">IFERROR(IF(HistoricalStockProgress[[#This Row],[Price of Shares]]="",_xlfn.STOCKHISTORY(HistoricalStockProgress[[#This Row],[Full Company Name]],HistoricalStockProgress[[#This Row],[Date]],,2,0,1)),0)</f>
        <v>0</v>
      </c>
      <c r="M653" s="34">
        <f>YEAR(HistoricalStockProgress[[#This Row],[Date]])</f>
        <v>2019</v>
      </c>
      <c r="N653" s="34">
        <f>MONTH(HistoricalStockProgress[[#This Row],[Date]])</f>
        <v>8</v>
      </c>
    </row>
    <row r="654" spans="2:14">
      <c r="B654" s="15">
        <v>43708</v>
      </c>
      <c r="C654" s="34" t="s">
        <v>15</v>
      </c>
      <c r="D654" s="34" t="e" vm="17">
        <f>_xlfn.XLOOKUP(HistoricalStockProgress[[#This Row],[Company Ticker]],CompanyDetailsList[Company Ticker],CompanyDetailsList[Official Name],,0)</f>
        <v>#VALUE!</v>
      </c>
      <c r="E6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6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654" s="17">
        <f>IFERROR(HistoricalStockProgress[[#This Row],[Cost of Shares]]/HistoricalStockProgress[[#This Row],[No. of Shares]],0)</f>
        <v>26.081956457072195</v>
      </c>
      <c r="H654" s="16" vm="1183">
        <v>26.627600000000001</v>
      </c>
      <c r="I654" s="16">
        <f>IF(HistoricalStockProgress[[#This Row],[No. of Shares]]&lt;&gt;0,HistoricalStockProgress[[#This Row],[Price of Shares]]*HistoricalStockProgress[[#This Row],[No. of Shares]],0)</f>
        <v>3301.8224</v>
      </c>
      <c r="J654" s="16">
        <f>IF(HistoricalStockProgress[[#This Row],[No. of Shares]]&lt;&gt;0,HistoricalStockProgress[[#This Row],[Price of Shares]]-HistoricalStockProgress[[#This Row],[Cost of Shares]]/HistoricalStockProgress[[#This Row],[No. of Shares]],0)</f>
        <v>0.54564354292780592</v>
      </c>
      <c r="K654" s="17">
        <f>IF(HistoricalStockProgress[[#This Row],[Total Price of Shares]]&lt;&gt;0,HistoricalStockProgress[[#This Row],[Total Price of Shares]]-HistoricalStockProgress[[#This Row],[Cost of Shares]],0)</f>
        <v>67.659799323047991</v>
      </c>
      <c r="L654" s="34" t="b" cm="1">
        <f t="array" ref="L654">IFERROR(IF(HistoricalStockProgress[[#This Row],[Price of Shares]]="",_xlfn.STOCKHISTORY(HistoricalStockProgress[[#This Row],[Full Company Name]],HistoricalStockProgress[[#This Row],[Date]],,2,0,1)),0)</f>
        <v>0</v>
      </c>
      <c r="M654" s="34">
        <f>YEAR(HistoricalStockProgress[[#This Row],[Date]])</f>
        <v>2019</v>
      </c>
      <c r="N654" s="34">
        <f>MONTH(HistoricalStockProgress[[#This Row],[Date]])</f>
        <v>8</v>
      </c>
    </row>
    <row r="655" spans="2:14">
      <c r="B655" s="15">
        <v>43708</v>
      </c>
      <c r="C655" s="34" t="s">
        <v>13</v>
      </c>
      <c r="D655" s="34" t="e" vm="18">
        <f>_xlfn.XLOOKUP(HistoricalStockProgress[[#This Row],[Company Ticker]],CompanyDetailsList[Company Ticker],CompanyDetailsList[Official Name],,0)</f>
        <v>#VALUE!</v>
      </c>
      <c r="E6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6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655" s="17">
        <f>IFERROR(HistoricalStockProgress[[#This Row],[Cost of Shares]]/HistoricalStockProgress[[#This Row],[No. of Shares]],0)</f>
        <v>35.846938938346874</v>
      </c>
      <c r="H655" s="16" vm="1184">
        <v>33.699599999999997</v>
      </c>
      <c r="I655" s="16">
        <f>IF(HistoricalStockProgress[[#This Row],[No. of Shares]]&lt;&gt;0,HistoricalStockProgress[[#This Row],[Price of Shares]]*HistoricalStockProgress[[#This Row],[No. of Shares]],0)</f>
        <v>1853.4779999999998</v>
      </c>
      <c r="J655" s="16">
        <f>IF(HistoricalStockProgress[[#This Row],[No. of Shares]]&lt;&gt;0,HistoricalStockProgress[[#This Row],[Price of Shares]]-HistoricalStockProgress[[#This Row],[Cost of Shares]]/HistoricalStockProgress[[#This Row],[No. of Shares]],0)</f>
        <v>-2.1473389383468771</v>
      </c>
      <c r="K655" s="17">
        <f>IF(HistoricalStockProgress[[#This Row],[Total Price of Shares]]&lt;&gt;0,HistoricalStockProgress[[#This Row],[Total Price of Shares]]-HistoricalStockProgress[[#This Row],[Cost of Shares]],0)</f>
        <v>-118.1036416090783</v>
      </c>
      <c r="L655" s="34" t="b" cm="1">
        <f t="array" ref="L655">IFERROR(IF(HistoricalStockProgress[[#This Row],[Price of Shares]]="",_xlfn.STOCKHISTORY(HistoricalStockProgress[[#This Row],[Full Company Name]],HistoricalStockProgress[[#This Row],[Date]],,2,0,1)),0)</f>
        <v>0</v>
      </c>
      <c r="M655" s="34">
        <f>YEAR(HistoricalStockProgress[[#This Row],[Date]])</f>
        <v>2019</v>
      </c>
      <c r="N655" s="34">
        <f>MONTH(HistoricalStockProgress[[#This Row],[Date]])</f>
        <v>8</v>
      </c>
    </row>
    <row r="656" spans="2:14">
      <c r="B656" s="15">
        <v>43708</v>
      </c>
      <c r="C656" s="34" t="s">
        <v>20</v>
      </c>
      <c r="D656" s="34" t="e" vm="19">
        <f>_xlfn.XLOOKUP(HistoricalStockProgress[[#This Row],[Company Ticker]],CompanyDetailsList[Company Ticker],CompanyDetailsList[Official Name],,0)</f>
        <v>#VALUE!</v>
      </c>
      <c r="E6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6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656" s="17">
        <f>IFERROR(HistoricalStockProgress[[#This Row],[Cost of Shares]]/HistoricalStockProgress[[#This Row],[No. of Shares]],0)</f>
        <v>93.912242833589502</v>
      </c>
      <c r="H656" s="16" vm="1185">
        <v>109.86</v>
      </c>
      <c r="I656" s="16">
        <f>IF(HistoricalStockProgress[[#This Row],[No. of Shares]]&lt;&gt;0,HistoricalStockProgress[[#This Row],[Price of Shares]]*HistoricalStockProgress[[#This Row],[No. of Shares]],0)</f>
        <v>8569.08</v>
      </c>
      <c r="J656" s="16">
        <f>IF(HistoricalStockProgress[[#This Row],[No. of Shares]]&lt;&gt;0,HistoricalStockProgress[[#This Row],[Price of Shares]]-HistoricalStockProgress[[#This Row],[Cost of Shares]]/HistoricalStockProgress[[#This Row],[No. of Shares]],0)</f>
        <v>15.947757166410497</v>
      </c>
      <c r="K656" s="17">
        <f>IF(HistoricalStockProgress[[#This Row],[Total Price of Shares]]&lt;&gt;0,HistoricalStockProgress[[#This Row],[Total Price of Shares]]-HistoricalStockProgress[[#This Row],[Cost of Shares]],0)</f>
        <v>1243.9250589800185</v>
      </c>
      <c r="L656" s="34" t="b" cm="1">
        <f t="array" ref="L656">IFERROR(IF(HistoricalStockProgress[[#This Row],[Price of Shares]]="",_xlfn.STOCKHISTORY(HistoricalStockProgress[[#This Row],[Full Company Name]],HistoricalStockProgress[[#This Row],[Date]],,2,0,1)),0)</f>
        <v>0</v>
      </c>
      <c r="M656" s="34">
        <f>YEAR(HistoricalStockProgress[[#This Row],[Date]])</f>
        <v>2019</v>
      </c>
      <c r="N656" s="34">
        <f>MONTH(HistoricalStockProgress[[#This Row],[Date]])</f>
        <v>8</v>
      </c>
    </row>
    <row r="657" spans="2:14">
      <c r="B657" s="15">
        <v>43708</v>
      </c>
      <c r="C657" s="34" t="s">
        <v>106</v>
      </c>
      <c r="D657" s="34" t="e" vm="20">
        <f>_xlfn.XLOOKUP(HistoricalStockProgress[[#This Row],[Company Ticker]],CompanyDetailsList[Company Ticker],CompanyDetailsList[Official Name],,0)</f>
        <v>#VALUE!</v>
      </c>
      <c r="E6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52</v>
      </c>
      <c r="F6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5315.8302476196659</v>
      </c>
      <c r="G657" s="17">
        <f>IFERROR(HistoricalStockProgress[[#This Row],[Cost of Shares]]/HistoricalStockProgress[[#This Row],[No. of Shares]],0)</f>
        <v>102.22750476191665</v>
      </c>
      <c r="H657" s="16" vm="1186">
        <v>110.79</v>
      </c>
      <c r="I657" s="16">
        <f>IF(HistoricalStockProgress[[#This Row],[No. of Shares]]&lt;&gt;0,HistoricalStockProgress[[#This Row],[Price of Shares]]*HistoricalStockProgress[[#This Row],[No. of Shares]],0)</f>
        <v>5761.08</v>
      </c>
      <c r="J657" s="16">
        <f>IF(HistoricalStockProgress[[#This Row],[No. of Shares]]&lt;&gt;0,HistoricalStockProgress[[#This Row],[Price of Shares]]-HistoricalStockProgress[[#This Row],[Cost of Shares]]/HistoricalStockProgress[[#This Row],[No. of Shares]],0)</f>
        <v>8.5624952380833577</v>
      </c>
      <c r="K657" s="17">
        <f>IF(HistoricalStockProgress[[#This Row],[Total Price of Shares]]&lt;&gt;0,HistoricalStockProgress[[#This Row],[Total Price of Shares]]-HistoricalStockProgress[[#This Row],[Cost of Shares]],0)</f>
        <v>445.24975238033403</v>
      </c>
      <c r="L657" s="34" t="b" cm="1">
        <f t="array" ref="L657">IFERROR(IF(HistoricalStockProgress[[#This Row],[Price of Shares]]="",_xlfn.STOCKHISTORY(HistoricalStockProgress[[#This Row],[Full Company Name]],HistoricalStockProgress[[#This Row],[Date]],,2,0,1)),0)</f>
        <v>0</v>
      </c>
      <c r="M657" s="34">
        <f>YEAR(HistoricalStockProgress[[#This Row],[Date]])</f>
        <v>2019</v>
      </c>
      <c r="N657" s="34">
        <f>MONTH(HistoricalStockProgress[[#This Row],[Date]])</f>
        <v>8</v>
      </c>
    </row>
    <row r="658" spans="2:14">
      <c r="B658" s="15">
        <v>43738</v>
      </c>
      <c r="C658" s="34" t="s">
        <v>12</v>
      </c>
      <c r="D658" s="34" t="e" vm="1">
        <f>_xlfn.XLOOKUP(HistoricalStockProgress[[#This Row],[Company Ticker]],CompanyDetailsList[Company Ticker],CompanyDetailsList[Official Name],,0)</f>
        <v>#VALUE!</v>
      </c>
      <c r="E6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6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1953.8799010350301</v>
      </c>
      <c r="G658" s="17">
        <f>IFERROR(HistoricalStockProgress[[#This Row],[Cost of Shares]]/HistoricalStockProgress[[#This Row],[No. of Shares]],0)</f>
        <v>67.375169001207937</v>
      </c>
      <c r="H658" s="16" vm="532">
        <v>76.680000000000007</v>
      </c>
      <c r="I658" s="16">
        <f>IF(HistoricalStockProgress[[#This Row],[No. of Shares]]&lt;&gt;0,HistoricalStockProgress[[#This Row],[Price of Shares]]*HistoricalStockProgress[[#This Row],[No. of Shares]],0)</f>
        <v>2223.7200000000003</v>
      </c>
      <c r="J658" s="16">
        <f>IF(HistoricalStockProgress[[#This Row],[No. of Shares]]&lt;&gt;0,HistoricalStockProgress[[#This Row],[Price of Shares]]-HistoricalStockProgress[[#This Row],[Cost of Shares]]/HistoricalStockProgress[[#This Row],[No. of Shares]],0)</f>
        <v>9.3048309987920703</v>
      </c>
      <c r="K658" s="17">
        <f>IF(HistoricalStockProgress[[#This Row],[Total Price of Shares]]&lt;&gt;0,HistoricalStockProgress[[#This Row],[Total Price of Shares]]-HistoricalStockProgress[[#This Row],[Cost of Shares]],0)</f>
        <v>269.84009896497014</v>
      </c>
      <c r="L658" s="34" t="b" cm="1">
        <f t="array" ref="L658">IFERROR(IF(HistoricalStockProgress[[#This Row],[Price of Shares]]="",_xlfn.STOCKHISTORY(HistoricalStockProgress[[#This Row],[Full Company Name]],HistoricalStockProgress[[#This Row],[Date]],,2,0,1)),0)</f>
        <v>0</v>
      </c>
      <c r="M658" s="34">
        <f>YEAR(HistoricalStockProgress[[#This Row],[Date]])</f>
        <v>2019</v>
      </c>
      <c r="N658" s="34">
        <f>MONTH(HistoricalStockProgress[[#This Row],[Date]])</f>
        <v>9</v>
      </c>
    </row>
    <row r="659" spans="2:14">
      <c r="B659" s="15">
        <v>43738</v>
      </c>
      <c r="C659" s="34" t="s">
        <v>19</v>
      </c>
      <c r="D659" s="34" t="e" vm="3">
        <f>_xlfn.XLOOKUP(HistoricalStockProgress[[#This Row],[Company Ticker]],CompanyDetailsList[Company Ticker],CompanyDetailsList[Official Name],,0)</f>
        <v>#VALUE!</v>
      </c>
      <c r="E6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32</v>
      </c>
      <c r="F6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5052.8411971764708</v>
      </c>
      <c r="G659" s="17">
        <f>IFERROR(HistoricalStockProgress[[#This Row],[Cost of Shares]]/HistoricalStockProgress[[#This Row],[No. of Shares]],0)</f>
        <v>157.90128741176471</v>
      </c>
      <c r="H659" s="16" vm="1187">
        <v>151.87</v>
      </c>
      <c r="I659" s="16">
        <f>IF(HistoricalStockProgress[[#This Row],[No. of Shares]]&lt;&gt;0,HistoricalStockProgress[[#This Row],[Price of Shares]]*HistoricalStockProgress[[#This Row],[No. of Shares]],0)</f>
        <v>4859.84</v>
      </c>
      <c r="J659" s="16">
        <f>IF(HistoricalStockProgress[[#This Row],[No. of Shares]]&lt;&gt;0,HistoricalStockProgress[[#This Row],[Price of Shares]]-HistoricalStockProgress[[#This Row],[Cost of Shares]]/HistoricalStockProgress[[#This Row],[No. of Shares]],0)</f>
        <v>-6.0312874117647084</v>
      </c>
      <c r="K659" s="17">
        <f>IF(HistoricalStockProgress[[#This Row],[Total Price of Shares]]&lt;&gt;0,HistoricalStockProgress[[#This Row],[Total Price of Shares]]-HistoricalStockProgress[[#This Row],[Cost of Shares]],0)</f>
        <v>-193.00119717647067</v>
      </c>
      <c r="L659" s="34" t="b" cm="1">
        <f t="array" ref="L659">IFERROR(IF(HistoricalStockProgress[[#This Row],[Price of Shares]]="",_xlfn.STOCKHISTORY(HistoricalStockProgress[[#This Row],[Full Company Name]],HistoricalStockProgress[[#This Row],[Date]],,2,0,1)),0)</f>
        <v>0</v>
      </c>
      <c r="M659" s="34">
        <f>YEAR(HistoricalStockProgress[[#This Row],[Date]])</f>
        <v>2019</v>
      </c>
      <c r="N659" s="34">
        <f>MONTH(HistoricalStockProgress[[#This Row],[Date]])</f>
        <v>9</v>
      </c>
    </row>
    <row r="660" spans="2:14">
      <c r="B660" s="15">
        <v>43738</v>
      </c>
      <c r="C660" s="34" t="s">
        <v>23</v>
      </c>
      <c r="D660" s="34" t="e" vm="4">
        <f>_xlfn.XLOOKUP(HistoricalStockProgress[[#This Row],[Company Ticker]],CompanyDetailsList[Company Ticker],CompanyDetailsList[Official Name],,0)</f>
        <v>#VALUE!</v>
      </c>
      <c r="E6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6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660" s="17">
        <f>IFERROR(HistoricalStockProgress[[#This Row],[Cost of Shares]]/HistoricalStockProgress[[#This Row],[No. of Shares]],0)</f>
        <v>45.768494888570878</v>
      </c>
      <c r="H660" s="16" vm="1188">
        <v>54.44</v>
      </c>
      <c r="I660" s="16">
        <f>IF(HistoricalStockProgress[[#This Row],[No. of Shares]]&lt;&gt;0,HistoricalStockProgress[[#This Row],[Price of Shares]]*HistoricalStockProgress[[#This Row],[No. of Shares]],0)</f>
        <v>3157.52</v>
      </c>
      <c r="J660" s="16">
        <f>IF(HistoricalStockProgress[[#This Row],[No. of Shares]]&lt;&gt;0,HistoricalStockProgress[[#This Row],[Price of Shares]]-HistoricalStockProgress[[#This Row],[Cost of Shares]]/HistoricalStockProgress[[#This Row],[No. of Shares]],0)</f>
        <v>8.6715051114291199</v>
      </c>
      <c r="K660" s="17">
        <f>IF(HistoricalStockProgress[[#This Row],[Total Price of Shares]]&lt;&gt;0,HistoricalStockProgress[[#This Row],[Total Price of Shares]]-HistoricalStockProgress[[#This Row],[Cost of Shares]],0)</f>
        <v>502.94729646288897</v>
      </c>
      <c r="L660" s="34" t="b" cm="1">
        <f t="array" ref="L660">IFERROR(IF(HistoricalStockProgress[[#This Row],[Price of Shares]]="",_xlfn.STOCKHISTORY(HistoricalStockProgress[[#This Row],[Full Company Name]],HistoricalStockProgress[[#This Row],[Date]],,2,0,1)),0)</f>
        <v>0</v>
      </c>
      <c r="M660" s="34">
        <f>YEAR(HistoricalStockProgress[[#This Row],[Date]])</f>
        <v>2019</v>
      </c>
      <c r="N660" s="34">
        <f>MONTH(HistoricalStockProgress[[#This Row],[Date]])</f>
        <v>9</v>
      </c>
    </row>
    <row r="661" spans="2:14">
      <c r="B661" s="15">
        <v>43738</v>
      </c>
      <c r="C661" s="34" t="s">
        <v>21</v>
      </c>
      <c r="D661" s="34" t="e" vm="6">
        <f>_xlfn.XLOOKUP(HistoricalStockProgress[[#This Row],[Company Ticker]],CompanyDetailsList[Company Ticker],CompanyDetailsList[Official Name],,0)</f>
        <v>#VALUE!</v>
      </c>
      <c r="E6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v>
      </c>
      <c r="F6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2087.9623605222587</v>
      </c>
      <c r="G661" s="17">
        <f>IFERROR(HistoricalStockProgress[[#This Row],[Cost of Shares]]/HistoricalStockProgress[[#This Row],[No. of Shares]],0)</f>
        <v>122.82131532483875</v>
      </c>
      <c r="H661" s="16" vm="1189">
        <v>124.38</v>
      </c>
      <c r="I661" s="16">
        <f>IF(HistoricalStockProgress[[#This Row],[No. of Shares]]&lt;&gt;0,HistoricalStockProgress[[#This Row],[Price of Shares]]*HistoricalStockProgress[[#This Row],[No. of Shares]],0)</f>
        <v>2114.46</v>
      </c>
      <c r="J661" s="16">
        <f>IF(HistoricalStockProgress[[#This Row],[No. of Shares]]&lt;&gt;0,HistoricalStockProgress[[#This Row],[Price of Shares]]-HistoricalStockProgress[[#This Row],[Cost of Shares]]/HistoricalStockProgress[[#This Row],[No. of Shares]],0)</f>
        <v>1.5586846751612455</v>
      </c>
      <c r="K661" s="17">
        <f>IF(HistoricalStockProgress[[#This Row],[Total Price of Shares]]&lt;&gt;0,HistoricalStockProgress[[#This Row],[Total Price of Shares]]-HistoricalStockProgress[[#This Row],[Cost of Shares]],0)</f>
        <v>26.497639477741359</v>
      </c>
      <c r="L661" s="34" t="b" cm="1">
        <f t="array" ref="L661">IFERROR(IF(HistoricalStockProgress[[#This Row],[Price of Shares]]="",_xlfn.STOCKHISTORY(HistoricalStockProgress[[#This Row],[Full Company Name]],HistoricalStockProgress[[#This Row],[Date]],,2,0,1)),0)</f>
        <v>0</v>
      </c>
      <c r="M661" s="34">
        <f>YEAR(HistoricalStockProgress[[#This Row],[Date]])</f>
        <v>2019</v>
      </c>
      <c r="N661" s="34">
        <f>MONTH(HistoricalStockProgress[[#This Row],[Date]])</f>
        <v>9</v>
      </c>
    </row>
    <row r="662" spans="2:14">
      <c r="B662" s="15">
        <v>43738</v>
      </c>
      <c r="C662" s="34" t="s">
        <v>84</v>
      </c>
      <c r="D662" s="34" t="e" vm="7">
        <f>_xlfn.XLOOKUP(HistoricalStockProgress[[#This Row],[Company Ticker]],CompanyDetailsList[Company Ticker],CompanyDetailsList[Official Name],,0)</f>
        <v>#VALUE!</v>
      </c>
      <c r="E6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6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662" s="17">
        <f>IFERROR(HistoricalStockProgress[[#This Row],[Cost of Shares]]/HistoricalStockProgress[[#This Row],[No. of Shares]],0)</f>
        <v>104.18087504950869</v>
      </c>
      <c r="H662" s="16" vm="1190">
        <v>129.38</v>
      </c>
      <c r="I662" s="16">
        <f>IF(HistoricalStockProgress[[#This Row],[No. of Shares]]&lt;&gt;0,HistoricalStockProgress[[#This Row],[Price of Shares]]*HistoricalStockProgress[[#This Row],[No. of Shares]],0)</f>
        <v>6598.38</v>
      </c>
      <c r="J662" s="16">
        <f>IF(HistoricalStockProgress[[#This Row],[No. of Shares]]&lt;&gt;0,HistoricalStockProgress[[#This Row],[Price of Shares]]-HistoricalStockProgress[[#This Row],[Cost of Shares]]/HistoricalStockProgress[[#This Row],[No. of Shares]],0)</f>
        <v>25.19912495049131</v>
      </c>
      <c r="K662" s="17">
        <f>IF(HistoricalStockProgress[[#This Row],[Total Price of Shares]]&lt;&gt;0,HistoricalStockProgress[[#This Row],[Total Price of Shares]]-HistoricalStockProgress[[#This Row],[Cost of Shares]],0)</f>
        <v>1285.1553724750574</v>
      </c>
      <c r="L662" s="34" t="b" cm="1">
        <f t="array" ref="L662">IFERROR(IF(HistoricalStockProgress[[#This Row],[Price of Shares]]="",_xlfn.STOCKHISTORY(HistoricalStockProgress[[#This Row],[Full Company Name]],HistoricalStockProgress[[#This Row],[Date]],,2,0,1)),0)</f>
        <v>0</v>
      </c>
      <c r="M662" s="34">
        <f>YEAR(HistoricalStockProgress[[#This Row],[Date]])</f>
        <v>2019</v>
      </c>
      <c r="N662" s="34">
        <f>MONTH(HistoricalStockProgress[[#This Row],[Date]])</f>
        <v>9</v>
      </c>
    </row>
    <row r="663" spans="2:14">
      <c r="B663" s="15">
        <v>43738</v>
      </c>
      <c r="C663" s="34" t="s">
        <v>86</v>
      </c>
      <c r="D663" s="34" t="e" vm="8">
        <f>_xlfn.XLOOKUP(HistoricalStockProgress[[#This Row],[Company Ticker]],CompanyDetailsList[Company Ticker],CompanyDetailsList[Official Name],,0)</f>
        <v>#VALUE!</v>
      </c>
      <c r="E6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6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663" s="17">
        <f>IFERROR(HistoricalStockProgress[[#This Row],[Cost of Shares]]/HistoricalStockProgress[[#This Row],[No. of Shares]],0)</f>
        <v>85.876031764920896</v>
      </c>
      <c r="H663" s="16" vm="1191">
        <v>75.72</v>
      </c>
      <c r="I663" s="16">
        <f>IF(HistoricalStockProgress[[#This Row],[No. of Shares]]&lt;&gt;0,HistoricalStockProgress[[#This Row],[Price of Shares]]*HistoricalStockProgress[[#This Row],[No. of Shares]],0)</f>
        <v>4013.16</v>
      </c>
      <c r="J663" s="16">
        <f>IF(HistoricalStockProgress[[#This Row],[No. of Shares]]&lt;&gt;0,HistoricalStockProgress[[#This Row],[Price of Shares]]-HistoricalStockProgress[[#This Row],[Cost of Shares]]/HistoricalStockProgress[[#This Row],[No. of Shares]],0)</f>
        <v>-10.156031764920897</v>
      </c>
      <c r="K663" s="17">
        <f>IF(HistoricalStockProgress[[#This Row],[Total Price of Shares]]&lt;&gt;0,HistoricalStockProgress[[#This Row],[Total Price of Shares]]-HistoricalStockProgress[[#This Row],[Cost of Shares]],0)</f>
        <v>-538.26968354080782</v>
      </c>
      <c r="L663" s="34" t="b" cm="1">
        <f t="array" ref="L663">IFERROR(IF(HistoricalStockProgress[[#This Row],[Price of Shares]]="",_xlfn.STOCKHISTORY(HistoricalStockProgress[[#This Row],[Full Company Name]],HistoricalStockProgress[[#This Row],[Date]],,2,0,1)),0)</f>
        <v>0</v>
      </c>
      <c r="M663" s="34">
        <f>YEAR(HistoricalStockProgress[[#This Row],[Date]])</f>
        <v>2019</v>
      </c>
      <c r="N663" s="34">
        <f>MONTH(HistoricalStockProgress[[#This Row],[Date]])</f>
        <v>9</v>
      </c>
    </row>
    <row r="664" spans="2:14">
      <c r="B664" s="15">
        <v>43738</v>
      </c>
      <c r="C664" s="34" t="s">
        <v>88</v>
      </c>
      <c r="D664" s="34" t="e" vm="9">
        <f>_xlfn.XLOOKUP(HistoricalStockProgress[[#This Row],[Company Ticker]],CompanyDetailsList[Company Ticker],CompanyDetailsList[Official Name],,0)</f>
        <v>#VALUE!</v>
      </c>
      <c r="E6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v>
      </c>
      <c r="F6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4283.7073138981596</v>
      </c>
      <c r="G664" s="17">
        <f>IFERROR(HistoricalStockProgress[[#This Row],[Cost of Shares]]/HistoricalStockProgress[[#This Row],[No. of Shares]],0)</f>
        <v>214.18536569490797</v>
      </c>
      <c r="H664" s="16" vm="1192">
        <v>214.71</v>
      </c>
      <c r="I664" s="16">
        <f>IF(HistoricalStockProgress[[#This Row],[No. of Shares]]&lt;&gt;0,HistoricalStockProgress[[#This Row],[Price of Shares]]*HistoricalStockProgress[[#This Row],[No. of Shares]],0)</f>
        <v>4294.2</v>
      </c>
      <c r="J664" s="16">
        <f>IF(HistoricalStockProgress[[#This Row],[No. of Shares]]&lt;&gt;0,HistoricalStockProgress[[#This Row],[Price of Shares]]-HistoricalStockProgress[[#This Row],[Cost of Shares]]/HistoricalStockProgress[[#This Row],[No. of Shares]],0)</f>
        <v>0.5246343050920359</v>
      </c>
      <c r="K664" s="17">
        <f>IF(HistoricalStockProgress[[#This Row],[Total Price of Shares]]&lt;&gt;0,HistoricalStockProgress[[#This Row],[Total Price of Shares]]-HistoricalStockProgress[[#This Row],[Cost of Shares]],0)</f>
        <v>10.492686101840263</v>
      </c>
      <c r="L664" s="34" t="b" cm="1">
        <f t="array" ref="L664">IFERROR(IF(HistoricalStockProgress[[#This Row],[Price of Shares]]="",_xlfn.STOCKHISTORY(HistoricalStockProgress[[#This Row],[Full Company Name]],HistoricalStockProgress[[#This Row],[Date]],,2,0,1)),0)</f>
        <v>0</v>
      </c>
      <c r="M664" s="34">
        <f>YEAR(HistoricalStockProgress[[#This Row],[Date]])</f>
        <v>2019</v>
      </c>
      <c r="N664" s="34">
        <f>MONTH(HistoricalStockProgress[[#This Row],[Date]])</f>
        <v>9</v>
      </c>
    </row>
    <row r="665" spans="2:14">
      <c r="B665" s="15">
        <v>43738</v>
      </c>
      <c r="C665" s="34" t="s">
        <v>22</v>
      </c>
      <c r="D665" s="34" t="e" vm="10">
        <f>_xlfn.XLOOKUP(HistoricalStockProgress[[#This Row],[Company Ticker]],CompanyDetailsList[Company Ticker],CompanyDetailsList[Official Name],,0)</f>
        <v>#VALUE!</v>
      </c>
      <c r="E6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6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665" s="17">
        <f>IFERROR(HistoricalStockProgress[[#This Row],[Cost of Shares]]/HistoricalStockProgress[[#This Row],[No. of Shares]],0)</f>
        <v>96.351727068187571</v>
      </c>
      <c r="H665" s="16" vm="1193">
        <v>126.31</v>
      </c>
      <c r="I665" s="16">
        <f>IF(HistoricalStockProgress[[#This Row],[No. of Shares]]&lt;&gt;0,HistoricalStockProgress[[#This Row],[Price of Shares]]*HistoricalStockProgress[[#This Row],[No. of Shares]],0)</f>
        <v>10231.11</v>
      </c>
      <c r="J665" s="16">
        <f>IF(HistoricalStockProgress[[#This Row],[No. of Shares]]&lt;&gt;0,HistoricalStockProgress[[#This Row],[Price of Shares]]-HistoricalStockProgress[[#This Row],[Cost of Shares]]/HistoricalStockProgress[[#This Row],[No. of Shares]],0)</f>
        <v>29.958272931812431</v>
      </c>
      <c r="K665" s="17">
        <f>IF(HistoricalStockProgress[[#This Row],[Total Price of Shares]]&lt;&gt;0,HistoricalStockProgress[[#This Row],[Total Price of Shares]]-HistoricalStockProgress[[#This Row],[Cost of Shares]],0)</f>
        <v>2426.6201074768078</v>
      </c>
      <c r="L665" s="34" t="b" cm="1">
        <f t="array" ref="L665">IFERROR(IF(HistoricalStockProgress[[#This Row],[Price of Shares]]="",_xlfn.STOCKHISTORY(HistoricalStockProgress[[#This Row],[Full Company Name]],HistoricalStockProgress[[#This Row],[Date]],,2,0,1)),0)</f>
        <v>0</v>
      </c>
      <c r="M665" s="34">
        <f>YEAR(HistoricalStockProgress[[#This Row],[Date]])</f>
        <v>2019</v>
      </c>
      <c r="N665" s="34">
        <f>MONTH(HistoricalStockProgress[[#This Row],[Date]])</f>
        <v>9</v>
      </c>
    </row>
    <row r="666" spans="2:14">
      <c r="B666" s="15">
        <v>43738</v>
      </c>
      <c r="C666" s="34" t="s">
        <v>91</v>
      </c>
      <c r="D666" s="34" t="e" vm="11">
        <f>_xlfn.XLOOKUP(HistoricalStockProgress[[#This Row],[Company Ticker]],CompanyDetailsList[Company Ticker],CompanyDetailsList[Official Name],,0)</f>
        <v>#VALUE!</v>
      </c>
      <c r="E6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6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7639.549422502746</v>
      </c>
      <c r="G666" s="17">
        <f>IFERROR(HistoricalStockProgress[[#This Row],[Cost of Shares]]/HistoricalStockProgress[[#This Row],[No. of Shares]],0)</f>
        <v>72.071220967007037</v>
      </c>
      <c r="H666" s="16" vm="1194">
        <v>139.03</v>
      </c>
      <c r="I666" s="16">
        <f>IF(HistoricalStockProgress[[#This Row],[No. of Shares]]&lt;&gt;0,HistoricalStockProgress[[#This Row],[Price of Shares]]*HistoricalStockProgress[[#This Row],[No. of Shares]],0)</f>
        <v>14737.18</v>
      </c>
      <c r="J666" s="16">
        <f>IF(HistoricalStockProgress[[#This Row],[No. of Shares]]&lt;&gt;0,HistoricalStockProgress[[#This Row],[Price of Shares]]-HistoricalStockProgress[[#This Row],[Cost of Shares]]/HistoricalStockProgress[[#This Row],[No. of Shares]],0)</f>
        <v>66.958779032992965</v>
      </c>
      <c r="K666" s="17">
        <f>IF(HistoricalStockProgress[[#This Row],[Total Price of Shares]]&lt;&gt;0,HistoricalStockProgress[[#This Row],[Total Price of Shares]]-HistoricalStockProgress[[#This Row],[Cost of Shares]],0)</f>
        <v>7097.6305774972543</v>
      </c>
      <c r="L666" s="34" t="b" cm="1">
        <f t="array" ref="L666">IFERROR(IF(HistoricalStockProgress[[#This Row],[Price of Shares]]="",_xlfn.STOCKHISTORY(HistoricalStockProgress[[#This Row],[Full Company Name]],HistoricalStockProgress[[#This Row],[Date]],,2,0,1)),0)</f>
        <v>0</v>
      </c>
      <c r="M666" s="34">
        <f>YEAR(HistoricalStockProgress[[#This Row],[Date]])</f>
        <v>2019</v>
      </c>
      <c r="N666" s="34">
        <f>MONTH(HistoricalStockProgress[[#This Row],[Date]])</f>
        <v>9</v>
      </c>
    </row>
    <row r="667" spans="2:14">
      <c r="B667" s="15">
        <v>43738</v>
      </c>
      <c r="C667" s="34" t="s">
        <v>16</v>
      </c>
      <c r="D667" s="34" t="e" vm="12">
        <f>_xlfn.XLOOKUP(HistoricalStockProgress[[#This Row],[Company Ticker]],CompanyDetailsList[Company Ticker],CompanyDetailsList[Official Name],,0)</f>
        <v>#VALUE!</v>
      </c>
      <c r="E6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6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667" s="17">
        <f>IFERROR(HistoricalStockProgress[[#This Row],[Cost of Shares]]/HistoricalStockProgress[[#This Row],[No. of Shares]],0)</f>
        <v>82.900834685216523</v>
      </c>
      <c r="H667" s="16" vm="1195">
        <v>70.61</v>
      </c>
      <c r="I667" s="16">
        <f>IF(HistoricalStockProgress[[#This Row],[No. of Shares]]&lt;&gt;0,HistoricalStockProgress[[#This Row],[Price of Shares]]*HistoricalStockProgress[[#This Row],[No. of Shares]],0)</f>
        <v>10238.450000000001</v>
      </c>
      <c r="J667" s="16">
        <f>IF(HistoricalStockProgress[[#This Row],[No. of Shares]]&lt;&gt;0,HistoricalStockProgress[[#This Row],[Price of Shares]]-HistoricalStockProgress[[#This Row],[Cost of Shares]]/HistoricalStockProgress[[#This Row],[No. of Shares]],0)</f>
        <v>-12.290834685216524</v>
      </c>
      <c r="K667" s="17">
        <f>IF(HistoricalStockProgress[[#This Row],[Total Price of Shares]]&lt;&gt;0,HistoricalStockProgress[[#This Row],[Total Price of Shares]]-HistoricalStockProgress[[#This Row],[Cost of Shares]],0)</f>
        <v>-1782.1710293563956</v>
      </c>
      <c r="L667" s="34" t="b" cm="1">
        <f t="array" ref="L667">IFERROR(IF(HistoricalStockProgress[[#This Row],[Price of Shares]]="",_xlfn.STOCKHISTORY(HistoricalStockProgress[[#This Row],[Full Company Name]],HistoricalStockProgress[[#This Row],[Date]],,2,0,1)),0)</f>
        <v>0</v>
      </c>
      <c r="M667" s="34">
        <f>YEAR(HistoricalStockProgress[[#This Row],[Date]])</f>
        <v>2019</v>
      </c>
      <c r="N667" s="34">
        <f>MONTH(HistoricalStockProgress[[#This Row],[Date]])</f>
        <v>9</v>
      </c>
    </row>
    <row r="668" spans="2:14">
      <c r="B668" s="15">
        <v>43738</v>
      </c>
      <c r="C668" s="34" t="s">
        <v>95</v>
      </c>
      <c r="D668" s="34" t="e" vm="13">
        <f>_xlfn.XLOOKUP(HistoricalStockProgress[[#This Row],[Company Ticker]],CompanyDetailsList[Company Ticker],CompanyDetailsList[Official Name],,0)</f>
        <v>#VALUE!</v>
      </c>
      <c r="E6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6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668" s="17">
        <f>IFERROR(HistoricalStockProgress[[#This Row],[Cost of Shares]]/HistoricalStockProgress[[#This Row],[No. of Shares]],0)</f>
        <v>143.29758396474452</v>
      </c>
      <c r="H668" s="16" vm="1196">
        <v>232.02</v>
      </c>
      <c r="I668" s="16">
        <f>IF(HistoricalStockProgress[[#This Row],[No. of Shares]]&lt;&gt;0,HistoricalStockProgress[[#This Row],[Price of Shares]]*HistoricalStockProgress[[#This Row],[No. of Shares]],0)</f>
        <v>9976.86</v>
      </c>
      <c r="J668" s="16">
        <f>IF(HistoricalStockProgress[[#This Row],[No. of Shares]]&lt;&gt;0,HistoricalStockProgress[[#This Row],[Price of Shares]]-HistoricalStockProgress[[#This Row],[Cost of Shares]]/HistoricalStockProgress[[#This Row],[No. of Shares]],0)</f>
        <v>88.722416035255492</v>
      </c>
      <c r="K668" s="17">
        <f>IF(HistoricalStockProgress[[#This Row],[Total Price of Shares]]&lt;&gt;0,HistoricalStockProgress[[#This Row],[Total Price of Shares]]-HistoricalStockProgress[[#This Row],[Cost of Shares]],0)</f>
        <v>3815.0638895159864</v>
      </c>
      <c r="L668" s="34" t="b" cm="1">
        <f t="array" ref="L668">IFERROR(IF(HistoricalStockProgress[[#This Row],[Price of Shares]]="",_xlfn.STOCKHISTORY(HistoricalStockProgress[[#This Row],[Full Company Name]],HistoricalStockProgress[[#This Row],[Date]],,2,0,1)),0)</f>
        <v>0</v>
      </c>
      <c r="M668" s="34">
        <f>YEAR(HistoricalStockProgress[[#This Row],[Date]])</f>
        <v>2019</v>
      </c>
      <c r="N668" s="34">
        <f>MONTH(HistoricalStockProgress[[#This Row],[Date]])</f>
        <v>9</v>
      </c>
    </row>
    <row r="669" spans="2:14">
      <c r="B669" s="15">
        <v>43738</v>
      </c>
      <c r="C669" s="34" t="s">
        <v>17</v>
      </c>
      <c r="D669" s="34" t="e" vm="14">
        <f>_xlfn.XLOOKUP(HistoricalStockProgress[[#This Row],[Company Ticker]],CompanyDetailsList[Company Ticker],CompanyDetailsList[Official Name],,0)</f>
        <v>#VALUE!</v>
      </c>
      <c r="E6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6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9484.3704371074709</v>
      </c>
      <c r="G669" s="17">
        <f>IFERROR(HistoricalStockProgress[[#This Row],[Cost of Shares]]/HistoricalStockProgress[[#This Row],[No. of Shares]],0)</f>
        <v>150.54556249376938</v>
      </c>
      <c r="H669" s="16" vm="1197">
        <v>145.41999999999999</v>
      </c>
      <c r="I669" s="16">
        <f>IF(HistoricalStockProgress[[#This Row],[No. of Shares]]&lt;&gt;0,HistoricalStockProgress[[#This Row],[Price of Shares]]*HistoricalStockProgress[[#This Row],[No. of Shares]],0)</f>
        <v>9161.4599999999991</v>
      </c>
      <c r="J669" s="16">
        <f>IF(HistoricalStockProgress[[#This Row],[No. of Shares]]&lt;&gt;0,HistoricalStockProgress[[#This Row],[Price of Shares]]-HistoricalStockProgress[[#This Row],[Cost of Shares]]/HistoricalStockProgress[[#This Row],[No. of Shares]],0)</f>
        <v>-5.1255624937693938</v>
      </c>
      <c r="K669" s="17">
        <f>IF(HistoricalStockProgress[[#This Row],[Total Price of Shares]]&lt;&gt;0,HistoricalStockProgress[[#This Row],[Total Price of Shares]]-HistoricalStockProgress[[#This Row],[Cost of Shares]],0)</f>
        <v>-322.91043710747181</v>
      </c>
      <c r="L669" s="34" t="b" cm="1">
        <f t="array" ref="L669">IFERROR(IF(HistoricalStockProgress[[#This Row],[Price of Shares]]="",_xlfn.STOCKHISTORY(HistoricalStockProgress[[#This Row],[Full Company Name]],HistoricalStockProgress[[#This Row],[Date]],,2,0,1)),0)</f>
        <v>0</v>
      </c>
      <c r="M669" s="34">
        <f>YEAR(HistoricalStockProgress[[#This Row],[Date]])</f>
        <v>2019</v>
      </c>
      <c r="N669" s="34">
        <f>MONTH(HistoricalStockProgress[[#This Row],[Date]])</f>
        <v>9</v>
      </c>
    </row>
    <row r="670" spans="2:14">
      <c r="B670" s="15">
        <v>43738</v>
      </c>
      <c r="C670" s="34" t="s">
        <v>98</v>
      </c>
      <c r="D670" s="34" t="e" vm="15">
        <f>_xlfn.XLOOKUP(HistoricalStockProgress[[#This Row],[Company Ticker]],CompanyDetailsList[Company Ticker],CompanyDetailsList[Official Name],,0)</f>
        <v>#VALUE!</v>
      </c>
      <c r="E6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6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670" s="17">
        <f>IFERROR(HistoricalStockProgress[[#This Row],[Cost of Shares]]/HistoricalStockProgress[[#This Row],[No. of Shares]],0)</f>
        <v>39.627242008882604</v>
      </c>
      <c r="H670" s="16" vm="1198">
        <v>58.247500000000002</v>
      </c>
      <c r="I670" s="16">
        <f>IF(HistoricalStockProgress[[#This Row],[No. of Shares]]&lt;&gt;0,HistoricalStockProgress[[#This Row],[Price of Shares]]*HistoricalStockProgress[[#This Row],[No. of Shares]],0)</f>
        <v>4252.0675000000001</v>
      </c>
      <c r="J670" s="16">
        <f>IF(HistoricalStockProgress[[#This Row],[No. of Shares]]&lt;&gt;0,HistoricalStockProgress[[#This Row],[Price of Shares]]-HistoricalStockProgress[[#This Row],[Cost of Shares]]/HistoricalStockProgress[[#This Row],[No. of Shares]],0)</f>
        <v>18.620257991117398</v>
      </c>
      <c r="K670" s="17">
        <f>IF(HistoricalStockProgress[[#This Row],[Total Price of Shares]]&lt;&gt;0,HistoricalStockProgress[[#This Row],[Total Price of Shares]]-HistoricalStockProgress[[#This Row],[Cost of Shares]],0)</f>
        <v>1359.27883335157</v>
      </c>
      <c r="L670" s="34" t="b" cm="1">
        <f t="array" ref="L670">IFERROR(IF(HistoricalStockProgress[[#This Row],[Price of Shares]]="",_xlfn.STOCKHISTORY(HistoricalStockProgress[[#This Row],[Full Company Name]],HistoricalStockProgress[[#This Row],[Date]],,2,0,1)),0)</f>
        <v>0</v>
      </c>
      <c r="M670" s="34">
        <f>YEAR(HistoricalStockProgress[[#This Row],[Date]])</f>
        <v>2019</v>
      </c>
      <c r="N670" s="34">
        <f>MONTH(HistoricalStockProgress[[#This Row],[Date]])</f>
        <v>9</v>
      </c>
    </row>
    <row r="671" spans="2:14">
      <c r="B671" s="15">
        <v>43738</v>
      </c>
      <c r="C671" s="34" t="s">
        <v>100</v>
      </c>
      <c r="D671" s="34" t="e" vm="16">
        <f>_xlfn.XLOOKUP(HistoricalStockProgress[[#This Row],[Company Ticker]],CompanyDetailsList[Company Ticker],CompanyDetailsList[Official Name],,0)</f>
        <v>#VALUE!</v>
      </c>
      <c r="E6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74</v>
      </c>
      <c r="F6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6400.3550613930956</v>
      </c>
      <c r="G671" s="17">
        <f>IFERROR(HistoricalStockProgress[[#This Row],[Cost of Shares]]/HistoricalStockProgress[[#This Row],[No. of Shares]],0)</f>
        <v>86.491284613420206</v>
      </c>
      <c r="H671" s="16" vm="1199">
        <v>95.86</v>
      </c>
      <c r="I671" s="16">
        <f>IF(HistoricalStockProgress[[#This Row],[No. of Shares]]&lt;&gt;0,HistoricalStockProgress[[#This Row],[Price of Shares]]*HistoricalStockProgress[[#This Row],[No. of Shares]],0)</f>
        <v>7093.64</v>
      </c>
      <c r="J671" s="16">
        <f>IF(HistoricalStockProgress[[#This Row],[No. of Shares]]&lt;&gt;0,HistoricalStockProgress[[#This Row],[Price of Shares]]-HistoricalStockProgress[[#This Row],[Cost of Shares]]/HistoricalStockProgress[[#This Row],[No. of Shares]],0)</f>
        <v>9.3687153865797939</v>
      </c>
      <c r="K671" s="17">
        <f>IF(HistoricalStockProgress[[#This Row],[Total Price of Shares]]&lt;&gt;0,HistoricalStockProgress[[#This Row],[Total Price of Shares]]-HistoricalStockProgress[[#This Row],[Cost of Shares]],0)</f>
        <v>693.28493860690469</v>
      </c>
      <c r="L671" s="34" t="b" cm="1">
        <f t="array" ref="L671">IFERROR(IF(HistoricalStockProgress[[#This Row],[Price of Shares]]="",_xlfn.STOCKHISTORY(HistoricalStockProgress[[#This Row],[Full Company Name]],HistoricalStockProgress[[#This Row],[Date]],,2,0,1)),0)</f>
        <v>0</v>
      </c>
      <c r="M671" s="34">
        <f>YEAR(HistoricalStockProgress[[#This Row],[Date]])</f>
        <v>2019</v>
      </c>
      <c r="N671" s="34">
        <f>MONTH(HistoricalStockProgress[[#This Row],[Date]])</f>
        <v>9</v>
      </c>
    </row>
    <row r="672" spans="2:14">
      <c r="B672" s="15">
        <v>43738</v>
      </c>
      <c r="C672" s="34" t="s">
        <v>15</v>
      </c>
      <c r="D672" s="34" t="e" vm="17">
        <f>_xlfn.XLOOKUP(HistoricalStockProgress[[#This Row],[Company Ticker]],CompanyDetailsList[Company Ticker],CompanyDetailsList[Official Name],,0)</f>
        <v>#VALUE!</v>
      </c>
      <c r="E6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6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672" s="17">
        <f>IFERROR(HistoricalStockProgress[[#This Row],[Cost of Shares]]/HistoricalStockProgress[[#This Row],[No. of Shares]],0)</f>
        <v>26.081956457072195</v>
      </c>
      <c r="H672" s="16" vm="1200">
        <v>28.576000000000001</v>
      </c>
      <c r="I672" s="16">
        <f>IF(HistoricalStockProgress[[#This Row],[No. of Shares]]&lt;&gt;0,HistoricalStockProgress[[#This Row],[Price of Shares]]*HistoricalStockProgress[[#This Row],[No. of Shares]],0)</f>
        <v>3543.424</v>
      </c>
      <c r="J672" s="16">
        <f>IF(HistoricalStockProgress[[#This Row],[No. of Shares]]&lt;&gt;0,HistoricalStockProgress[[#This Row],[Price of Shares]]-HistoricalStockProgress[[#This Row],[Cost of Shares]]/HistoricalStockProgress[[#This Row],[No. of Shares]],0)</f>
        <v>2.4940435429278054</v>
      </c>
      <c r="K672" s="17">
        <f>IF(HistoricalStockProgress[[#This Row],[Total Price of Shares]]&lt;&gt;0,HistoricalStockProgress[[#This Row],[Total Price of Shares]]-HistoricalStockProgress[[#This Row],[Cost of Shares]],0)</f>
        <v>309.26139932304795</v>
      </c>
      <c r="L672" s="34" t="b" cm="1">
        <f t="array" ref="L672">IFERROR(IF(HistoricalStockProgress[[#This Row],[Price of Shares]]="",_xlfn.STOCKHISTORY(HistoricalStockProgress[[#This Row],[Full Company Name]],HistoricalStockProgress[[#This Row],[Date]],,2,0,1)),0)</f>
        <v>0</v>
      </c>
      <c r="M672" s="34">
        <f>YEAR(HistoricalStockProgress[[#This Row],[Date]])</f>
        <v>2019</v>
      </c>
      <c r="N672" s="34">
        <f>MONTH(HistoricalStockProgress[[#This Row],[Date]])</f>
        <v>9</v>
      </c>
    </row>
    <row r="673" spans="2:14">
      <c r="B673" s="15">
        <v>43738</v>
      </c>
      <c r="C673" s="34" t="s">
        <v>13</v>
      </c>
      <c r="D673" s="34" t="e" vm="18">
        <f>_xlfn.XLOOKUP(HistoricalStockProgress[[#This Row],[Company Ticker]],CompanyDetailsList[Company Ticker],CompanyDetailsList[Official Name],,0)</f>
        <v>#VALUE!</v>
      </c>
      <c r="E6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6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673" s="17">
        <f>IFERROR(HistoricalStockProgress[[#This Row],[Cost of Shares]]/HistoricalStockProgress[[#This Row],[No. of Shares]],0)</f>
        <v>35.846938938346874</v>
      </c>
      <c r="H673" s="16" vm="963">
        <v>34.059800000000003</v>
      </c>
      <c r="I673" s="16">
        <f>IF(HistoricalStockProgress[[#This Row],[No. of Shares]]&lt;&gt;0,HistoricalStockProgress[[#This Row],[Price of Shares]]*HistoricalStockProgress[[#This Row],[No. of Shares]],0)</f>
        <v>1873.2890000000002</v>
      </c>
      <c r="J673" s="16">
        <f>IF(HistoricalStockProgress[[#This Row],[No. of Shares]]&lt;&gt;0,HistoricalStockProgress[[#This Row],[Price of Shares]]-HistoricalStockProgress[[#This Row],[Cost of Shares]]/HistoricalStockProgress[[#This Row],[No. of Shares]],0)</f>
        <v>-1.787138938346871</v>
      </c>
      <c r="K673" s="17">
        <f>IF(HistoricalStockProgress[[#This Row],[Total Price of Shares]]&lt;&gt;0,HistoricalStockProgress[[#This Row],[Total Price of Shares]]-HistoricalStockProgress[[#This Row],[Cost of Shares]],0)</f>
        <v>-98.292641609077918</v>
      </c>
      <c r="L673" s="34" t="b" cm="1">
        <f t="array" ref="L673">IFERROR(IF(HistoricalStockProgress[[#This Row],[Price of Shares]]="",_xlfn.STOCKHISTORY(HistoricalStockProgress[[#This Row],[Full Company Name]],HistoricalStockProgress[[#This Row],[Date]],,2,0,1)),0)</f>
        <v>0</v>
      </c>
      <c r="M673" s="34">
        <f>YEAR(HistoricalStockProgress[[#This Row],[Date]])</f>
        <v>2019</v>
      </c>
      <c r="N673" s="34">
        <f>MONTH(HistoricalStockProgress[[#This Row],[Date]])</f>
        <v>9</v>
      </c>
    </row>
    <row r="674" spans="2:14">
      <c r="B674" s="15">
        <v>43738</v>
      </c>
      <c r="C674" s="34" t="s">
        <v>20</v>
      </c>
      <c r="D674" s="34" t="e" vm="19">
        <f>_xlfn.XLOOKUP(HistoricalStockProgress[[#This Row],[Company Ticker]],CompanyDetailsList[Company Ticker],CompanyDetailsList[Official Name],,0)</f>
        <v>#VALUE!</v>
      </c>
      <c r="E6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6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674" s="17">
        <f>IFERROR(HistoricalStockProgress[[#This Row],[Cost of Shares]]/HistoricalStockProgress[[#This Row],[No. of Shares]],0)</f>
        <v>93.912242833589502</v>
      </c>
      <c r="H674" s="16" vm="1201">
        <v>117.69</v>
      </c>
      <c r="I674" s="16">
        <f>IF(HistoricalStockProgress[[#This Row],[No. of Shares]]&lt;&gt;0,HistoricalStockProgress[[#This Row],[Price of Shares]]*HistoricalStockProgress[[#This Row],[No. of Shares]],0)</f>
        <v>9179.82</v>
      </c>
      <c r="J674" s="16">
        <f>IF(HistoricalStockProgress[[#This Row],[No. of Shares]]&lt;&gt;0,HistoricalStockProgress[[#This Row],[Price of Shares]]-HistoricalStockProgress[[#This Row],[Cost of Shares]]/HistoricalStockProgress[[#This Row],[No. of Shares]],0)</f>
        <v>23.777757166410495</v>
      </c>
      <c r="K674" s="17">
        <f>IF(HistoricalStockProgress[[#This Row],[Total Price of Shares]]&lt;&gt;0,HistoricalStockProgress[[#This Row],[Total Price of Shares]]-HistoricalStockProgress[[#This Row],[Cost of Shares]],0)</f>
        <v>1854.6650589800183</v>
      </c>
      <c r="L674" s="34" t="b" cm="1">
        <f t="array" ref="L674">IFERROR(IF(HistoricalStockProgress[[#This Row],[Price of Shares]]="",_xlfn.STOCKHISTORY(HistoricalStockProgress[[#This Row],[Full Company Name]],HistoricalStockProgress[[#This Row],[Date]],,2,0,1)),0)</f>
        <v>0</v>
      </c>
      <c r="M674" s="34">
        <f>YEAR(HistoricalStockProgress[[#This Row],[Date]])</f>
        <v>2019</v>
      </c>
      <c r="N674" s="34">
        <f>MONTH(HistoricalStockProgress[[#This Row],[Date]])</f>
        <v>9</v>
      </c>
    </row>
    <row r="675" spans="2:14">
      <c r="B675" s="15">
        <v>43738</v>
      </c>
      <c r="C675" s="34" t="s">
        <v>106</v>
      </c>
      <c r="D675" s="34" t="e" vm="20">
        <f>_xlfn.XLOOKUP(HistoricalStockProgress[[#This Row],[Company Ticker]],CompanyDetailsList[Company Ticker],CompanyDetailsList[Official Name],,0)</f>
        <v>#VALUE!</v>
      </c>
      <c r="E6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52</v>
      </c>
      <c r="F6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5315.8302476196659</v>
      </c>
      <c r="G675" s="17">
        <f>IFERROR(HistoricalStockProgress[[#This Row],[Cost of Shares]]/HistoricalStockProgress[[#This Row],[No. of Shares]],0)</f>
        <v>102.22750476191665</v>
      </c>
      <c r="H675" s="16" vm="1202">
        <v>118.51</v>
      </c>
      <c r="I675" s="16">
        <f>IF(HistoricalStockProgress[[#This Row],[No. of Shares]]&lt;&gt;0,HistoricalStockProgress[[#This Row],[Price of Shares]]*HistoricalStockProgress[[#This Row],[No. of Shares]],0)</f>
        <v>6162.52</v>
      </c>
      <c r="J675" s="16">
        <f>IF(HistoricalStockProgress[[#This Row],[No. of Shares]]&lt;&gt;0,HistoricalStockProgress[[#This Row],[Price of Shares]]-HistoricalStockProgress[[#This Row],[Cost of Shares]]/HistoricalStockProgress[[#This Row],[No. of Shares]],0)</f>
        <v>16.282495238083357</v>
      </c>
      <c r="K675" s="17">
        <f>IF(HistoricalStockProgress[[#This Row],[Total Price of Shares]]&lt;&gt;0,HistoricalStockProgress[[#This Row],[Total Price of Shares]]-HistoricalStockProgress[[#This Row],[Cost of Shares]],0)</f>
        <v>846.68975238033454</v>
      </c>
      <c r="L675" s="34" t="b" cm="1">
        <f t="array" ref="L675">IFERROR(IF(HistoricalStockProgress[[#This Row],[Price of Shares]]="",_xlfn.STOCKHISTORY(HistoricalStockProgress[[#This Row],[Full Company Name]],HistoricalStockProgress[[#This Row],[Date]],,2,0,1)),0)</f>
        <v>0</v>
      </c>
      <c r="M675" s="34">
        <f>YEAR(HistoricalStockProgress[[#This Row],[Date]])</f>
        <v>2019</v>
      </c>
      <c r="N675" s="34">
        <f>MONTH(HistoricalStockProgress[[#This Row],[Date]])</f>
        <v>9</v>
      </c>
    </row>
    <row r="676" spans="2:14">
      <c r="B676" s="15">
        <v>43769</v>
      </c>
      <c r="C676" s="34" t="s">
        <v>12</v>
      </c>
      <c r="D676" s="34" t="e" vm="1">
        <f>_xlfn.XLOOKUP(HistoricalStockProgress[[#This Row],[Company Ticker]],CompanyDetailsList[Company Ticker],CompanyDetailsList[Official Name],,0)</f>
        <v>#VALUE!</v>
      </c>
      <c r="E6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6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1953.8799010350301</v>
      </c>
      <c r="G676" s="17">
        <f>IFERROR(HistoricalStockProgress[[#This Row],[Cost of Shares]]/HistoricalStockProgress[[#This Row],[No. of Shares]],0)</f>
        <v>67.375169001207937</v>
      </c>
      <c r="H676" s="16" vm="1203">
        <v>81.790000000000006</v>
      </c>
      <c r="I676" s="16">
        <f>IF(HistoricalStockProgress[[#This Row],[No. of Shares]]&lt;&gt;0,HistoricalStockProgress[[#This Row],[Price of Shares]]*HistoricalStockProgress[[#This Row],[No. of Shares]],0)</f>
        <v>2371.9100000000003</v>
      </c>
      <c r="J676" s="16">
        <f>IF(HistoricalStockProgress[[#This Row],[No. of Shares]]&lt;&gt;0,HistoricalStockProgress[[#This Row],[Price of Shares]]-HistoricalStockProgress[[#This Row],[Cost of Shares]]/HistoricalStockProgress[[#This Row],[No. of Shares]],0)</f>
        <v>14.41483099879207</v>
      </c>
      <c r="K676" s="17">
        <f>IF(HistoricalStockProgress[[#This Row],[Total Price of Shares]]&lt;&gt;0,HistoricalStockProgress[[#This Row],[Total Price of Shares]]-HistoricalStockProgress[[#This Row],[Cost of Shares]],0)</f>
        <v>418.03009896497019</v>
      </c>
      <c r="L676" s="34" t="b" cm="1">
        <f t="array" ref="L676">IFERROR(IF(HistoricalStockProgress[[#This Row],[Price of Shares]]="",_xlfn.STOCKHISTORY(HistoricalStockProgress[[#This Row],[Full Company Name]],HistoricalStockProgress[[#This Row],[Date]],,2,0,1)),0)</f>
        <v>0</v>
      </c>
      <c r="M676" s="34">
        <f>YEAR(HistoricalStockProgress[[#This Row],[Date]])</f>
        <v>2019</v>
      </c>
      <c r="N676" s="34">
        <f>MONTH(HistoricalStockProgress[[#This Row],[Date]])</f>
        <v>10</v>
      </c>
    </row>
    <row r="677" spans="2:14">
      <c r="B677" s="15">
        <v>43769</v>
      </c>
      <c r="C677" s="34" t="s">
        <v>19</v>
      </c>
      <c r="D677" s="34" t="e" vm="3">
        <f>_xlfn.XLOOKUP(HistoricalStockProgress[[#This Row],[Company Ticker]],CompanyDetailsList[Company Ticker],CompanyDetailsList[Official Name],,0)</f>
        <v>#VALUE!</v>
      </c>
      <c r="E6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32</v>
      </c>
      <c r="F6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5052.8411971764708</v>
      </c>
      <c r="G677" s="17">
        <f>IFERROR(HistoricalStockProgress[[#This Row],[Cost of Shares]]/HistoricalStockProgress[[#This Row],[No. of Shares]],0)</f>
        <v>157.90128741176471</v>
      </c>
      <c r="H677" s="16" vm="1204">
        <v>147.69</v>
      </c>
      <c r="I677" s="16">
        <f>IF(HistoricalStockProgress[[#This Row],[No. of Shares]]&lt;&gt;0,HistoricalStockProgress[[#This Row],[Price of Shares]]*HistoricalStockProgress[[#This Row],[No. of Shares]],0)</f>
        <v>4726.08</v>
      </c>
      <c r="J677" s="16">
        <f>IF(HistoricalStockProgress[[#This Row],[No. of Shares]]&lt;&gt;0,HistoricalStockProgress[[#This Row],[Price of Shares]]-HistoricalStockProgress[[#This Row],[Cost of Shares]]/HistoricalStockProgress[[#This Row],[No. of Shares]],0)</f>
        <v>-10.211287411764715</v>
      </c>
      <c r="K677" s="17">
        <f>IF(HistoricalStockProgress[[#This Row],[Total Price of Shares]]&lt;&gt;0,HistoricalStockProgress[[#This Row],[Total Price of Shares]]-HistoricalStockProgress[[#This Row],[Cost of Shares]],0)</f>
        <v>-326.76119717647089</v>
      </c>
      <c r="L677" s="34" t="b" cm="1">
        <f t="array" ref="L677">IFERROR(IF(HistoricalStockProgress[[#This Row],[Price of Shares]]="",_xlfn.STOCKHISTORY(HistoricalStockProgress[[#This Row],[Full Company Name]],HistoricalStockProgress[[#This Row],[Date]],,2,0,1)),0)</f>
        <v>0</v>
      </c>
      <c r="M677" s="34">
        <f>YEAR(HistoricalStockProgress[[#This Row],[Date]])</f>
        <v>2019</v>
      </c>
      <c r="N677" s="34">
        <f>MONTH(HistoricalStockProgress[[#This Row],[Date]])</f>
        <v>10</v>
      </c>
    </row>
    <row r="678" spans="2:14">
      <c r="B678" s="15">
        <v>43769</v>
      </c>
      <c r="C678" s="34" t="s">
        <v>23</v>
      </c>
      <c r="D678" s="34" t="e" vm="4">
        <f>_xlfn.XLOOKUP(HistoricalStockProgress[[#This Row],[Company Ticker]],CompanyDetailsList[Company Ticker],CompanyDetailsList[Official Name],,0)</f>
        <v>#VALUE!</v>
      </c>
      <c r="E6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6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678" s="17">
        <f>IFERROR(HistoricalStockProgress[[#This Row],[Cost of Shares]]/HistoricalStockProgress[[#This Row],[No. of Shares]],0)</f>
        <v>45.768494888570878</v>
      </c>
      <c r="H678" s="16" vm="1205">
        <v>54.43</v>
      </c>
      <c r="I678" s="16">
        <f>IF(HistoricalStockProgress[[#This Row],[No. of Shares]]&lt;&gt;0,HistoricalStockProgress[[#This Row],[Price of Shares]]*HistoricalStockProgress[[#This Row],[No. of Shares]],0)</f>
        <v>3156.94</v>
      </c>
      <c r="J678" s="16">
        <f>IF(HistoricalStockProgress[[#This Row],[No. of Shares]]&lt;&gt;0,HistoricalStockProgress[[#This Row],[Price of Shares]]-HistoricalStockProgress[[#This Row],[Cost of Shares]]/HistoricalStockProgress[[#This Row],[No. of Shares]],0)</f>
        <v>8.6615051114291219</v>
      </c>
      <c r="K678" s="17">
        <f>IF(HistoricalStockProgress[[#This Row],[Total Price of Shares]]&lt;&gt;0,HistoricalStockProgress[[#This Row],[Total Price of Shares]]-HistoricalStockProgress[[#This Row],[Cost of Shares]],0)</f>
        <v>502.36729646288904</v>
      </c>
      <c r="L678" s="34" t="b" cm="1">
        <f t="array" ref="L678">IFERROR(IF(HistoricalStockProgress[[#This Row],[Price of Shares]]="",_xlfn.STOCKHISTORY(HistoricalStockProgress[[#This Row],[Full Company Name]],HistoricalStockProgress[[#This Row],[Date]],,2,0,1)),0)</f>
        <v>0</v>
      </c>
      <c r="M678" s="34">
        <f>YEAR(HistoricalStockProgress[[#This Row],[Date]])</f>
        <v>2019</v>
      </c>
      <c r="N678" s="34">
        <f>MONTH(HistoricalStockProgress[[#This Row],[Date]])</f>
        <v>10</v>
      </c>
    </row>
    <row r="679" spans="2:14">
      <c r="B679" s="15">
        <v>43769</v>
      </c>
      <c r="C679" s="34" t="s">
        <v>21</v>
      </c>
      <c r="D679" s="34" t="e" vm="6">
        <f>_xlfn.XLOOKUP(HistoricalStockProgress[[#This Row],[Company Ticker]],CompanyDetailsList[Company Ticker],CompanyDetailsList[Official Name],,0)</f>
        <v>#VALUE!</v>
      </c>
      <c r="E6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v>
      </c>
      <c r="F6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2087.9623605222587</v>
      </c>
      <c r="G679" s="17">
        <f>IFERROR(HistoricalStockProgress[[#This Row],[Cost of Shares]]/HistoricalStockProgress[[#This Row],[No. of Shares]],0)</f>
        <v>122.82131532483875</v>
      </c>
      <c r="H679" s="16" vm="1206">
        <v>124.51</v>
      </c>
      <c r="I679" s="16">
        <f>IF(HistoricalStockProgress[[#This Row],[No. of Shares]]&lt;&gt;0,HistoricalStockProgress[[#This Row],[Price of Shares]]*HistoricalStockProgress[[#This Row],[No. of Shares]],0)</f>
        <v>2116.67</v>
      </c>
      <c r="J679" s="16">
        <f>IF(HistoricalStockProgress[[#This Row],[No. of Shares]]&lt;&gt;0,HistoricalStockProgress[[#This Row],[Price of Shares]]-HistoricalStockProgress[[#This Row],[Cost of Shares]]/HistoricalStockProgress[[#This Row],[No. of Shares]],0)</f>
        <v>1.6886846751612552</v>
      </c>
      <c r="K679" s="17">
        <f>IF(HistoricalStockProgress[[#This Row],[Total Price of Shares]]&lt;&gt;0,HistoricalStockProgress[[#This Row],[Total Price of Shares]]-HistoricalStockProgress[[#This Row],[Cost of Shares]],0)</f>
        <v>28.707639477741395</v>
      </c>
      <c r="L679" s="34" t="b" cm="1">
        <f t="array" ref="L679">IFERROR(IF(HistoricalStockProgress[[#This Row],[Price of Shares]]="",_xlfn.STOCKHISTORY(HistoricalStockProgress[[#This Row],[Full Company Name]],HistoricalStockProgress[[#This Row],[Date]],,2,0,1)),0)</f>
        <v>0</v>
      </c>
      <c r="M679" s="34">
        <f>YEAR(HistoricalStockProgress[[#This Row],[Date]])</f>
        <v>2019</v>
      </c>
      <c r="N679" s="34">
        <f>MONTH(HistoricalStockProgress[[#This Row],[Date]])</f>
        <v>10</v>
      </c>
    </row>
    <row r="680" spans="2:14">
      <c r="B680" s="15">
        <v>43769</v>
      </c>
      <c r="C680" s="34" t="s">
        <v>84</v>
      </c>
      <c r="D680" s="34" t="e" vm="7">
        <f>_xlfn.XLOOKUP(HistoricalStockProgress[[#This Row],[Company Ticker]],CompanyDetailsList[Company Ticker],CompanyDetailsList[Official Name],,0)</f>
        <v>#VALUE!</v>
      </c>
      <c r="E6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6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680" s="17">
        <f>IFERROR(HistoricalStockProgress[[#This Row],[Cost of Shares]]/HistoricalStockProgress[[#This Row],[No. of Shares]],0)</f>
        <v>104.18087504950869</v>
      </c>
      <c r="H680" s="16" vm="1207">
        <v>132.04</v>
      </c>
      <c r="I680" s="16">
        <f>IF(HistoricalStockProgress[[#This Row],[No. of Shares]]&lt;&gt;0,HistoricalStockProgress[[#This Row],[Price of Shares]]*HistoricalStockProgress[[#This Row],[No. of Shares]],0)</f>
        <v>6734.04</v>
      </c>
      <c r="J680" s="16">
        <f>IF(HistoricalStockProgress[[#This Row],[No. of Shares]]&lt;&gt;0,HistoricalStockProgress[[#This Row],[Price of Shares]]-HistoricalStockProgress[[#This Row],[Cost of Shares]]/HistoricalStockProgress[[#This Row],[No. of Shares]],0)</f>
        <v>27.859124950491307</v>
      </c>
      <c r="K680" s="17">
        <f>IF(HistoricalStockProgress[[#This Row],[Total Price of Shares]]&lt;&gt;0,HistoricalStockProgress[[#This Row],[Total Price of Shares]]-HistoricalStockProgress[[#This Row],[Cost of Shares]],0)</f>
        <v>1420.8153724750573</v>
      </c>
      <c r="L680" s="34" t="b" cm="1">
        <f t="array" ref="L680">IFERROR(IF(HistoricalStockProgress[[#This Row],[Price of Shares]]="",_xlfn.STOCKHISTORY(HistoricalStockProgress[[#This Row],[Full Company Name]],HistoricalStockProgress[[#This Row],[Date]],,2,0,1)),0)</f>
        <v>0</v>
      </c>
      <c r="M680" s="34">
        <f>YEAR(HistoricalStockProgress[[#This Row],[Date]])</f>
        <v>2019</v>
      </c>
      <c r="N680" s="34">
        <f>MONTH(HistoricalStockProgress[[#This Row],[Date]])</f>
        <v>10</v>
      </c>
    </row>
    <row r="681" spans="2:14">
      <c r="B681" s="15">
        <v>43769</v>
      </c>
      <c r="C681" s="34" t="s">
        <v>86</v>
      </c>
      <c r="D681" s="34" t="e" vm="8">
        <f>_xlfn.XLOOKUP(HistoricalStockProgress[[#This Row],[Company Ticker]],CompanyDetailsList[Company Ticker],CompanyDetailsList[Official Name],,0)</f>
        <v>#VALUE!</v>
      </c>
      <c r="E6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6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681" s="17">
        <f>IFERROR(HistoricalStockProgress[[#This Row],[Cost of Shares]]/HistoricalStockProgress[[#This Row],[No. of Shares]],0)</f>
        <v>85.876031764920896</v>
      </c>
      <c r="H681" s="16" vm="1208">
        <v>79.55</v>
      </c>
      <c r="I681" s="16">
        <f>IF(HistoricalStockProgress[[#This Row],[No. of Shares]]&lt;&gt;0,HistoricalStockProgress[[#This Row],[Price of Shares]]*HistoricalStockProgress[[#This Row],[No. of Shares]],0)</f>
        <v>4216.1499999999996</v>
      </c>
      <c r="J681" s="16">
        <f>IF(HistoricalStockProgress[[#This Row],[No. of Shares]]&lt;&gt;0,HistoricalStockProgress[[#This Row],[Price of Shares]]-HistoricalStockProgress[[#This Row],[Cost of Shares]]/HistoricalStockProgress[[#This Row],[No. of Shares]],0)</f>
        <v>-6.3260317649208986</v>
      </c>
      <c r="K681" s="17">
        <f>IF(HistoricalStockProgress[[#This Row],[Total Price of Shares]]&lt;&gt;0,HistoricalStockProgress[[#This Row],[Total Price of Shares]]-HistoricalStockProgress[[#This Row],[Cost of Shares]],0)</f>
        <v>-335.27968354080804</v>
      </c>
      <c r="L681" s="34" t="b" cm="1">
        <f t="array" ref="L681">IFERROR(IF(HistoricalStockProgress[[#This Row],[Price of Shares]]="",_xlfn.STOCKHISTORY(HistoricalStockProgress[[#This Row],[Full Company Name]],HistoricalStockProgress[[#This Row],[Date]],,2,0,1)),0)</f>
        <v>0</v>
      </c>
      <c r="M681" s="34">
        <f>YEAR(HistoricalStockProgress[[#This Row],[Date]])</f>
        <v>2019</v>
      </c>
      <c r="N681" s="34">
        <f>MONTH(HistoricalStockProgress[[#This Row],[Date]])</f>
        <v>10</v>
      </c>
    </row>
    <row r="682" spans="2:14">
      <c r="B682" s="15">
        <v>43769</v>
      </c>
      <c r="C682" s="34" t="s">
        <v>88</v>
      </c>
      <c r="D682" s="34" t="e" vm="9">
        <f>_xlfn.XLOOKUP(HistoricalStockProgress[[#This Row],[Company Ticker]],CompanyDetailsList[Company Ticker],CompanyDetailsList[Official Name],,0)</f>
        <v>#VALUE!</v>
      </c>
      <c r="E6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v>
      </c>
      <c r="F6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4283.7073138981596</v>
      </c>
      <c r="G682" s="17">
        <f>IFERROR(HistoricalStockProgress[[#This Row],[Cost of Shares]]/HistoricalStockProgress[[#This Row],[No. of Shares]],0)</f>
        <v>214.18536569490797</v>
      </c>
      <c r="H682" s="16" vm="1209">
        <v>196.7</v>
      </c>
      <c r="I682" s="16">
        <f>IF(HistoricalStockProgress[[#This Row],[No. of Shares]]&lt;&gt;0,HistoricalStockProgress[[#This Row],[Price of Shares]]*HistoricalStockProgress[[#This Row],[No. of Shares]],0)</f>
        <v>3934</v>
      </c>
      <c r="J682" s="16">
        <f>IF(HistoricalStockProgress[[#This Row],[No. of Shares]]&lt;&gt;0,HistoricalStockProgress[[#This Row],[Price of Shares]]-HistoricalStockProgress[[#This Row],[Cost of Shares]]/HistoricalStockProgress[[#This Row],[No. of Shares]],0)</f>
        <v>-17.485365694907983</v>
      </c>
      <c r="K682" s="17">
        <f>IF(HistoricalStockProgress[[#This Row],[Total Price of Shares]]&lt;&gt;0,HistoricalStockProgress[[#This Row],[Total Price of Shares]]-HistoricalStockProgress[[#This Row],[Cost of Shares]],0)</f>
        <v>-349.70731389815955</v>
      </c>
      <c r="L682" s="34" t="b" cm="1">
        <f t="array" ref="L682">IFERROR(IF(HistoricalStockProgress[[#This Row],[Price of Shares]]="",_xlfn.STOCKHISTORY(HistoricalStockProgress[[#This Row],[Full Company Name]],HistoricalStockProgress[[#This Row],[Date]],,2,0,1)),0)</f>
        <v>0</v>
      </c>
      <c r="M682" s="34">
        <f>YEAR(HistoricalStockProgress[[#This Row],[Date]])</f>
        <v>2019</v>
      </c>
      <c r="N682" s="34">
        <f>MONTH(HistoricalStockProgress[[#This Row],[Date]])</f>
        <v>10</v>
      </c>
    </row>
    <row r="683" spans="2:14">
      <c r="B683" s="15">
        <v>43769</v>
      </c>
      <c r="C683" s="34" t="s">
        <v>22</v>
      </c>
      <c r="D683" s="34" t="e" vm="10">
        <f>_xlfn.XLOOKUP(HistoricalStockProgress[[#This Row],[Company Ticker]],CompanyDetailsList[Company Ticker],CompanyDetailsList[Official Name],,0)</f>
        <v>#VALUE!</v>
      </c>
      <c r="E6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6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683" s="17">
        <f>IFERROR(HistoricalStockProgress[[#This Row],[Cost of Shares]]/HistoricalStockProgress[[#This Row],[No. of Shares]],0)</f>
        <v>96.351727068187571</v>
      </c>
      <c r="H683" s="16" vm="1210">
        <v>137.80000000000001</v>
      </c>
      <c r="I683" s="16">
        <f>IF(HistoricalStockProgress[[#This Row],[No. of Shares]]&lt;&gt;0,HistoricalStockProgress[[#This Row],[Price of Shares]]*HistoricalStockProgress[[#This Row],[No. of Shares]],0)</f>
        <v>11161.800000000001</v>
      </c>
      <c r="J683" s="16">
        <f>IF(HistoricalStockProgress[[#This Row],[No. of Shares]]&lt;&gt;0,HistoricalStockProgress[[#This Row],[Price of Shares]]-HistoricalStockProgress[[#This Row],[Cost of Shares]]/HistoricalStockProgress[[#This Row],[No. of Shares]],0)</f>
        <v>41.44827293181244</v>
      </c>
      <c r="K683" s="17">
        <f>IF(HistoricalStockProgress[[#This Row],[Total Price of Shares]]&lt;&gt;0,HistoricalStockProgress[[#This Row],[Total Price of Shares]]-HistoricalStockProgress[[#This Row],[Cost of Shares]],0)</f>
        <v>3357.3101074768083</v>
      </c>
      <c r="L683" s="34" t="b" cm="1">
        <f t="array" ref="L683">IFERROR(IF(HistoricalStockProgress[[#This Row],[Price of Shares]]="",_xlfn.STOCKHISTORY(HistoricalStockProgress[[#This Row],[Full Company Name]],HistoricalStockProgress[[#This Row],[Date]],,2,0,1)),0)</f>
        <v>0</v>
      </c>
      <c r="M683" s="34">
        <f>YEAR(HistoricalStockProgress[[#This Row],[Date]])</f>
        <v>2019</v>
      </c>
      <c r="N683" s="34">
        <f>MONTH(HistoricalStockProgress[[#This Row],[Date]])</f>
        <v>10</v>
      </c>
    </row>
    <row r="684" spans="2:14">
      <c r="B684" s="15">
        <v>43769</v>
      </c>
      <c r="C684" s="34" t="s">
        <v>91</v>
      </c>
      <c r="D684" s="34" t="e" vm="11">
        <f>_xlfn.XLOOKUP(HistoricalStockProgress[[#This Row],[Company Ticker]],CompanyDetailsList[Company Ticker],CompanyDetailsList[Official Name],,0)</f>
        <v>#VALUE!</v>
      </c>
      <c r="E6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113</v>
      </c>
      <c r="F6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8617.7943854195</v>
      </c>
      <c r="G684" s="17">
        <f>IFERROR(HistoricalStockProgress[[#This Row],[Cost of Shares]]/HistoricalStockProgress[[#This Row],[No. of Shares]],0)</f>
        <v>76.263667127606197</v>
      </c>
      <c r="H684" s="16" vm="1211">
        <v>143.37</v>
      </c>
      <c r="I684" s="16">
        <f>IF(HistoricalStockProgress[[#This Row],[No. of Shares]]&lt;&gt;0,HistoricalStockProgress[[#This Row],[Price of Shares]]*HistoricalStockProgress[[#This Row],[No. of Shares]],0)</f>
        <v>16200.810000000001</v>
      </c>
      <c r="J684" s="16">
        <f>IF(HistoricalStockProgress[[#This Row],[No. of Shares]]&lt;&gt;0,HistoricalStockProgress[[#This Row],[Price of Shares]]-HistoricalStockProgress[[#This Row],[Cost of Shares]]/HistoricalStockProgress[[#This Row],[No. of Shares]],0)</f>
        <v>67.106332872393807</v>
      </c>
      <c r="K684" s="17">
        <f>IF(HistoricalStockProgress[[#This Row],[Total Price of Shares]]&lt;&gt;0,HistoricalStockProgress[[#This Row],[Total Price of Shares]]-HistoricalStockProgress[[#This Row],[Cost of Shares]],0)</f>
        <v>7583.0156145805013</v>
      </c>
      <c r="L684" s="34" t="b" cm="1">
        <f t="array" ref="L684">IFERROR(IF(HistoricalStockProgress[[#This Row],[Price of Shares]]="",_xlfn.STOCKHISTORY(HistoricalStockProgress[[#This Row],[Full Company Name]],HistoricalStockProgress[[#This Row],[Date]],,2,0,1)),0)</f>
        <v>0</v>
      </c>
      <c r="M684" s="34">
        <f>YEAR(HistoricalStockProgress[[#This Row],[Date]])</f>
        <v>2019</v>
      </c>
      <c r="N684" s="34">
        <f>MONTH(HistoricalStockProgress[[#This Row],[Date]])</f>
        <v>10</v>
      </c>
    </row>
    <row r="685" spans="2:14">
      <c r="B685" s="15">
        <v>43769</v>
      </c>
      <c r="C685" s="34" t="s">
        <v>16</v>
      </c>
      <c r="D685" s="34" t="e" vm="12">
        <f>_xlfn.XLOOKUP(HistoricalStockProgress[[#This Row],[Company Ticker]],CompanyDetailsList[Company Ticker],CompanyDetailsList[Official Name],,0)</f>
        <v>#VALUE!</v>
      </c>
      <c r="E6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6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685" s="17">
        <f>IFERROR(HistoricalStockProgress[[#This Row],[Cost of Shares]]/HistoricalStockProgress[[#This Row],[No. of Shares]],0)</f>
        <v>82.900834685216523</v>
      </c>
      <c r="H685" s="16" vm="1212">
        <v>67.569999999999993</v>
      </c>
      <c r="I685" s="16">
        <f>IF(HistoricalStockProgress[[#This Row],[No. of Shares]]&lt;&gt;0,HistoricalStockProgress[[#This Row],[Price of Shares]]*HistoricalStockProgress[[#This Row],[No. of Shares]],0)</f>
        <v>9797.65</v>
      </c>
      <c r="J685" s="16">
        <f>IF(HistoricalStockProgress[[#This Row],[No. of Shares]]&lt;&gt;0,HistoricalStockProgress[[#This Row],[Price of Shares]]-HistoricalStockProgress[[#This Row],[Cost of Shares]]/HistoricalStockProgress[[#This Row],[No. of Shares]],0)</f>
        <v>-15.33083468521653</v>
      </c>
      <c r="K685" s="17">
        <f>IF(HistoricalStockProgress[[#This Row],[Total Price of Shares]]&lt;&gt;0,HistoricalStockProgress[[#This Row],[Total Price of Shares]]-HistoricalStockProgress[[#This Row],[Cost of Shares]],0)</f>
        <v>-2222.9710293563967</v>
      </c>
      <c r="L685" s="34" t="b" cm="1">
        <f t="array" ref="L685">IFERROR(IF(HistoricalStockProgress[[#This Row],[Price of Shares]]="",_xlfn.STOCKHISTORY(HistoricalStockProgress[[#This Row],[Full Company Name]],HistoricalStockProgress[[#This Row],[Date]],,2,0,1)),0)</f>
        <v>0</v>
      </c>
      <c r="M685" s="34">
        <f>YEAR(HistoricalStockProgress[[#This Row],[Date]])</f>
        <v>2019</v>
      </c>
      <c r="N685" s="34">
        <f>MONTH(HistoricalStockProgress[[#This Row],[Date]])</f>
        <v>10</v>
      </c>
    </row>
    <row r="686" spans="2:14">
      <c r="B686" s="15">
        <v>43769</v>
      </c>
      <c r="C686" s="34" t="s">
        <v>95</v>
      </c>
      <c r="D686" s="34" t="e" vm="13">
        <f>_xlfn.XLOOKUP(HistoricalStockProgress[[#This Row],[Company Ticker]],CompanyDetailsList[Company Ticker],CompanyDetailsList[Official Name],,0)</f>
        <v>#VALUE!</v>
      </c>
      <c r="E6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6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686" s="17">
        <f>IFERROR(HistoricalStockProgress[[#This Row],[Cost of Shares]]/HistoricalStockProgress[[#This Row],[No. of Shares]],0)</f>
        <v>143.29758396474452</v>
      </c>
      <c r="H686" s="16" vm="1213">
        <v>234.58</v>
      </c>
      <c r="I686" s="16">
        <f>IF(HistoricalStockProgress[[#This Row],[No. of Shares]]&lt;&gt;0,HistoricalStockProgress[[#This Row],[Price of Shares]]*HistoricalStockProgress[[#This Row],[No. of Shares]],0)</f>
        <v>10086.94</v>
      </c>
      <c r="J686" s="16">
        <f>IF(HistoricalStockProgress[[#This Row],[No. of Shares]]&lt;&gt;0,HistoricalStockProgress[[#This Row],[Price of Shares]]-HistoricalStockProgress[[#This Row],[Cost of Shares]]/HistoricalStockProgress[[#This Row],[No. of Shares]],0)</f>
        <v>91.282416035255494</v>
      </c>
      <c r="K686" s="17">
        <f>IF(HistoricalStockProgress[[#This Row],[Total Price of Shares]]&lt;&gt;0,HistoricalStockProgress[[#This Row],[Total Price of Shares]]-HistoricalStockProgress[[#This Row],[Cost of Shares]],0)</f>
        <v>3925.1438895159863</v>
      </c>
      <c r="L686" s="34" t="b" cm="1">
        <f t="array" ref="L686">IFERROR(IF(HistoricalStockProgress[[#This Row],[Price of Shares]]="",_xlfn.STOCKHISTORY(HistoricalStockProgress[[#This Row],[Full Company Name]],HistoricalStockProgress[[#This Row],[Date]],,2,0,1)),0)</f>
        <v>0</v>
      </c>
      <c r="M686" s="34">
        <f>YEAR(HistoricalStockProgress[[#This Row],[Date]])</f>
        <v>2019</v>
      </c>
      <c r="N686" s="34">
        <f>MONTH(HistoricalStockProgress[[#This Row],[Date]])</f>
        <v>10</v>
      </c>
    </row>
    <row r="687" spans="2:14">
      <c r="B687" s="15">
        <v>43769</v>
      </c>
      <c r="C687" s="34" t="s">
        <v>17</v>
      </c>
      <c r="D687" s="34" t="e" vm="14">
        <f>_xlfn.XLOOKUP(HistoricalStockProgress[[#This Row],[Company Ticker]],CompanyDetailsList[Company Ticker],CompanyDetailsList[Official Name],,0)</f>
        <v>#VALUE!</v>
      </c>
      <c r="E6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6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9484.3704371074709</v>
      </c>
      <c r="G687" s="17">
        <f>IFERROR(HistoricalStockProgress[[#This Row],[Cost of Shares]]/HistoricalStockProgress[[#This Row],[No. of Shares]],0)</f>
        <v>150.54556249376938</v>
      </c>
      <c r="H687" s="16" vm="1214">
        <v>133.72999999999999</v>
      </c>
      <c r="I687" s="16">
        <f>IF(HistoricalStockProgress[[#This Row],[No. of Shares]]&lt;&gt;0,HistoricalStockProgress[[#This Row],[Price of Shares]]*HistoricalStockProgress[[#This Row],[No. of Shares]],0)</f>
        <v>8424.99</v>
      </c>
      <c r="J687" s="16">
        <f>IF(HistoricalStockProgress[[#This Row],[No. of Shares]]&lt;&gt;0,HistoricalStockProgress[[#This Row],[Price of Shares]]-HistoricalStockProgress[[#This Row],[Cost of Shares]]/HistoricalStockProgress[[#This Row],[No. of Shares]],0)</f>
        <v>-16.815562493769391</v>
      </c>
      <c r="K687" s="17">
        <f>IF(HistoricalStockProgress[[#This Row],[Total Price of Shares]]&lt;&gt;0,HistoricalStockProgress[[#This Row],[Total Price of Shares]]-HistoricalStockProgress[[#This Row],[Cost of Shares]],0)</f>
        <v>-1059.3804371074712</v>
      </c>
      <c r="L687" s="34" t="b" cm="1">
        <f t="array" ref="L687">IFERROR(IF(HistoricalStockProgress[[#This Row],[Price of Shares]]="",_xlfn.STOCKHISTORY(HistoricalStockProgress[[#This Row],[Full Company Name]],HistoricalStockProgress[[#This Row],[Date]],,2,0,1)),0)</f>
        <v>0</v>
      </c>
      <c r="M687" s="34">
        <f>YEAR(HistoricalStockProgress[[#This Row],[Date]])</f>
        <v>2019</v>
      </c>
      <c r="N687" s="34">
        <f>MONTH(HistoricalStockProgress[[#This Row],[Date]])</f>
        <v>10</v>
      </c>
    </row>
    <row r="688" spans="2:14">
      <c r="B688" s="15">
        <v>43769</v>
      </c>
      <c r="C688" s="34" t="s">
        <v>98</v>
      </c>
      <c r="D688" s="34" t="e" vm="15">
        <f>_xlfn.XLOOKUP(HistoricalStockProgress[[#This Row],[Company Ticker]],CompanyDetailsList[Company Ticker],CompanyDetailsList[Official Name],,0)</f>
        <v>#VALUE!</v>
      </c>
      <c r="E6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6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688" s="17">
        <f>IFERROR(HistoricalStockProgress[[#This Row],[Cost of Shares]]/HistoricalStockProgress[[#This Row],[No. of Shares]],0)</f>
        <v>39.627242008882604</v>
      </c>
      <c r="H688" s="16" vm="1215">
        <v>59.585000000000001</v>
      </c>
      <c r="I688" s="16">
        <f>IF(HistoricalStockProgress[[#This Row],[No. of Shares]]&lt;&gt;0,HistoricalStockProgress[[#This Row],[Price of Shares]]*HistoricalStockProgress[[#This Row],[No. of Shares]],0)</f>
        <v>4349.7049999999999</v>
      </c>
      <c r="J688" s="16">
        <f>IF(HistoricalStockProgress[[#This Row],[No. of Shares]]&lt;&gt;0,HistoricalStockProgress[[#This Row],[Price of Shares]]-HistoricalStockProgress[[#This Row],[Cost of Shares]]/HistoricalStockProgress[[#This Row],[No. of Shares]],0)</f>
        <v>19.957757991117397</v>
      </c>
      <c r="K688" s="17">
        <f>IF(HistoricalStockProgress[[#This Row],[Total Price of Shares]]&lt;&gt;0,HistoricalStockProgress[[#This Row],[Total Price of Shares]]-HistoricalStockProgress[[#This Row],[Cost of Shares]],0)</f>
        <v>1456.9163333515698</v>
      </c>
      <c r="L688" s="34" t="b" cm="1">
        <f t="array" ref="L688">IFERROR(IF(HistoricalStockProgress[[#This Row],[Price of Shares]]="",_xlfn.STOCKHISTORY(HistoricalStockProgress[[#This Row],[Full Company Name]],HistoricalStockProgress[[#This Row],[Date]],,2,0,1)),0)</f>
        <v>0</v>
      </c>
      <c r="M688" s="34">
        <f>YEAR(HistoricalStockProgress[[#This Row],[Date]])</f>
        <v>2019</v>
      </c>
      <c r="N688" s="34">
        <f>MONTH(HistoricalStockProgress[[#This Row],[Date]])</f>
        <v>10</v>
      </c>
    </row>
    <row r="689" spans="2:14">
      <c r="B689" s="15">
        <v>43769</v>
      </c>
      <c r="C689" s="34" t="s">
        <v>100</v>
      </c>
      <c r="D689" s="34" t="e" vm="16">
        <f>_xlfn.XLOOKUP(HistoricalStockProgress[[#This Row],[Company Ticker]],CompanyDetailsList[Company Ticker],CompanyDetailsList[Official Name],,0)</f>
        <v>#VALUE!</v>
      </c>
      <c r="E6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74</v>
      </c>
      <c r="F6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6400.3550613930956</v>
      </c>
      <c r="G689" s="17">
        <f>IFERROR(HistoricalStockProgress[[#This Row],[Cost of Shares]]/HistoricalStockProgress[[#This Row],[No. of Shares]],0)</f>
        <v>86.491284613420206</v>
      </c>
      <c r="H689" s="16" vm="1216">
        <v>94.26</v>
      </c>
      <c r="I689" s="16">
        <f>IF(HistoricalStockProgress[[#This Row],[No. of Shares]]&lt;&gt;0,HistoricalStockProgress[[#This Row],[Price of Shares]]*HistoricalStockProgress[[#This Row],[No. of Shares]],0)</f>
        <v>6975.2400000000007</v>
      </c>
      <c r="J689" s="16">
        <f>IF(HistoricalStockProgress[[#This Row],[No. of Shares]]&lt;&gt;0,HistoricalStockProgress[[#This Row],[Price of Shares]]-HistoricalStockProgress[[#This Row],[Cost of Shares]]/HistoricalStockProgress[[#This Row],[No. of Shares]],0)</f>
        <v>7.7687153865797995</v>
      </c>
      <c r="K689" s="17">
        <f>IF(HistoricalStockProgress[[#This Row],[Total Price of Shares]]&lt;&gt;0,HistoricalStockProgress[[#This Row],[Total Price of Shares]]-HistoricalStockProgress[[#This Row],[Cost of Shares]],0)</f>
        <v>574.88493860690505</v>
      </c>
      <c r="L689" s="34" t="b" cm="1">
        <f t="array" ref="L689">IFERROR(IF(HistoricalStockProgress[[#This Row],[Price of Shares]]="",_xlfn.STOCKHISTORY(HistoricalStockProgress[[#This Row],[Full Company Name]],HistoricalStockProgress[[#This Row],[Date]],,2,0,1)),0)</f>
        <v>0</v>
      </c>
      <c r="M689" s="34">
        <f>YEAR(HistoricalStockProgress[[#This Row],[Date]])</f>
        <v>2019</v>
      </c>
      <c r="N689" s="34">
        <f>MONTH(HistoricalStockProgress[[#This Row],[Date]])</f>
        <v>10</v>
      </c>
    </row>
    <row r="690" spans="2:14">
      <c r="B690" s="15">
        <v>43769</v>
      </c>
      <c r="C690" s="34" t="s">
        <v>15</v>
      </c>
      <c r="D690" s="34" t="e" vm="17">
        <f>_xlfn.XLOOKUP(HistoricalStockProgress[[#This Row],[Company Ticker]],CompanyDetailsList[Company Ticker],CompanyDetailsList[Official Name],,0)</f>
        <v>#VALUE!</v>
      </c>
      <c r="E6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6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690" s="17">
        <f>IFERROR(HistoricalStockProgress[[#This Row],[Cost of Shares]]/HistoricalStockProgress[[#This Row],[No. of Shares]],0)</f>
        <v>26.081956457072195</v>
      </c>
      <c r="H690" s="16" vm="1217">
        <v>29.0669</v>
      </c>
      <c r="I690" s="16">
        <f>IF(HistoricalStockProgress[[#This Row],[No. of Shares]]&lt;&gt;0,HistoricalStockProgress[[#This Row],[Price of Shares]]*HistoricalStockProgress[[#This Row],[No. of Shares]],0)</f>
        <v>3604.2955999999999</v>
      </c>
      <c r="J690" s="16">
        <f>IF(HistoricalStockProgress[[#This Row],[No. of Shares]]&lt;&gt;0,HistoricalStockProgress[[#This Row],[Price of Shares]]-HistoricalStockProgress[[#This Row],[Cost of Shares]]/HistoricalStockProgress[[#This Row],[No. of Shares]],0)</f>
        <v>2.9849435429278053</v>
      </c>
      <c r="K690" s="17">
        <f>IF(HistoricalStockProgress[[#This Row],[Total Price of Shares]]&lt;&gt;0,HistoricalStockProgress[[#This Row],[Total Price of Shares]]-HistoricalStockProgress[[#This Row],[Cost of Shares]],0)</f>
        <v>370.1329993230479</v>
      </c>
      <c r="L690" s="34" t="b" cm="1">
        <f t="array" ref="L690">IFERROR(IF(HistoricalStockProgress[[#This Row],[Price of Shares]]="",_xlfn.STOCKHISTORY(HistoricalStockProgress[[#This Row],[Full Company Name]],HistoricalStockProgress[[#This Row],[Date]],,2,0,1)),0)</f>
        <v>0</v>
      </c>
      <c r="M690" s="34">
        <f>YEAR(HistoricalStockProgress[[#This Row],[Date]])</f>
        <v>2019</v>
      </c>
      <c r="N690" s="34">
        <f>MONTH(HistoricalStockProgress[[#This Row],[Date]])</f>
        <v>10</v>
      </c>
    </row>
    <row r="691" spans="2:14">
      <c r="B691" s="15">
        <v>43769</v>
      </c>
      <c r="C691" s="34" t="s">
        <v>13</v>
      </c>
      <c r="D691" s="34" t="e" vm="18">
        <f>_xlfn.XLOOKUP(HistoricalStockProgress[[#This Row],[Company Ticker]],CompanyDetailsList[Company Ticker],CompanyDetailsList[Official Name],,0)</f>
        <v>#VALUE!</v>
      </c>
      <c r="E6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6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691" s="17">
        <f>IFERROR(HistoricalStockProgress[[#This Row],[Cost of Shares]]/HistoricalStockProgress[[#This Row],[No. of Shares]],0)</f>
        <v>35.846938938346874</v>
      </c>
      <c r="H691" s="16" vm="1218">
        <v>36.372799999999998</v>
      </c>
      <c r="I691" s="16">
        <f>IF(HistoricalStockProgress[[#This Row],[No. of Shares]]&lt;&gt;0,HistoricalStockProgress[[#This Row],[Price of Shares]]*HistoricalStockProgress[[#This Row],[No. of Shares]],0)</f>
        <v>2000.5039999999999</v>
      </c>
      <c r="J691" s="16">
        <f>IF(HistoricalStockProgress[[#This Row],[No. of Shares]]&lt;&gt;0,HistoricalStockProgress[[#This Row],[Price of Shares]]-HistoricalStockProgress[[#This Row],[Cost of Shares]]/HistoricalStockProgress[[#This Row],[No. of Shares]],0)</f>
        <v>0.5258610616531243</v>
      </c>
      <c r="K691" s="17">
        <f>IF(HistoricalStockProgress[[#This Row],[Total Price of Shares]]&lt;&gt;0,HistoricalStockProgress[[#This Row],[Total Price of Shares]]-HistoricalStockProgress[[#This Row],[Cost of Shares]],0)</f>
        <v>28.922358390921772</v>
      </c>
      <c r="L691" s="34" t="b" cm="1">
        <f t="array" ref="L691">IFERROR(IF(HistoricalStockProgress[[#This Row],[Price of Shares]]="",_xlfn.STOCKHISTORY(HistoricalStockProgress[[#This Row],[Full Company Name]],HistoricalStockProgress[[#This Row],[Date]],,2,0,1)),0)</f>
        <v>0</v>
      </c>
      <c r="M691" s="34">
        <f>YEAR(HistoricalStockProgress[[#This Row],[Date]])</f>
        <v>2019</v>
      </c>
      <c r="N691" s="34">
        <f>MONTH(HistoricalStockProgress[[#This Row],[Date]])</f>
        <v>10</v>
      </c>
    </row>
    <row r="692" spans="2:14">
      <c r="B692" s="15">
        <v>43769</v>
      </c>
      <c r="C692" s="34" t="s">
        <v>20</v>
      </c>
      <c r="D692" s="34" t="e" vm="19">
        <f>_xlfn.XLOOKUP(HistoricalStockProgress[[#This Row],[Company Ticker]],CompanyDetailsList[Company Ticker],CompanyDetailsList[Official Name],,0)</f>
        <v>#VALUE!</v>
      </c>
      <c r="E6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6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692" s="17">
        <f>IFERROR(HistoricalStockProgress[[#This Row],[Cost of Shares]]/HistoricalStockProgress[[#This Row],[No. of Shares]],0)</f>
        <v>93.912242833589502</v>
      </c>
      <c r="H692" s="16" vm="1219">
        <v>124.92</v>
      </c>
      <c r="I692" s="16">
        <f>IF(HistoricalStockProgress[[#This Row],[No. of Shares]]&lt;&gt;0,HistoricalStockProgress[[#This Row],[Price of Shares]]*HistoricalStockProgress[[#This Row],[No. of Shares]],0)</f>
        <v>9743.76</v>
      </c>
      <c r="J692" s="16">
        <f>IF(HistoricalStockProgress[[#This Row],[No. of Shares]]&lt;&gt;0,HistoricalStockProgress[[#This Row],[Price of Shares]]-HistoricalStockProgress[[#This Row],[Cost of Shares]]/HistoricalStockProgress[[#This Row],[No. of Shares]],0)</f>
        <v>31.007757166410499</v>
      </c>
      <c r="K692" s="17">
        <f>IF(HistoricalStockProgress[[#This Row],[Total Price of Shares]]&lt;&gt;0,HistoricalStockProgress[[#This Row],[Total Price of Shares]]-HistoricalStockProgress[[#This Row],[Cost of Shares]],0)</f>
        <v>2418.6050589800188</v>
      </c>
      <c r="L692" s="34" t="b" cm="1">
        <f t="array" ref="L692">IFERROR(IF(HistoricalStockProgress[[#This Row],[Price of Shares]]="",_xlfn.STOCKHISTORY(HistoricalStockProgress[[#This Row],[Full Company Name]],HistoricalStockProgress[[#This Row],[Date]],,2,0,1)),0)</f>
        <v>0</v>
      </c>
      <c r="M692" s="34">
        <f>YEAR(HistoricalStockProgress[[#This Row],[Date]])</f>
        <v>2019</v>
      </c>
      <c r="N692" s="34">
        <f>MONTH(HistoricalStockProgress[[#This Row],[Date]])</f>
        <v>10</v>
      </c>
    </row>
    <row r="693" spans="2:14">
      <c r="B693" s="15">
        <v>43769</v>
      </c>
      <c r="C693" s="34" t="s">
        <v>106</v>
      </c>
      <c r="D693" s="34" t="e" vm="20">
        <f>_xlfn.XLOOKUP(HistoricalStockProgress[[#This Row],[Company Ticker]],CompanyDetailsList[Company Ticker],CompanyDetailsList[Official Name],,0)</f>
        <v>#VALUE!</v>
      </c>
      <c r="E6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52</v>
      </c>
      <c r="F6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5315.8302476196659</v>
      </c>
      <c r="G693" s="17">
        <f>IFERROR(HistoricalStockProgress[[#This Row],[Cost of Shares]]/HistoricalStockProgress[[#This Row],[No. of Shares]],0)</f>
        <v>102.22750476191665</v>
      </c>
      <c r="H693" s="16" vm="1220">
        <v>125.12</v>
      </c>
      <c r="I693" s="16">
        <f>IF(HistoricalStockProgress[[#This Row],[No. of Shares]]&lt;&gt;0,HistoricalStockProgress[[#This Row],[Price of Shares]]*HistoricalStockProgress[[#This Row],[No. of Shares]],0)</f>
        <v>6506.24</v>
      </c>
      <c r="J693" s="16">
        <f>IF(HistoricalStockProgress[[#This Row],[No. of Shares]]&lt;&gt;0,HistoricalStockProgress[[#This Row],[Price of Shares]]-HistoricalStockProgress[[#This Row],[Cost of Shares]]/HistoricalStockProgress[[#This Row],[No. of Shares]],0)</f>
        <v>22.892495238083356</v>
      </c>
      <c r="K693" s="17">
        <f>IF(HistoricalStockProgress[[#This Row],[Total Price of Shares]]&lt;&gt;0,HistoricalStockProgress[[#This Row],[Total Price of Shares]]-HistoricalStockProgress[[#This Row],[Cost of Shares]],0)</f>
        <v>1190.4097523803339</v>
      </c>
      <c r="L693" s="34" t="b" cm="1">
        <f t="array" ref="L693">IFERROR(IF(HistoricalStockProgress[[#This Row],[Price of Shares]]="",_xlfn.STOCKHISTORY(HistoricalStockProgress[[#This Row],[Full Company Name]],HistoricalStockProgress[[#This Row],[Date]],,2,0,1)),0)</f>
        <v>0</v>
      </c>
      <c r="M693" s="34">
        <f>YEAR(HistoricalStockProgress[[#This Row],[Date]])</f>
        <v>2019</v>
      </c>
      <c r="N693" s="34">
        <f>MONTH(HistoricalStockProgress[[#This Row],[Date]])</f>
        <v>10</v>
      </c>
    </row>
    <row r="694" spans="2:14">
      <c r="B694" s="15">
        <v>43799</v>
      </c>
      <c r="C694" s="34" t="s">
        <v>12</v>
      </c>
      <c r="D694" s="34" t="e" vm="1">
        <f>_xlfn.XLOOKUP(HistoricalStockProgress[[#This Row],[Company Ticker]],CompanyDetailsList[Company Ticker],CompanyDetailsList[Official Name],,0)</f>
        <v>#VALUE!</v>
      </c>
      <c r="E6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6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1953.8799010350301</v>
      </c>
      <c r="G694" s="17">
        <f>IFERROR(HistoricalStockProgress[[#This Row],[Cost of Shares]]/HistoricalStockProgress[[#This Row],[No. of Shares]],0)</f>
        <v>67.375169001207937</v>
      </c>
      <c r="H694" s="16" vm="1147">
        <v>76.63</v>
      </c>
      <c r="I694" s="16">
        <f>IF(HistoricalStockProgress[[#This Row],[No. of Shares]]&lt;&gt;0,HistoricalStockProgress[[#This Row],[Price of Shares]]*HistoricalStockProgress[[#This Row],[No. of Shares]],0)</f>
        <v>2222.27</v>
      </c>
      <c r="J694" s="16">
        <f>IF(HistoricalStockProgress[[#This Row],[No. of Shares]]&lt;&gt;0,HistoricalStockProgress[[#This Row],[Price of Shares]]-HistoricalStockProgress[[#This Row],[Cost of Shares]]/HistoricalStockProgress[[#This Row],[No. of Shares]],0)</f>
        <v>9.2548309987920589</v>
      </c>
      <c r="K694" s="17">
        <f>IF(HistoricalStockProgress[[#This Row],[Total Price of Shares]]&lt;&gt;0,HistoricalStockProgress[[#This Row],[Total Price of Shares]]-HistoricalStockProgress[[#This Row],[Cost of Shares]],0)</f>
        <v>268.39009896496987</v>
      </c>
      <c r="L694" s="34" t="b" cm="1">
        <f t="array" ref="L694">IFERROR(IF(HistoricalStockProgress[[#This Row],[Price of Shares]]="",_xlfn.STOCKHISTORY(HistoricalStockProgress[[#This Row],[Full Company Name]],HistoricalStockProgress[[#This Row],[Date]],,2,0,1)),0)</f>
        <v>0</v>
      </c>
      <c r="M694" s="34">
        <f>YEAR(HistoricalStockProgress[[#This Row],[Date]])</f>
        <v>2019</v>
      </c>
      <c r="N694" s="34">
        <f>MONTH(HistoricalStockProgress[[#This Row],[Date]])</f>
        <v>11</v>
      </c>
    </row>
    <row r="695" spans="2:14">
      <c r="B695" s="15">
        <v>43799</v>
      </c>
      <c r="C695" s="34" t="s">
        <v>19</v>
      </c>
      <c r="D695" s="34" t="e" vm="3">
        <f>_xlfn.XLOOKUP(HistoricalStockProgress[[#This Row],[Company Ticker]],CompanyDetailsList[Company Ticker],CompanyDetailsList[Official Name],,0)</f>
        <v>#VALUE!</v>
      </c>
      <c r="E6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32</v>
      </c>
      <c r="F6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5052.8411971764708</v>
      </c>
      <c r="G695" s="17">
        <f>IFERROR(HistoricalStockProgress[[#This Row],[Cost of Shares]]/HistoricalStockProgress[[#This Row],[No. of Shares]],0)</f>
        <v>157.90128741176471</v>
      </c>
      <c r="H695" s="16" vm="1221">
        <v>148.22999999999999</v>
      </c>
      <c r="I695" s="16">
        <f>IF(HistoricalStockProgress[[#This Row],[No. of Shares]]&lt;&gt;0,HistoricalStockProgress[[#This Row],[Price of Shares]]*HistoricalStockProgress[[#This Row],[No. of Shares]],0)</f>
        <v>4743.3599999999997</v>
      </c>
      <c r="J695" s="16">
        <f>IF(HistoricalStockProgress[[#This Row],[No. of Shares]]&lt;&gt;0,HistoricalStockProgress[[#This Row],[Price of Shares]]-HistoricalStockProgress[[#This Row],[Cost of Shares]]/HistoricalStockProgress[[#This Row],[No. of Shares]],0)</f>
        <v>-9.6712874117647232</v>
      </c>
      <c r="K695" s="17">
        <f>IF(HistoricalStockProgress[[#This Row],[Total Price of Shares]]&lt;&gt;0,HistoricalStockProgress[[#This Row],[Total Price of Shares]]-HistoricalStockProgress[[#This Row],[Cost of Shares]],0)</f>
        <v>-309.48119717647114</v>
      </c>
      <c r="L695" s="34" t="b" cm="1">
        <f t="array" ref="L695">IFERROR(IF(HistoricalStockProgress[[#This Row],[Price of Shares]]="",_xlfn.STOCKHISTORY(HistoricalStockProgress[[#This Row],[Full Company Name]],HistoricalStockProgress[[#This Row],[Date]],,2,0,1)),0)</f>
        <v>0</v>
      </c>
      <c r="M695" s="34">
        <f>YEAR(HistoricalStockProgress[[#This Row],[Date]])</f>
        <v>2019</v>
      </c>
      <c r="N695" s="34">
        <f>MONTH(HistoricalStockProgress[[#This Row],[Date]])</f>
        <v>11</v>
      </c>
    </row>
    <row r="696" spans="2:14">
      <c r="B696" s="15">
        <v>43799</v>
      </c>
      <c r="C696" s="34" t="s">
        <v>23</v>
      </c>
      <c r="D696" s="34" t="e" vm="4">
        <f>_xlfn.XLOOKUP(HistoricalStockProgress[[#This Row],[Company Ticker]],CompanyDetailsList[Company Ticker],CompanyDetailsList[Official Name],,0)</f>
        <v>#VALUE!</v>
      </c>
      <c r="E6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6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696" s="17">
        <f>IFERROR(HistoricalStockProgress[[#This Row],[Cost of Shares]]/HistoricalStockProgress[[#This Row],[No. of Shares]],0)</f>
        <v>45.768494888570878</v>
      </c>
      <c r="H696" s="16" vm="1222">
        <v>53.4</v>
      </c>
      <c r="I696" s="16">
        <f>IF(HistoricalStockProgress[[#This Row],[No. of Shares]]&lt;&gt;0,HistoricalStockProgress[[#This Row],[Price of Shares]]*HistoricalStockProgress[[#This Row],[No. of Shares]],0)</f>
        <v>3097.2</v>
      </c>
      <c r="J696" s="16">
        <f>IF(HistoricalStockProgress[[#This Row],[No. of Shares]]&lt;&gt;0,HistoricalStockProgress[[#This Row],[Price of Shares]]-HistoricalStockProgress[[#This Row],[Cost of Shares]]/HistoricalStockProgress[[#This Row],[No. of Shares]],0)</f>
        <v>7.6315051114291208</v>
      </c>
      <c r="K696" s="17">
        <f>IF(HistoricalStockProgress[[#This Row],[Total Price of Shares]]&lt;&gt;0,HistoricalStockProgress[[#This Row],[Total Price of Shares]]-HistoricalStockProgress[[#This Row],[Cost of Shares]],0)</f>
        <v>442.62729646288881</v>
      </c>
      <c r="L696" s="34" t="b" cm="1">
        <f t="array" ref="L696">IFERROR(IF(HistoricalStockProgress[[#This Row],[Price of Shares]]="",_xlfn.STOCKHISTORY(HistoricalStockProgress[[#This Row],[Full Company Name]],HistoricalStockProgress[[#This Row],[Date]],,2,0,1)),0)</f>
        <v>0</v>
      </c>
      <c r="M696" s="34">
        <f>YEAR(HistoricalStockProgress[[#This Row],[Date]])</f>
        <v>2019</v>
      </c>
      <c r="N696" s="34">
        <f>MONTH(HistoricalStockProgress[[#This Row],[Date]])</f>
        <v>11</v>
      </c>
    </row>
    <row r="697" spans="2:14">
      <c r="B697" s="15">
        <v>43799</v>
      </c>
      <c r="C697" s="34" t="s">
        <v>21</v>
      </c>
      <c r="D697" s="34" t="e" vm="6">
        <f>_xlfn.XLOOKUP(HistoricalStockProgress[[#This Row],[Company Ticker]],CompanyDetailsList[Company Ticker],CompanyDetailsList[Official Name],,0)</f>
        <v>#VALUE!</v>
      </c>
      <c r="E6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v>
      </c>
      <c r="F6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2087.9623605222587</v>
      </c>
      <c r="G697" s="17">
        <f>IFERROR(HistoricalStockProgress[[#This Row],[Cost of Shares]]/HistoricalStockProgress[[#This Row],[No. of Shares]],0)</f>
        <v>122.82131532483875</v>
      </c>
      <c r="H697" s="16" vm="1223">
        <v>122.06</v>
      </c>
      <c r="I697" s="16">
        <f>IF(HistoricalStockProgress[[#This Row],[No. of Shares]]&lt;&gt;0,HistoricalStockProgress[[#This Row],[Price of Shares]]*HistoricalStockProgress[[#This Row],[No. of Shares]],0)</f>
        <v>2075.02</v>
      </c>
      <c r="J697" s="16">
        <f>IF(HistoricalStockProgress[[#This Row],[No. of Shares]]&lt;&gt;0,HistoricalStockProgress[[#This Row],[Price of Shares]]-HistoricalStockProgress[[#This Row],[Cost of Shares]]/HistoricalStockProgress[[#This Row],[No. of Shares]],0)</f>
        <v>-0.76131532483874764</v>
      </c>
      <c r="K697" s="17">
        <f>IF(HistoricalStockProgress[[#This Row],[Total Price of Shares]]&lt;&gt;0,HistoricalStockProgress[[#This Row],[Total Price of Shares]]-HistoricalStockProgress[[#This Row],[Cost of Shares]],0)</f>
        <v>-12.942360522258696</v>
      </c>
      <c r="L697" s="34" t="b" cm="1">
        <f t="array" ref="L697">IFERROR(IF(HistoricalStockProgress[[#This Row],[Price of Shares]]="",_xlfn.STOCKHISTORY(HistoricalStockProgress[[#This Row],[Full Company Name]],HistoricalStockProgress[[#This Row],[Date]],,2,0,1)),0)</f>
        <v>0</v>
      </c>
      <c r="M697" s="34">
        <f>YEAR(HistoricalStockProgress[[#This Row],[Date]])</f>
        <v>2019</v>
      </c>
      <c r="N697" s="34">
        <f>MONTH(HistoricalStockProgress[[#This Row],[Date]])</f>
        <v>11</v>
      </c>
    </row>
    <row r="698" spans="2:14">
      <c r="B698" s="15">
        <v>43799</v>
      </c>
      <c r="C698" s="34" t="s">
        <v>84</v>
      </c>
      <c r="D698" s="34" t="e" vm="7">
        <f>_xlfn.XLOOKUP(HistoricalStockProgress[[#This Row],[Company Ticker]],CompanyDetailsList[Company Ticker],CompanyDetailsList[Official Name],,0)</f>
        <v>#VALUE!</v>
      </c>
      <c r="E6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6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698" s="17">
        <f>IFERROR(HistoricalStockProgress[[#This Row],[Cost of Shares]]/HistoricalStockProgress[[#This Row],[No. of Shares]],0)</f>
        <v>104.18087504950869</v>
      </c>
      <c r="H698" s="16" vm="1224">
        <v>137.49</v>
      </c>
      <c r="I698" s="16">
        <f>IF(HistoricalStockProgress[[#This Row],[No. of Shares]]&lt;&gt;0,HistoricalStockProgress[[#This Row],[Price of Shares]]*HistoricalStockProgress[[#This Row],[No. of Shares]],0)</f>
        <v>7011.9900000000007</v>
      </c>
      <c r="J698" s="16">
        <f>IF(HistoricalStockProgress[[#This Row],[No. of Shares]]&lt;&gt;0,HistoricalStockProgress[[#This Row],[Price of Shares]]-HistoricalStockProgress[[#This Row],[Cost of Shares]]/HistoricalStockProgress[[#This Row],[No. of Shares]],0)</f>
        <v>33.309124950491324</v>
      </c>
      <c r="K698" s="17">
        <f>IF(HistoricalStockProgress[[#This Row],[Total Price of Shares]]&lt;&gt;0,HistoricalStockProgress[[#This Row],[Total Price of Shares]]-HistoricalStockProgress[[#This Row],[Cost of Shares]],0)</f>
        <v>1698.765372475058</v>
      </c>
      <c r="L698" s="34" t="b" cm="1">
        <f t="array" ref="L698">IFERROR(IF(HistoricalStockProgress[[#This Row],[Price of Shares]]="",_xlfn.STOCKHISTORY(HistoricalStockProgress[[#This Row],[Full Company Name]],HistoricalStockProgress[[#This Row],[Date]],,2,0,1)),0)</f>
        <v>0</v>
      </c>
      <c r="M698" s="34">
        <f>YEAR(HistoricalStockProgress[[#This Row],[Date]])</f>
        <v>2019</v>
      </c>
      <c r="N698" s="34">
        <f>MONTH(HistoricalStockProgress[[#This Row],[Date]])</f>
        <v>11</v>
      </c>
    </row>
    <row r="699" spans="2:14">
      <c r="B699" s="15">
        <v>43799</v>
      </c>
      <c r="C699" s="34" t="s">
        <v>86</v>
      </c>
      <c r="D699" s="34" t="e" vm="8">
        <f>_xlfn.XLOOKUP(HistoricalStockProgress[[#This Row],[Company Ticker]],CompanyDetailsList[Company Ticker],CompanyDetailsList[Official Name],,0)</f>
        <v>#VALUE!</v>
      </c>
      <c r="E6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6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699" s="17">
        <f>IFERROR(HistoricalStockProgress[[#This Row],[Cost of Shares]]/HistoricalStockProgress[[#This Row],[No. of Shares]],0)</f>
        <v>85.876031764920896</v>
      </c>
      <c r="H699" s="16" vm="1225">
        <v>87.73</v>
      </c>
      <c r="I699" s="16">
        <f>IF(HistoricalStockProgress[[#This Row],[No. of Shares]]&lt;&gt;0,HistoricalStockProgress[[#This Row],[Price of Shares]]*HistoricalStockProgress[[#This Row],[No. of Shares]],0)</f>
        <v>4649.6900000000005</v>
      </c>
      <c r="J699" s="16">
        <f>IF(HistoricalStockProgress[[#This Row],[No. of Shares]]&lt;&gt;0,HistoricalStockProgress[[#This Row],[Price of Shares]]-HistoricalStockProgress[[#This Row],[Cost of Shares]]/HistoricalStockProgress[[#This Row],[No. of Shares]],0)</f>
        <v>1.8539682350791082</v>
      </c>
      <c r="K699" s="17">
        <f>IF(HistoricalStockProgress[[#This Row],[Total Price of Shares]]&lt;&gt;0,HistoricalStockProgress[[#This Row],[Total Price of Shares]]-HistoricalStockProgress[[#This Row],[Cost of Shares]],0)</f>
        <v>98.260316459192836</v>
      </c>
      <c r="L699" s="34" t="b" cm="1">
        <f t="array" ref="L699">IFERROR(IF(HistoricalStockProgress[[#This Row],[Price of Shares]]="",_xlfn.STOCKHISTORY(HistoricalStockProgress[[#This Row],[Full Company Name]],HistoricalStockProgress[[#This Row],[Date]],,2,0,1)),0)</f>
        <v>0</v>
      </c>
      <c r="M699" s="34">
        <f>YEAR(HistoricalStockProgress[[#This Row],[Date]])</f>
        <v>2019</v>
      </c>
      <c r="N699" s="34">
        <f>MONTH(HistoricalStockProgress[[#This Row],[Date]])</f>
        <v>11</v>
      </c>
    </row>
    <row r="700" spans="2:14">
      <c r="B700" s="15">
        <v>43799</v>
      </c>
      <c r="C700" s="34" t="s">
        <v>88</v>
      </c>
      <c r="D700" s="34" t="e" vm="9">
        <f>_xlfn.XLOOKUP(HistoricalStockProgress[[#This Row],[Company Ticker]],CompanyDetailsList[Company Ticker],CompanyDetailsList[Official Name],,0)</f>
        <v>#VALUE!</v>
      </c>
      <c r="E7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v>
      </c>
      <c r="F7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4283.7073138981596</v>
      </c>
      <c r="G700" s="17">
        <f>IFERROR(HistoricalStockProgress[[#This Row],[Cost of Shares]]/HistoricalStockProgress[[#This Row],[No. of Shares]],0)</f>
        <v>214.18536569490797</v>
      </c>
      <c r="H700" s="16" vm="1226">
        <v>194.48</v>
      </c>
      <c r="I700" s="16">
        <f>IF(HistoricalStockProgress[[#This Row],[No. of Shares]]&lt;&gt;0,HistoricalStockProgress[[#This Row],[Price of Shares]]*HistoricalStockProgress[[#This Row],[No. of Shares]],0)</f>
        <v>3889.6</v>
      </c>
      <c r="J700" s="16">
        <f>IF(HistoricalStockProgress[[#This Row],[No. of Shares]]&lt;&gt;0,HistoricalStockProgress[[#This Row],[Price of Shares]]-HistoricalStockProgress[[#This Row],[Cost of Shares]]/HistoricalStockProgress[[#This Row],[No. of Shares]],0)</f>
        <v>-19.705365694907982</v>
      </c>
      <c r="K700" s="17">
        <f>IF(HistoricalStockProgress[[#This Row],[Total Price of Shares]]&lt;&gt;0,HistoricalStockProgress[[#This Row],[Total Price of Shares]]-HistoricalStockProgress[[#This Row],[Cost of Shares]],0)</f>
        <v>-394.10731389815965</v>
      </c>
      <c r="L700" s="34" t="b" cm="1">
        <f t="array" ref="L700">IFERROR(IF(HistoricalStockProgress[[#This Row],[Price of Shares]]="",_xlfn.STOCKHISTORY(HistoricalStockProgress[[#This Row],[Full Company Name]],HistoricalStockProgress[[#This Row],[Date]],,2,0,1)),0)</f>
        <v>0</v>
      </c>
      <c r="M700" s="34">
        <f>YEAR(HistoricalStockProgress[[#This Row],[Date]])</f>
        <v>2019</v>
      </c>
      <c r="N700" s="34">
        <f>MONTH(HistoricalStockProgress[[#This Row],[Date]])</f>
        <v>11</v>
      </c>
    </row>
    <row r="701" spans="2:14">
      <c r="B701" s="15">
        <v>43799</v>
      </c>
      <c r="C701" s="34" t="s">
        <v>22</v>
      </c>
      <c r="D701" s="34" t="e" vm="10">
        <f>_xlfn.XLOOKUP(HistoricalStockProgress[[#This Row],[Company Ticker]],CompanyDetailsList[Company Ticker],CompanyDetailsList[Official Name],,0)</f>
        <v>#VALUE!</v>
      </c>
      <c r="E7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7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701" s="17">
        <f>IFERROR(HistoricalStockProgress[[#This Row],[Cost of Shares]]/HistoricalStockProgress[[#This Row],[No. of Shares]],0)</f>
        <v>96.351727068187571</v>
      </c>
      <c r="H701" s="16" vm="1227">
        <v>144.72999999999999</v>
      </c>
      <c r="I701" s="16">
        <f>IF(HistoricalStockProgress[[#This Row],[No. of Shares]]&lt;&gt;0,HistoricalStockProgress[[#This Row],[Price of Shares]]*HistoricalStockProgress[[#This Row],[No. of Shares]],0)</f>
        <v>11723.13</v>
      </c>
      <c r="J701" s="16">
        <f>IF(HistoricalStockProgress[[#This Row],[No. of Shares]]&lt;&gt;0,HistoricalStockProgress[[#This Row],[Price of Shares]]-HistoricalStockProgress[[#This Row],[Cost of Shares]]/HistoricalStockProgress[[#This Row],[No. of Shares]],0)</f>
        <v>48.378272931812418</v>
      </c>
      <c r="K701" s="17">
        <f>IF(HistoricalStockProgress[[#This Row],[Total Price of Shares]]&lt;&gt;0,HistoricalStockProgress[[#This Row],[Total Price of Shares]]-HistoricalStockProgress[[#This Row],[Cost of Shares]],0)</f>
        <v>3918.6401074768064</v>
      </c>
      <c r="L701" s="34" t="b" cm="1">
        <f t="array" ref="L701">IFERROR(IF(HistoricalStockProgress[[#This Row],[Price of Shares]]="",_xlfn.STOCKHISTORY(HistoricalStockProgress[[#This Row],[Full Company Name]],HistoricalStockProgress[[#This Row],[Date]],,2,0,1)),0)</f>
        <v>0</v>
      </c>
      <c r="M701" s="34">
        <f>YEAR(HistoricalStockProgress[[#This Row],[Date]])</f>
        <v>2019</v>
      </c>
      <c r="N701" s="34">
        <f>MONTH(HistoricalStockProgress[[#This Row],[Date]])</f>
        <v>11</v>
      </c>
    </row>
    <row r="702" spans="2:14">
      <c r="B702" s="15">
        <v>43799</v>
      </c>
      <c r="C702" s="34" t="s">
        <v>91</v>
      </c>
      <c r="D702" s="34" t="e" vm="11">
        <f>_xlfn.XLOOKUP(HistoricalStockProgress[[#This Row],[Company Ticker]],CompanyDetailsList[Company Ticker],CompanyDetailsList[Official Name],,0)</f>
        <v>#VALUE!</v>
      </c>
      <c r="E7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113</v>
      </c>
      <c r="F7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8617.7943854195</v>
      </c>
      <c r="G702" s="17">
        <f>IFERROR(HistoricalStockProgress[[#This Row],[Cost of Shares]]/HistoricalStockProgress[[#This Row],[No. of Shares]],0)</f>
        <v>76.263667127606197</v>
      </c>
      <c r="H702" s="16" vm="1228">
        <v>151.38</v>
      </c>
      <c r="I702" s="16">
        <f>IF(HistoricalStockProgress[[#This Row],[No. of Shares]]&lt;&gt;0,HistoricalStockProgress[[#This Row],[Price of Shares]]*HistoricalStockProgress[[#This Row],[No. of Shares]],0)</f>
        <v>17105.939999999999</v>
      </c>
      <c r="J702" s="16">
        <f>IF(HistoricalStockProgress[[#This Row],[No. of Shares]]&lt;&gt;0,HistoricalStockProgress[[#This Row],[Price of Shares]]-HistoricalStockProgress[[#This Row],[Cost of Shares]]/HistoricalStockProgress[[#This Row],[No. of Shares]],0)</f>
        <v>75.116332872393798</v>
      </c>
      <c r="K702" s="17">
        <f>IF(HistoricalStockProgress[[#This Row],[Total Price of Shares]]&lt;&gt;0,HistoricalStockProgress[[#This Row],[Total Price of Shares]]-HistoricalStockProgress[[#This Row],[Cost of Shares]],0)</f>
        <v>8488.1456145804987</v>
      </c>
      <c r="L702" s="34" t="b" cm="1">
        <f t="array" ref="L702">IFERROR(IF(HistoricalStockProgress[[#This Row],[Price of Shares]]="",_xlfn.STOCKHISTORY(HistoricalStockProgress[[#This Row],[Full Company Name]],HistoricalStockProgress[[#This Row],[Date]],,2,0,1)),0)</f>
        <v>0</v>
      </c>
      <c r="M702" s="34">
        <f>YEAR(HistoricalStockProgress[[#This Row],[Date]])</f>
        <v>2019</v>
      </c>
      <c r="N702" s="34">
        <f>MONTH(HistoricalStockProgress[[#This Row],[Date]])</f>
        <v>11</v>
      </c>
    </row>
    <row r="703" spans="2:14">
      <c r="B703" s="15">
        <v>43799</v>
      </c>
      <c r="C703" s="34" t="s">
        <v>16</v>
      </c>
      <c r="D703" s="34" t="e" vm="12">
        <f>_xlfn.XLOOKUP(HistoricalStockProgress[[#This Row],[Company Ticker]],CompanyDetailsList[Company Ticker],CompanyDetailsList[Official Name],,0)</f>
        <v>#VALUE!</v>
      </c>
      <c r="E7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7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703" s="17">
        <f>IFERROR(HistoricalStockProgress[[#This Row],[Cost of Shares]]/HistoricalStockProgress[[#This Row],[No. of Shares]],0)</f>
        <v>82.900834685216523</v>
      </c>
      <c r="H703" s="16" vm="1229">
        <v>68.13</v>
      </c>
      <c r="I703" s="16">
        <f>IF(HistoricalStockProgress[[#This Row],[No. of Shares]]&lt;&gt;0,HistoricalStockProgress[[#This Row],[Price of Shares]]*HistoricalStockProgress[[#This Row],[No. of Shares]],0)</f>
        <v>9878.8499999999985</v>
      </c>
      <c r="J703" s="16">
        <f>IF(HistoricalStockProgress[[#This Row],[No. of Shares]]&lt;&gt;0,HistoricalStockProgress[[#This Row],[Price of Shares]]-HistoricalStockProgress[[#This Row],[Cost of Shares]]/HistoricalStockProgress[[#This Row],[No. of Shares]],0)</f>
        <v>-14.770834685216528</v>
      </c>
      <c r="K703" s="17">
        <f>IF(HistoricalStockProgress[[#This Row],[Total Price of Shares]]&lt;&gt;0,HistoricalStockProgress[[#This Row],[Total Price of Shares]]-HistoricalStockProgress[[#This Row],[Cost of Shares]],0)</f>
        <v>-2141.7710293563978</v>
      </c>
      <c r="L703" s="34" t="b" cm="1">
        <f t="array" ref="L703">IFERROR(IF(HistoricalStockProgress[[#This Row],[Price of Shares]]="",_xlfn.STOCKHISTORY(HistoricalStockProgress[[#This Row],[Full Company Name]],HistoricalStockProgress[[#This Row],[Date]],,2,0,1)),0)</f>
        <v>0</v>
      </c>
      <c r="M703" s="34">
        <f>YEAR(HistoricalStockProgress[[#This Row],[Date]])</f>
        <v>2019</v>
      </c>
      <c r="N703" s="34">
        <f>MONTH(HistoricalStockProgress[[#This Row],[Date]])</f>
        <v>11</v>
      </c>
    </row>
    <row r="704" spans="2:14">
      <c r="B704" s="15">
        <v>43799</v>
      </c>
      <c r="C704" s="34" t="s">
        <v>95</v>
      </c>
      <c r="D704" s="34" t="e" vm="13">
        <f>_xlfn.XLOOKUP(HistoricalStockProgress[[#This Row],[Company Ticker]],CompanyDetailsList[Company Ticker],CompanyDetailsList[Official Name],,0)</f>
        <v>#VALUE!</v>
      </c>
      <c r="E7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7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704" s="17">
        <f>IFERROR(HistoricalStockProgress[[#This Row],[Cost of Shares]]/HistoricalStockProgress[[#This Row],[No. of Shares]],0)</f>
        <v>143.29758396474452</v>
      </c>
      <c r="H704" s="16" vm="1230">
        <v>220.51</v>
      </c>
      <c r="I704" s="16">
        <f>IF(HistoricalStockProgress[[#This Row],[No. of Shares]]&lt;&gt;0,HistoricalStockProgress[[#This Row],[Price of Shares]]*HistoricalStockProgress[[#This Row],[No. of Shares]],0)</f>
        <v>9481.93</v>
      </c>
      <c r="J704" s="16">
        <f>IF(HistoricalStockProgress[[#This Row],[No. of Shares]]&lt;&gt;0,HistoricalStockProgress[[#This Row],[Price of Shares]]-HistoricalStockProgress[[#This Row],[Cost of Shares]]/HistoricalStockProgress[[#This Row],[No. of Shares]],0)</f>
        <v>77.212416035255472</v>
      </c>
      <c r="K704" s="17">
        <f>IF(HistoricalStockProgress[[#This Row],[Total Price of Shares]]&lt;&gt;0,HistoricalStockProgress[[#This Row],[Total Price of Shares]]-HistoricalStockProgress[[#This Row],[Cost of Shares]],0)</f>
        <v>3320.1338895159861</v>
      </c>
      <c r="L704" s="34" t="b" cm="1">
        <f t="array" ref="L704">IFERROR(IF(HistoricalStockProgress[[#This Row],[Price of Shares]]="",_xlfn.STOCKHISTORY(HistoricalStockProgress[[#This Row],[Full Company Name]],HistoricalStockProgress[[#This Row],[Date]],,2,0,1)),0)</f>
        <v>0</v>
      </c>
      <c r="M704" s="34">
        <f>YEAR(HistoricalStockProgress[[#This Row],[Date]])</f>
        <v>2019</v>
      </c>
      <c r="N704" s="34">
        <f>MONTH(HistoricalStockProgress[[#This Row],[Date]])</f>
        <v>11</v>
      </c>
    </row>
    <row r="705" spans="2:14">
      <c r="B705" s="15">
        <v>43799</v>
      </c>
      <c r="C705" s="34" t="s">
        <v>17</v>
      </c>
      <c r="D705" s="34" t="e" vm="14">
        <f>_xlfn.XLOOKUP(HistoricalStockProgress[[#This Row],[Company Ticker]],CompanyDetailsList[Company Ticker],CompanyDetailsList[Official Name],,0)</f>
        <v>#VALUE!</v>
      </c>
      <c r="E7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7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9484.3704371074709</v>
      </c>
      <c r="G705" s="17">
        <f>IFERROR(HistoricalStockProgress[[#This Row],[Cost of Shares]]/HistoricalStockProgress[[#This Row],[No. of Shares]],0)</f>
        <v>150.54556249376938</v>
      </c>
      <c r="H705" s="16" vm="1231">
        <v>134.44999999999999</v>
      </c>
      <c r="I705" s="16">
        <f>IF(HistoricalStockProgress[[#This Row],[No. of Shares]]&lt;&gt;0,HistoricalStockProgress[[#This Row],[Price of Shares]]*HistoricalStockProgress[[#This Row],[No. of Shares]],0)</f>
        <v>8470.3499999999985</v>
      </c>
      <c r="J705" s="16">
        <f>IF(HistoricalStockProgress[[#This Row],[No. of Shares]]&lt;&gt;0,HistoricalStockProgress[[#This Row],[Price of Shares]]-HistoricalStockProgress[[#This Row],[Cost of Shares]]/HistoricalStockProgress[[#This Row],[No. of Shares]],0)</f>
        <v>-16.095562493769393</v>
      </c>
      <c r="K705" s="17">
        <f>IF(HistoricalStockProgress[[#This Row],[Total Price of Shares]]&lt;&gt;0,HistoricalStockProgress[[#This Row],[Total Price of Shares]]-HistoricalStockProgress[[#This Row],[Cost of Shares]],0)</f>
        <v>-1014.0204371074724</v>
      </c>
      <c r="L705" s="34" t="b" cm="1">
        <f t="array" ref="L705">IFERROR(IF(HistoricalStockProgress[[#This Row],[Price of Shares]]="",_xlfn.STOCKHISTORY(HistoricalStockProgress[[#This Row],[Full Company Name]],HistoricalStockProgress[[#This Row],[Date]],,2,0,1)),0)</f>
        <v>0</v>
      </c>
      <c r="M705" s="34">
        <f>YEAR(HistoricalStockProgress[[#This Row],[Date]])</f>
        <v>2019</v>
      </c>
      <c r="N705" s="34">
        <f>MONTH(HistoricalStockProgress[[#This Row],[Date]])</f>
        <v>11</v>
      </c>
    </row>
    <row r="706" spans="2:14">
      <c r="B706" s="15">
        <v>43799</v>
      </c>
      <c r="C706" s="34" t="s">
        <v>98</v>
      </c>
      <c r="D706" s="34" t="e" vm="15">
        <f>_xlfn.XLOOKUP(HistoricalStockProgress[[#This Row],[Company Ticker]],CompanyDetailsList[Company Ticker],CompanyDetailsList[Official Name],,0)</f>
        <v>#VALUE!</v>
      </c>
      <c r="E7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7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706" s="17">
        <f>IFERROR(HistoricalStockProgress[[#This Row],[Cost of Shares]]/HistoricalStockProgress[[#This Row],[No. of Shares]],0)</f>
        <v>39.627242008882604</v>
      </c>
      <c r="H706" s="16" vm="1232">
        <v>58.454999999999998</v>
      </c>
      <c r="I706" s="16">
        <f>IF(HistoricalStockProgress[[#This Row],[No. of Shares]]&lt;&gt;0,HistoricalStockProgress[[#This Row],[Price of Shares]]*HistoricalStockProgress[[#This Row],[No. of Shares]],0)</f>
        <v>4267.2150000000001</v>
      </c>
      <c r="J706" s="16">
        <f>IF(HistoricalStockProgress[[#This Row],[No. of Shares]]&lt;&gt;0,HistoricalStockProgress[[#This Row],[Price of Shares]]-HistoricalStockProgress[[#This Row],[Cost of Shares]]/HistoricalStockProgress[[#This Row],[No. of Shares]],0)</f>
        <v>18.827757991117394</v>
      </c>
      <c r="K706" s="17">
        <f>IF(HistoricalStockProgress[[#This Row],[Total Price of Shares]]&lt;&gt;0,HistoricalStockProgress[[#This Row],[Total Price of Shares]]-HistoricalStockProgress[[#This Row],[Cost of Shares]],0)</f>
        <v>1374.4263333515701</v>
      </c>
      <c r="L706" s="34" t="b" cm="1">
        <f t="array" ref="L706">IFERROR(IF(HistoricalStockProgress[[#This Row],[Price of Shares]]="",_xlfn.STOCKHISTORY(HistoricalStockProgress[[#This Row],[Full Company Name]],HistoricalStockProgress[[#This Row],[Date]],,2,0,1)),0)</f>
        <v>0</v>
      </c>
      <c r="M706" s="34">
        <f>YEAR(HistoricalStockProgress[[#This Row],[Date]])</f>
        <v>2019</v>
      </c>
      <c r="N706" s="34">
        <f>MONTH(HistoricalStockProgress[[#This Row],[Date]])</f>
        <v>11</v>
      </c>
    </row>
    <row r="707" spans="2:14">
      <c r="B707" s="15">
        <v>43799</v>
      </c>
      <c r="C707" s="34" t="s">
        <v>100</v>
      </c>
      <c r="D707" s="34" t="e" vm="16">
        <f>_xlfn.XLOOKUP(HistoricalStockProgress[[#This Row],[Company Ticker]],CompanyDetailsList[Company Ticker],CompanyDetailsList[Official Name],,0)</f>
        <v>#VALUE!</v>
      </c>
      <c r="E7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74</v>
      </c>
      <c r="F7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6400.3550613930956</v>
      </c>
      <c r="G707" s="17">
        <f>IFERROR(HistoricalStockProgress[[#This Row],[Cost of Shares]]/HistoricalStockProgress[[#This Row],[No. of Shares]],0)</f>
        <v>86.491284613420206</v>
      </c>
      <c r="H707" s="16" vm="1233">
        <v>88.17</v>
      </c>
      <c r="I707" s="16">
        <f>IF(HistoricalStockProgress[[#This Row],[No. of Shares]]&lt;&gt;0,HistoricalStockProgress[[#This Row],[Price of Shares]]*HistoricalStockProgress[[#This Row],[No. of Shares]],0)</f>
        <v>6524.58</v>
      </c>
      <c r="J707" s="16">
        <f>IF(HistoricalStockProgress[[#This Row],[No. of Shares]]&lt;&gt;0,HistoricalStockProgress[[#This Row],[Price of Shares]]-HistoricalStockProgress[[#This Row],[Cost of Shares]]/HistoricalStockProgress[[#This Row],[No. of Shares]],0)</f>
        <v>1.6787153865797961</v>
      </c>
      <c r="K707" s="17">
        <f>IF(HistoricalStockProgress[[#This Row],[Total Price of Shares]]&lt;&gt;0,HistoricalStockProgress[[#This Row],[Total Price of Shares]]-HistoricalStockProgress[[#This Row],[Cost of Shares]],0)</f>
        <v>124.22493860690429</v>
      </c>
      <c r="L707" s="34" t="b" cm="1">
        <f t="array" ref="L707">IFERROR(IF(HistoricalStockProgress[[#This Row],[Price of Shares]]="",_xlfn.STOCKHISTORY(HistoricalStockProgress[[#This Row],[Full Company Name]],HistoricalStockProgress[[#This Row],[Date]],,2,0,1)),0)</f>
        <v>0</v>
      </c>
      <c r="M707" s="34">
        <f>YEAR(HistoricalStockProgress[[#This Row],[Date]])</f>
        <v>2019</v>
      </c>
      <c r="N707" s="34">
        <f>MONTH(HistoricalStockProgress[[#This Row],[Date]])</f>
        <v>11</v>
      </c>
    </row>
    <row r="708" spans="2:14">
      <c r="B708" s="15">
        <v>43799</v>
      </c>
      <c r="C708" s="34" t="s">
        <v>15</v>
      </c>
      <c r="D708" s="34" t="e" vm="17">
        <f>_xlfn.XLOOKUP(HistoricalStockProgress[[#This Row],[Company Ticker]],CompanyDetailsList[Company Ticker],CompanyDetailsList[Official Name],,0)</f>
        <v>#VALUE!</v>
      </c>
      <c r="E7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7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708" s="17">
        <f>IFERROR(HistoricalStockProgress[[#This Row],[Cost of Shares]]/HistoricalStockProgress[[#This Row],[No. of Shares]],0)</f>
        <v>26.081956457072195</v>
      </c>
      <c r="H708" s="16" vm="1234">
        <v>28.2286</v>
      </c>
      <c r="I708" s="16">
        <f>IF(HistoricalStockProgress[[#This Row],[No. of Shares]]&lt;&gt;0,HistoricalStockProgress[[#This Row],[Price of Shares]]*HistoricalStockProgress[[#This Row],[No. of Shares]],0)</f>
        <v>3500.3463999999999</v>
      </c>
      <c r="J708" s="16">
        <f>IF(HistoricalStockProgress[[#This Row],[No. of Shares]]&lt;&gt;0,HistoricalStockProgress[[#This Row],[Price of Shares]]-HistoricalStockProgress[[#This Row],[Cost of Shares]]/HistoricalStockProgress[[#This Row],[No. of Shares]],0)</f>
        <v>2.146643542927805</v>
      </c>
      <c r="K708" s="17">
        <f>IF(HistoricalStockProgress[[#This Row],[Total Price of Shares]]&lt;&gt;0,HistoricalStockProgress[[#This Row],[Total Price of Shares]]-HistoricalStockProgress[[#This Row],[Cost of Shares]],0)</f>
        <v>266.18379932304788</v>
      </c>
      <c r="L708" s="34" t="b" cm="1">
        <f t="array" ref="L708">IFERROR(IF(HistoricalStockProgress[[#This Row],[Price of Shares]]="",_xlfn.STOCKHISTORY(HistoricalStockProgress[[#This Row],[Full Company Name]],HistoricalStockProgress[[#This Row],[Date]],,2,0,1)),0)</f>
        <v>0</v>
      </c>
      <c r="M708" s="34">
        <f>YEAR(HistoricalStockProgress[[#This Row],[Date]])</f>
        <v>2019</v>
      </c>
      <c r="N708" s="34">
        <f>MONTH(HistoricalStockProgress[[#This Row],[Date]])</f>
        <v>11</v>
      </c>
    </row>
    <row r="709" spans="2:14">
      <c r="B709" s="15">
        <v>43799</v>
      </c>
      <c r="C709" s="34" t="s">
        <v>13</v>
      </c>
      <c r="D709" s="34" t="e" vm="18">
        <f>_xlfn.XLOOKUP(HistoricalStockProgress[[#This Row],[Company Ticker]],CompanyDetailsList[Company Ticker],CompanyDetailsList[Official Name],,0)</f>
        <v>#VALUE!</v>
      </c>
      <c r="E7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7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709" s="17">
        <f>IFERROR(HistoricalStockProgress[[#This Row],[Cost of Shares]]/HistoricalStockProgress[[#This Row],[No. of Shares]],0)</f>
        <v>35.846938938346874</v>
      </c>
      <c r="H709" s="16" vm="1235">
        <v>36.515000000000001</v>
      </c>
      <c r="I709" s="16">
        <f>IF(HistoricalStockProgress[[#This Row],[No. of Shares]]&lt;&gt;0,HistoricalStockProgress[[#This Row],[Price of Shares]]*HistoricalStockProgress[[#This Row],[No. of Shares]],0)</f>
        <v>2008.325</v>
      </c>
      <c r="J709" s="16">
        <f>IF(HistoricalStockProgress[[#This Row],[No. of Shares]]&lt;&gt;0,HistoricalStockProgress[[#This Row],[Price of Shares]]-HistoricalStockProgress[[#This Row],[Cost of Shares]]/HistoricalStockProgress[[#This Row],[No. of Shares]],0)</f>
        <v>0.66806106165312684</v>
      </c>
      <c r="K709" s="17">
        <f>IF(HistoricalStockProgress[[#This Row],[Total Price of Shares]]&lt;&gt;0,HistoricalStockProgress[[#This Row],[Total Price of Shares]]-HistoricalStockProgress[[#This Row],[Cost of Shares]],0)</f>
        <v>36.743358390921912</v>
      </c>
      <c r="L709" s="34" t="b" cm="1">
        <f t="array" ref="L709">IFERROR(IF(HistoricalStockProgress[[#This Row],[Price of Shares]]="",_xlfn.STOCKHISTORY(HistoricalStockProgress[[#This Row],[Full Company Name]],HistoricalStockProgress[[#This Row],[Date]],,2,0,1)),0)</f>
        <v>0</v>
      </c>
      <c r="M709" s="34">
        <f>YEAR(HistoricalStockProgress[[#This Row],[Date]])</f>
        <v>2019</v>
      </c>
      <c r="N709" s="34">
        <f>MONTH(HistoricalStockProgress[[#This Row],[Date]])</f>
        <v>11</v>
      </c>
    </row>
    <row r="710" spans="2:14">
      <c r="B710" s="15">
        <v>43799</v>
      </c>
      <c r="C710" s="34" t="s">
        <v>20</v>
      </c>
      <c r="D710" s="34" t="e" vm="19">
        <f>_xlfn.XLOOKUP(HistoricalStockProgress[[#This Row],[Company Ticker]],CompanyDetailsList[Company Ticker],CompanyDetailsList[Official Name],,0)</f>
        <v>#VALUE!</v>
      </c>
      <c r="E7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7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710" s="17">
        <f>IFERROR(HistoricalStockProgress[[#This Row],[Cost of Shares]]/HistoricalStockProgress[[#This Row],[No. of Shares]],0)</f>
        <v>93.912242833589502</v>
      </c>
      <c r="H710" s="16" vm="1236">
        <v>131.76</v>
      </c>
      <c r="I710" s="16">
        <f>IF(HistoricalStockProgress[[#This Row],[No. of Shares]]&lt;&gt;0,HistoricalStockProgress[[#This Row],[Price of Shares]]*HistoricalStockProgress[[#This Row],[No. of Shares]],0)</f>
        <v>10277.279999999999</v>
      </c>
      <c r="J710" s="16">
        <f>IF(HistoricalStockProgress[[#This Row],[No. of Shares]]&lt;&gt;0,HistoricalStockProgress[[#This Row],[Price of Shares]]-HistoricalStockProgress[[#This Row],[Cost of Shares]]/HistoricalStockProgress[[#This Row],[No. of Shares]],0)</f>
        <v>37.847757166410489</v>
      </c>
      <c r="K710" s="17">
        <f>IF(HistoricalStockProgress[[#This Row],[Total Price of Shares]]&lt;&gt;0,HistoricalStockProgress[[#This Row],[Total Price of Shares]]-HistoricalStockProgress[[#This Row],[Cost of Shares]],0)</f>
        <v>2952.1250589800175</v>
      </c>
      <c r="L710" s="34" t="b" cm="1">
        <f t="array" ref="L710">IFERROR(IF(HistoricalStockProgress[[#This Row],[Price of Shares]]="",_xlfn.STOCKHISTORY(HistoricalStockProgress[[#This Row],[Full Company Name]],HistoricalStockProgress[[#This Row],[Date]],,2,0,1)),0)</f>
        <v>0</v>
      </c>
      <c r="M710" s="34">
        <f>YEAR(HistoricalStockProgress[[#This Row],[Date]])</f>
        <v>2019</v>
      </c>
      <c r="N710" s="34">
        <f>MONTH(HistoricalStockProgress[[#This Row],[Date]])</f>
        <v>11</v>
      </c>
    </row>
    <row r="711" spans="2:14">
      <c r="B711" s="15">
        <v>43799</v>
      </c>
      <c r="C711" s="34" t="s">
        <v>106</v>
      </c>
      <c r="D711" s="34" t="e" vm="20">
        <f>_xlfn.XLOOKUP(HistoricalStockProgress[[#This Row],[Company Ticker]],CompanyDetailsList[Company Ticker],CompanyDetailsList[Official Name],,0)</f>
        <v>#VALUE!</v>
      </c>
      <c r="E7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65</v>
      </c>
      <c r="F7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6977.8332077404502</v>
      </c>
      <c r="G711" s="17">
        <f>IFERROR(HistoricalStockProgress[[#This Row],[Cost of Shares]]/HistoricalStockProgress[[#This Row],[No. of Shares]],0)</f>
        <v>107.35128011908385</v>
      </c>
      <c r="H711" s="16" vm="1237">
        <v>128.84</v>
      </c>
      <c r="I711" s="16">
        <f>IF(HistoricalStockProgress[[#This Row],[No. of Shares]]&lt;&gt;0,HistoricalStockProgress[[#This Row],[Price of Shares]]*HistoricalStockProgress[[#This Row],[No. of Shares]],0)</f>
        <v>8374.6</v>
      </c>
      <c r="J711" s="16">
        <f>IF(HistoricalStockProgress[[#This Row],[No. of Shares]]&lt;&gt;0,HistoricalStockProgress[[#This Row],[Price of Shares]]-HistoricalStockProgress[[#This Row],[Cost of Shares]]/HistoricalStockProgress[[#This Row],[No. of Shares]],0)</f>
        <v>21.48871988091615</v>
      </c>
      <c r="K711" s="17">
        <f>IF(HistoricalStockProgress[[#This Row],[Total Price of Shares]]&lt;&gt;0,HistoricalStockProgress[[#This Row],[Total Price of Shares]]-HistoricalStockProgress[[#This Row],[Cost of Shares]],0)</f>
        <v>1396.7667922595501</v>
      </c>
      <c r="L711" s="34" t="b" cm="1">
        <f t="array" ref="L711">IFERROR(IF(HistoricalStockProgress[[#This Row],[Price of Shares]]="",_xlfn.STOCKHISTORY(HistoricalStockProgress[[#This Row],[Full Company Name]],HistoricalStockProgress[[#This Row],[Date]],,2,0,1)),0)</f>
        <v>0</v>
      </c>
      <c r="M711" s="34">
        <f>YEAR(HistoricalStockProgress[[#This Row],[Date]])</f>
        <v>2019</v>
      </c>
      <c r="N711" s="34">
        <f>MONTH(HistoricalStockProgress[[#This Row],[Date]])</f>
        <v>11</v>
      </c>
    </row>
    <row r="712" spans="2:14">
      <c r="B712" s="15">
        <v>43830</v>
      </c>
      <c r="C712" s="34" t="s">
        <v>12</v>
      </c>
      <c r="D712" s="34" t="e" vm="1">
        <f>_xlfn.XLOOKUP(HistoricalStockProgress[[#This Row],[Company Ticker]],CompanyDetailsList[Company Ticker],CompanyDetailsList[Official Name],,0)</f>
        <v>#VALUE!</v>
      </c>
      <c r="E7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7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1953.8799010350301</v>
      </c>
      <c r="G712" s="17">
        <f>IFERROR(HistoricalStockProgress[[#This Row],[Cost of Shares]]/HistoricalStockProgress[[#This Row],[No. of Shares]],0)</f>
        <v>67.375169001207937</v>
      </c>
      <c r="H712" s="16" vm="1238">
        <v>73.63</v>
      </c>
      <c r="I712" s="16">
        <f>IF(HistoricalStockProgress[[#This Row],[No. of Shares]]&lt;&gt;0,HistoricalStockProgress[[#This Row],[Price of Shares]]*HistoricalStockProgress[[#This Row],[No. of Shares]],0)</f>
        <v>2135.27</v>
      </c>
      <c r="J712" s="16">
        <f>IF(HistoricalStockProgress[[#This Row],[No. of Shares]]&lt;&gt;0,HistoricalStockProgress[[#This Row],[Price of Shares]]-HistoricalStockProgress[[#This Row],[Cost of Shares]]/HistoricalStockProgress[[#This Row],[No. of Shares]],0)</f>
        <v>6.2548309987920589</v>
      </c>
      <c r="K712" s="17">
        <f>IF(HistoricalStockProgress[[#This Row],[Total Price of Shares]]&lt;&gt;0,HistoricalStockProgress[[#This Row],[Total Price of Shares]]-HistoricalStockProgress[[#This Row],[Cost of Shares]],0)</f>
        <v>181.39009896496987</v>
      </c>
      <c r="L712" s="34" t="b" cm="1">
        <f t="array" ref="L712">IFERROR(IF(HistoricalStockProgress[[#This Row],[Price of Shares]]="",_xlfn.STOCKHISTORY(HistoricalStockProgress[[#This Row],[Full Company Name]],HistoricalStockProgress[[#This Row],[Date]],,2,0,1)),0)</f>
        <v>0</v>
      </c>
      <c r="M712" s="34">
        <f>YEAR(HistoricalStockProgress[[#This Row],[Date]])</f>
        <v>2019</v>
      </c>
      <c r="N712" s="34">
        <f>MONTH(HistoricalStockProgress[[#This Row],[Date]])</f>
        <v>12</v>
      </c>
    </row>
    <row r="713" spans="2:14">
      <c r="B713" s="15">
        <v>43830</v>
      </c>
      <c r="C713" s="34" t="s">
        <v>19</v>
      </c>
      <c r="D713" s="34" t="e" vm="3">
        <f>_xlfn.XLOOKUP(HistoricalStockProgress[[#This Row],[Company Ticker]],CompanyDetailsList[Company Ticker],CompanyDetailsList[Official Name],,0)</f>
        <v>#VALUE!</v>
      </c>
      <c r="E7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32</v>
      </c>
      <c r="F7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5052.8411971764708</v>
      </c>
      <c r="G713" s="17">
        <f>IFERROR(HistoricalStockProgress[[#This Row],[Cost of Shares]]/HistoricalStockProgress[[#This Row],[No. of Shares]],0)</f>
        <v>157.90128741176471</v>
      </c>
      <c r="H713" s="16" vm="1239">
        <v>153.54</v>
      </c>
      <c r="I713" s="16">
        <f>IF(HistoricalStockProgress[[#This Row],[No. of Shares]]&lt;&gt;0,HistoricalStockProgress[[#This Row],[Price of Shares]]*HistoricalStockProgress[[#This Row],[No. of Shares]],0)</f>
        <v>4913.28</v>
      </c>
      <c r="J713" s="16">
        <f>IF(HistoricalStockProgress[[#This Row],[No. of Shares]]&lt;&gt;0,HistoricalStockProgress[[#This Row],[Price of Shares]]-HistoricalStockProgress[[#This Row],[Cost of Shares]]/HistoricalStockProgress[[#This Row],[No. of Shares]],0)</f>
        <v>-4.3612874117647209</v>
      </c>
      <c r="K713" s="17">
        <f>IF(HistoricalStockProgress[[#This Row],[Total Price of Shares]]&lt;&gt;0,HistoricalStockProgress[[#This Row],[Total Price of Shares]]-HistoricalStockProgress[[#This Row],[Cost of Shares]],0)</f>
        <v>-139.56119717647107</v>
      </c>
      <c r="L713" s="34" t="b" cm="1">
        <f t="array" ref="L713">IFERROR(IF(HistoricalStockProgress[[#This Row],[Price of Shares]]="",_xlfn.STOCKHISTORY(HistoricalStockProgress[[#This Row],[Full Company Name]],HistoricalStockProgress[[#This Row],[Date]],,2,0,1)),0)</f>
        <v>0</v>
      </c>
      <c r="M713" s="34">
        <f>YEAR(HistoricalStockProgress[[#This Row],[Date]])</f>
        <v>2019</v>
      </c>
      <c r="N713" s="34">
        <f>MONTH(HistoricalStockProgress[[#This Row],[Date]])</f>
        <v>12</v>
      </c>
    </row>
    <row r="714" spans="2:14">
      <c r="B714" s="15">
        <v>43830</v>
      </c>
      <c r="C714" s="34" t="s">
        <v>23</v>
      </c>
      <c r="D714" s="34" t="e" vm="4">
        <f>_xlfn.XLOOKUP(HistoricalStockProgress[[#This Row],[Company Ticker]],CompanyDetailsList[Company Ticker],CompanyDetailsList[Official Name],,0)</f>
        <v>#VALUE!</v>
      </c>
      <c r="E7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7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714" s="17">
        <f>IFERROR(HistoricalStockProgress[[#This Row],[Cost of Shares]]/HistoricalStockProgress[[#This Row],[No. of Shares]],0)</f>
        <v>45.768494888570878</v>
      </c>
      <c r="H714" s="16" vm="1240">
        <v>55.35</v>
      </c>
      <c r="I714" s="16">
        <f>IF(HistoricalStockProgress[[#This Row],[No. of Shares]]&lt;&gt;0,HistoricalStockProgress[[#This Row],[Price of Shares]]*HistoricalStockProgress[[#This Row],[No. of Shares]],0)</f>
        <v>3210.3</v>
      </c>
      <c r="J714" s="16">
        <f>IF(HistoricalStockProgress[[#This Row],[No. of Shares]]&lt;&gt;0,HistoricalStockProgress[[#This Row],[Price of Shares]]-HistoricalStockProgress[[#This Row],[Cost of Shares]]/HistoricalStockProgress[[#This Row],[No. of Shares]],0)</f>
        <v>9.5815051114291236</v>
      </c>
      <c r="K714" s="17">
        <f>IF(HistoricalStockProgress[[#This Row],[Total Price of Shares]]&lt;&gt;0,HistoricalStockProgress[[#This Row],[Total Price of Shares]]-HistoricalStockProgress[[#This Row],[Cost of Shares]],0)</f>
        <v>555.72729646288917</v>
      </c>
      <c r="L714" s="34" t="b" cm="1">
        <f t="array" ref="L714">IFERROR(IF(HistoricalStockProgress[[#This Row],[Price of Shares]]="",_xlfn.STOCKHISTORY(HistoricalStockProgress[[#This Row],[Full Company Name]],HistoricalStockProgress[[#This Row],[Date]],,2,0,1)),0)</f>
        <v>0</v>
      </c>
      <c r="M714" s="34">
        <f>YEAR(HistoricalStockProgress[[#This Row],[Date]])</f>
        <v>2019</v>
      </c>
      <c r="N714" s="34">
        <f>MONTH(HistoricalStockProgress[[#This Row],[Date]])</f>
        <v>12</v>
      </c>
    </row>
    <row r="715" spans="2:14">
      <c r="B715" s="15">
        <v>43830</v>
      </c>
      <c r="C715" s="34" t="s">
        <v>21</v>
      </c>
      <c r="D715" s="34" t="e" vm="6">
        <f>_xlfn.XLOOKUP(HistoricalStockProgress[[#This Row],[Company Ticker]],CompanyDetailsList[Company Ticker],CompanyDetailsList[Official Name],,0)</f>
        <v>#VALUE!</v>
      </c>
      <c r="E7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v>
      </c>
      <c r="F7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2087.9623605222587</v>
      </c>
      <c r="G715" s="17">
        <f>IFERROR(HistoricalStockProgress[[#This Row],[Cost of Shares]]/HistoricalStockProgress[[#This Row],[No. of Shares]],0)</f>
        <v>122.82131532483875</v>
      </c>
      <c r="H715" s="16" vm="1241">
        <v>124.9</v>
      </c>
      <c r="I715" s="16">
        <f>IF(HistoricalStockProgress[[#This Row],[No. of Shares]]&lt;&gt;0,HistoricalStockProgress[[#This Row],[Price of Shares]]*HistoricalStockProgress[[#This Row],[No. of Shares]],0)</f>
        <v>2123.3000000000002</v>
      </c>
      <c r="J715" s="16">
        <f>IF(HistoricalStockProgress[[#This Row],[No. of Shares]]&lt;&gt;0,HistoricalStockProgress[[#This Row],[Price of Shares]]-HistoricalStockProgress[[#This Row],[Cost of Shares]]/HistoricalStockProgress[[#This Row],[No. of Shares]],0)</f>
        <v>2.0786846751612558</v>
      </c>
      <c r="K715" s="17">
        <f>IF(HistoricalStockProgress[[#This Row],[Total Price of Shares]]&lt;&gt;0,HistoricalStockProgress[[#This Row],[Total Price of Shares]]-HistoricalStockProgress[[#This Row],[Cost of Shares]],0)</f>
        <v>35.337639477741504</v>
      </c>
      <c r="L715" s="34" t="b" cm="1">
        <f t="array" ref="L715">IFERROR(IF(HistoricalStockProgress[[#This Row],[Price of Shares]]="",_xlfn.STOCKHISTORY(HistoricalStockProgress[[#This Row],[Full Company Name]],HistoricalStockProgress[[#This Row],[Date]],,2,0,1)),0)</f>
        <v>0</v>
      </c>
      <c r="M715" s="34">
        <f>YEAR(HistoricalStockProgress[[#This Row],[Date]])</f>
        <v>2019</v>
      </c>
      <c r="N715" s="34">
        <f>MONTH(HistoricalStockProgress[[#This Row],[Date]])</f>
        <v>12</v>
      </c>
    </row>
    <row r="716" spans="2:14">
      <c r="B716" s="15">
        <v>43830</v>
      </c>
      <c r="C716" s="34" t="s">
        <v>84</v>
      </c>
      <c r="D716" s="34" t="e" vm="7">
        <f>_xlfn.XLOOKUP(HistoricalStockProgress[[#This Row],[Company Ticker]],CompanyDetailsList[Company Ticker],CompanyDetailsList[Official Name],,0)</f>
        <v>#VALUE!</v>
      </c>
      <c r="E7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7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716" s="17">
        <f>IFERROR(HistoricalStockProgress[[#This Row],[Cost of Shares]]/HistoricalStockProgress[[#This Row],[No. of Shares]],0)</f>
        <v>104.18087504950869</v>
      </c>
      <c r="H716" s="16" vm="1242">
        <v>145.87</v>
      </c>
      <c r="I716" s="16">
        <f>IF(HistoricalStockProgress[[#This Row],[No. of Shares]]&lt;&gt;0,HistoricalStockProgress[[#This Row],[Price of Shares]]*HistoricalStockProgress[[#This Row],[No. of Shares]],0)</f>
        <v>7439.37</v>
      </c>
      <c r="J716" s="16">
        <f>IF(HistoricalStockProgress[[#This Row],[No. of Shares]]&lt;&gt;0,HistoricalStockProgress[[#This Row],[Price of Shares]]-HistoricalStockProgress[[#This Row],[Cost of Shares]]/HistoricalStockProgress[[#This Row],[No. of Shares]],0)</f>
        <v>41.689124950491319</v>
      </c>
      <c r="K716" s="17">
        <f>IF(HistoricalStockProgress[[#This Row],[Total Price of Shares]]&lt;&gt;0,HistoricalStockProgress[[#This Row],[Total Price of Shares]]-HistoricalStockProgress[[#This Row],[Cost of Shares]],0)</f>
        <v>2126.1453724750572</v>
      </c>
      <c r="L716" s="34" t="b" cm="1">
        <f t="array" ref="L716">IFERROR(IF(HistoricalStockProgress[[#This Row],[Price of Shares]]="",_xlfn.STOCKHISTORY(HistoricalStockProgress[[#This Row],[Full Company Name]],HistoricalStockProgress[[#This Row],[Date]],,2,0,1)),0)</f>
        <v>0</v>
      </c>
      <c r="M716" s="34">
        <f>YEAR(HistoricalStockProgress[[#This Row],[Date]])</f>
        <v>2019</v>
      </c>
      <c r="N716" s="34">
        <f>MONTH(HistoricalStockProgress[[#This Row],[Date]])</f>
        <v>12</v>
      </c>
    </row>
    <row r="717" spans="2:14">
      <c r="B717" s="15">
        <v>43830</v>
      </c>
      <c r="C717" s="34" t="s">
        <v>86</v>
      </c>
      <c r="D717" s="34" t="e" vm="8">
        <f>_xlfn.XLOOKUP(HistoricalStockProgress[[#This Row],[Company Ticker]],CompanyDetailsList[Company Ticker],CompanyDetailsList[Official Name],,0)</f>
        <v>#VALUE!</v>
      </c>
      <c r="E7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7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717" s="17">
        <f>IFERROR(HistoricalStockProgress[[#This Row],[Cost of Shares]]/HistoricalStockProgress[[#This Row],[No. of Shares]],0)</f>
        <v>85.876031764920896</v>
      </c>
      <c r="H717" s="16" vm="1243">
        <v>88.54</v>
      </c>
      <c r="I717" s="16">
        <f>IF(HistoricalStockProgress[[#This Row],[No. of Shares]]&lt;&gt;0,HistoricalStockProgress[[#This Row],[Price of Shares]]*HistoricalStockProgress[[#This Row],[No. of Shares]],0)</f>
        <v>4692.62</v>
      </c>
      <c r="J717" s="16">
        <f>IF(HistoricalStockProgress[[#This Row],[No. of Shares]]&lt;&gt;0,HistoricalStockProgress[[#This Row],[Price of Shares]]-HistoricalStockProgress[[#This Row],[Cost of Shares]]/HistoricalStockProgress[[#This Row],[No. of Shares]],0)</f>
        <v>2.6639682350791105</v>
      </c>
      <c r="K717" s="17">
        <f>IF(HistoricalStockProgress[[#This Row],[Total Price of Shares]]&lt;&gt;0,HistoricalStockProgress[[#This Row],[Total Price of Shares]]-HistoricalStockProgress[[#This Row],[Cost of Shares]],0)</f>
        <v>141.19031645919222</v>
      </c>
      <c r="L717" s="34" t="b" cm="1">
        <f t="array" ref="L717">IFERROR(IF(HistoricalStockProgress[[#This Row],[Price of Shares]]="",_xlfn.STOCKHISTORY(HistoricalStockProgress[[#This Row],[Full Company Name]],HistoricalStockProgress[[#This Row],[Date]],,2,0,1)),0)</f>
        <v>0</v>
      </c>
      <c r="M717" s="34">
        <f>YEAR(HistoricalStockProgress[[#This Row],[Date]])</f>
        <v>2019</v>
      </c>
      <c r="N717" s="34">
        <f>MONTH(HistoricalStockProgress[[#This Row],[Date]])</f>
        <v>12</v>
      </c>
    </row>
    <row r="718" spans="2:14">
      <c r="B718" s="15">
        <v>43830</v>
      </c>
      <c r="C718" s="34" t="s">
        <v>88</v>
      </c>
      <c r="D718" s="34" t="e" vm="9">
        <f>_xlfn.XLOOKUP(HistoricalStockProgress[[#This Row],[Company Ticker]],CompanyDetailsList[Company Ticker],CompanyDetailsList[Official Name],,0)</f>
        <v>#VALUE!</v>
      </c>
      <c r="E7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v>
      </c>
      <c r="F7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4283.7073138981596</v>
      </c>
      <c r="G718" s="17">
        <f>IFERROR(HistoricalStockProgress[[#This Row],[Cost of Shares]]/HistoricalStockProgress[[#This Row],[No. of Shares]],0)</f>
        <v>214.18536569490797</v>
      </c>
      <c r="H718" s="16" vm="1244">
        <v>197.61</v>
      </c>
      <c r="I718" s="16">
        <f>IF(HistoricalStockProgress[[#This Row],[No. of Shares]]&lt;&gt;0,HistoricalStockProgress[[#This Row],[Price of Shares]]*HistoricalStockProgress[[#This Row],[No. of Shares]],0)</f>
        <v>3952.2000000000003</v>
      </c>
      <c r="J718" s="16">
        <f>IF(HistoricalStockProgress[[#This Row],[No. of Shares]]&lt;&gt;0,HistoricalStockProgress[[#This Row],[Price of Shares]]-HistoricalStockProgress[[#This Row],[Cost of Shares]]/HistoricalStockProgress[[#This Row],[No. of Shares]],0)</f>
        <v>-16.575365694907958</v>
      </c>
      <c r="K718" s="17">
        <f>IF(HistoricalStockProgress[[#This Row],[Total Price of Shares]]&lt;&gt;0,HistoricalStockProgress[[#This Row],[Total Price of Shares]]-HistoricalStockProgress[[#This Row],[Cost of Shares]],0)</f>
        <v>-331.50731389815928</v>
      </c>
      <c r="L718" s="34" t="b" cm="1">
        <f t="array" ref="L718">IFERROR(IF(HistoricalStockProgress[[#This Row],[Price of Shares]]="",_xlfn.STOCKHISTORY(HistoricalStockProgress[[#This Row],[Full Company Name]],HistoricalStockProgress[[#This Row],[Date]],,2,0,1)),0)</f>
        <v>0</v>
      </c>
      <c r="M718" s="34">
        <f>YEAR(HistoricalStockProgress[[#This Row],[Date]])</f>
        <v>2019</v>
      </c>
      <c r="N718" s="34">
        <f>MONTH(HistoricalStockProgress[[#This Row],[Date]])</f>
        <v>12</v>
      </c>
    </row>
    <row r="719" spans="2:14">
      <c r="B719" s="15">
        <v>43830</v>
      </c>
      <c r="C719" s="34" t="s">
        <v>22</v>
      </c>
      <c r="D719" s="34" t="e" vm="10">
        <f>_xlfn.XLOOKUP(HistoricalStockProgress[[#This Row],[Company Ticker]],CompanyDetailsList[Company Ticker],CompanyDetailsList[Official Name],,0)</f>
        <v>#VALUE!</v>
      </c>
      <c r="E7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7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719" s="17">
        <f>IFERROR(HistoricalStockProgress[[#This Row],[Cost of Shares]]/HistoricalStockProgress[[#This Row],[No. of Shares]],0)</f>
        <v>96.351727068187571</v>
      </c>
      <c r="H719" s="16" vm="1245">
        <v>147.68</v>
      </c>
      <c r="I719" s="16">
        <f>IF(HistoricalStockProgress[[#This Row],[No. of Shares]]&lt;&gt;0,HistoricalStockProgress[[#This Row],[Price of Shares]]*HistoricalStockProgress[[#This Row],[No. of Shares]],0)</f>
        <v>11962.08</v>
      </c>
      <c r="J719" s="16">
        <f>IF(HistoricalStockProgress[[#This Row],[No. of Shares]]&lt;&gt;0,HistoricalStockProgress[[#This Row],[Price of Shares]]-HistoricalStockProgress[[#This Row],[Cost of Shares]]/HistoricalStockProgress[[#This Row],[No. of Shares]],0)</f>
        <v>51.328272931812435</v>
      </c>
      <c r="K719" s="17">
        <f>IF(HistoricalStockProgress[[#This Row],[Total Price of Shares]]&lt;&gt;0,HistoricalStockProgress[[#This Row],[Total Price of Shares]]-HistoricalStockProgress[[#This Row],[Cost of Shares]],0)</f>
        <v>4157.5901074768071</v>
      </c>
      <c r="L719" s="34" t="b" cm="1">
        <f t="array" ref="L719">IFERROR(IF(HistoricalStockProgress[[#This Row],[Price of Shares]]="",_xlfn.STOCKHISTORY(HistoricalStockProgress[[#This Row],[Full Company Name]],HistoricalStockProgress[[#This Row],[Date]],,2,0,1)),0)</f>
        <v>0</v>
      </c>
      <c r="M719" s="34">
        <f>YEAR(HistoricalStockProgress[[#This Row],[Date]])</f>
        <v>2019</v>
      </c>
      <c r="N719" s="34">
        <f>MONTH(HistoricalStockProgress[[#This Row],[Date]])</f>
        <v>12</v>
      </c>
    </row>
    <row r="720" spans="2:14">
      <c r="B720" s="15">
        <v>43830</v>
      </c>
      <c r="C720" s="34" t="s">
        <v>91</v>
      </c>
      <c r="D720" s="34" t="e" vm="11">
        <f>_xlfn.XLOOKUP(HistoricalStockProgress[[#This Row],[Company Ticker]],CompanyDetailsList[Company Ticker],CompanyDetailsList[Official Name],,0)</f>
        <v>#VALUE!</v>
      </c>
      <c r="E7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113</v>
      </c>
      <c r="F7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8617.7943854195</v>
      </c>
      <c r="G720" s="17">
        <f>IFERROR(HistoricalStockProgress[[#This Row],[Cost of Shares]]/HistoricalStockProgress[[#This Row],[No. of Shares]],0)</f>
        <v>76.263667127606197</v>
      </c>
      <c r="H720" s="16" vm="1246">
        <v>157.69999999999999</v>
      </c>
      <c r="I720" s="16">
        <f>IF(HistoricalStockProgress[[#This Row],[No. of Shares]]&lt;&gt;0,HistoricalStockProgress[[#This Row],[Price of Shares]]*HistoricalStockProgress[[#This Row],[No. of Shares]],0)</f>
        <v>17820.099999999999</v>
      </c>
      <c r="J720" s="16">
        <f>IF(HistoricalStockProgress[[#This Row],[No. of Shares]]&lt;&gt;0,HistoricalStockProgress[[#This Row],[Price of Shares]]-HistoricalStockProgress[[#This Row],[Cost of Shares]]/HistoricalStockProgress[[#This Row],[No. of Shares]],0)</f>
        <v>81.436332872393791</v>
      </c>
      <c r="K720" s="17">
        <f>IF(HistoricalStockProgress[[#This Row],[Total Price of Shares]]&lt;&gt;0,HistoricalStockProgress[[#This Row],[Total Price of Shares]]-HistoricalStockProgress[[#This Row],[Cost of Shares]],0)</f>
        <v>9202.3056145804985</v>
      </c>
      <c r="L720" s="34" t="b" cm="1">
        <f t="array" ref="L720">IFERROR(IF(HistoricalStockProgress[[#This Row],[Price of Shares]]="",_xlfn.STOCKHISTORY(HistoricalStockProgress[[#This Row],[Full Company Name]],HistoricalStockProgress[[#This Row],[Date]],,2,0,1)),0)</f>
        <v>0</v>
      </c>
      <c r="M720" s="34">
        <f>YEAR(HistoricalStockProgress[[#This Row],[Date]])</f>
        <v>2019</v>
      </c>
      <c r="N720" s="34">
        <f>MONTH(HistoricalStockProgress[[#This Row],[Date]])</f>
        <v>12</v>
      </c>
    </row>
    <row r="721" spans="2:14">
      <c r="B721" s="15">
        <v>43830</v>
      </c>
      <c r="C721" s="34" t="s">
        <v>16</v>
      </c>
      <c r="D721" s="34" t="e" vm="12">
        <f>_xlfn.XLOOKUP(HistoricalStockProgress[[#This Row],[Company Ticker]],CompanyDetailsList[Company Ticker],CompanyDetailsList[Official Name],,0)</f>
        <v>#VALUE!</v>
      </c>
      <c r="E7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7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721" s="17">
        <f>IFERROR(HistoricalStockProgress[[#This Row],[Cost of Shares]]/HistoricalStockProgress[[#This Row],[No. of Shares]],0)</f>
        <v>82.900834685216523</v>
      </c>
      <c r="H721" s="16" vm="1247">
        <v>69.78</v>
      </c>
      <c r="I721" s="16">
        <f>IF(HistoricalStockProgress[[#This Row],[No. of Shares]]&lt;&gt;0,HistoricalStockProgress[[#This Row],[Price of Shares]]*HistoricalStockProgress[[#This Row],[No. of Shares]],0)</f>
        <v>10118.1</v>
      </c>
      <c r="J721" s="16">
        <f>IF(HistoricalStockProgress[[#This Row],[No. of Shares]]&lt;&gt;0,HistoricalStockProgress[[#This Row],[Price of Shares]]-HistoricalStockProgress[[#This Row],[Cost of Shares]]/HistoricalStockProgress[[#This Row],[No. of Shares]],0)</f>
        <v>-13.120834685216522</v>
      </c>
      <c r="K721" s="17">
        <f>IF(HistoricalStockProgress[[#This Row],[Total Price of Shares]]&lt;&gt;0,HistoricalStockProgress[[#This Row],[Total Price of Shares]]-HistoricalStockProgress[[#This Row],[Cost of Shares]],0)</f>
        <v>-1902.521029356396</v>
      </c>
      <c r="L721" s="34" t="b" cm="1">
        <f t="array" ref="L721">IFERROR(IF(HistoricalStockProgress[[#This Row],[Price of Shares]]="",_xlfn.STOCKHISTORY(HistoricalStockProgress[[#This Row],[Full Company Name]],HistoricalStockProgress[[#This Row],[Date]],,2,0,1)),0)</f>
        <v>0</v>
      </c>
      <c r="M721" s="34">
        <f>YEAR(HistoricalStockProgress[[#This Row],[Date]])</f>
        <v>2019</v>
      </c>
      <c r="N721" s="34">
        <f>MONTH(HistoricalStockProgress[[#This Row],[Date]])</f>
        <v>12</v>
      </c>
    </row>
    <row r="722" spans="2:14">
      <c r="B722" s="15">
        <v>43830</v>
      </c>
      <c r="C722" s="34" t="s">
        <v>95</v>
      </c>
      <c r="D722" s="34" t="e" vm="13">
        <f>_xlfn.XLOOKUP(HistoricalStockProgress[[#This Row],[Company Ticker]],CompanyDetailsList[Company Ticker],CompanyDetailsList[Official Name],,0)</f>
        <v>#VALUE!</v>
      </c>
      <c r="E7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7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722" s="17">
        <f>IFERROR(HistoricalStockProgress[[#This Row],[Cost of Shares]]/HistoricalStockProgress[[#This Row],[No. of Shares]],0)</f>
        <v>143.29758396474452</v>
      </c>
      <c r="H722" s="16" vm="1248">
        <v>218.38</v>
      </c>
      <c r="I722" s="16">
        <f>IF(HistoricalStockProgress[[#This Row],[No. of Shares]]&lt;&gt;0,HistoricalStockProgress[[#This Row],[Price of Shares]]*HistoricalStockProgress[[#This Row],[No. of Shares]],0)</f>
        <v>9390.34</v>
      </c>
      <c r="J722" s="16">
        <f>IF(HistoricalStockProgress[[#This Row],[No. of Shares]]&lt;&gt;0,HistoricalStockProgress[[#This Row],[Price of Shares]]-HistoricalStockProgress[[#This Row],[Cost of Shares]]/HistoricalStockProgress[[#This Row],[No. of Shares]],0)</f>
        <v>75.082416035255477</v>
      </c>
      <c r="K722" s="17">
        <f>IF(HistoricalStockProgress[[#This Row],[Total Price of Shares]]&lt;&gt;0,HistoricalStockProgress[[#This Row],[Total Price of Shares]]-HistoricalStockProgress[[#This Row],[Cost of Shares]],0)</f>
        <v>3228.5438895159859</v>
      </c>
      <c r="L722" s="34" t="b" cm="1">
        <f t="array" ref="L722">IFERROR(IF(HistoricalStockProgress[[#This Row],[Price of Shares]]="",_xlfn.STOCKHISTORY(HistoricalStockProgress[[#This Row],[Full Company Name]],HistoricalStockProgress[[#This Row],[Date]],,2,0,1)),0)</f>
        <v>0</v>
      </c>
      <c r="M722" s="34">
        <f>YEAR(HistoricalStockProgress[[#This Row],[Date]])</f>
        <v>2019</v>
      </c>
      <c r="N722" s="34">
        <f>MONTH(HistoricalStockProgress[[#This Row],[Date]])</f>
        <v>12</v>
      </c>
    </row>
    <row r="723" spans="2:14">
      <c r="B723" s="15">
        <v>43830</v>
      </c>
      <c r="C723" s="34" t="s">
        <v>17</v>
      </c>
      <c r="D723" s="34" t="e" vm="14">
        <f>_xlfn.XLOOKUP(HistoricalStockProgress[[#This Row],[Company Ticker]],CompanyDetailsList[Company Ticker],CompanyDetailsList[Official Name],,0)</f>
        <v>#VALUE!</v>
      </c>
      <c r="E7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75</v>
      </c>
      <c r="F7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11108.967300592691</v>
      </c>
      <c r="G723" s="17">
        <f>IFERROR(HistoricalStockProgress[[#This Row],[Cost of Shares]]/HistoricalStockProgress[[#This Row],[No. of Shares]],0)</f>
        <v>148.11956400790254</v>
      </c>
      <c r="H723" s="16" vm="1249">
        <v>134.04</v>
      </c>
      <c r="I723" s="16">
        <f>IF(HistoricalStockProgress[[#This Row],[No. of Shares]]&lt;&gt;0,HistoricalStockProgress[[#This Row],[Price of Shares]]*HistoricalStockProgress[[#This Row],[No. of Shares]],0)</f>
        <v>10053</v>
      </c>
      <c r="J723" s="16">
        <f>IF(HistoricalStockProgress[[#This Row],[No. of Shares]]&lt;&gt;0,HistoricalStockProgress[[#This Row],[Price of Shares]]-HistoricalStockProgress[[#This Row],[Cost of Shares]]/HistoricalStockProgress[[#This Row],[No. of Shares]],0)</f>
        <v>-14.079564007902547</v>
      </c>
      <c r="K723" s="17">
        <f>IF(HistoricalStockProgress[[#This Row],[Total Price of Shares]]&lt;&gt;0,HistoricalStockProgress[[#This Row],[Total Price of Shares]]-HistoricalStockProgress[[#This Row],[Cost of Shares]],0)</f>
        <v>-1055.9673005926907</v>
      </c>
      <c r="L723" s="34" t="b" cm="1">
        <f t="array" ref="L723">IFERROR(IF(HistoricalStockProgress[[#This Row],[Price of Shares]]="",_xlfn.STOCKHISTORY(HistoricalStockProgress[[#This Row],[Full Company Name]],HistoricalStockProgress[[#This Row],[Date]],,2,0,1)),0)</f>
        <v>0</v>
      </c>
      <c r="M723" s="34">
        <f>YEAR(HistoricalStockProgress[[#This Row],[Date]])</f>
        <v>2019</v>
      </c>
      <c r="N723" s="34">
        <f>MONTH(HistoricalStockProgress[[#This Row],[Date]])</f>
        <v>12</v>
      </c>
    </row>
    <row r="724" spans="2:14">
      <c r="B724" s="15">
        <v>43830</v>
      </c>
      <c r="C724" s="34" t="s">
        <v>98</v>
      </c>
      <c r="D724" s="34" t="e" vm="15">
        <f>_xlfn.XLOOKUP(HistoricalStockProgress[[#This Row],[Company Ticker]],CompanyDetailsList[Company Ticker],CompanyDetailsList[Official Name],,0)</f>
        <v>#VALUE!</v>
      </c>
      <c r="E7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7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724" s="17">
        <f>IFERROR(HistoricalStockProgress[[#This Row],[Cost of Shares]]/HistoricalStockProgress[[#This Row],[No. of Shares]],0)</f>
        <v>39.627242008882604</v>
      </c>
      <c r="H724" s="16" vm="1250">
        <v>60.54</v>
      </c>
      <c r="I724" s="16">
        <f>IF(HistoricalStockProgress[[#This Row],[No. of Shares]]&lt;&gt;0,HistoricalStockProgress[[#This Row],[Price of Shares]]*HistoricalStockProgress[[#This Row],[No. of Shares]],0)</f>
        <v>4419.42</v>
      </c>
      <c r="J724" s="16">
        <f>IF(HistoricalStockProgress[[#This Row],[No. of Shares]]&lt;&gt;0,HistoricalStockProgress[[#This Row],[Price of Shares]]-HistoricalStockProgress[[#This Row],[Cost of Shares]]/HistoricalStockProgress[[#This Row],[No. of Shares]],0)</f>
        <v>20.912757991117395</v>
      </c>
      <c r="K724" s="17">
        <f>IF(HistoricalStockProgress[[#This Row],[Total Price of Shares]]&lt;&gt;0,HistoricalStockProgress[[#This Row],[Total Price of Shares]]-HistoricalStockProgress[[#This Row],[Cost of Shares]],0)</f>
        <v>1526.63133335157</v>
      </c>
      <c r="L724" s="34" t="b" cm="1">
        <f t="array" ref="L724">IFERROR(IF(HistoricalStockProgress[[#This Row],[Price of Shares]]="",_xlfn.STOCKHISTORY(HistoricalStockProgress[[#This Row],[Full Company Name]],HistoricalStockProgress[[#This Row],[Date]],,2,0,1)),0)</f>
        <v>0</v>
      </c>
      <c r="M724" s="34">
        <f>YEAR(HistoricalStockProgress[[#This Row],[Date]])</f>
        <v>2019</v>
      </c>
      <c r="N724" s="34">
        <f>MONTH(HistoricalStockProgress[[#This Row],[Date]])</f>
        <v>12</v>
      </c>
    </row>
    <row r="725" spans="2:14">
      <c r="B725" s="15">
        <v>43830</v>
      </c>
      <c r="C725" s="34" t="s">
        <v>100</v>
      </c>
      <c r="D725" s="34" t="e" vm="16">
        <f>_xlfn.XLOOKUP(HistoricalStockProgress[[#This Row],[Company Ticker]],CompanyDetailsList[Company Ticker],CompanyDetailsList[Official Name],,0)</f>
        <v>#VALUE!</v>
      </c>
      <c r="E7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74</v>
      </c>
      <c r="F7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6400.3550613930956</v>
      </c>
      <c r="G725" s="17">
        <f>IFERROR(HistoricalStockProgress[[#This Row],[Cost of Shares]]/HistoricalStockProgress[[#This Row],[No. of Shares]],0)</f>
        <v>86.491284613420206</v>
      </c>
      <c r="H725" s="16" vm="1251">
        <v>91.21</v>
      </c>
      <c r="I725" s="16">
        <f>IF(HistoricalStockProgress[[#This Row],[No. of Shares]]&lt;&gt;0,HistoricalStockProgress[[#This Row],[Price of Shares]]*HistoricalStockProgress[[#This Row],[No. of Shares]],0)</f>
        <v>6749.54</v>
      </c>
      <c r="J725" s="16">
        <f>IF(HistoricalStockProgress[[#This Row],[No. of Shares]]&lt;&gt;0,HistoricalStockProgress[[#This Row],[Price of Shares]]-HistoricalStockProgress[[#This Row],[Cost of Shares]]/HistoricalStockProgress[[#This Row],[No. of Shares]],0)</f>
        <v>4.7187153865797882</v>
      </c>
      <c r="K725" s="17">
        <f>IF(HistoricalStockProgress[[#This Row],[Total Price of Shares]]&lt;&gt;0,HistoricalStockProgress[[#This Row],[Total Price of Shares]]-HistoricalStockProgress[[#This Row],[Cost of Shares]],0)</f>
        <v>349.18493860690432</v>
      </c>
      <c r="L725" s="34" t="b" cm="1">
        <f t="array" ref="L725">IFERROR(IF(HistoricalStockProgress[[#This Row],[Price of Shares]]="",_xlfn.STOCKHISTORY(HistoricalStockProgress[[#This Row],[Full Company Name]],HistoricalStockProgress[[#This Row],[Date]],,2,0,1)),0)</f>
        <v>0</v>
      </c>
      <c r="M725" s="34">
        <f>YEAR(HistoricalStockProgress[[#This Row],[Date]])</f>
        <v>2019</v>
      </c>
      <c r="N725" s="34">
        <f>MONTH(HistoricalStockProgress[[#This Row],[Date]])</f>
        <v>12</v>
      </c>
    </row>
    <row r="726" spans="2:14">
      <c r="B726" s="15">
        <v>43830</v>
      </c>
      <c r="C726" s="34" t="s">
        <v>15</v>
      </c>
      <c r="D726" s="34" t="e" vm="17">
        <f>_xlfn.XLOOKUP(HistoricalStockProgress[[#This Row],[Company Ticker]],CompanyDetailsList[Company Ticker],CompanyDetailsList[Official Name],,0)</f>
        <v>#VALUE!</v>
      </c>
      <c r="E7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7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726" s="17">
        <f>IFERROR(HistoricalStockProgress[[#This Row],[Cost of Shares]]/HistoricalStockProgress[[#This Row],[No. of Shares]],0)</f>
        <v>26.081956457072195</v>
      </c>
      <c r="H726" s="16" vm="1252">
        <v>29.5124</v>
      </c>
      <c r="I726" s="16">
        <f>IF(HistoricalStockProgress[[#This Row],[No. of Shares]]&lt;&gt;0,HistoricalStockProgress[[#This Row],[Price of Shares]]*HistoricalStockProgress[[#This Row],[No. of Shares]],0)</f>
        <v>3659.5376000000001</v>
      </c>
      <c r="J726" s="16">
        <f>IF(HistoricalStockProgress[[#This Row],[No. of Shares]]&lt;&gt;0,HistoricalStockProgress[[#This Row],[Price of Shares]]-HistoricalStockProgress[[#This Row],[Cost of Shares]]/HistoricalStockProgress[[#This Row],[No. of Shares]],0)</f>
        <v>3.4304435429278044</v>
      </c>
      <c r="K726" s="17">
        <f>IF(HistoricalStockProgress[[#This Row],[Total Price of Shares]]&lt;&gt;0,HistoricalStockProgress[[#This Row],[Total Price of Shares]]-HistoricalStockProgress[[#This Row],[Cost of Shares]],0)</f>
        <v>425.37499932304809</v>
      </c>
      <c r="L726" s="34" t="b" cm="1">
        <f t="array" ref="L726">IFERROR(IF(HistoricalStockProgress[[#This Row],[Price of Shares]]="",_xlfn.STOCKHISTORY(HistoricalStockProgress[[#This Row],[Full Company Name]],HistoricalStockProgress[[#This Row],[Date]],,2,0,1)),0)</f>
        <v>0</v>
      </c>
      <c r="M726" s="34">
        <f>YEAR(HistoricalStockProgress[[#This Row],[Date]])</f>
        <v>2019</v>
      </c>
      <c r="N726" s="34">
        <f>MONTH(HistoricalStockProgress[[#This Row],[Date]])</f>
        <v>12</v>
      </c>
    </row>
    <row r="727" spans="2:14">
      <c r="B727" s="15">
        <v>43830</v>
      </c>
      <c r="C727" s="34" t="s">
        <v>13</v>
      </c>
      <c r="D727" s="34" t="e" vm="18">
        <f>_xlfn.XLOOKUP(HistoricalStockProgress[[#This Row],[Company Ticker]],CompanyDetailsList[Company Ticker],CompanyDetailsList[Official Name],,0)</f>
        <v>#VALUE!</v>
      </c>
      <c r="E7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7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727" s="17">
        <f>IFERROR(HistoricalStockProgress[[#This Row],[Cost of Shares]]/HistoricalStockProgress[[#This Row],[No. of Shares]],0)</f>
        <v>35.846938938346874</v>
      </c>
      <c r="H727" s="16" vm="1253">
        <v>37.140700000000002</v>
      </c>
      <c r="I727" s="16">
        <f>IF(HistoricalStockProgress[[#This Row],[No. of Shares]]&lt;&gt;0,HistoricalStockProgress[[#This Row],[Price of Shares]]*HistoricalStockProgress[[#This Row],[No. of Shares]],0)</f>
        <v>2042.7385000000002</v>
      </c>
      <c r="J727" s="16">
        <f>IF(HistoricalStockProgress[[#This Row],[No. of Shares]]&lt;&gt;0,HistoricalStockProgress[[#This Row],[Price of Shares]]-HistoricalStockProgress[[#This Row],[Cost of Shares]]/HistoricalStockProgress[[#This Row],[No. of Shares]],0)</f>
        <v>1.2937610616531288</v>
      </c>
      <c r="K727" s="17">
        <f>IF(HistoricalStockProgress[[#This Row],[Total Price of Shares]]&lt;&gt;0,HistoricalStockProgress[[#This Row],[Total Price of Shares]]-HistoricalStockProgress[[#This Row],[Cost of Shares]],0)</f>
        <v>71.156858390922025</v>
      </c>
      <c r="L727" s="34" t="b" cm="1">
        <f t="array" ref="L727">IFERROR(IF(HistoricalStockProgress[[#This Row],[Price of Shares]]="",_xlfn.STOCKHISTORY(HistoricalStockProgress[[#This Row],[Full Company Name]],HistoricalStockProgress[[#This Row],[Date]],,2,0,1)),0)</f>
        <v>0</v>
      </c>
      <c r="M727" s="34">
        <f>YEAR(HistoricalStockProgress[[#This Row],[Date]])</f>
        <v>2019</v>
      </c>
      <c r="N727" s="34">
        <f>MONTH(HistoricalStockProgress[[#This Row],[Date]])</f>
        <v>12</v>
      </c>
    </row>
    <row r="728" spans="2:14">
      <c r="B728" s="15">
        <v>43830</v>
      </c>
      <c r="C728" s="34" t="s">
        <v>20</v>
      </c>
      <c r="D728" s="34" t="e" vm="19">
        <f>_xlfn.XLOOKUP(HistoricalStockProgress[[#This Row],[Company Ticker]],CompanyDetailsList[Company Ticker],CompanyDetailsList[Official Name],,0)</f>
        <v>#VALUE!</v>
      </c>
      <c r="E7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7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728" s="17">
        <f>IFERROR(HistoricalStockProgress[[#This Row],[Cost of Shares]]/HistoricalStockProgress[[#This Row],[No. of Shares]],0)</f>
        <v>93.912242833589502</v>
      </c>
      <c r="H728" s="16" vm="1254">
        <v>139.4</v>
      </c>
      <c r="I728" s="16">
        <f>IF(HistoricalStockProgress[[#This Row],[No. of Shares]]&lt;&gt;0,HistoricalStockProgress[[#This Row],[Price of Shares]]*HistoricalStockProgress[[#This Row],[No. of Shares]],0)</f>
        <v>10873.2</v>
      </c>
      <c r="J728" s="16">
        <f>IF(HistoricalStockProgress[[#This Row],[No. of Shares]]&lt;&gt;0,HistoricalStockProgress[[#This Row],[Price of Shares]]-HistoricalStockProgress[[#This Row],[Cost of Shares]]/HistoricalStockProgress[[#This Row],[No. of Shares]],0)</f>
        <v>45.487757166410503</v>
      </c>
      <c r="K728" s="17">
        <f>IF(HistoricalStockProgress[[#This Row],[Total Price of Shares]]&lt;&gt;0,HistoricalStockProgress[[#This Row],[Total Price of Shares]]-HistoricalStockProgress[[#This Row],[Cost of Shares]],0)</f>
        <v>3548.0450589800193</v>
      </c>
      <c r="L728" s="34" t="b" cm="1">
        <f t="array" ref="L728">IFERROR(IF(HistoricalStockProgress[[#This Row],[Price of Shares]]="",_xlfn.STOCKHISTORY(HistoricalStockProgress[[#This Row],[Full Company Name]],HistoricalStockProgress[[#This Row],[Date]],,2,0,1)),0)</f>
        <v>0</v>
      </c>
      <c r="M728" s="34">
        <f>YEAR(HistoricalStockProgress[[#This Row],[Date]])</f>
        <v>2019</v>
      </c>
      <c r="N728" s="34">
        <f>MONTH(HistoricalStockProgress[[#This Row],[Date]])</f>
        <v>12</v>
      </c>
    </row>
    <row r="729" spans="2:14">
      <c r="B729" s="15">
        <v>43830</v>
      </c>
      <c r="C729" s="34" t="s">
        <v>106</v>
      </c>
      <c r="D729" s="34" t="e" vm="20">
        <f>_xlfn.XLOOKUP(HistoricalStockProgress[[#This Row],[Company Ticker]],CompanyDetailsList[Company Ticker],CompanyDetailsList[Official Name],,0)</f>
        <v>#VALUE!</v>
      </c>
      <c r="E7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65</v>
      </c>
      <c r="F7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6977.8332077404502</v>
      </c>
      <c r="G729" s="17">
        <f>IFERROR(HistoricalStockProgress[[#This Row],[Cost of Shares]]/HistoricalStockProgress[[#This Row],[No. of Shares]],0)</f>
        <v>107.35128011908385</v>
      </c>
      <c r="H729" s="16" vm="1255">
        <v>133.49</v>
      </c>
      <c r="I729" s="16">
        <f>IF(HistoricalStockProgress[[#This Row],[No. of Shares]]&lt;&gt;0,HistoricalStockProgress[[#This Row],[Price of Shares]]*HistoricalStockProgress[[#This Row],[No. of Shares]],0)</f>
        <v>8676.85</v>
      </c>
      <c r="J729" s="16">
        <f>IF(HistoricalStockProgress[[#This Row],[No. of Shares]]&lt;&gt;0,HistoricalStockProgress[[#This Row],[Price of Shares]]-HistoricalStockProgress[[#This Row],[Cost of Shares]]/HistoricalStockProgress[[#This Row],[No. of Shares]],0)</f>
        <v>26.138719880916156</v>
      </c>
      <c r="K729" s="17">
        <f>IF(HistoricalStockProgress[[#This Row],[Total Price of Shares]]&lt;&gt;0,HistoricalStockProgress[[#This Row],[Total Price of Shares]]-HistoricalStockProgress[[#This Row],[Cost of Shares]],0)</f>
        <v>1699.0167922595501</v>
      </c>
      <c r="L729" s="34" t="b" cm="1">
        <f t="array" ref="L729">IFERROR(IF(HistoricalStockProgress[[#This Row],[Price of Shares]]="",_xlfn.STOCKHISTORY(HistoricalStockProgress[[#This Row],[Full Company Name]],HistoricalStockProgress[[#This Row],[Date]],,2,0,1)),0)</f>
        <v>0</v>
      </c>
      <c r="M729" s="34">
        <f>YEAR(HistoricalStockProgress[[#This Row],[Date]])</f>
        <v>2019</v>
      </c>
      <c r="N729" s="34">
        <f>MONTH(HistoricalStockProgress[[#This Row],[Date]])</f>
        <v>12</v>
      </c>
    </row>
    <row r="730" spans="2:14">
      <c r="B730" s="15">
        <v>43861</v>
      </c>
      <c r="C730" s="34" t="s">
        <v>12</v>
      </c>
      <c r="D730" s="34" t="e" vm="1">
        <f>_xlfn.XLOOKUP(HistoricalStockProgress[[#This Row],[Company Ticker]],CompanyDetailsList[Company Ticker],CompanyDetailsList[Official Name],,0)</f>
        <v>#VALUE!</v>
      </c>
      <c r="E7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7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1953.8799010350301</v>
      </c>
      <c r="G730" s="17">
        <f>IFERROR(HistoricalStockProgress[[#This Row],[Cost of Shares]]/HistoricalStockProgress[[#This Row],[No. of Shares]],0)</f>
        <v>67.375169001207937</v>
      </c>
      <c r="H730" s="16" vm="1256">
        <v>78.41</v>
      </c>
      <c r="I730" s="16">
        <f>IF(HistoricalStockProgress[[#This Row],[No. of Shares]]&lt;&gt;0,HistoricalStockProgress[[#This Row],[Price of Shares]]*HistoricalStockProgress[[#This Row],[No. of Shares]],0)</f>
        <v>2273.89</v>
      </c>
      <c r="J730" s="16">
        <f>IF(HistoricalStockProgress[[#This Row],[No. of Shares]]&lt;&gt;0,HistoricalStockProgress[[#This Row],[Price of Shares]]-HistoricalStockProgress[[#This Row],[Cost of Shares]]/HistoricalStockProgress[[#This Row],[No. of Shares]],0)</f>
        <v>11.03483099879206</v>
      </c>
      <c r="K730" s="17">
        <f>IF(HistoricalStockProgress[[#This Row],[Total Price of Shares]]&lt;&gt;0,HistoricalStockProgress[[#This Row],[Total Price of Shares]]-HistoricalStockProgress[[#This Row],[Cost of Shares]],0)</f>
        <v>320.01009896496976</v>
      </c>
      <c r="L730" s="34" t="b" cm="1">
        <f t="array" ref="L730">IFERROR(IF(HistoricalStockProgress[[#This Row],[Price of Shares]]="",_xlfn.STOCKHISTORY(HistoricalStockProgress[[#This Row],[Full Company Name]],HistoricalStockProgress[[#This Row],[Date]],,2,0,1)),0)</f>
        <v>0</v>
      </c>
      <c r="M730" s="34">
        <f>YEAR(HistoricalStockProgress[[#This Row],[Date]])</f>
        <v>2020</v>
      </c>
      <c r="N730" s="34">
        <f>MONTH(HistoricalStockProgress[[#This Row],[Date]])</f>
        <v>1</v>
      </c>
    </row>
    <row r="731" spans="2:14">
      <c r="B731" s="15">
        <v>43861</v>
      </c>
      <c r="C731" s="34" t="s">
        <v>19</v>
      </c>
      <c r="D731" s="34" t="e" vm="3">
        <f>_xlfn.XLOOKUP(HistoricalStockProgress[[#This Row],[Company Ticker]],CompanyDetailsList[Company Ticker],CompanyDetailsList[Official Name],,0)</f>
        <v>#VALUE!</v>
      </c>
      <c r="E7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7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731" s="17">
        <f>IFERROR(HistoricalStockProgress[[#This Row],[Cost of Shares]]/HistoricalStockProgress[[#This Row],[No. of Shares]],0)</f>
        <v>158.45739987816083</v>
      </c>
      <c r="H731" s="16" vm="1257">
        <v>157.31</v>
      </c>
      <c r="I731" s="16">
        <f>IF(HistoricalStockProgress[[#This Row],[No. of Shares]]&lt;&gt;0,HistoricalStockProgress[[#This Row],[Price of Shares]]*HistoricalStockProgress[[#This Row],[No. of Shares]],0)</f>
        <v>8966.67</v>
      </c>
      <c r="J731" s="16">
        <f>IF(HistoricalStockProgress[[#This Row],[No. of Shares]]&lt;&gt;0,HistoricalStockProgress[[#This Row],[Price of Shares]]-HistoricalStockProgress[[#This Row],[Cost of Shares]]/HistoricalStockProgress[[#This Row],[No. of Shares]],0)</f>
        <v>-1.1473998781608259</v>
      </c>
      <c r="K731" s="17">
        <f>IF(HistoricalStockProgress[[#This Row],[Total Price of Shares]]&lt;&gt;0,HistoricalStockProgress[[#This Row],[Total Price of Shares]]-HistoricalStockProgress[[#This Row],[Cost of Shares]],0)</f>
        <v>-65.401793055167218</v>
      </c>
      <c r="L731" s="34" t="b" cm="1">
        <f t="array" ref="L731">IFERROR(IF(HistoricalStockProgress[[#This Row],[Price of Shares]]="",_xlfn.STOCKHISTORY(HistoricalStockProgress[[#This Row],[Full Company Name]],HistoricalStockProgress[[#This Row],[Date]],,2,0,1)),0)</f>
        <v>0</v>
      </c>
      <c r="M731" s="34">
        <f>YEAR(HistoricalStockProgress[[#This Row],[Date]])</f>
        <v>2020</v>
      </c>
      <c r="N731" s="34">
        <f>MONTH(HistoricalStockProgress[[#This Row],[Date]])</f>
        <v>1</v>
      </c>
    </row>
    <row r="732" spans="2:14">
      <c r="B732" s="15">
        <v>43861</v>
      </c>
      <c r="C732" s="34" t="s">
        <v>23</v>
      </c>
      <c r="D732" s="34" t="e" vm="4">
        <f>_xlfn.XLOOKUP(HistoricalStockProgress[[#This Row],[Company Ticker]],CompanyDetailsList[Company Ticker],CompanyDetailsList[Official Name],,0)</f>
        <v>#VALUE!</v>
      </c>
      <c r="E7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7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732" s="17">
        <f>IFERROR(HistoricalStockProgress[[#This Row],[Cost of Shares]]/HistoricalStockProgress[[#This Row],[No. of Shares]],0)</f>
        <v>45.768494888570878</v>
      </c>
      <c r="H732" s="16" vm="1258">
        <v>58.4</v>
      </c>
      <c r="I732" s="16">
        <f>IF(HistoricalStockProgress[[#This Row],[No. of Shares]]&lt;&gt;0,HistoricalStockProgress[[#This Row],[Price of Shares]]*HistoricalStockProgress[[#This Row],[No. of Shares]],0)</f>
        <v>3387.2</v>
      </c>
      <c r="J732" s="16">
        <f>IF(HistoricalStockProgress[[#This Row],[No. of Shares]]&lt;&gt;0,HistoricalStockProgress[[#This Row],[Price of Shares]]-HistoricalStockProgress[[#This Row],[Cost of Shares]]/HistoricalStockProgress[[#This Row],[No. of Shares]],0)</f>
        <v>12.631505111429121</v>
      </c>
      <c r="K732" s="17">
        <f>IF(HistoricalStockProgress[[#This Row],[Total Price of Shares]]&lt;&gt;0,HistoricalStockProgress[[#This Row],[Total Price of Shares]]-HistoricalStockProgress[[#This Row],[Cost of Shares]],0)</f>
        <v>732.62729646288881</v>
      </c>
      <c r="L732" s="34" t="b" cm="1">
        <f t="array" ref="L732">IFERROR(IF(HistoricalStockProgress[[#This Row],[Price of Shares]]="",_xlfn.STOCKHISTORY(HistoricalStockProgress[[#This Row],[Full Company Name]],HistoricalStockProgress[[#This Row],[Date]],,2,0,1)),0)</f>
        <v>0</v>
      </c>
      <c r="M732" s="34">
        <f>YEAR(HistoricalStockProgress[[#This Row],[Date]])</f>
        <v>2020</v>
      </c>
      <c r="N732" s="34">
        <f>MONTH(HistoricalStockProgress[[#This Row],[Date]])</f>
        <v>1</v>
      </c>
    </row>
    <row r="733" spans="2:14">
      <c r="B733" s="15">
        <v>43861</v>
      </c>
      <c r="C733" s="34" t="s">
        <v>21</v>
      </c>
      <c r="D733" s="34" t="e" vm="6">
        <f>_xlfn.XLOOKUP(HistoricalStockProgress[[#This Row],[Company Ticker]],CompanyDetailsList[Company Ticker],CompanyDetailsList[Official Name],,0)</f>
        <v>#VALUE!</v>
      </c>
      <c r="E7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v>
      </c>
      <c r="F7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2087.9623605222587</v>
      </c>
      <c r="G733" s="17">
        <f>IFERROR(HistoricalStockProgress[[#This Row],[Cost of Shares]]/HistoricalStockProgress[[#This Row],[No. of Shares]],0)</f>
        <v>122.82131532483875</v>
      </c>
      <c r="H733" s="16" vm="1259">
        <v>124.62</v>
      </c>
      <c r="I733" s="16">
        <f>IF(HistoricalStockProgress[[#This Row],[No. of Shares]]&lt;&gt;0,HistoricalStockProgress[[#This Row],[Price of Shares]]*HistoricalStockProgress[[#This Row],[No. of Shares]],0)</f>
        <v>2118.54</v>
      </c>
      <c r="J733" s="16">
        <f>IF(HistoricalStockProgress[[#This Row],[No. of Shares]]&lt;&gt;0,HistoricalStockProgress[[#This Row],[Price of Shares]]-HistoricalStockProgress[[#This Row],[Cost of Shares]]/HistoricalStockProgress[[#This Row],[No. of Shares]],0)</f>
        <v>1.7986846751612546</v>
      </c>
      <c r="K733" s="17">
        <f>IF(HistoricalStockProgress[[#This Row],[Total Price of Shares]]&lt;&gt;0,HistoricalStockProgress[[#This Row],[Total Price of Shares]]-HistoricalStockProgress[[#This Row],[Cost of Shares]],0)</f>
        <v>30.577639477741286</v>
      </c>
      <c r="L733" s="34" t="b" cm="1">
        <f t="array" ref="L733">IFERROR(IF(HistoricalStockProgress[[#This Row],[Price of Shares]]="",_xlfn.STOCKHISTORY(HistoricalStockProgress[[#This Row],[Full Company Name]],HistoricalStockProgress[[#This Row],[Date]],,2,0,1)),0)</f>
        <v>0</v>
      </c>
      <c r="M733" s="34">
        <f>YEAR(HistoricalStockProgress[[#This Row],[Date]])</f>
        <v>2020</v>
      </c>
      <c r="N733" s="34">
        <f>MONTH(HistoricalStockProgress[[#This Row],[Date]])</f>
        <v>1</v>
      </c>
    </row>
    <row r="734" spans="2:14">
      <c r="B734" s="15">
        <v>43861</v>
      </c>
      <c r="C734" s="34" t="s">
        <v>84</v>
      </c>
      <c r="D734" s="34" t="e" vm="7">
        <f>_xlfn.XLOOKUP(HistoricalStockProgress[[#This Row],[Company Ticker]],CompanyDetailsList[Company Ticker],CompanyDetailsList[Official Name],,0)</f>
        <v>#VALUE!</v>
      </c>
      <c r="E7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7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734" s="17">
        <f>IFERROR(HistoricalStockProgress[[#This Row],[Cost of Shares]]/HistoricalStockProgress[[#This Row],[No. of Shares]],0)</f>
        <v>104.18087504950869</v>
      </c>
      <c r="H734" s="16" vm="1260">
        <v>148.87</v>
      </c>
      <c r="I734" s="16">
        <f>IF(HistoricalStockProgress[[#This Row],[No. of Shares]]&lt;&gt;0,HistoricalStockProgress[[#This Row],[Price of Shares]]*HistoricalStockProgress[[#This Row],[No. of Shares]],0)</f>
        <v>7592.37</v>
      </c>
      <c r="J734" s="16">
        <f>IF(HistoricalStockProgress[[#This Row],[No. of Shares]]&lt;&gt;0,HistoricalStockProgress[[#This Row],[Price of Shares]]-HistoricalStockProgress[[#This Row],[Cost of Shares]]/HistoricalStockProgress[[#This Row],[No. of Shares]],0)</f>
        <v>44.689124950491319</v>
      </c>
      <c r="K734" s="17">
        <f>IF(HistoricalStockProgress[[#This Row],[Total Price of Shares]]&lt;&gt;0,HistoricalStockProgress[[#This Row],[Total Price of Shares]]-HistoricalStockProgress[[#This Row],[Cost of Shares]],0)</f>
        <v>2279.1453724750572</v>
      </c>
      <c r="L734" s="34" t="b" cm="1">
        <f t="array" ref="L734">IFERROR(IF(HistoricalStockProgress[[#This Row],[Price of Shares]]="",_xlfn.STOCKHISTORY(HistoricalStockProgress[[#This Row],[Full Company Name]],HistoricalStockProgress[[#This Row],[Date]],,2,0,1)),0)</f>
        <v>0</v>
      </c>
      <c r="M734" s="34">
        <f>YEAR(HistoricalStockProgress[[#This Row],[Date]])</f>
        <v>2020</v>
      </c>
      <c r="N734" s="34">
        <f>MONTH(HistoricalStockProgress[[#This Row],[Date]])</f>
        <v>1</v>
      </c>
    </row>
    <row r="735" spans="2:14">
      <c r="B735" s="15">
        <v>43861</v>
      </c>
      <c r="C735" s="34" t="s">
        <v>86</v>
      </c>
      <c r="D735" s="34" t="e" vm="8">
        <f>_xlfn.XLOOKUP(HistoricalStockProgress[[#This Row],[Company Ticker]],CompanyDetailsList[Company Ticker],CompanyDetailsList[Official Name],,0)</f>
        <v>#VALUE!</v>
      </c>
      <c r="E7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7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735" s="17">
        <f>IFERROR(HistoricalStockProgress[[#This Row],[Cost of Shares]]/HistoricalStockProgress[[#This Row],[No. of Shares]],0)</f>
        <v>85.876031764920896</v>
      </c>
      <c r="H735" s="16" vm="1261">
        <v>81.02</v>
      </c>
      <c r="I735" s="16">
        <f>IF(HistoricalStockProgress[[#This Row],[No. of Shares]]&lt;&gt;0,HistoricalStockProgress[[#This Row],[Price of Shares]]*HistoricalStockProgress[[#This Row],[No. of Shares]],0)</f>
        <v>4294.0599999999995</v>
      </c>
      <c r="J735" s="16">
        <f>IF(HistoricalStockProgress[[#This Row],[No. of Shares]]&lt;&gt;0,HistoricalStockProgress[[#This Row],[Price of Shares]]-HistoricalStockProgress[[#This Row],[Cost of Shares]]/HistoricalStockProgress[[#This Row],[No. of Shares]],0)</f>
        <v>-4.8560317649208997</v>
      </c>
      <c r="K735" s="17">
        <f>IF(HistoricalStockProgress[[#This Row],[Total Price of Shares]]&lt;&gt;0,HistoricalStockProgress[[#This Row],[Total Price of Shares]]-HistoricalStockProgress[[#This Row],[Cost of Shares]],0)</f>
        <v>-257.36968354080818</v>
      </c>
      <c r="L735" s="34" t="b" cm="1">
        <f t="array" ref="L735">IFERROR(IF(HistoricalStockProgress[[#This Row],[Price of Shares]]="",_xlfn.STOCKHISTORY(HistoricalStockProgress[[#This Row],[Full Company Name]],HistoricalStockProgress[[#This Row],[Date]],,2,0,1)),0)</f>
        <v>0</v>
      </c>
      <c r="M735" s="34">
        <f>YEAR(HistoricalStockProgress[[#This Row],[Date]])</f>
        <v>2020</v>
      </c>
      <c r="N735" s="34">
        <f>MONTH(HistoricalStockProgress[[#This Row],[Date]])</f>
        <v>1</v>
      </c>
    </row>
    <row r="736" spans="2:14">
      <c r="B736" s="15">
        <v>43861</v>
      </c>
      <c r="C736" s="34" t="s">
        <v>88</v>
      </c>
      <c r="D736" s="34" t="e" vm="9">
        <f>_xlfn.XLOOKUP(HistoricalStockProgress[[#This Row],[Company Ticker]],CompanyDetailsList[Company Ticker],CompanyDetailsList[Official Name],,0)</f>
        <v>#VALUE!</v>
      </c>
      <c r="E7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v>
      </c>
      <c r="F7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4283.7073138981596</v>
      </c>
      <c r="G736" s="17">
        <f>IFERROR(HistoricalStockProgress[[#This Row],[Cost of Shares]]/HistoricalStockProgress[[#This Row],[No. of Shares]],0)</f>
        <v>214.18536569490797</v>
      </c>
      <c r="H736" s="16" vm="1262">
        <v>213.97</v>
      </c>
      <c r="I736" s="16">
        <f>IF(HistoricalStockProgress[[#This Row],[No. of Shares]]&lt;&gt;0,HistoricalStockProgress[[#This Row],[Price of Shares]]*HistoricalStockProgress[[#This Row],[No. of Shares]],0)</f>
        <v>4279.3999999999996</v>
      </c>
      <c r="J736" s="16">
        <f>IF(HistoricalStockProgress[[#This Row],[No. of Shares]]&lt;&gt;0,HistoricalStockProgress[[#This Row],[Price of Shares]]-HistoricalStockProgress[[#This Row],[Cost of Shares]]/HistoricalStockProgress[[#This Row],[No. of Shares]],0)</f>
        <v>-0.21536569490797319</v>
      </c>
      <c r="K736" s="17">
        <f>IF(HistoricalStockProgress[[#This Row],[Total Price of Shares]]&lt;&gt;0,HistoricalStockProgress[[#This Row],[Total Price of Shares]]-HistoricalStockProgress[[#This Row],[Cost of Shares]],0)</f>
        <v>-4.3073138981599186</v>
      </c>
      <c r="L736" s="34" t="b" cm="1">
        <f t="array" ref="L736">IFERROR(IF(HistoricalStockProgress[[#This Row],[Price of Shares]]="",_xlfn.STOCKHISTORY(HistoricalStockProgress[[#This Row],[Full Company Name]],HistoricalStockProgress[[#This Row],[Date]],,2,0,1)),0)</f>
        <v>0</v>
      </c>
      <c r="M736" s="34">
        <f>YEAR(HistoricalStockProgress[[#This Row],[Date]])</f>
        <v>2020</v>
      </c>
      <c r="N736" s="34">
        <f>MONTH(HistoricalStockProgress[[#This Row],[Date]])</f>
        <v>1</v>
      </c>
    </row>
    <row r="737" spans="2:14">
      <c r="B737" s="15">
        <v>43861</v>
      </c>
      <c r="C737" s="34" t="s">
        <v>22</v>
      </c>
      <c r="D737" s="34" t="e" vm="10">
        <f>_xlfn.XLOOKUP(HistoricalStockProgress[[#This Row],[Company Ticker]],CompanyDetailsList[Company Ticker],CompanyDetailsList[Official Name],,0)</f>
        <v>#VALUE!</v>
      </c>
      <c r="E7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7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737" s="17">
        <f>IFERROR(HistoricalStockProgress[[#This Row],[Cost of Shares]]/HistoricalStockProgress[[#This Row],[No. of Shares]],0)</f>
        <v>96.351727068187571</v>
      </c>
      <c r="H737" s="16" vm="1263">
        <v>131.35</v>
      </c>
      <c r="I737" s="16">
        <f>IF(HistoricalStockProgress[[#This Row],[No. of Shares]]&lt;&gt;0,HistoricalStockProgress[[#This Row],[Price of Shares]]*HistoricalStockProgress[[#This Row],[No. of Shares]],0)</f>
        <v>10639.35</v>
      </c>
      <c r="J737" s="16">
        <f>IF(HistoricalStockProgress[[#This Row],[No. of Shares]]&lt;&gt;0,HistoricalStockProgress[[#This Row],[Price of Shares]]-HistoricalStockProgress[[#This Row],[Cost of Shares]]/HistoricalStockProgress[[#This Row],[No. of Shares]],0)</f>
        <v>34.998272931812423</v>
      </c>
      <c r="K737" s="17">
        <f>IF(HistoricalStockProgress[[#This Row],[Total Price of Shares]]&lt;&gt;0,HistoricalStockProgress[[#This Row],[Total Price of Shares]]-HistoricalStockProgress[[#This Row],[Cost of Shares]],0)</f>
        <v>2834.8601074768076</v>
      </c>
      <c r="L737" s="34" t="b" cm="1">
        <f t="array" ref="L737">IFERROR(IF(HistoricalStockProgress[[#This Row],[Price of Shares]]="",_xlfn.STOCKHISTORY(HistoricalStockProgress[[#This Row],[Full Company Name]],HistoricalStockProgress[[#This Row],[Date]],,2,0,1)),0)</f>
        <v>0</v>
      </c>
      <c r="M737" s="34">
        <f>YEAR(HistoricalStockProgress[[#This Row],[Date]])</f>
        <v>2020</v>
      </c>
      <c r="N737" s="34">
        <f>MONTH(HistoricalStockProgress[[#This Row],[Date]])</f>
        <v>1</v>
      </c>
    </row>
    <row r="738" spans="2:14">
      <c r="B738" s="15">
        <v>43861</v>
      </c>
      <c r="C738" s="34" t="s">
        <v>91</v>
      </c>
      <c r="D738" s="34" t="e" vm="11">
        <f>_xlfn.XLOOKUP(HistoricalStockProgress[[#This Row],[Company Ticker]],CompanyDetailsList[Company Ticker],CompanyDetailsList[Official Name],,0)</f>
        <v>#VALUE!</v>
      </c>
      <c r="E7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113</v>
      </c>
      <c r="F7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8617.7943854195</v>
      </c>
      <c r="G738" s="17">
        <f>IFERROR(HistoricalStockProgress[[#This Row],[Cost of Shares]]/HistoricalStockProgress[[#This Row],[No. of Shares]],0)</f>
        <v>76.263667127606197</v>
      </c>
      <c r="H738" s="16" vm="1264">
        <v>170.23</v>
      </c>
      <c r="I738" s="16">
        <f>IF(HistoricalStockProgress[[#This Row],[No. of Shares]]&lt;&gt;0,HistoricalStockProgress[[#This Row],[Price of Shares]]*HistoricalStockProgress[[#This Row],[No. of Shares]],0)</f>
        <v>19235.989999999998</v>
      </c>
      <c r="J738" s="16">
        <f>IF(HistoricalStockProgress[[#This Row],[No. of Shares]]&lt;&gt;0,HistoricalStockProgress[[#This Row],[Price of Shares]]-HistoricalStockProgress[[#This Row],[Cost of Shares]]/HistoricalStockProgress[[#This Row],[No. of Shares]],0)</f>
        <v>93.966332872393792</v>
      </c>
      <c r="K738" s="17">
        <f>IF(HistoricalStockProgress[[#This Row],[Total Price of Shares]]&lt;&gt;0,HistoricalStockProgress[[#This Row],[Total Price of Shares]]-HistoricalStockProgress[[#This Row],[Cost of Shares]],0)</f>
        <v>10618.195614580498</v>
      </c>
      <c r="L738" s="34" t="b" cm="1">
        <f t="array" ref="L738">IFERROR(IF(HistoricalStockProgress[[#This Row],[Price of Shares]]="",_xlfn.STOCKHISTORY(HistoricalStockProgress[[#This Row],[Full Company Name]],HistoricalStockProgress[[#This Row],[Date]],,2,0,1)),0)</f>
        <v>0</v>
      </c>
      <c r="M738" s="34">
        <f>YEAR(HistoricalStockProgress[[#This Row],[Date]])</f>
        <v>2020</v>
      </c>
      <c r="N738" s="34">
        <f>MONTH(HistoricalStockProgress[[#This Row],[Date]])</f>
        <v>1</v>
      </c>
    </row>
    <row r="739" spans="2:14">
      <c r="B739" s="15">
        <v>43861</v>
      </c>
      <c r="C739" s="34" t="s">
        <v>16</v>
      </c>
      <c r="D739" s="34" t="e" vm="12">
        <f>_xlfn.XLOOKUP(HistoricalStockProgress[[#This Row],[Company Ticker]],CompanyDetailsList[Company Ticker],CompanyDetailsList[Official Name],,0)</f>
        <v>#VALUE!</v>
      </c>
      <c r="E7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7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739" s="17">
        <f>IFERROR(HistoricalStockProgress[[#This Row],[Cost of Shares]]/HistoricalStockProgress[[#This Row],[No. of Shares]],0)</f>
        <v>82.900834685216523</v>
      </c>
      <c r="H739" s="16" vm="1265">
        <v>62.12</v>
      </c>
      <c r="I739" s="16">
        <f>IF(HistoricalStockProgress[[#This Row],[No. of Shares]]&lt;&gt;0,HistoricalStockProgress[[#This Row],[Price of Shares]]*HistoricalStockProgress[[#This Row],[No. of Shares]],0)</f>
        <v>9007.4</v>
      </c>
      <c r="J739" s="16">
        <f>IF(HistoricalStockProgress[[#This Row],[No. of Shares]]&lt;&gt;0,HistoricalStockProgress[[#This Row],[Price of Shares]]-HistoricalStockProgress[[#This Row],[Cost of Shares]]/HistoricalStockProgress[[#This Row],[No. of Shares]],0)</f>
        <v>-20.780834685216526</v>
      </c>
      <c r="K739" s="17">
        <f>IF(HistoricalStockProgress[[#This Row],[Total Price of Shares]]&lt;&gt;0,HistoricalStockProgress[[#This Row],[Total Price of Shares]]-HistoricalStockProgress[[#This Row],[Cost of Shares]],0)</f>
        <v>-3013.2210293563967</v>
      </c>
      <c r="L739" s="34" t="b" cm="1">
        <f t="array" ref="L739">IFERROR(IF(HistoricalStockProgress[[#This Row],[Price of Shares]]="",_xlfn.STOCKHISTORY(HistoricalStockProgress[[#This Row],[Full Company Name]],HistoricalStockProgress[[#This Row],[Date]],,2,0,1)),0)</f>
        <v>0</v>
      </c>
      <c r="M739" s="34">
        <f>YEAR(HistoricalStockProgress[[#This Row],[Date]])</f>
        <v>2020</v>
      </c>
      <c r="N739" s="34">
        <f>MONTH(HistoricalStockProgress[[#This Row],[Date]])</f>
        <v>1</v>
      </c>
    </row>
    <row r="740" spans="2:14">
      <c r="B740" s="15">
        <v>43861</v>
      </c>
      <c r="C740" s="34" t="s">
        <v>95</v>
      </c>
      <c r="D740" s="34" t="e" vm="13">
        <f>_xlfn.XLOOKUP(HistoricalStockProgress[[#This Row],[Company Ticker]],CompanyDetailsList[Company Ticker],CompanyDetailsList[Official Name],,0)</f>
        <v>#VALUE!</v>
      </c>
      <c r="E7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7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740" s="17">
        <f>IFERROR(HistoricalStockProgress[[#This Row],[Cost of Shares]]/HistoricalStockProgress[[#This Row],[No. of Shares]],0)</f>
        <v>143.29758396474452</v>
      </c>
      <c r="H740" s="16" vm="1266">
        <v>228.1</v>
      </c>
      <c r="I740" s="16">
        <f>IF(HistoricalStockProgress[[#This Row],[No. of Shares]]&lt;&gt;0,HistoricalStockProgress[[#This Row],[Price of Shares]]*HistoricalStockProgress[[#This Row],[No. of Shares]],0)</f>
        <v>9808.2999999999993</v>
      </c>
      <c r="J740" s="16">
        <f>IF(HistoricalStockProgress[[#This Row],[No. of Shares]]&lt;&gt;0,HistoricalStockProgress[[#This Row],[Price of Shares]]-HistoricalStockProgress[[#This Row],[Cost of Shares]]/HistoricalStockProgress[[#This Row],[No. of Shares]],0)</f>
        <v>84.802416035255476</v>
      </c>
      <c r="K740" s="17">
        <f>IF(HistoricalStockProgress[[#This Row],[Total Price of Shares]]&lt;&gt;0,HistoricalStockProgress[[#This Row],[Total Price of Shares]]-HistoricalStockProgress[[#This Row],[Cost of Shares]],0)</f>
        <v>3646.5038895159851</v>
      </c>
      <c r="L740" s="34" t="b" cm="1">
        <f t="array" ref="L740">IFERROR(IF(HistoricalStockProgress[[#This Row],[Price of Shares]]="",_xlfn.STOCKHISTORY(HistoricalStockProgress[[#This Row],[Full Company Name]],HistoricalStockProgress[[#This Row],[Date]],,2,0,1)),0)</f>
        <v>0</v>
      </c>
      <c r="M740" s="34">
        <f>YEAR(HistoricalStockProgress[[#This Row],[Date]])</f>
        <v>2020</v>
      </c>
      <c r="N740" s="34">
        <f>MONTH(HistoricalStockProgress[[#This Row],[Date]])</f>
        <v>1</v>
      </c>
    </row>
    <row r="741" spans="2:14">
      <c r="B741" s="15">
        <v>43861</v>
      </c>
      <c r="C741" s="34" t="s">
        <v>17</v>
      </c>
      <c r="D741" s="34" t="e" vm="14">
        <f>_xlfn.XLOOKUP(HistoricalStockProgress[[#This Row],[Company Ticker]],CompanyDetailsList[Company Ticker],CompanyDetailsList[Official Name],,0)</f>
        <v>#VALUE!</v>
      </c>
      <c r="E7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75</v>
      </c>
      <c r="F7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11108.967300592691</v>
      </c>
      <c r="G741" s="17">
        <f>IFERROR(HistoricalStockProgress[[#This Row],[Cost of Shares]]/HistoricalStockProgress[[#This Row],[No. of Shares]],0)</f>
        <v>148.11956400790254</v>
      </c>
      <c r="H741" s="16" vm="1267">
        <v>143.72999999999999</v>
      </c>
      <c r="I741" s="16">
        <f>IF(HistoricalStockProgress[[#This Row],[No. of Shares]]&lt;&gt;0,HistoricalStockProgress[[#This Row],[Price of Shares]]*HistoricalStockProgress[[#This Row],[No. of Shares]],0)</f>
        <v>10779.75</v>
      </c>
      <c r="J741" s="16">
        <f>IF(HistoricalStockProgress[[#This Row],[No. of Shares]]&lt;&gt;0,HistoricalStockProgress[[#This Row],[Price of Shares]]-HistoricalStockProgress[[#This Row],[Cost of Shares]]/HistoricalStockProgress[[#This Row],[No. of Shares]],0)</f>
        <v>-4.3895640079025497</v>
      </c>
      <c r="K741" s="17">
        <f>IF(HistoricalStockProgress[[#This Row],[Total Price of Shares]]&lt;&gt;0,HistoricalStockProgress[[#This Row],[Total Price of Shares]]-HistoricalStockProgress[[#This Row],[Cost of Shares]],0)</f>
        <v>-329.21730059269066</v>
      </c>
      <c r="L741" s="34" t="b" cm="1">
        <f t="array" ref="L741">IFERROR(IF(HistoricalStockProgress[[#This Row],[Price of Shares]]="",_xlfn.STOCKHISTORY(HistoricalStockProgress[[#This Row],[Full Company Name]],HistoricalStockProgress[[#This Row],[Date]],,2,0,1)),0)</f>
        <v>0</v>
      </c>
      <c r="M741" s="34">
        <f>YEAR(HistoricalStockProgress[[#This Row],[Date]])</f>
        <v>2020</v>
      </c>
      <c r="N741" s="34">
        <f>MONTH(HistoricalStockProgress[[#This Row],[Date]])</f>
        <v>1</v>
      </c>
    </row>
    <row r="742" spans="2:14">
      <c r="B742" s="15">
        <v>43861</v>
      </c>
      <c r="C742" s="34" t="s">
        <v>98</v>
      </c>
      <c r="D742" s="34" t="e" vm="15">
        <f>_xlfn.XLOOKUP(HistoricalStockProgress[[#This Row],[Company Ticker]],CompanyDetailsList[Company Ticker],CompanyDetailsList[Official Name],,0)</f>
        <v>#VALUE!</v>
      </c>
      <c r="E7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7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742" s="17">
        <f>IFERROR(HistoricalStockProgress[[#This Row],[Cost of Shares]]/HistoricalStockProgress[[#This Row],[No. of Shares]],0)</f>
        <v>39.627242008882604</v>
      </c>
      <c r="H742" s="16" vm="1268">
        <v>67.05</v>
      </c>
      <c r="I742" s="16">
        <f>IF(HistoricalStockProgress[[#This Row],[No. of Shares]]&lt;&gt;0,HistoricalStockProgress[[#This Row],[Price of Shares]]*HistoricalStockProgress[[#This Row],[No. of Shares]],0)</f>
        <v>4894.6499999999996</v>
      </c>
      <c r="J742" s="16">
        <f>IF(HistoricalStockProgress[[#This Row],[No. of Shares]]&lt;&gt;0,HistoricalStockProgress[[#This Row],[Price of Shares]]-HistoricalStockProgress[[#This Row],[Cost of Shares]]/HistoricalStockProgress[[#This Row],[No. of Shares]],0)</f>
        <v>27.422757991117393</v>
      </c>
      <c r="K742" s="17">
        <f>IF(HistoricalStockProgress[[#This Row],[Total Price of Shares]]&lt;&gt;0,HistoricalStockProgress[[#This Row],[Total Price of Shares]]-HistoricalStockProgress[[#This Row],[Cost of Shares]],0)</f>
        <v>2001.8613333515696</v>
      </c>
      <c r="L742" s="34" t="b" cm="1">
        <f t="array" ref="L742">IFERROR(IF(HistoricalStockProgress[[#This Row],[Price of Shares]]="",_xlfn.STOCKHISTORY(HistoricalStockProgress[[#This Row],[Full Company Name]],HistoricalStockProgress[[#This Row],[Date]],,2,0,1)),0)</f>
        <v>0</v>
      </c>
      <c r="M742" s="34">
        <f>YEAR(HistoricalStockProgress[[#This Row],[Date]])</f>
        <v>2020</v>
      </c>
      <c r="N742" s="34">
        <f>MONTH(HistoricalStockProgress[[#This Row],[Date]])</f>
        <v>1</v>
      </c>
    </row>
    <row r="743" spans="2:14">
      <c r="B743" s="15">
        <v>43861</v>
      </c>
      <c r="C743" s="34" t="s">
        <v>100</v>
      </c>
      <c r="D743" s="34" t="e" vm="16">
        <f>_xlfn.XLOOKUP(HistoricalStockProgress[[#This Row],[Company Ticker]],CompanyDetailsList[Company Ticker],CompanyDetailsList[Official Name],,0)</f>
        <v>#VALUE!</v>
      </c>
      <c r="E7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74</v>
      </c>
      <c r="F7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6400.3550613930956</v>
      </c>
      <c r="G743" s="17">
        <f>IFERROR(HistoricalStockProgress[[#This Row],[Cost of Shares]]/HistoricalStockProgress[[#This Row],[No. of Shares]],0)</f>
        <v>86.491284613420206</v>
      </c>
      <c r="H743" s="16" vm="1269">
        <v>97.63</v>
      </c>
      <c r="I743" s="16">
        <f>IF(HistoricalStockProgress[[#This Row],[No. of Shares]]&lt;&gt;0,HistoricalStockProgress[[#This Row],[Price of Shares]]*HistoricalStockProgress[[#This Row],[No. of Shares]],0)</f>
        <v>7224.62</v>
      </c>
      <c r="J743" s="16">
        <f>IF(HistoricalStockProgress[[#This Row],[No. of Shares]]&lt;&gt;0,HistoricalStockProgress[[#This Row],[Price of Shares]]-HistoricalStockProgress[[#This Row],[Cost of Shares]]/HistoricalStockProgress[[#This Row],[No. of Shares]],0)</f>
        <v>11.13871538657979</v>
      </c>
      <c r="K743" s="17">
        <f>IF(HistoricalStockProgress[[#This Row],[Total Price of Shares]]&lt;&gt;0,HistoricalStockProgress[[#This Row],[Total Price of Shares]]-HistoricalStockProgress[[#This Row],[Cost of Shares]],0)</f>
        <v>824.26493860690425</v>
      </c>
      <c r="L743" s="34" t="b" cm="1">
        <f t="array" ref="L743">IFERROR(IF(HistoricalStockProgress[[#This Row],[Price of Shares]]="",_xlfn.STOCKHISTORY(HistoricalStockProgress[[#This Row],[Full Company Name]],HistoricalStockProgress[[#This Row],[Date]],,2,0,1)),0)</f>
        <v>0</v>
      </c>
      <c r="M743" s="34">
        <f>YEAR(HistoricalStockProgress[[#This Row],[Date]])</f>
        <v>2020</v>
      </c>
      <c r="N743" s="34">
        <f>MONTH(HistoricalStockProgress[[#This Row],[Date]])</f>
        <v>1</v>
      </c>
    </row>
    <row r="744" spans="2:14">
      <c r="B744" s="15">
        <v>43861</v>
      </c>
      <c r="C744" s="34" t="s">
        <v>15</v>
      </c>
      <c r="D744" s="34" t="e" vm="17">
        <f>_xlfn.XLOOKUP(HistoricalStockProgress[[#This Row],[Company Ticker]],CompanyDetailsList[Company Ticker],CompanyDetailsList[Official Name],,0)</f>
        <v>#VALUE!</v>
      </c>
      <c r="E7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7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744" s="17">
        <f>IFERROR(HistoricalStockProgress[[#This Row],[Cost of Shares]]/HistoricalStockProgress[[#This Row],[No. of Shares]],0)</f>
        <v>26.081956457072195</v>
      </c>
      <c r="H744" s="16" vm="1270">
        <v>28.4099</v>
      </c>
      <c r="I744" s="16">
        <f>IF(HistoricalStockProgress[[#This Row],[No. of Shares]]&lt;&gt;0,HistoricalStockProgress[[#This Row],[Price of Shares]]*HistoricalStockProgress[[#This Row],[No. of Shares]],0)</f>
        <v>3522.8276000000001</v>
      </c>
      <c r="J744" s="16">
        <f>IF(HistoricalStockProgress[[#This Row],[No. of Shares]]&lt;&gt;0,HistoricalStockProgress[[#This Row],[Price of Shares]]-HistoricalStockProgress[[#This Row],[Cost of Shares]]/HistoricalStockProgress[[#This Row],[No. of Shares]],0)</f>
        <v>2.3279435429278053</v>
      </c>
      <c r="K744" s="17">
        <f>IF(HistoricalStockProgress[[#This Row],[Total Price of Shares]]&lt;&gt;0,HistoricalStockProgress[[#This Row],[Total Price of Shares]]-HistoricalStockProgress[[#This Row],[Cost of Shares]],0)</f>
        <v>288.66499932304805</v>
      </c>
      <c r="L744" s="34" t="b" cm="1">
        <f t="array" ref="L744">IFERROR(IF(HistoricalStockProgress[[#This Row],[Price of Shares]]="",_xlfn.STOCKHISTORY(HistoricalStockProgress[[#This Row],[Full Company Name]],HistoricalStockProgress[[#This Row],[Date]],,2,0,1)),0)</f>
        <v>0</v>
      </c>
      <c r="M744" s="34">
        <f>YEAR(HistoricalStockProgress[[#This Row],[Date]])</f>
        <v>2020</v>
      </c>
      <c r="N744" s="34">
        <f>MONTH(HistoricalStockProgress[[#This Row],[Date]])</f>
        <v>1</v>
      </c>
    </row>
    <row r="745" spans="2:14">
      <c r="B745" s="15">
        <v>43861</v>
      </c>
      <c r="C745" s="34" t="s">
        <v>13</v>
      </c>
      <c r="D745" s="34" t="e" vm="18">
        <f>_xlfn.XLOOKUP(HistoricalStockProgress[[#This Row],[Company Ticker]],CompanyDetailsList[Company Ticker],CompanyDetailsList[Official Name],,0)</f>
        <v>#VALUE!</v>
      </c>
      <c r="E7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7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745" s="17">
        <f>IFERROR(HistoricalStockProgress[[#This Row],[Cost of Shares]]/HistoricalStockProgress[[#This Row],[No. of Shares]],0)</f>
        <v>35.846938938346874</v>
      </c>
      <c r="H745" s="16" vm="1271">
        <v>35.301699999999997</v>
      </c>
      <c r="I745" s="16">
        <f>IF(HistoricalStockProgress[[#This Row],[No. of Shares]]&lt;&gt;0,HistoricalStockProgress[[#This Row],[Price of Shares]]*HistoricalStockProgress[[#This Row],[No. of Shares]],0)</f>
        <v>1941.5934999999997</v>
      </c>
      <c r="J745" s="16">
        <f>IF(HistoricalStockProgress[[#This Row],[No. of Shares]]&lt;&gt;0,HistoricalStockProgress[[#This Row],[Price of Shares]]-HistoricalStockProgress[[#This Row],[Cost of Shares]]/HistoricalStockProgress[[#This Row],[No. of Shares]],0)</f>
        <v>-0.54523893834687698</v>
      </c>
      <c r="K745" s="17">
        <f>IF(HistoricalStockProgress[[#This Row],[Total Price of Shares]]&lt;&gt;0,HistoricalStockProgress[[#This Row],[Total Price of Shares]]-HistoricalStockProgress[[#This Row],[Cost of Shares]],0)</f>
        <v>-29.988141609078411</v>
      </c>
      <c r="L745" s="34" t="b" cm="1">
        <f t="array" ref="L745">IFERROR(IF(HistoricalStockProgress[[#This Row],[Price of Shares]]="",_xlfn.STOCKHISTORY(HistoricalStockProgress[[#This Row],[Full Company Name]],HistoricalStockProgress[[#This Row],[Date]],,2,0,1)),0)</f>
        <v>0</v>
      </c>
      <c r="M745" s="34">
        <f>YEAR(HistoricalStockProgress[[#This Row],[Date]])</f>
        <v>2020</v>
      </c>
      <c r="N745" s="34">
        <f>MONTH(HistoricalStockProgress[[#This Row],[Date]])</f>
        <v>1</v>
      </c>
    </row>
    <row r="746" spans="2:14">
      <c r="B746" s="15">
        <v>43861</v>
      </c>
      <c r="C746" s="34" t="s">
        <v>20</v>
      </c>
      <c r="D746" s="34" t="e" vm="19">
        <f>_xlfn.XLOOKUP(HistoricalStockProgress[[#This Row],[Company Ticker]],CompanyDetailsList[Company Ticker],CompanyDetailsList[Official Name],,0)</f>
        <v>#VALUE!</v>
      </c>
      <c r="E7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7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746" s="17">
        <f>IFERROR(HistoricalStockProgress[[#This Row],[Cost of Shares]]/HistoricalStockProgress[[#This Row],[No. of Shares]],0)</f>
        <v>93.912242833589502</v>
      </c>
      <c r="H746" s="16" vm="1272">
        <v>132.36000000000001</v>
      </c>
      <c r="I746" s="16">
        <f>IF(HistoricalStockProgress[[#This Row],[No. of Shares]]&lt;&gt;0,HistoricalStockProgress[[#This Row],[Price of Shares]]*HistoricalStockProgress[[#This Row],[No. of Shares]],0)</f>
        <v>10324.080000000002</v>
      </c>
      <c r="J746" s="16">
        <f>IF(HistoricalStockProgress[[#This Row],[No. of Shares]]&lt;&gt;0,HistoricalStockProgress[[#This Row],[Price of Shares]]-HistoricalStockProgress[[#This Row],[Cost of Shares]]/HistoricalStockProgress[[#This Row],[No. of Shares]],0)</f>
        <v>38.447757166410511</v>
      </c>
      <c r="K746" s="17">
        <f>IF(HistoricalStockProgress[[#This Row],[Total Price of Shares]]&lt;&gt;0,HistoricalStockProgress[[#This Row],[Total Price of Shares]]-HistoricalStockProgress[[#This Row],[Cost of Shares]],0)</f>
        <v>2998.9250589800204</v>
      </c>
      <c r="L746" s="34" t="b" cm="1">
        <f t="array" ref="L746">IFERROR(IF(HistoricalStockProgress[[#This Row],[Price of Shares]]="",_xlfn.STOCKHISTORY(HistoricalStockProgress[[#This Row],[Full Company Name]],HistoricalStockProgress[[#This Row],[Date]],,2,0,1)),0)</f>
        <v>0</v>
      </c>
      <c r="M746" s="34">
        <f>YEAR(HistoricalStockProgress[[#This Row],[Date]])</f>
        <v>2020</v>
      </c>
      <c r="N746" s="34">
        <f>MONTH(HistoricalStockProgress[[#This Row],[Date]])</f>
        <v>1</v>
      </c>
    </row>
    <row r="747" spans="2:14">
      <c r="B747" s="15">
        <v>43861</v>
      </c>
      <c r="C747" s="34" t="s">
        <v>106</v>
      </c>
      <c r="D747" s="34" t="e" vm="20">
        <f>_xlfn.XLOOKUP(HistoricalStockProgress[[#This Row],[Company Ticker]],CompanyDetailsList[Company Ticker],CompanyDetailsList[Official Name],,0)</f>
        <v>#VALUE!</v>
      </c>
      <c r="E7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65</v>
      </c>
      <c r="F7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6977.8332077404502</v>
      </c>
      <c r="G747" s="17">
        <f>IFERROR(HistoricalStockProgress[[#This Row],[Cost of Shares]]/HistoricalStockProgress[[#This Row],[No. of Shares]],0)</f>
        <v>107.35128011908385</v>
      </c>
      <c r="H747" s="16" vm="1273">
        <v>119.84</v>
      </c>
      <c r="I747" s="16">
        <f>IF(HistoricalStockProgress[[#This Row],[No. of Shares]]&lt;&gt;0,HistoricalStockProgress[[#This Row],[Price of Shares]]*HistoricalStockProgress[[#This Row],[No. of Shares]],0)</f>
        <v>7789.6</v>
      </c>
      <c r="J747" s="16">
        <f>IF(HistoricalStockProgress[[#This Row],[No. of Shares]]&lt;&gt;0,HistoricalStockProgress[[#This Row],[Price of Shares]]-HistoricalStockProgress[[#This Row],[Cost of Shares]]/HistoricalStockProgress[[#This Row],[No. of Shares]],0)</f>
        <v>12.48871988091615</v>
      </c>
      <c r="K747" s="17">
        <f>IF(HistoricalStockProgress[[#This Row],[Total Price of Shares]]&lt;&gt;0,HistoricalStockProgress[[#This Row],[Total Price of Shares]]-HistoricalStockProgress[[#This Row],[Cost of Shares]],0)</f>
        <v>811.76679225955013</v>
      </c>
      <c r="L747" s="34" t="b" cm="1">
        <f t="array" ref="L747">IFERROR(IF(HistoricalStockProgress[[#This Row],[Price of Shares]]="",_xlfn.STOCKHISTORY(HistoricalStockProgress[[#This Row],[Full Company Name]],HistoricalStockProgress[[#This Row],[Date]],,2,0,1)),0)</f>
        <v>0</v>
      </c>
      <c r="M747" s="34">
        <f>YEAR(HistoricalStockProgress[[#This Row],[Date]])</f>
        <v>2020</v>
      </c>
      <c r="N747" s="34">
        <f>MONTH(HistoricalStockProgress[[#This Row],[Date]])</f>
        <v>1</v>
      </c>
    </row>
    <row r="748" spans="2:14">
      <c r="B748" s="15">
        <v>43890</v>
      </c>
      <c r="C748" s="34" t="s">
        <v>12</v>
      </c>
      <c r="D748" s="34" t="e" vm="1">
        <f>_xlfn.XLOOKUP(HistoricalStockProgress[[#This Row],[Company Ticker]],CompanyDetailsList[Company Ticker],CompanyDetailsList[Official Name],,0)</f>
        <v>#VALUE!</v>
      </c>
      <c r="E7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7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1953.8799010350301</v>
      </c>
      <c r="G748" s="17">
        <f>IFERROR(HistoricalStockProgress[[#This Row],[Cost of Shares]]/HistoricalStockProgress[[#This Row],[No. of Shares]],0)</f>
        <v>67.375169001207937</v>
      </c>
      <c r="H748" s="16" vm="1274">
        <v>72.39</v>
      </c>
      <c r="I748" s="16">
        <f>IF(HistoricalStockProgress[[#This Row],[No. of Shares]]&lt;&gt;0,HistoricalStockProgress[[#This Row],[Price of Shares]]*HistoricalStockProgress[[#This Row],[No. of Shares]],0)</f>
        <v>2099.31</v>
      </c>
      <c r="J748" s="16">
        <f>IF(HistoricalStockProgress[[#This Row],[No. of Shares]]&lt;&gt;0,HistoricalStockProgress[[#This Row],[Price of Shares]]-HistoricalStockProgress[[#This Row],[Cost of Shares]]/HistoricalStockProgress[[#This Row],[No. of Shares]],0)</f>
        <v>5.0148309987920641</v>
      </c>
      <c r="K748" s="17">
        <f>IF(HistoricalStockProgress[[#This Row],[Total Price of Shares]]&lt;&gt;0,HistoricalStockProgress[[#This Row],[Total Price of Shares]]-HistoricalStockProgress[[#This Row],[Cost of Shares]],0)</f>
        <v>145.43009896496983</v>
      </c>
      <c r="L748" s="34" t="b" cm="1">
        <f t="array" ref="L748">IFERROR(IF(HistoricalStockProgress[[#This Row],[Price of Shares]]="",_xlfn.STOCKHISTORY(HistoricalStockProgress[[#This Row],[Full Company Name]],HistoricalStockProgress[[#This Row],[Date]],,2,0,1)),0)</f>
        <v>0</v>
      </c>
      <c r="M748" s="34">
        <f>YEAR(HistoricalStockProgress[[#This Row],[Date]])</f>
        <v>2020</v>
      </c>
      <c r="N748" s="34">
        <f>MONTH(HistoricalStockProgress[[#This Row],[Date]])</f>
        <v>2</v>
      </c>
    </row>
    <row r="749" spans="2:14">
      <c r="B749" s="15">
        <v>43890</v>
      </c>
      <c r="C749" s="34" t="s">
        <v>19</v>
      </c>
      <c r="D749" s="34" t="e" vm="3">
        <f>_xlfn.XLOOKUP(HistoricalStockProgress[[#This Row],[Company Ticker]],CompanyDetailsList[Company Ticker],CompanyDetailsList[Official Name],,0)</f>
        <v>#VALUE!</v>
      </c>
      <c r="E7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7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749" s="17">
        <f>IFERROR(HistoricalStockProgress[[#This Row],[Cost of Shares]]/HistoricalStockProgress[[#This Row],[No. of Shares]],0)</f>
        <v>158.45739987816083</v>
      </c>
      <c r="H749" s="16" vm="1275">
        <v>159.41999999999999</v>
      </c>
      <c r="I749" s="16">
        <f>IF(HistoricalStockProgress[[#This Row],[No. of Shares]]&lt;&gt;0,HistoricalStockProgress[[#This Row],[Price of Shares]]*HistoricalStockProgress[[#This Row],[No. of Shares]],0)</f>
        <v>9086.9399999999987</v>
      </c>
      <c r="J749" s="16">
        <f>IF(HistoricalStockProgress[[#This Row],[No. of Shares]]&lt;&gt;0,HistoricalStockProgress[[#This Row],[Price of Shares]]-HistoricalStockProgress[[#This Row],[Cost of Shares]]/HistoricalStockProgress[[#This Row],[No. of Shares]],0)</f>
        <v>0.96260012183915933</v>
      </c>
      <c r="K749" s="17">
        <f>IF(HistoricalStockProgress[[#This Row],[Total Price of Shares]]&lt;&gt;0,HistoricalStockProgress[[#This Row],[Total Price of Shares]]-HistoricalStockProgress[[#This Row],[Cost of Shares]],0)</f>
        <v>54.8682069448314</v>
      </c>
      <c r="L749" s="34" t="b" cm="1">
        <f t="array" ref="L749">IFERROR(IF(HistoricalStockProgress[[#This Row],[Price of Shares]]="",_xlfn.STOCKHISTORY(HistoricalStockProgress[[#This Row],[Full Company Name]],HistoricalStockProgress[[#This Row],[Date]],,2,0,1)),0)</f>
        <v>0</v>
      </c>
      <c r="M749" s="34">
        <f>YEAR(HistoricalStockProgress[[#This Row],[Date]])</f>
        <v>2020</v>
      </c>
      <c r="N749" s="34">
        <f>MONTH(HistoricalStockProgress[[#This Row],[Date]])</f>
        <v>2</v>
      </c>
    </row>
    <row r="750" spans="2:14">
      <c r="B750" s="15">
        <v>43890</v>
      </c>
      <c r="C750" s="34" t="s">
        <v>23</v>
      </c>
      <c r="D750" s="34" t="e" vm="4">
        <f>_xlfn.XLOOKUP(HistoricalStockProgress[[#This Row],[Company Ticker]],CompanyDetailsList[Company Ticker],CompanyDetailsList[Official Name],,0)</f>
        <v>#VALUE!</v>
      </c>
      <c r="E7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7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750" s="17">
        <f>IFERROR(HistoricalStockProgress[[#This Row],[Cost of Shares]]/HistoricalStockProgress[[#This Row],[No. of Shares]],0)</f>
        <v>45.768494888570878</v>
      </c>
      <c r="H750" s="16" vm="1276">
        <v>53.49</v>
      </c>
      <c r="I750" s="16">
        <f>IF(HistoricalStockProgress[[#This Row],[No. of Shares]]&lt;&gt;0,HistoricalStockProgress[[#This Row],[Price of Shares]]*HistoricalStockProgress[[#This Row],[No. of Shares]],0)</f>
        <v>3102.42</v>
      </c>
      <c r="J750" s="16">
        <f>IF(HistoricalStockProgress[[#This Row],[No. of Shares]]&lt;&gt;0,HistoricalStockProgress[[#This Row],[Price of Shares]]-HistoricalStockProgress[[#This Row],[Cost of Shares]]/HistoricalStockProgress[[#This Row],[No. of Shares]],0)</f>
        <v>7.7215051114291242</v>
      </c>
      <c r="K750" s="17">
        <f>IF(HistoricalStockProgress[[#This Row],[Total Price of Shares]]&lt;&gt;0,HistoricalStockProgress[[#This Row],[Total Price of Shares]]-HistoricalStockProgress[[#This Row],[Cost of Shares]],0)</f>
        <v>447.84729646288906</v>
      </c>
      <c r="L750" s="34" t="b" cm="1">
        <f t="array" ref="L750">IFERROR(IF(HistoricalStockProgress[[#This Row],[Price of Shares]]="",_xlfn.STOCKHISTORY(HistoricalStockProgress[[#This Row],[Full Company Name]],HistoricalStockProgress[[#This Row],[Date]],,2,0,1)),0)</f>
        <v>0</v>
      </c>
      <c r="M750" s="34">
        <f>YEAR(HistoricalStockProgress[[#This Row],[Date]])</f>
        <v>2020</v>
      </c>
      <c r="N750" s="34">
        <f>MONTH(HistoricalStockProgress[[#This Row],[Date]])</f>
        <v>2</v>
      </c>
    </row>
    <row r="751" spans="2:14">
      <c r="B751" s="15">
        <v>43890</v>
      </c>
      <c r="C751" s="34" t="s">
        <v>21</v>
      </c>
      <c r="D751" s="34" t="e" vm="6">
        <f>_xlfn.XLOOKUP(HistoricalStockProgress[[#This Row],[Company Ticker]],CompanyDetailsList[Company Ticker],CompanyDetailsList[Official Name],,0)</f>
        <v>#VALUE!</v>
      </c>
      <c r="E7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v>
      </c>
      <c r="F7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2087.9623605222587</v>
      </c>
      <c r="G751" s="17">
        <f>IFERROR(HistoricalStockProgress[[#This Row],[Cost of Shares]]/HistoricalStockProgress[[#This Row],[No. of Shares]],0)</f>
        <v>122.82131532483875</v>
      </c>
      <c r="H751" s="16" vm="1277">
        <v>113.23</v>
      </c>
      <c r="I751" s="16">
        <f>IF(HistoricalStockProgress[[#This Row],[No. of Shares]]&lt;&gt;0,HistoricalStockProgress[[#This Row],[Price of Shares]]*HistoricalStockProgress[[#This Row],[No. of Shares]],0)</f>
        <v>1924.91</v>
      </c>
      <c r="J751" s="16">
        <f>IF(HistoricalStockProgress[[#This Row],[No. of Shares]]&lt;&gt;0,HistoricalStockProgress[[#This Row],[Price of Shares]]-HistoricalStockProgress[[#This Row],[Cost of Shares]]/HistoricalStockProgress[[#This Row],[No. of Shares]],0)</f>
        <v>-9.5913153248387459</v>
      </c>
      <c r="K751" s="17">
        <f>IF(HistoricalStockProgress[[#This Row],[Total Price of Shares]]&lt;&gt;0,HistoricalStockProgress[[#This Row],[Total Price of Shares]]-HistoricalStockProgress[[#This Row],[Cost of Shares]],0)</f>
        <v>-163.0523605222586</v>
      </c>
      <c r="L751" s="34" t="b" cm="1">
        <f t="array" ref="L751">IFERROR(IF(HistoricalStockProgress[[#This Row],[Price of Shares]]="",_xlfn.STOCKHISTORY(HistoricalStockProgress[[#This Row],[Full Company Name]],HistoricalStockProgress[[#This Row],[Date]],,2,0,1)),0)</f>
        <v>0</v>
      </c>
      <c r="M751" s="34">
        <f>YEAR(HistoricalStockProgress[[#This Row],[Date]])</f>
        <v>2020</v>
      </c>
      <c r="N751" s="34">
        <f>MONTH(HistoricalStockProgress[[#This Row],[Date]])</f>
        <v>2</v>
      </c>
    </row>
    <row r="752" spans="2:14">
      <c r="B752" s="15">
        <v>43890</v>
      </c>
      <c r="C752" s="34" t="s">
        <v>84</v>
      </c>
      <c r="D752" s="34" t="e" vm="7">
        <f>_xlfn.XLOOKUP(HistoricalStockProgress[[#This Row],[Company Ticker]],CompanyDetailsList[Company Ticker],CompanyDetailsList[Official Name],,0)</f>
        <v>#VALUE!</v>
      </c>
      <c r="E7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7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752" s="17">
        <f>IFERROR(HistoricalStockProgress[[#This Row],[Cost of Shares]]/HistoricalStockProgress[[#This Row],[No. of Shares]],0)</f>
        <v>104.18087504950869</v>
      </c>
      <c r="H752" s="16" vm="1278">
        <v>134.47999999999999</v>
      </c>
      <c r="I752" s="16">
        <f>IF(HistoricalStockProgress[[#This Row],[No. of Shares]]&lt;&gt;0,HistoricalStockProgress[[#This Row],[Price of Shares]]*HistoricalStockProgress[[#This Row],[No. of Shares]],0)</f>
        <v>6858.48</v>
      </c>
      <c r="J752" s="16">
        <f>IF(HistoricalStockProgress[[#This Row],[No. of Shares]]&lt;&gt;0,HistoricalStockProgress[[#This Row],[Price of Shares]]-HistoricalStockProgress[[#This Row],[Cost of Shares]]/HistoricalStockProgress[[#This Row],[No. of Shares]],0)</f>
        <v>30.299124950491304</v>
      </c>
      <c r="K752" s="17">
        <f>IF(HistoricalStockProgress[[#This Row],[Total Price of Shares]]&lt;&gt;0,HistoricalStockProgress[[#This Row],[Total Price of Shares]]-HistoricalStockProgress[[#This Row],[Cost of Shares]],0)</f>
        <v>1545.2553724750569</v>
      </c>
      <c r="L752" s="34" t="b" cm="1">
        <f t="array" ref="L752">IFERROR(IF(HistoricalStockProgress[[#This Row],[Price of Shares]]="",_xlfn.STOCKHISTORY(HistoricalStockProgress[[#This Row],[Full Company Name]],HistoricalStockProgress[[#This Row],[Date]],,2,0,1)),0)</f>
        <v>0</v>
      </c>
      <c r="M752" s="34">
        <f>YEAR(HistoricalStockProgress[[#This Row],[Date]])</f>
        <v>2020</v>
      </c>
      <c r="N752" s="34">
        <f>MONTH(HistoricalStockProgress[[#This Row],[Date]])</f>
        <v>2</v>
      </c>
    </row>
    <row r="753" spans="2:14">
      <c r="B753" s="15">
        <v>43890</v>
      </c>
      <c r="C753" s="34" t="s">
        <v>86</v>
      </c>
      <c r="D753" s="34" t="e" vm="8">
        <f>_xlfn.XLOOKUP(HistoricalStockProgress[[#This Row],[Company Ticker]],CompanyDetailsList[Company Ticker],CompanyDetailsList[Official Name],,0)</f>
        <v>#VALUE!</v>
      </c>
      <c r="E7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7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753" s="17">
        <f>IFERROR(HistoricalStockProgress[[#This Row],[Cost of Shares]]/HistoricalStockProgress[[#This Row],[No. of Shares]],0)</f>
        <v>85.876031764920896</v>
      </c>
      <c r="H753" s="16" vm="1279">
        <v>85.71</v>
      </c>
      <c r="I753" s="16">
        <f>IF(HistoricalStockProgress[[#This Row],[No. of Shares]]&lt;&gt;0,HistoricalStockProgress[[#This Row],[Price of Shares]]*HistoricalStockProgress[[#This Row],[No. of Shares]],0)</f>
        <v>4542.63</v>
      </c>
      <c r="J753" s="16">
        <f>IF(HistoricalStockProgress[[#This Row],[No. of Shares]]&lt;&gt;0,HistoricalStockProgress[[#This Row],[Price of Shares]]-HistoricalStockProgress[[#This Row],[Cost of Shares]]/HistoricalStockProgress[[#This Row],[No. of Shares]],0)</f>
        <v>-0.16603176492090199</v>
      </c>
      <c r="K753" s="17">
        <f>IF(HistoricalStockProgress[[#This Row],[Total Price of Shares]]&lt;&gt;0,HistoricalStockProgress[[#This Row],[Total Price of Shares]]-HistoricalStockProgress[[#This Row],[Cost of Shares]],0)</f>
        <v>-8.799683540807564</v>
      </c>
      <c r="L753" s="34" t="b" cm="1">
        <f t="array" ref="L753">IFERROR(IF(HistoricalStockProgress[[#This Row],[Price of Shares]]="",_xlfn.STOCKHISTORY(HistoricalStockProgress[[#This Row],[Full Company Name]],HistoricalStockProgress[[#This Row],[Date]],,2,0,1)),0)</f>
        <v>0</v>
      </c>
      <c r="M753" s="34">
        <f>YEAR(HistoricalStockProgress[[#This Row],[Date]])</f>
        <v>2020</v>
      </c>
      <c r="N753" s="34">
        <f>MONTH(HistoricalStockProgress[[#This Row],[Date]])</f>
        <v>2</v>
      </c>
    </row>
    <row r="754" spans="2:14">
      <c r="B754" s="15">
        <v>43890</v>
      </c>
      <c r="C754" s="34" t="s">
        <v>88</v>
      </c>
      <c r="D754" s="34" t="e" vm="9">
        <f>_xlfn.XLOOKUP(HistoricalStockProgress[[#This Row],[Company Ticker]],CompanyDetailsList[Company Ticker],CompanyDetailsList[Official Name],,0)</f>
        <v>#VALUE!</v>
      </c>
      <c r="E7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v>
      </c>
      <c r="F7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4283.7073138981596</v>
      </c>
      <c r="G754" s="17">
        <f>IFERROR(HistoricalStockProgress[[#This Row],[Cost of Shares]]/HistoricalStockProgress[[#This Row],[No. of Shares]],0)</f>
        <v>214.18536569490797</v>
      </c>
      <c r="H754" s="16" vm="1280">
        <v>194.17</v>
      </c>
      <c r="I754" s="16">
        <f>IF(HistoricalStockProgress[[#This Row],[No. of Shares]]&lt;&gt;0,HistoricalStockProgress[[#This Row],[Price of Shares]]*HistoricalStockProgress[[#This Row],[No. of Shares]],0)</f>
        <v>3883.3999999999996</v>
      </c>
      <c r="J754" s="16">
        <f>IF(HistoricalStockProgress[[#This Row],[No. of Shares]]&lt;&gt;0,HistoricalStockProgress[[#This Row],[Price of Shares]]-HistoricalStockProgress[[#This Row],[Cost of Shares]]/HistoricalStockProgress[[#This Row],[No. of Shares]],0)</f>
        <v>-20.015365694907985</v>
      </c>
      <c r="K754" s="17">
        <f>IF(HistoricalStockProgress[[#This Row],[Total Price of Shares]]&lt;&gt;0,HistoricalStockProgress[[#This Row],[Total Price of Shares]]-HistoricalStockProgress[[#This Row],[Cost of Shares]],0)</f>
        <v>-400.30731389815992</v>
      </c>
      <c r="L754" s="34" t="b" cm="1">
        <f t="array" ref="L754">IFERROR(IF(HistoricalStockProgress[[#This Row],[Price of Shares]]="",_xlfn.STOCKHISTORY(HistoricalStockProgress[[#This Row],[Full Company Name]],HistoricalStockProgress[[#This Row],[Date]],,2,0,1)),0)</f>
        <v>0</v>
      </c>
      <c r="M754" s="34">
        <f>YEAR(HistoricalStockProgress[[#This Row],[Date]])</f>
        <v>2020</v>
      </c>
      <c r="N754" s="34">
        <f>MONTH(HistoricalStockProgress[[#This Row],[Date]])</f>
        <v>2</v>
      </c>
    </row>
    <row r="755" spans="2:14">
      <c r="B755" s="15">
        <v>43890</v>
      </c>
      <c r="C755" s="34" t="s">
        <v>22</v>
      </c>
      <c r="D755" s="34" t="e" vm="10">
        <f>_xlfn.XLOOKUP(HistoricalStockProgress[[#This Row],[Company Ticker]],CompanyDetailsList[Company Ticker],CompanyDetailsList[Official Name],,0)</f>
        <v>#VALUE!</v>
      </c>
      <c r="E7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7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755" s="17">
        <f>IFERROR(HistoricalStockProgress[[#This Row],[Cost of Shares]]/HistoricalStockProgress[[#This Row],[No. of Shares]],0)</f>
        <v>96.351727068187571</v>
      </c>
      <c r="H755" s="16" vm="1281">
        <v>124.24</v>
      </c>
      <c r="I755" s="16">
        <f>IF(HistoricalStockProgress[[#This Row],[No. of Shares]]&lt;&gt;0,HistoricalStockProgress[[#This Row],[Price of Shares]]*HistoricalStockProgress[[#This Row],[No. of Shares]],0)</f>
        <v>10063.439999999999</v>
      </c>
      <c r="J755" s="16">
        <f>IF(HistoricalStockProgress[[#This Row],[No. of Shares]]&lt;&gt;0,HistoricalStockProgress[[#This Row],[Price of Shares]]-HistoricalStockProgress[[#This Row],[Cost of Shares]]/HistoricalStockProgress[[#This Row],[No. of Shares]],0)</f>
        <v>27.888272931812423</v>
      </c>
      <c r="K755" s="17">
        <f>IF(HistoricalStockProgress[[#This Row],[Total Price of Shares]]&lt;&gt;0,HistoricalStockProgress[[#This Row],[Total Price of Shares]]-HistoricalStockProgress[[#This Row],[Cost of Shares]],0)</f>
        <v>2258.9501074768059</v>
      </c>
      <c r="L755" s="34" t="b" cm="1">
        <f t="array" ref="L755">IFERROR(IF(HistoricalStockProgress[[#This Row],[Price of Shares]]="",_xlfn.STOCKHISTORY(HistoricalStockProgress[[#This Row],[Full Company Name]],HistoricalStockProgress[[#This Row],[Date]],,2,0,1)),0)</f>
        <v>0</v>
      </c>
      <c r="M755" s="34">
        <f>YEAR(HistoricalStockProgress[[#This Row],[Date]])</f>
        <v>2020</v>
      </c>
      <c r="N755" s="34">
        <f>MONTH(HistoricalStockProgress[[#This Row],[Date]])</f>
        <v>2</v>
      </c>
    </row>
    <row r="756" spans="2:14">
      <c r="B756" s="15">
        <v>43890</v>
      </c>
      <c r="C756" s="34" t="s">
        <v>91</v>
      </c>
      <c r="D756" s="34" t="e" vm="11">
        <f>_xlfn.XLOOKUP(HistoricalStockProgress[[#This Row],[Company Ticker]],CompanyDetailsList[Company Ticker],CompanyDetailsList[Official Name],,0)</f>
        <v>#VALUE!</v>
      </c>
      <c r="E7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113</v>
      </c>
      <c r="F7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8617.7943854195</v>
      </c>
      <c r="G756" s="17">
        <f>IFERROR(HistoricalStockProgress[[#This Row],[Cost of Shares]]/HistoricalStockProgress[[#This Row],[No. of Shares]],0)</f>
        <v>76.263667127606197</v>
      </c>
      <c r="H756" s="16" vm="1282">
        <v>162.01</v>
      </c>
      <c r="I756" s="16">
        <f>IF(HistoricalStockProgress[[#This Row],[No. of Shares]]&lt;&gt;0,HistoricalStockProgress[[#This Row],[Price of Shares]]*HistoricalStockProgress[[#This Row],[No. of Shares]],0)</f>
        <v>18307.129999999997</v>
      </c>
      <c r="J756" s="16">
        <f>IF(HistoricalStockProgress[[#This Row],[No. of Shares]]&lt;&gt;0,HistoricalStockProgress[[#This Row],[Price of Shares]]-HistoricalStockProgress[[#This Row],[Cost of Shares]]/HistoricalStockProgress[[#This Row],[No. of Shares]],0)</f>
        <v>85.746332872393793</v>
      </c>
      <c r="K756" s="17">
        <f>IF(HistoricalStockProgress[[#This Row],[Total Price of Shares]]&lt;&gt;0,HistoricalStockProgress[[#This Row],[Total Price of Shares]]-HistoricalStockProgress[[#This Row],[Cost of Shares]],0)</f>
        <v>9689.3356145804973</v>
      </c>
      <c r="L756" s="34" t="b" cm="1">
        <f t="array" ref="L756">IFERROR(IF(HistoricalStockProgress[[#This Row],[Price of Shares]]="",_xlfn.STOCKHISTORY(HistoricalStockProgress[[#This Row],[Full Company Name]],HistoricalStockProgress[[#This Row],[Date]],,2,0,1)),0)</f>
        <v>0</v>
      </c>
      <c r="M756" s="34">
        <f>YEAR(HistoricalStockProgress[[#This Row],[Date]])</f>
        <v>2020</v>
      </c>
      <c r="N756" s="34">
        <f>MONTH(HistoricalStockProgress[[#This Row],[Date]])</f>
        <v>2</v>
      </c>
    </row>
    <row r="757" spans="2:14">
      <c r="B757" s="15">
        <v>43890</v>
      </c>
      <c r="C757" s="34" t="s">
        <v>16</v>
      </c>
      <c r="D757" s="34" t="e" vm="12">
        <f>_xlfn.XLOOKUP(HistoricalStockProgress[[#This Row],[Company Ticker]],CompanyDetailsList[Company Ticker],CompanyDetailsList[Official Name],,0)</f>
        <v>#VALUE!</v>
      </c>
      <c r="E7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7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757" s="17">
        <f>IFERROR(HistoricalStockProgress[[#This Row],[Cost of Shares]]/HistoricalStockProgress[[#This Row],[No. of Shares]],0)</f>
        <v>82.900834685216523</v>
      </c>
      <c r="H757" s="16" vm="1283">
        <v>51.44</v>
      </c>
      <c r="I757" s="16">
        <f>IF(HistoricalStockProgress[[#This Row],[No. of Shares]]&lt;&gt;0,HistoricalStockProgress[[#This Row],[Price of Shares]]*HistoricalStockProgress[[#This Row],[No. of Shares]],0)</f>
        <v>7458.7999999999993</v>
      </c>
      <c r="J757" s="16">
        <f>IF(HistoricalStockProgress[[#This Row],[No. of Shares]]&lt;&gt;0,HistoricalStockProgress[[#This Row],[Price of Shares]]-HistoricalStockProgress[[#This Row],[Cost of Shares]]/HistoricalStockProgress[[#This Row],[No. of Shares]],0)</f>
        <v>-31.460834685216525</v>
      </c>
      <c r="K757" s="17">
        <f>IF(HistoricalStockProgress[[#This Row],[Total Price of Shares]]&lt;&gt;0,HistoricalStockProgress[[#This Row],[Total Price of Shares]]-HistoricalStockProgress[[#This Row],[Cost of Shares]],0)</f>
        <v>-4561.821029356397</v>
      </c>
      <c r="L757" s="34" t="b" cm="1">
        <f t="array" ref="L757">IFERROR(IF(HistoricalStockProgress[[#This Row],[Price of Shares]]="",_xlfn.STOCKHISTORY(HistoricalStockProgress[[#This Row],[Full Company Name]],HistoricalStockProgress[[#This Row],[Date]],,2,0,1)),0)</f>
        <v>0</v>
      </c>
      <c r="M757" s="34">
        <f>YEAR(HistoricalStockProgress[[#This Row],[Date]])</f>
        <v>2020</v>
      </c>
      <c r="N757" s="34">
        <f>MONTH(HistoricalStockProgress[[#This Row],[Date]])</f>
        <v>2</v>
      </c>
    </row>
    <row r="758" spans="2:14">
      <c r="B758" s="15">
        <v>43890</v>
      </c>
      <c r="C758" s="34" t="s">
        <v>95</v>
      </c>
      <c r="D758" s="34" t="e" vm="13">
        <f>_xlfn.XLOOKUP(HistoricalStockProgress[[#This Row],[Company Ticker]],CompanyDetailsList[Company Ticker],CompanyDetailsList[Official Name],,0)</f>
        <v>#VALUE!</v>
      </c>
      <c r="E7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7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758" s="17">
        <f>IFERROR(HistoricalStockProgress[[#This Row],[Cost of Shares]]/HistoricalStockProgress[[#This Row],[No. of Shares]],0)</f>
        <v>143.29758396474452</v>
      </c>
      <c r="H758" s="16" vm="1284">
        <v>217.84</v>
      </c>
      <c r="I758" s="16">
        <f>IF(HistoricalStockProgress[[#This Row],[No. of Shares]]&lt;&gt;0,HistoricalStockProgress[[#This Row],[Price of Shares]]*HistoricalStockProgress[[#This Row],[No. of Shares]],0)</f>
        <v>9367.1200000000008</v>
      </c>
      <c r="J758" s="16">
        <f>IF(HistoricalStockProgress[[#This Row],[No. of Shares]]&lt;&gt;0,HistoricalStockProgress[[#This Row],[Price of Shares]]-HistoricalStockProgress[[#This Row],[Cost of Shares]]/HistoricalStockProgress[[#This Row],[No. of Shares]],0)</f>
        <v>74.542416035255485</v>
      </c>
      <c r="K758" s="17">
        <f>IF(HistoricalStockProgress[[#This Row],[Total Price of Shares]]&lt;&gt;0,HistoricalStockProgress[[#This Row],[Total Price of Shares]]-HistoricalStockProgress[[#This Row],[Cost of Shares]],0)</f>
        <v>3205.3238895159866</v>
      </c>
      <c r="L758" s="34" t="b" cm="1">
        <f t="array" ref="L758">IFERROR(IF(HistoricalStockProgress[[#This Row],[Price of Shares]]="",_xlfn.STOCKHISTORY(HistoricalStockProgress[[#This Row],[Full Company Name]],HistoricalStockProgress[[#This Row],[Date]],,2,0,1)),0)</f>
        <v>0</v>
      </c>
      <c r="M758" s="34">
        <f>YEAR(HistoricalStockProgress[[#This Row],[Date]])</f>
        <v>2020</v>
      </c>
      <c r="N758" s="34">
        <f>MONTH(HistoricalStockProgress[[#This Row],[Date]])</f>
        <v>2</v>
      </c>
    </row>
    <row r="759" spans="2:14">
      <c r="B759" s="15">
        <v>43890</v>
      </c>
      <c r="C759" s="34" t="s">
        <v>17</v>
      </c>
      <c r="D759" s="34" t="e" vm="14">
        <f>_xlfn.XLOOKUP(HistoricalStockProgress[[#This Row],[Company Ticker]],CompanyDetailsList[Company Ticker],CompanyDetailsList[Official Name],,0)</f>
        <v>#VALUE!</v>
      </c>
      <c r="E7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75</v>
      </c>
      <c r="F7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11108.967300592691</v>
      </c>
      <c r="G759" s="17">
        <f>IFERROR(HistoricalStockProgress[[#This Row],[Cost of Shares]]/HistoricalStockProgress[[#This Row],[No. of Shares]],0)</f>
        <v>148.11956400790254</v>
      </c>
      <c r="H759" s="16" vm="1285">
        <v>130.15</v>
      </c>
      <c r="I759" s="16">
        <f>IF(HistoricalStockProgress[[#This Row],[No. of Shares]]&lt;&gt;0,HistoricalStockProgress[[#This Row],[Price of Shares]]*HistoricalStockProgress[[#This Row],[No. of Shares]],0)</f>
        <v>9761.25</v>
      </c>
      <c r="J759" s="16">
        <f>IF(HistoricalStockProgress[[#This Row],[No. of Shares]]&lt;&gt;0,HistoricalStockProgress[[#This Row],[Price of Shares]]-HistoricalStockProgress[[#This Row],[Cost of Shares]]/HistoricalStockProgress[[#This Row],[No. of Shares]],0)</f>
        <v>-17.969564007902534</v>
      </c>
      <c r="K759" s="17">
        <f>IF(HistoricalStockProgress[[#This Row],[Total Price of Shares]]&lt;&gt;0,HistoricalStockProgress[[#This Row],[Total Price of Shares]]-HistoricalStockProgress[[#This Row],[Cost of Shares]],0)</f>
        <v>-1347.7173005926907</v>
      </c>
      <c r="L759" s="34" t="b" cm="1">
        <f t="array" ref="L759">IFERROR(IF(HistoricalStockProgress[[#This Row],[Price of Shares]]="",_xlfn.STOCKHISTORY(HistoricalStockProgress[[#This Row],[Full Company Name]],HistoricalStockProgress[[#This Row],[Date]],,2,0,1)),0)</f>
        <v>0</v>
      </c>
      <c r="M759" s="34">
        <f>YEAR(HistoricalStockProgress[[#This Row],[Date]])</f>
        <v>2020</v>
      </c>
      <c r="N759" s="34">
        <f>MONTH(HistoricalStockProgress[[#This Row],[Date]])</f>
        <v>2</v>
      </c>
    </row>
    <row r="760" spans="2:14">
      <c r="B760" s="15">
        <v>43890</v>
      </c>
      <c r="C760" s="34" t="s">
        <v>98</v>
      </c>
      <c r="D760" s="34" t="e" vm="15">
        <f>_xlfn.XLOOKUP(HistoricalStockProgress[[#This Row],[Company Ticker]],CompanyDetailsList[Company Ticker],CompanyDetailsList[Official Name],,0)</f>
        <v>#VALUE!</v>
      </c>
      <c r="E7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7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760" s="17">
        <f>IFERROR(HistoricalStockProgress[[#This Row],[Cost of Shares]]/HistoricalStockProgress[[#This Row],[No. of Shares]],0)</f>
        <v>39.627242008882604</v>
      </c>
      <c r="H760" s="16" vm="1286">
        <v>63.19</v>
      </c>
      <c r="I760" s="16">
        <f>IF(HistoricalStockProgress[[#This Row],[No. of Shares]]&lt;&gt;0,HistoricalStockProgress[[#This Row],[Price of Shares]]*HistoricalStockProgress[[#This Row],[No. of Shares]],0)</f>
        <v>4612.87</v>
      </c>
      <c r="J760" s="16">
        <f>IF(HistoricalStockProgress[[#This Row],[No. of Shares]]&lt;&gt;0,HistoricalStockProgress[[#This Row],[Price of Shares]]-HistoricalStockProgress[[#This Row],[Cost of Shares]]/HistoricalStockProgress[[#This Row],[No. of Shares]],0)</f>
        <v>23.562757991117394</v>
      </c>
      <c r="K760" s="17">
        <f>IF(HistoricalStockProgress[[#This Row],[Total Price of Shares]]&lt;&gt;0,HistoricalStockProgress[[#This Row],[Total Price of Shares]]-HistoricalStockProgress[[#This Row],[Cost of Shares]],0)</f>
        <v>1720.0813333515698</v>
      </c>
      <c r="L760" s="34" t="b" cm="1">
        <f t="array" ref="L760">IFERROR(IF(HistoricalStockProgress[[#This Row],[Price of Shares]]="",_xlfn.STOCKHISTORY(HistoricalStockProgress[[#This Row],[Full Company Name]],HistoricalStockProgress[[#This Row],[Date]],,2,0,1)),0)</f>
        <v>0</v>
      </c>
      <c r="M760" s="34">
        <f>YEAR(HistoricalStockProgress[[#This Row],[Date]])</f>
        <v>2020</v>
      </c>
      <c r="N760" s="34">
        <f>MONTH(HistoricalStockProgress[[#This Row],[Date]])</f>
        <v>2</v>
      </c>
    </row>
    <row r="761" spans="2:14">
      <c r="B761" s="15">
        <v>43890</v>
      </c>
      <c r="C761" s="34" t="s">
        <v>100</v>
      </c>
      <c r="D761" s="34" t="e" vm="16">
        <f>_xlfn.XLOOKUP(HistoricalStockProgress[[#This Row],[Company Ticker]],CompanyDetailsList[Company Ticker],CompanyDetailsList[Official Name],,0)</f>
        <v>#VALUE!</v>
      </c>
      <c r="E7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74</v>
      </c>
      <c r="F7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6400.3550613930956</v>
      </c>
      <c r="G761" s="17">
        <f>IFERROR(HistoricalStockProgress[[#This Row],[Cost of Shares]]/HistoricalStockProgress[[#This Row],[No. of Shares]],0)</f>
        <v>86.491284613420206</v>
      </c>
      <c r="H761" s="16" vm="1287">
        <v>91.7</v>
      </c>
      <c r="I761" s="16">
        <f>IF(HistoricalStockProgress[[#This Row],[No. of Shares]]&lt;&gt;0,HistoricalStockProgress[[#This Row],[Price of Shares]]*HistoricalStockProgress[[#This Row],[No. of Shares]],0)</f>
        <v>6785.8</v>
      </c>
      <c r="J761" s="16">
        <f>IF(HistoricalStockProgress[[#This Row],[No. of Shares]]&lt;&gt;0,HistoricalStockProgress[[#This Row],[Price of Shares]]-HistoricalStockProgress[[#This Row],[Cost of Shares]]/HistoricalStockProgress[[#This Row],[No. of Shares]],0)</f>
        <v>5.2087153865797973</v>
      </c>
      <c r="K761" s="17">
        <f>IF(HistoricalStockProgress[[#This Row],[Total Price of Shares]]&lt;&gt;0,HistoricalStockProgress[[#This Row],[Total Price of Shares]]-HistoricalStockProgress[[#This Row],[Cost of Shares]],0)</f>
        <v>385.44493860690454</v>
      </c>
      <c r="L761" s="34" t="b" cm="1">
        <f t="array" ref="L761">IFERROR(IF(HistoricalStockProgress[[#This Row],[Price of Shares]]="",_xlfn.STOCKHISTORY(HistoricalStockProgress[[#This Row],[Full Company Name]],HistoricalStockProgress[[#This Row],[Date]],,2,0,1)),0)</f>
        <v>0</v>
      </c>
      <c r="M761" s="34">
        <f>YEAR(HistoricalStockProgress[[#This Row],[Date]])</f>
        <v>2020</v>
      </c>
      <c r="N761" s="34">
        <f>MONTH(HistoricalStockProgress[[#This Row],[Date]])</f>
        <v>2</v>
      </c>
    </row>
    <row r="762" spans="2:14">
      <c r="B762" s="15">
        <v>43890</v>
      </c>
      <c r="C762" s="34" t="s">
        <v>15</v>
      </c>
      <c r="D762" s="34" t="e" vm="17">
        <f>_xlfn.XLOOKUP(HistoricalStockProgress[[#This Row],[Company Ticker]],CompanyDetailsList[Company Ticker],CompanyDetailsList[Official Name],,0)</f>
        <v>#VALUE!</v>
      </c>
      <c r="E7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7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762" s="17">
        <f>IFERROR(HistoricalStockProgress[[#This Row],[Cost of Shares]]/HistoricalStockProgress[[#This Row],[No. of Shares]],0)</f>
        <v>26.081956457072195</v>
      </c>
      <c r="H762" s="16" vm="1288">
        <v>26.5974</v>
      </c>
      <c r="I762" s="16">
        <f>IF(HistoricalStockProgress[[#This Row],[No. of Shares]]&lt;&gt;0,HistoricalStockProgress[[#This Row],[Price of Shares]]*HistoricalStockProgress[[#This Row],[No. of Shares]],0)</f>
        <v>3298.0776000000001</v>
      </c>
      <c r="J762" s="16">
        <f>IF(HistoricalStockProgress[[#This Row],[No. of Shares]]&lt;&gt;0,HistoricalStockProgress[[#This Row],[Price of Shares]]-HistoricalStockProgress[[#This Row],[Cost of Shares]]/HistoricalStockProgress[[#This Row],[No. of Shares]],0)</f>
        <v>0.51544354292780525</v>
      </c>
      <c r="K762" s="17">
        <f>IF(HistoricalStockProgress[[#This Row],[Total Price of Shares]]&lt;&gt;0,HistoricalStockProgress[[#This Row],[Total Price of Shares]]-HistoricalStockProgress[[#This Row],[Cost of Shares]],0)</f>
        <v>63.91499932304805</v>
      </c>
      <c r="L762" s="34" t="b" cm="1">
        <f t="array" ref="L762">IFERROR(IF(HistoricalStockProgress[[#This Row],[Price of Shares]]="",_xlfn.STOCKHISTORY(HistoricalStockProgress[[#This Row],[Full Company Name]],HistoricalStockProgress[[#This Row],[Date]],,2,0,1)),0)</f>
        <v>0</v>
      </c>
      <c r="M762" s="34">
        <f>YEAR(HistoricalStockProgress[[#This Row],[Date]])</f>
        <v>2020</v>
      </c>
      <c r="N762" s="34">
        <f>MONTH(HistoricalStockProgress[[#This Row],[Date]])</f>
        <v>2</v>
      </c>
    </row>
    <row r="763" spans="2:14">
      <c r="B763" s="15">
        <v>43890</v>
      </c>
      <c r="C763" s="34" t="s">
        <v>13</v>
      </c>
      <c r="D763" s="34" t="e" vm="18">
        <f>_xlfn.XLOOKUP(HistoricalStockProgress[[#This Row],[Company Ticker]],CompanyDetailsList[Company Ticker],CompanyDetailsList[Official Name],,0)</f>
        <v>#VALUE!</v>
      </c>
      <c r="E7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7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763" s="17">
        <f>IFERROR(HistoricalStockProgress[[#This Row],[Cost of Shares]]/HistoricalStockProgress[[#This Row],[No. of Shares]],0)</f>
        <v>35.846938938346874</v>
      </c>
      <c r="H763" s="16" vm="1289">
        <v>31.680499999999999</v>
      </c>
      <c r="I763" s="16">
        <f>IF(HistoricalStockProgress[[#This Row],[No. of Shares]]&lt;&gt;0,HistoricalStockProgress[[#This Row],[Price of Shares]]*HistoricalStockProgress[[#This Row],[No. of Shares]],0)</f>
        <v>1742.4275</v>
      </c>
      <c r="J763" s="16">
        <f>IF(HistoricalStockProgress[[#This Row],[No. of Shares]]&lt;&gt;0,HistoricalStockProgress[[#This Row],[Price of Shares]]-HistoricalStockProgress[[#This Row],[Cost of Shares]]/HistoricalStockProgress[[#This Row],[No. of Shares]],0)</f>
        <v>-4.1664389383468752</v>
      </c>
      <c r="K763" s="17">
        <f>IF(HistoricalStockProgress[[#This Row],[Total Price of Shares]]&lt;&gt;0,HistoricalStockProgress[[#This Row],[Total Price of Shares]]-HistoricalStockProgress[[#This Row],[Cost of Shares]],0)</f>
        <v>-229.15414160907812</v>
      </c>
      <c r="L763" s="34" t="b" cm="1">
        <f t="array" ref="L763">IFERROR(IF(HistoricalStockProgress[[#This Row],[Price of Shares]]="",_xlfn.STOCKHISTORY(HistoricalStockProgress[[#This Row],[Full Company Name]],HistoricalStockProgress[[#This Row],[Date]],,2,0,1)),0)</f>
        <v>0</v>
      </c>
      <c r="M763" s="34">
        <f>YEAR(HistoricalStockProgress[[#This Row],[Date]])</f>
        <v>2020</v>
      </c>
      <c r="N763" s="34">
        <f>MONTH(HistoricalStockProgress[[#This Row],[Date]])</f>
        <v>2</v>
      </c>
    </row>
    <row r="764" spans="2:14">
      <c r="B764" s="15">
        <v>43890</v>
      </c>
      <c r="C764" s="34" t="s">
        <v>20</v>
      </c>
      <c r="D764" s="34" t="e" vm="19">
        <f>_xlfn.XLOOKUP(HistoricalStockProgress[[#This Row],[Company Ticker]],CompanyDetailsList[Company Ticker],CompanyDetailsList[Official Name],,0)</f>
        <v>#VALUE!</v>
      </c>
      <c r="E7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7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764" s="17">
        <f>IFERROR(HistoricalStockProgress[[#This Row],[Cost of Shares]]/HistoricalStockProgress[[#This Row],[No. of Shares]],0)</f>
        <v>93.912242833589502</v>
      </c>
      <c r="H764" s="16" vm="1290">
        <v>116.11</v>
      </c>
      <c r="I764" s="16">
        <f>IF(HistoricalStockProgress[[#This Row],[No. of Shares]]&lt;&gt;0,HistoricalStockProgress[[#This Row],[Price of Shares]]*HistoricalStockProgress[[#This Row],[No. of Shares]],0)</f>
        <v>9056.58</v>
      </c>
      <c r="J764" s="16">
        <f>IF(HistoricalStockProgress[[#This Row],[No. of Shares]]&lt;&gt;0,HistoricalStockProgress[[#This Row],[Price of Shares]]-HistoricalStockProgress[[#This Row],[Cost of Shares]]/HistoricalStockProgress[[#This Row],[No. of Shares]],0)</f>
        <v>22.197757166410497</v>
      </c>
      <c r="K764" s="17">
        <f>IF(HistoricalStockProgress[[#This Row],[Total Price of Shares]]&lt;&gt;0,HistoricalStockProgress[[#This Row],[Total Price of Shares]]-HistoricalStockProgress[[#This Row],[Cost of Shares]],0)</f>
        <v>1731.4250589800185</v>
      </c>
      <c r="L764" s="34" t="b" cm="1">
        <f t="array" ref="L764">IFERROR(IF(HistoricalStockProgress[[#This Row],[Price of Shares]]="",_xlfn.STOCKHISTORY(HistoricalStockProgress[[#This Row],[Full Company Name]],HistoricalStockProgress[[#This Row],[Date]],,2,0,1)),0)</f>
        <v>0</v>
      </c>
      <c r="M764" s="34">
        <f>YEAR(HistoricalStockProgress[[#This Row],[Date]])</f>
        <v>2020</v>
      </c>
      <c r="N764" s="34">
        <f>MONTH(HistoricalStockProgress[[#This Row],[Date]])</f>
        <v>2</v>
      </c>
    </row>
    <row r="765" spans="2:14">
      <c r="B765" s="15">
        <v>43890</v>
      </c>
      <c r="C765" s="34" t="s">
        <v>106</v>
      </c>
      <c r="D765" s="34" t="e" vm="20">
        <f>_xlfn.XLOOKUP(HistoricalStockProgress[[#This Row],[Company Ticker]],CompanyDetailsList[Company Ticker],CompanyDetailsList[Official Name],,0)</f>
        <v>#VALUE!</v>
      </c>
      <c r="E7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65</v>
      </c>
      <c r="F7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6977.8332077404502</v>
      </c>
      <c r="G765" s="17">
        <f>IFERROR(HistoricalStockProgress[[#This Row],[Cost of Shares]]/HistoricalStockProgress[[#This Row],[No. of Shares]],0)</f>
        <v>107.35128011908385</v>
      </c>
      <c r="H765" s="16" vm="1291">
        <v>104.45</v>
      </c>
      <c r="I765" s="16">
        <f>IF(HistoricalStockProgress[[#This Row],[No. of Shares]]&lt;&gt;0,HistoricalStockProgress[[#This Row],[Price of Shares]]*HistoricalStockProgress[[#This Row],[No. of Shares]],0)</f>
        <v>6789.25</v>
      </c>
      <c r="J765" s="16">
        <f>IF(HistoricalStockProgress[[#This Row],[No. of Shares]]&lt;&gt;0,HistoricalStockProgress[[#This Row],[Price of Shares]]-HistoricalStockProgress[[#This Row],[Cost of Shares]]/HistoricalStockProgress[[#This Row],[No. of Shares]],0)</f>
        <v>-2.9012801190838502</v>
      </c>
      <c r="K765" s="17">
        <f>IF(HistoricalStockProgress[[#This Row],[Total Price of Shares]]&lt;&gt;0,HistoricalStockProgress[[#This Row],[Total Price of Shares]]-HistoricalStockProgress[[#This Row],[Cost of Shares]],0)</f>
        <v>-188.58320774045023</v>
      </c>
      <c r="L765" s="34" t="b" cm="1">
        <f t="array" ref="L765">IFERROR(IF(HistoricalStockProgress[[#This Row],[Price of Shares]]="",_xlfn.STOCKHISTORY(HistoricalStockProgress[[#This Row],[Full Company Name]],HistoricalStockProgress[[#This Row],[Date]],,2,0,1)),0)</f>
        <v>0</v>
      </c>
      <c r="M765" s="34">
        <f>YEAR(HistoricalStockProgress[[#This Row],[Date]])</f>
        <v>2020</v>
      </c>
      <c r="N765" s="34">
        <f>MONTH(HistoricalStockProgress[[#This Row],[Date]])</f>
        <v>2</v>
      </c>
    </row>
    <row r="766" spans="2:14">
      <c r="B766" s="15">
        <v>43921</v>
      </c>
      <c r="C766" s="34" t="s">
        <v>12</v>
      </c>
      <c r="D766" s="34" t="e" vm="1">
        <f>_xlfn.XLOOKUP(HistoricalStockProgress[[#This Row],[Company Ticker]],CompanyDetailsList[Company Ticker],CompanyDetailsList[Official Name],,0)</f>
        <v>#VALUE!</v>
      </c>
      <c r="E7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7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1953.8799010350301</v>
      </c>
      <c r="G766" s="17">
        <f>IFERROR(HistoricalStockProgress[[#This Row],[Cost of Shares]]/HistoricalStockProgress[[#This Row],[No. of Shares]],0)</f>
        <v>67.375169001207937</v>
      </c>
      <c r="H766" s="16" vm="1292">
        <v>49.86</v>
      </c>
      <c r="I766" s="16">
        <f>IF(HistoricalStockProgress[[#This Row],[No. of Shares]]&lt;&gt;0,HistoricalStockProgress[[#This Row],[Price of Shares]]*HistoricalStockProgress[[#This Row],[No. of Shares]],0)</f>
        <v>1445.94</v>
      </c>
      <c r="J766" s="16">
        <f>IF(HistoricalStockProgress[[#This Row],[No. of Shares]]&lt;&gt;0,HistoricalStockProgress[[#This Row],[Price of Shares]]-HistoricalStockProgress[[#This Row],[Cost of Shares]]/HistoricalStockProgress[[#This Row],[No. of Shares]],0)</f>
        <v>-17.515169001207937</v>
      </c>
      <c r="K766" s="17">
        <f>IF(HistoricalStockProgress[[#This Row],[Total Price of Shares]]&lt;&gt;0,HistoricalStockProgress[[#This Row],[Total Price of Shares]]-HistoricalStockProgress[[#This Row],[Cost of Shares]],0)</f>
        <v>-507.93990103503006</v>
      </c>
      <c r="L766" s="34" t="b" cm="1">
        <f t="array" ref="L766">IFERROR(IF(HistoricalStockProgress[[#This Row],[Price of Shares]]="",_xlfn.STOCKHISTORY(HistoricalStockProgress[[#This Row],[Full Company Name]],HistoricalStockProgress[[#This Row],[Date]],,2,0,1)),0)</f>
        <v>0</v>
      </c>
      <c r="M766" s="34">
        <f>YEAR(HistoricalStockProgress[[#This Row],[Date]])</f>
        <v>2020</v>
      </c>
      <c r="N766" s="34">
        <f>MONTH(HistoricalStockProgress[[#This Row],[Date]])</f>
        <v>3</v>
      </c>
    </row>
    <row r="767" spans="2:14">
      <c r="B767" s="15">
        <v>43921</v>
      </c>
      <c r="C767" s="34" t="s">
        <v>19</v>
      </c>
      <c r="D767" s="34" t="e" vm="3">
        <f>_xlfn.XLOOKUP(HistoricalStockProgress[[#This Row],[Company Ticker]],CompanyDetailsList[Company Ticker],CompanyDetailsList[Official Name],,0)</f>
        <v>#VALUE!</v>
      </c>
      <c r="E7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7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767" s="17">
        <f>IFERROR(HistoricalStockProgress[[#This Row],[Cost of Shares]]/HistoricalStockProgress[[#This Row],[No. of Shares]],0)</f>
        <v>158.45739987816083</v>
      </c>
      <c r="H767" s="16" vm="1293">
        <v>173.25</v>
      </c>
      <c r="I767" s="16">
        <f>IF(HistoricalStockProgress[[#This Row],[No. of Shares]]&lt;&gt;0,HistoricalStockProgress[[#This Row],[Price of Shares]]*HistoricalStockProgress[[#This Row],[No. of Shares]],0)</f>
        <v>9875.25</v>
      </c>
      <c r="J767" s="16">
        <f>IF(HistoricalStockProgress[[#This Row],[No. of Shares]]&lt;&gt;0,HistoricalStockProgress[[#This Row],[Price of Shares]]-HistoricalStockProgress[[#This Row],[Cost of Shares]]/HistoricalStockProgress[[#This Row],[No. of Shares]],0)</f>
        <v>14.792600121839172</v>
      </c>
      <c r="K767" s="17">
        <f>IF(HistoricalStockProgress[[#This Row],[Total Price of Shares]]&lt;&gt;0,HistoricalStockProgress[[#This Row],[Total Price of Shares]]-HistoricalStockProgress[[#This Row],[Cost of Shares]],0)</f>
        <v>843.17820694483271</v>
      </c>
      <c r="L767" s="34" t="b" cm="1">
        <f t="array" ref="L767">IFERROR(IF(HistoricalStockProgress[[#This Row],[Price of Shares]]="",_xlfn.STOCKHISTORY(HistoricalStockProgress[[#This Row],[Full Company Name]],HistoricalStockProgress[[#This Row],[Date]],,2,0,1)),0)</f>
        <v>0</v>
      </c>
      <c r="M767" s="34">
        <f>YEAR(HistoricalStockProgress[[#This Row],[Date]])</f>
        <v>2020</v>
      </c>
      <c r="N767" s="34">
        <f>MONTH(HistoricalStockProgress[[#This Row],[Date]])</f>
        <v>3</v>
      </c>
    </row>
    <row r="768" spans="2:14">
      <c r="B768" s="15">
        <v>43921</v>
      </c>
      <c r="C768" s="34" t="s">
        <v>23</v>
      </c>
      <c r="D768" s="34" t="e" vm="4">
        <f>_xlfn.XLOOKUP(HistoricalStockProgress[[#This Row],[Company Ticker]],CompanyDetailsList[Company Ticker],CompanyDetailsList[Official Name],,0)</f>
        <v>#VALUE!</v>
      </c>
      <c r="E7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7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768" s="17">
        <f>IFERROR(HistoricalStockProgress[[#This Row],[Cost of Shares]]/HistoricalStockProgress[[#This Row],[No. of Shares]],0)</f>
        <v>45.768494888570878</v>
      </c>
      <c r="H768" s="16" vm="1294">
        <v>44.25</v>
      </c>
      <c r="I768" s="16">
        <f>IF(HistoricalStockProgress[[#This Row],[No. of Shares]]&lt;&gt;0,HistoricalStockProgress[[#This Row],[Price of Shares]]*HistoricalStockProgress[[#This Row],[No. of Shares]],0)</f>
        <v>2566.5</v>
      </c>
      <c r="J768" s="16">
        <f>IF(HistoricalStockProgress[[#This Row],[No. of Shares]]&lt;&gt;0,HistoricalStockProgress[[#This Row],[Price of Shares]]-HistoricalStockProgress[[#This Row],[Cost of Shares]]/HistoricalStockProgress[[#This Row],[No. of Shares]],0)</f>
        <v>-1.5184948885708778</v>
      </c>
      <c r="K768" s="17">
        <f>IF(HistoricalStockProgress[[#This Row],[Total Price of Shares]]&lt;&gt;0,HistoricalStockProgress[[#This Row],[Total Price of Shares]]-HistoricalStockProgress[[#This Row],[Cost of Shares]],0)</f>
        <v>-88.072703537111011</v>
      </c>
      <c r="L768" s="34" t="b" cm="1">
        <f t="array" ref="L768">IFERROR(IF(HistoricalStockProgress[[#This Row],[Price of Shares]]="",_xlfn.STOCKHISTORY(HistoricalStockProgress[[#This Row],[Full Company Name]],HistoricalStockProgress[[#This Row],[Date]],,2,0,1)),0)</f>
        <v>0</v>
      </c>
      <c r="M768" s="34">
        <f>YEAR(HistoricalStockProgress[[#This Row],[Date]])</f>
        <v>2020</v>
      </c>
      <c r="N768" s="34">
        <f>MONTH(HistoricalStockProgress[[#This Row],[Date]])</f>
        <v>3</v>
      </c>
    </row>
    <row r="769" spans="2:14">
      <c r="B769" s="15">
        <v>43921</v>
      </c>
      <c r="C769" s="34" t="s">
        <v>21</v>
      </c>
      <c r="D769" s="34" t="e" vm="6">
        <f>_xlfn.XLOOKUP(HistoricalStockProgress[[#This Row],[Company Ticker]],CompanyDetailsList[Company Ticker],CompanyDetailsList[Official Name],,0)</f>
        <v>#VALUE!</v>
      </c>
      <c r="E7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v>
      </c>
      <c r="F7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2087.9623605222587</v>
      </c>
      <c r="G769" s="17">
        <f>IFERROR(HistoricalStockProgress[[#This Row],[Cost of Shares]]/HistoricalStockProgress[[#This Row],[No. of Shares]],0)</f>
        <v>122.82131532483875</v>
      </c>
      <c r="H769" s="16" vm="1295">
        <v>110</v>
      </c>
      <c r="I769" s="16">
        <f>IF(HistoricalStockProgress[[#This Row],[No. of Shares]]&lt;&gt;0,HistoricalStockProgress[[#This Row],[Price of Shares]]*HistoricalStockProgress[[#This Row],[No. of Shares]],0)</f>
        <v>1870</v>
      </c>
      <c r="J769" s="16">
        <f>IF(HistoricalStockProgress[[#This Row],[No. of Shares]]&lt;&gt;0,HistoricalStockProgress[[#This Row],[Price of Shares]]-HistoricalStockProgress[[#This Row],[Cost of Shares]]/HistoricalStockProgress[[#This Row],[No. of Shares]],0)</f>
        <v>-12.82131532483875</v>
      </c>
      <c r="K769" s="17">
        <f>IF(HistoricalStockProgress[[#This Row],[Total Price of Shares]]&lt;&gt;0,HistoricalStockProgress[[#This Row],[Total Price of Shares]]-HistoricalStockProgress[[#This Row],[Cost of Shares]],0)</f>
        <v>-217.96236052225868</v>
      </c>
      <c r="L769" s="34" t="b" cm="1">
        <f t="array" ref="L769">IFERROR(IF(HistoricalStockProgress[[#This Row],[Price of Shares]]="",_xlfn.STOCKHISTORY(HistoricalStockProgress[[#This Row],[Full Company Name]],HistoricalStockProgress[[#This Row],[Date]],,2,0,1)),0)</f>
        <v>0</v>
      </c>
      <c r="M769" s="34">
        <f>YEAR(HistoricalStockProgress[[#This Row],[Date]])</f>
        <v>2020</v>
      </c>
      <c r="N769" s="34">
        <f>MONTH(HistoricalStockProgress[[#This Row],[Date]])</f>
        <v>3</v>
      </c>
    </row>
    <row r="770" spans="2:14">
      <c r="B770" s="15">
        <v>43921</v>
      </c>
      <c r="C770" s="34" t="s">
        <v>84</v>
      </c>
      <c r="D770" s="34" t="e" vm="7">
        <f>_xlfn.XLOOKUP(HistoricalStockProgress[[#This Row],[Company Ticker]],CompanyDetailsList[Company Ticker],CompanyDetailsList[Official Name],,0)</f>
        <v>#VALUE!</v>
      </c>
      <c r="E7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7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770" s="17">
        <f>IFERROR(HistoricalStockProgress[[#This Row],[Cost of Shares]]/HistoricalStockProgress[[#This Row],[No. of Shares]],0)</f>
        <v>104.18087504950869</v>
      </c>
      <c r="H770" s="16" vm="1296">
        <v>131.13</v>
      </c>
      <c r="I770" s="16">
        <f>IF(HistoricalStockProgress[[#This Row],[No. of Shares]]&lt;&gt;0,HistoricalStockProgress[[#This Row],[Price of Shares]]*HistoricalStockProgress[[#This Row],[No. of Shares]],0)</f>
        <v>6687.63</v>
      </c>
      <c r="J770" s="16">
        <f>IF(HistoricalStockProgress[[#This Row],[No. of Shares]]&lt;&gt;0,HistoricalStockProgress[[#This Row],[Price of Shares]]-HistoricalStockProgress[[#This Row],[Cost of Shares]]/HistoricalStockProgress[[#This Row],[No. of Shares]],0)</f>
        <v>26.94912495049131</v>
      </c>
      <c r="K770" s="17">
        <f>IF(HistoricalStockProgress[[#This Row],[Total Price of Shares]]&lt;&gt;0,HistoricalStockProgress[[#This Row],[Total Price of Shares]]-HistoricalStockProgress[[#This Row],[Cost of Shares]],0)</f>
        <v>1374.4053724750574</v>
      </c>
      <c r="L770" s="34" t="b" cm="1">
        <f t="array" ref="L770">IFERROR(IF(HistoricalStockProgress[[#This Row],[Price of Shares]]="",_xlfn.STOCKHISTORY(HistoricalStockProgress[[#This Row],[Full Company Name]],HistoricalStockProgress[[#This Row],[Date]],,2,0,1)),0)</f>
        <v>0</v>
      </c>
      <c r="M770" s="34">
        <f>YEAR(HistoricalStockProgress[[#This Row],[Date]])</f>
        <v>2020</v>
      </c>
      <c r="N770" s="34">
        <f>MONTH(HistoricalStockProgress[[#This Row],[Date]])</f>
        <v>3</v>
      </c>
    </row>
    <row r="771" spans="2:14">
      <c r="B771" s="15">
        <v>43921</v>
      </c>
      <c r="C771" s="34" t="s">
        <v>86</v>
      </c>
      <c r="D771" s="34" t="e" vm="8">
        <f>_xlfn.XLOOKUP(HistoricalStockProgress[[#This Row],[Company Ticker]],CompanyDetailsList[Company Ticker],CompanyDetailsList[Official Name],,0)</f>
        <v>#VALUE!</v>
      </c>
      <c r="E7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7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771" s="17">
        <f>IFERROR(HistoricalStockProgress[[#This Row],[Cost of Shares]]/HistoricalStockProgress[[#This Row],[No. of Shares]],0)</f>
        <v>85.876031764920896</v>
      </c>
      <c r="H771" s="16" vm="1297">
        <v>76.19</v>
      </c>
      <c r="I771" s="16">
        <f>IF(HistoricalStockProgress[[#This Row],[No. of Shares]]&lt;&gt;0,HistoricalStockProgress[[#This Row],[Price of Shares]]*HistoricalStockProgress[[#This Row],[No. of Shares]],0)</f>
        <v>4038.0699999999997</v>
      </c>
      <c r="J771" s="16">
        <f>IF(HistoricalStockProgress[[#This Row],[No. of Shares]]&lt;&gt;0,HistoricalStockProgress[[#This Row],[Price of Shares]]-HistoricalStockProgress[[#This Row],[Cost of Shares]]/HistoricalStockProgress[[#This Row],[No. of Shares]],0)</f>
        <v>-9.686031764920898</v>
      </c>
      <c r="K771" s="17">
        <f>IF(HistoricalStockProgress[[#This Row],[Total Price of Shares]]&lt;&gt;0,HistoricalStockProgress[[#This Row],[Total Price of Shares]]-HistoricalStockProgress[[#This Row],[Cost of Shares]],0)</f>
        <v>-513.35968354080796</v>
      </c>
      <c r="L771" s="34" t="b" cm="1">
        <f t="array" ref="L771">IFERROR(IF(HistoricalStockProgress[[#This Row],[Price of Shares]]="",_xlfn.STOCKHISTORY(HistoricalStockProgress[[#This Row],[Full Company Name]],HistoricalStockProgress[[#This Row],[Date]],,2,0,1)),0)</f>
        <v>0</v>
      </c>
      <c r="M771" s="34">
        <f>YEAR(HistoricalStockProgress[[#This Row],[Date]])</f>
        <v>2020</v>
      </c>
      <c r="N771" s="34">
        <f>MONTH(HistoricalStockProgress[[#This Row],[Date]])</f>
        <v>3</v>
      </c>
    </row>
    <row r="772" spans="2:14">
      <c r="B772" s="15">
        <v>43921</v>
      </c>
      <c r="C772" s="34" t="s">
        <v>88</v>
      </c>
      <c r="D772" s="34" t="e" vm="9">
        <f>_xlfn.XLOOKUP(HistoricalStockProgress[[#This Row],[Company Ticker]],CompanyDetailsList[Company Ticker],CompanyDetailsList[Official Name],,0)</f>
        <v>#VALUE!</v>
      </c>
      <c r="E7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v>
      </c>
      <c r="F7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5026.4768219448915</v>
      </c>
      <c r="G772" s="17">
        <f>IFERROR(HistoricalStockProgress[[#This Row],[Cost of Shares]]/HistoricalStockProgress[[#This Row],[No. of Shares]],0)</f>
        <v>201.05907287779567</v>
      </c>
      <c r="H772" s="16" vm="1298">
        <v>165.35</v>
      </c>
      <c r="I772" s="16">
        <f>IF(HistoricalStockProgress[[#This Row],[No. of Shares]]&lt;&gt;0,HistoricalStockProgress[[#This Row],[Price of Shares]]*HistoricalStockProgress[[#This Row],[No. of Shares]],0)</f>
        <v>4133.75</v>
      </c>
      <c r="J772" s="16">
        <f>IF(HistoricalStockProgress[[#This Row],[No. of Shares]]&lt;&gt;0,HistoricalStockProgress[[#This Row],[Price of Shares]]-HistoricalStockProgress[[#This Row],[Cost of Shares]]/HistoricalStockProgress[[#This Row],[No. of Shares]],0)</f>
        <v>-35.709072877795677</v>
      </c>
      <c r="K772" s="17">
        <f>IF(HistoricalStockProgress[[#This Row],[Total Price of Shares]]&lt;&gt;0,HistoricalStockProgress[[#This Row],[Total Price of Shares]]-HistoricalStockProgress[[#This Row],[Cost of Shares]],0)</f>
        <v>-892.72682194489153</v>
      </c>
      <c r="L772" s="34" t="b" cm="1">
        <f t="array" ref="L772">IFERROR(IF(HistoricalStockProgress[[#This Row],[Price of Shares]]="",_xlfn.STOCKHISTORY(HistoricalStockProgress[[#This Row],[Full Company Name]],HistoricalStockProgress[[#This Row],[Date]],,2,0,1)),0)</f>
        <v>0</v>
      </c>
      <c r="M772" s="34">
        <f>YEAR(HistoricalStockProgress[[#This Row],[Date]])</f>
        <v>2020</v>
      </c>
      <c r="N772" s="34">
        <f>MONTH(HistoricalStockProgress[[#This Row],[Date]])</f>
        <v>3</v>
      </c>
    </row>
    <row r="773" spans="2:14">
      <c r="B773" s="15">
        <v>43921</v>
      </c>
      <c r="C773" s="34" t="s">
        <v>22</v>
      </c>
      <c r="D773" s="34" t="e" vm="10">
        <f>_xlfn.XLOOKUP(HistoricalStockProgress[[#This Row],[Company Ticker]],CompanyDetailsList[Company Ticker],CompanyDetailsList[Official Name],,0)</f>
        <v>#VALUE!</v>
      </c>
      <c r="E7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7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773" s="17">
        <f>IFERROR(HistoricalStockProgress[[#This Row],[Cost of Shares]]/HistoricalStockProgress[[#This Row],[No. of Shares]],0)</f>
        <v>96.351727068187571</v>
      </c>
      <c r="H773" s="16" vm="1299">
        <v>116.04</v>
      </c>
      <c r="I773" s="16">
        <f>IF(HistoricalStockProgress[[#This Row],[No. of Shares]]&lt;&gt;0,HistoricalStockProgress[[#This Row],[Price of Shares]]*HistoricalStockProgress[[#This Row],[No. of Shares]],0)</f>
        <v>9399.24</v>
      </c>
      <c r="J773" s="16">
        <f>IF(HistoricalStockProgress[[#This Row],[No. of Shares]]&lt;&gt;0,HistoricalStockProgress[[#This Row],[Price of Shares]]-HistoricalStockProgress[[#This Row],[Cost of Shares]]/HistoricalStockProgress[[#This Row],[No. of Shares]],0)</f>
        <v>19.688272931812435</v>
      </c>
      <c r="K773" s="17">
        <f>IF(HistoricalStockProgress[[#This Row],[Total Price of Shares]]&lt;&gt;0,HistoricalStockProgress[[#This Row],[Total Price of Shares]]-HistoricalStockProgress[[#This Row],[Cost of Shares]],0)</f>
        <v>1594.750107476807</v>
      </c>
      <c r="L773" s="34" t="b" cm="1">
        <f t="array" ref="L773">IFERROR(IF(HistoricalStockProgress[[#This Row],[Price of Shares]]="",_xlfn.STOCKHISTORY(HistoricalStockProgress[[#This Row],[Full Company Name]],HistoricalStockProgress[[#This Row],[Date]],,2,0,1)),0)</f>
        <v>0</v>
      </c>
      <c r="M773" s="34">
        <f>YEAR(HistoricalStockProgress[[#This Row],[Date]])</f>
        <v>2020</v>
      </c>
      <c r="N773" s="34">
        <f>MONTH(HistoricalStockProgress[[#This Row],[Date]])</f>
        <v>3</v>
      </c>
    </row>
    <row r="774" spans="2:14">
      <c r="B774" s="15">
        <v>43921</v>
      </c>
      <c r="C774" s="34" t="s">
        <v>91</v>
      </c>
      <c r="D774" s="34" t="e" vm="11">
        <f>_xlfn.XLOOKUP(HistoricalStockProgress[[#This Row],[Company Ticker]],CompanyDetailsList[Company Ticker],CompanyDetailsList[Official Name],,0)</f>
        <v>#VALUE!</v>
      </c>
      <c r="E7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113</v>
      </c>
      <c r="F7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8617.7943854195</v>
      </c>
      <c r="G774" s="17">
        <f>IFERROR(HistoricalStockProgress[[#This Row],[Cost of Shares]]/HistoricalStockProgress[[#This Row],[No. of Shares]],0)</f>
        <v>76.263667127606197</v>
      </c>
      <c r="H774" s="16" vm="1300">
        <v>157.71</v>
      </c>
      <c r="I774" s="16">
        <f>IF(HistoricalStockProgress[[#This Row],[No. of Shares]]&lt;&gt;0,HistoricalStockProgress[[#This Row],[Price of Shares]]*HistoricalStockProgress[[#This Row],[No. of Shares]],0)</f>
        <v>17821.23</v>
      </c>
      <c r="J774" s="16">
        <f>IF(HistoricalStockProgress[[#This Row],[No. of Shares]]&lt;&gt;0,HistoricalStockProgress[[#This Row],[Price of Shares]]-HistoricalStockProgress[[#This Row],[Cost of Shares]]/HistoricalStockProgress[[#This Row],[No. of Shares]],0)</f>
        <v>81.44633287239381</v>
      </c>
      <c r="K774" s="17">
        <f>IF(HistoricalStockProgress[[#This Row],[Total Price of Shares]]&lt;&gt;0,HistoricalStockProgress[[#This Row],[Total Price of Shares]]-HistoricalStockProgress[[#This Row],[Cost of Shares]],0)</f>
        <v>9203.4356145804995</v>
      </c>
      <c r="L774" s="34" t="b" cm="1">
        <f t="array" ref="L774">IFERROR(IF(HistoricalStockProgress[[#This Row],[Price of Shares]]="",_xlfn.STOCKHISTORY(HistoricalStockProgress[[#This Row],[Full Company Name]],HistoricalStockProgress[[#This Row],[Date]],,2,0,1)),0)</f>
        <v>0</v>
      </c>
      <c r="M774" s="34">
        <f>YEAR(HistoricalStockProgress[[#This Row],[Date]])</f>
        <v>2020</v>
      </c>
      <c r="N774" s="34">
        <f>MONTH(HistoricalStockProgress[[#This Row],[Date]])</f>
        <v>3</v>
      </c>
    </row>
    <row r="775" spans="2:14">
      <c r="B775" s="15">
        <v>43921</v>
      </c>
      <c r="C775" s="34" t="s">
        <v>16</v>
      </c>
      <c r="D775" s="34" t="e" vm="12">
        <f>_xlfn.XLOOKUP(HistoricalStockProgress[[#This Row],[Company Ticker]],CompanyDetailsList[Company Ticker],CompanyDetailsList[Official Name],,0)</f>
        <v>#VALUE!</v>
      </c>
      <c r="E7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7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775" s="17">
        <f>IFERROR(HistoricalStockProgress[[#This Row],[Cost of Shares]]/HistoricalStockProgress[[#This Row],[No. of Shares]],0)</f>
        <v>82.900834685216523</v>
      </c>
      <c r="H775" s="16" vm="1301">
        <v>37.97</v>
      </c>
      <c r="I775" s="16">
        <f>IF(HistoricalStockProgress[[#This Row],[No. of Shares]]&lt;&gt;0,HistoricalStockProgress[[#This Row],[Price of Shares]]*HistoricalStockProgress[[#This Row],[No. of Shares]],0)</f>
        <v>5505.65</v>
      </c>
      <c r="J775" s="16">
        <f>IF(HistoricalStockProgress[[#This Row],[No. of Shares]]&lt;&gt;0,HistoricalStockProgress[[#This Row],[Price of Shares]]-HistoricalStockProgress[[#This Row],[Cost of Shares]]/HistoricalStockProgress[[#This Row],[No. of Shares]],0)</f>
        <v>-44.930834685216524</v>
      </c>
      <c r="K775" s="17">
        <f>IF(HistoricalStockProgress[[#This Row],[Total Price of Shares]]&lt;&gt;0,HistoricalStockProgress[[#This Row],[Total Price of Shares]]-HistoricalStockProgress[[#This Row],[Cost of Shares]],0)</f>
        <v>-6514.9710293563967</v>
      </c>
      <c r="L775" s="34" t="b" cm="1">
        <f t="array" ref="L775">IFERROR(IF(HistoricalStockProgress[[#This Row],[Price of Shares]]="",_xlfn.STOCKHISTORY(HistoricalStockProgress[[#This Row],[Full Company Name]],HistoricalStockProgress[[#This Row],[Date]],,2,0,1)),0)</f>
        <v>0</v>
      </c>
      <c r="M775" s="34">
        <f>YEAR(HistoricalStockProgress[[#This Row],[Date]])</f>
        <v>2020</v>
      </c>
      <c r="N775" s="34">
        <f>MONTH(HistoricalStockProgress[[#This Row],[Date]])</f>
        <v>3</v>
      </c>
    </row>
    <row r="776" spans="2:14">
      <c r="B776" s="15">
        <v>43921</v>
      </c>
      <c r="C776" s="34" t="s">
        <v>95</v>
      </c>
      <c r="D776" s="34" t="e" vm="13">
        <f>_xlfn.XLOOKUP(HistoricalStockProgress[[#This Row],[Company Ticker]],CompanyDetailsList[Company Ticker],CompanyDetailsList[Official Name],,0)</f>
        <v>#VALUE!</v>
      </c>
      <c r="E7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7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776" s="17">
        <f>IFERROR(HistoricalStockProgress[[#This Row],[Cost of Shares]]/HistoricalStockProgress[[#This Row],[No. of Shares]],0)</f>
        <v>143.29758396474452</v>
      </c>
      <c r="H776" s="16" vm="1302">
        <v>186.71</v>
      </c>
      <c r="I776" s="16">
        <f>IF(HistoricalStockProgress[[#This Row],[No. of Shares]]&lt;&gt;0,HistoricalStockProgress[[#This Row],[Price of Shares]]*HistoricalStockProgress[[#This Row],[No. of Shares]],0)</f>
        <v>8028.5300000000007</v>
      </c>
      <c r="J776" s="16">
        <f>IF(HistoricalStockProgress[[#This Row],[No. of Shares]]&lt;&gt;0,HistoricalStockProgress[[#This Row],[Price of Shares]]-HistoricalStockProgress[[#This Row],[Cost of Shares]]/HistoricalStockProgress[[#This Row],[No. of Shares]],0)</f>
        <v>43.41241603525549</v>
      </c>
      <c r="K776" s="17">
        <f>IF(HistoricalStockProgress[[#This Row],[Total Price of Shares]]&lt;&gt;0,HistoricalStockProgress[[#This Row],[Total Price of Shares]]-HistoricalStockProgress[[#This Row],[Cost of Shares]],0)</f>
        <v>1866.7338895159864</v>
      </c>
      <c r="L776" s="34" t="b" cm="1">
        <f t="array" ref="L776">IFERROR(IF(HistoricalStockProgress[[#This Row],[Price of Shares]]="",_xlfn.STOCKHISTORY(HistoricalStockProgress[[#This Row],[Full Company Name]],HistoricalStockProgress[[#This Row],[Date]],,2,0,1)),0)</f>
        <v>0</v>
      </c>
      <c r="M776" s="34">
        <f>YEAR(HistoricalStockProgress[[#This Row],[Date]])</f>
        <v>2020</v>
      </c>
      <c r="N776" s="34">
        <f>MONTH(HistoricalStockProgress[[#This Row],[Date]])</f>
        <v>3</v>
      </c>
    </row>
    <row r="777" spans="2:14">
      <c r="B777" s="15">
        <v>43921</v>
      </c>
      <c r="C777" s="34" t="s">
        <v>17</v>
      </c>
      <c r="D777" s="34" t="e" vm="14">
        <f>_xlfn.XLOOKUP(HistoricalStockProgress[[#This Row],[Company Ticker]],CompanyDetailsList[Company Ticker],CompanyDetailsList[Official Name],,0)</f>
        <v>#VALUE!</v>
      </c>
      <c r="E7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91</v>
      </c>
      <c r="F7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13257.550624316333</v>
      </c>
      <c r="G777" s="17">
        <f>IFERROR(HistoricalStockProgress[[#This Row],[Cost of Shares]]/HistoricalStockProgress[[#This Row],[No. of Shares]],0)</f>
        <v>145.68736949798168</v>
      </c>
      <c r="H777" s="16" vm="1303">
        <v>110.93</v>
      </c>
      <c r="I777" s="16">
        <f>IF(HistoricalStockProgress[[#This Row],[No. of Shares]]&lt;&gt;0,HistoricalStockProgress[[#This Row],[Price of Shares]]*HistoricalStockProgress[[#This Row],[No. of Shares]],0)</f>
        <v>10094.630000000001</v>
      </c>
      <c r="J777" s="16">
        <f>IF(HistoricalStockProgress[[#This Row],[No. of Shares]]&lt;&gt;0,HistoricalStockProgress[[#This Row],[Price of Shares]]-HistoricalStockProgress[[#This Row],[Cost of Shares]]/HistoricalStockProgress[[#This Row],[No. of Shares]],0)</f>
        <v>-34.757369497981671</v>
      </c>
      <c r="K777" s="17">
        <f>IF(HistoricalStockProgress[[#This Row],[Total Price of Shares]]&lt;&gt;0,HistoricalStockProgress[[#This Row],[Total Price of Shares]]-HistoricalStockProgress[[#This Row],[Cost of Shares]],0)</f>
        <v>-3162.9206243163317</v>
      </c>
      <c r="L777" s="34" t="b" cm="1">
        <f t="array" ref="L777">IFERROR(IF(HistoricalStockProgress[[#This Row],[Price of Shares]]="",_xlfn.STOCKHISTORY(HistoricalStockProgress[[#This Row],[Full Company Name]],HistoricalStockProgress[[#This Row],[Date]],,2,0,1)),0)</f>
        <v>0</v>
      </c>
      <c r="M777" s="34">
        <f>YEAR(HistoricalStockProgress[[#This Row],[Date]])</f>
        <v>2020</v>
      </c>
      <c r="N777" s="34">
        <f>MONTH(HistoricalStockProgress[[#This Row],[Date]])</f>
        <v>3</v>
      </c>
    </row>
    <row r="778" spans="2:14">
      <c r="B778" s="15">
        <v>43921</v>
      </c>
      <c r="C778" s="34" t="s">
        <v>98</v>
      </c>
      <c r="D778" s="34" t="e" vm="15">
        <f>_xlfn.XLOOKUP(HistoricalStockProgress[[#This Row],[Company Ticker]],CompanyDetailsList[Company Ticker],CompanyDetailsList[Official Name],,0)</f>
        <v>#VALUE!</v>
      </c>
      <c r="E7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7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778" s="17">
        <f>IFERROR(HistoricalStockProgress[[#This Row],[Cost of Shares]]/HistoricalStockProgress[[#This Row],[No. of Shares]],0)</f>
        <v>39.627242008882604</v>
      </c>
      <c r="H778" s="16" vm="1304">
        <v>60.155000000000001</v>
      </c>
      <c r="I778" s="16">
        <f>IF(HistoricalStockProgress[[#This Row],[No. of Shares]]&lt;&gt;0,HistoricalStockProgress[[#This Row],[Price of Shares]]*HistoricalStockProgress[[#This Row],[No. of Shares]],0)</f>
        <v>4391.3150000000005</v>
      </c>
      <c r="J778" s="16">
        <f>IF(HistoricalStockProgress[[#This Row],[No. of Shares]]&lt;&gt;0,HistoricalStockProgress[[#This Row],[Price of Shares]]-HistoricalStockProgress[[#This Row],[Cost of Shares]]/HistoricalStockProgress[[#This Row],[No. of Shares]],0)</f>
        <v>20.527757991117397</v>
      </c>
      <c r="K778" s="17">
        <f>IF(HistoricalStockProgress[[#This Row],[Total Price of Shares]]&lt;&gt;0,HistoricalStockProgress[[#This Row],[Total Price of Shares]]-HistoricalStockProgress[[#This Row],[Cost of Shares]],0)</f>
        <v>1498.5263333515704</v>
      </c>
      <c r="L778" s="34" t="b" cm="1">
        <f t="array" ref="L778">IFERROR(IF(HistoricalStockProgress[[#This Row],[Price of Shares]]="",_xlfn.STOCKHISTORY(HistoricalStockProgress[[#This Row],[Full Company Name]],HistoricalStockProgress[[#This Row],[Date]],,2,0,1)),0)</f>
        <v>0</v>
      </c>
      <c r="M778" s="34">
        <f>YEAR(HistoricalStockProgress[[#This Row],[Date]])</f>
        <v>2020</v>
      </c>
      <c r="N778" s="34">
        <f>MONTH(HistoricalStockProgress[[#This Row],[Date]])</f>
        <v>3</v>
      </c>
    </row>
    <row r="779" spans="2:14">
      <c r="B779" s="15">
        <v>43921</v>
      </c>
      <c r="C779" s="34" t="s">
        <v>100</v>
      </c>
      <c r="D779" s="34" t="e" vm="16">
        <f>_xlfn.XLOOKUP(HistoricalStockProgress[[#This Row],[Company Ticker]],CompanyDetailsList[Company Ticker],CompanyDetailsList[Official Name],,0)</f>
        <v>#VALUE!</v>
      </c>
      <c r="E7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74</v>
      </c>
      <c r="F7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6400.3550613930956</v>
      </c>
      <c r="G779" s="17">
        <f>IFERROR(HistoricalStockProgress[[#This Row],[Cost of Shares]]/HistoricalStockProgress[[#This Row],[No. of Shares]],0)</f>
        <v>86.491284613420206</v>
      </c>
      <c r="H779" s="16" vm="1305">
        <v>80.88</v>
      </c>
      <c r="I779" s="16">
        <f>IF(HistoricalStockProgress[[#This Row],[No. of Shares]]&lt;&gt;0,HistoricalStockProgress[[#This Row],[Price of Shares]]*HistoricalStockProgress[[#This Row],[No. of Shares]],0)</f>
        <v>5985.12</v>
      </c>
      <c r="J779" s="16">
        <f>IF(HistoricalStockProgress[[#This Row],[No. of Shares]]&lt;&gt;0,HistoricalStockProgress[[#This Row],[Price of Shares]]-HistoricalStockProgress[[#This Row],[Cost of Shares]]/HistoricalStockProgress[[#This Row],[No. of Shares]],0)</f>
        <v>-5.6112846134202101</v>
      </c>
      <c r="K779" s="17">
        <f>IF(HistoricalStockProgress[[#This Row],[Total Price of Shares]]&lt;&gt;0,HistoricalStockProgress[[#This Row],[Total Price of Shares]]-HistoricalStockProgress[[#This Row],[Cost of Shares]],0)</f>
        <v>-415.23506139309575</v>
      </c>
      <c r="L779" s="34" t="b" cm="1">
        <f t="array" ref="L779">IFERROR(IF(HistoricalStockProgress[[#This Row],[Price of Shares]]="",_xlfn.STOCKHISTORY(HistoricalStockProgress[[#This Row],[Full Company Name]],HistoricalStockProgress[[#This Row],[Date]],,2,0,1)),0)</f>
        <v>0</v>
      </c>
      <c r="M779" s="34">
        <f>YEAR(HistoricalStockProgress[[#This Row],[Date]])</f>
        <v>2020</v>
      </c>
      <c r="N779" s="34">
        <f>MONTH(HistoricalStockProgress[[#This Row],[Date]])</f>
        <v>3</v>
      </c>
    </row>
    <row r="780" spans="2:14">
      <c r="B780" s="15">
        <v>43921</v>
      </c>
      <c r="C780" s="34" t="s">
        <v>15</v>
      </c>
      <c r="D780" s="34" t="e" vm="17">
        <f>_xlfn.XLOOKUP(HistoricalStockProgress[[#This Row],[Company Ticker]],CompanyDetailsList[Company Ticker],CompanyDetailsList[Official Name],,0)</f>
        <v>#VALUE!</v>
      </c>
      <c r="E7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7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780" s="17">
        <f>IFERROR(HistoricalStockProgress[[#This Row],[Cost of Shares]]/HistoricalStockProgress[[#This Row],[No. of Shares]],0)</f>
        <v>26.081956457072195</v>
      </c>
      <c r="H780" s="16" vm="1306">
        <v>22.013500000000001</v>
      </c>
      <c r="I780" s="16">
        <f>IF(HistoricalStockProgress[[#This Row],[No. of Shares]]&lt;&gt;0,HistoricalStockProgress[[#This Row],[Price of Shares]]*HistoricalStockProgress[[#This Row],[No. of Shares]],0)</f>
        <v>2729.674</v>
      </c>
      <c r="J780" s="16">
        <f>IF(HistoricalStockProgress[[#This Row],[No. of Shares]]&lt;&gt;0,HistoricalStockProgress[[#This Row],[Price of Shares]]-HistoricalStockProgress[[#This Row],[Cost of Shares]]/HistoricalStockProgress[[#This Row],[No. of Shares]],0)</f>
        <v>-4.0684564570721946</v>
      </c>
      <c r="K780" s="17">
        <f>IF(HistoricalStockProgress[[#This Row],[Total Price of Shares]]&lt;&gt;0,HistoricalStockProgress[[#This Row],[Total Price of Shares]]-HistoricalStockProgress[[#This Row],[Cost of Shares]],0)</f>
        <v>-504.48860067695205</v>
      </c>
      <c r="L780" s="34" t="b" cm="1">
        <f t="array" ref="L780">IFERROR(IF(HistoricalStockProgress[[#This Row],[Price of Shares]]="",_xlfn.STOCKHISTORY(HistoricalStockProgress[[#This Row],[Full Company Name]],HistoricalStockProgress[[#This Row],[Date]],,2,0,1)),0)</f>
        <v>0</v>
      </c>
      <c r="M780" s="34">
        <f>YEAR(HistoricalStockProgress[[#This Row],[Date]])</f>
        <v>2020</v>
      </c>
      <c r="N780" s="34">
        <f>MONTH(HistoricalStockProgress[[#This Row],[Date]])</f>
        <v>3</v>
      </c>
    </row>
    <row r="781" spans="2:14">
      <c r="B781" s="15">
        <v>43921</v>
      </c>
      <c r="C781" s="34" t="s">
        <v>13</v>
      </c>
      <c r="D781" s="34" t="e" vm="18">
        <f>_xlfn.XLOOKUP(HistoricalStockProgress[[#This Row],[Company Ticker]],CompanyDetailsList[Company Ticker],CompanyDetailsList[Official Name],,0)</f>
        <v>#VALUE!</v>
      </c>
      <c r="E7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7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781" s="17">
        <f>IFERROR(HistoricalStockProgress[[#This Row],[Cost of Shares]]/HistoricalStockProgress[[#This Row],[No. of Shares]],0)</f>
        <v>35.846938938346874</v>
      </c>
      <c r="H781" s="16" vm="1307">
        <v>30.941099999999999</v>
      </c>
      <c r="I781" s="16">
        <f>IF(HistoricalStockProgress[[#This Row],[No. of Shares]]&lt;&gt;0,HistoricalStockProgress[[#This Row],[Price of Shares]]*HistoricalStockProgress[[#This Row],[No. of Shares]],0)</f>
        <v>1701.7604999999999</v>
      </c>
      <c r="J781" s="16">
        <f>IF(HistoricalStockProgress[[#This Row],[No. of Shares]]&lt;&gt;0,HistoricalStockProgress[[#This Row],[Price of Shares]]-HistoricalStockProgress[[#This Row],[Cost of Shares]]/HistoricalStockProgress[[#This Row],[No. of Shares]],0)</f>
        <v>-4.905838938346875</v>
      </c>
      <c r="K781" s="17">
        <f>IF(HistoricalStockProgress[[#This Row],[Total Price of Shares]]&lt;&gt;0,HistoricalStockProgress[[#This Row],[Total Price of Shares]]-HistoricalStockProgress[[#This Row],[Cost of Shares]],0)</f>
        <v>-269.82114160907827</v>
      </c>
      <c r="L781" s="34" t="b" cm="1">
        <f t="array" ref="L781">IFERROR(IF(HistoricalStockProgress[[#This Row],[Price of Shares]]="",_xlfn.STOCKHISTORY(HistoricalStockProgress[[#This Row],[Full Company Name]],HistoricalStockProgress[[#This Row],[Date]],,2,0,1)),0)</f>
        <v>0</v>
      </c>
      <c r="M781" s="34">
        <f>YEAR(HistoricalStockProgress[[#This Row],[Date]])</f>
        <v>2020</v>
      </c>
      <c r="N781" s="34">
        <f>MONTH(HistoricalStockProgress[[#This Row],[Date]])</f>
        <v>3</v>
      </c>
    </row>
    <row r="782" spans="2:14">
      <c r="B782" s="15">
        <v>43921</v>
      </c>
      <c r="C782" s="34" t="s">
        <v>20</v>
      </c>
      <c r="D782" s="34" t="e" vm="19">
        <f>_xlfn.XLOOKUP(HistoricalStockProgress[[#This Row],[Company Ticker]],CompanyDetailsList[Company Ticker],CompanyDetailsList[Official Name],,0)</f>
        <v>#VALUE!</v>
      </c>
      <c r="E7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7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782" s="17">
        <f>IFERROR(HistoricalStockProgress[[#This Row],[Cost of Shares]]/HistoricalStockProgress[[#This Row],[No. of Shares]],0)</f>
        <v>93.912242833589502</v>
      </c>
      <c r="H782" s="16" vm="1308">
        <v>90.03</v>
      </c>
      <c r="I782" s="16">
        <f>IF(HistoricalStockProgress[[#This Row],[No. of Shares]]&lt;&gt;0,HistoricalStockProgress[[#This Row],[Price of Shares]]*HistoricalStockProgress[[#This Row],[No. of Shares]],0)</f>
        <v>7022.34</v>
      </c>
      <c r="J782" s="16">
        <f>IF(HistoricalStockProgress[[#This Row],[No. of Shares]]&lt;&gt;0,HistoricalStockProgress[[#This Row],[Price of Shares]]-HistoricalStockProgress[[#This Row],[Cost of Shares]]/HistoricalStockProgress[[#This Row],[No. of Shares]],0)</f>
        <v>-3.8822428335895012</v>
      </c>
      <c r="K782" s="17">
        <f>IF(HistoricalStockProgress[[#This Row],[Total Price of Shares]]&lt;&gt;0,HistoricalStockProgress[[#This Row],[Total Price of Shares]]-HistoricalStockProgress[[#This Row],[Cost of Shares]],0)</f>
        <v>-302.81494101998123</v>
      </c>
      <c r="L782" s="34" t="b" cm="1">
        <f t="array" ref="L782">IFERROR(IF(HistoricalStockProgress[[#This Row],[Price of Shares]]="",_xlfn.STOCKHISTORY(HistoricalStockProgress[[#This Row],[Full Company Name]],HistoricalStockProgress[[#This Row],[Date]],,2,0,1)),0)</f>
        <v>0</v>
      </c>
      <c r="M782" s="34">
        <f>YEAR(HistoricalStockProgress[[#This Row],[Date]])</f>
        <v>2020</v>
      </c>
      <c r="N782" s="34">
        <f>MONTH(HistoricalStockProgress[[#This Row],[Date]])</f>
        <v>3</v>
      </c>
    </row>
    <row r="783" spans="2:14">
      <c r="B783" s="15">
        <v>43921</v>
      </c>
      <c r="C783" s="34" t="s">
        <v>106</v>
      </c>
      <c r="D783" s="34" t="e" vm="20">
        <f>_xlfn.XLOOKUP(HistoricalStockProgress[[#This Row],[Company Ticker]],CompanyDetailsList[Company Ticker],CompanyDetailsList[Official Name],,0)</f>
        <v>#VALUE!</v>
      </c>
      <c r="E7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65</v>
      </c>
      <c r="F7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6977.8332077404502</v>
      </c>
      <c r="G783" s="17">
        <f>IFERROR(HistoricalStockProgress[[#This Row],[Cost of Shares]]/HistoricalStockProgress[[#This Row],[No. of Shares]],0)</f>
        <v>107.35128011908385</v>
      </c>
      <c r="H783" s="16" vm="1309">
        <v>83.6</v>
      </c>
      <c r="I783" s="16">
        <f>IF(HistoricalStockProgress[[#This Row],[No. of Shares]]&lt;&gt;0,HistoricalStockProgress[[#This Row],[Price of Shares]]*HistoricalStockProgress[[#This Row],[No. of Shares]],0)</f>
        <v>5434</v>
      </c>
      <c r="J783" s="16">
        <f>IF(HistoricalStockProgress[[#This Row],[No. of Shares]]&lt;&gt;0,HistoricalStockProgress[[#This Row],[Price of Shares]]-HistoricalStockProgress[[#This Row],[Cost of Shares]]/HistoricalStockProgress[[#This Row],[No. of Shares]],0)</f>
        <v>-23.751280119083859</v>
      </c>
      <c r="K783" s="17">
        <f>IF(HistoricalStockProgress[[#This Row],[Total Price of Shares]]&lt;&gt;0,HistoricalStockProgress[[#This Row],[Total Price of Shares]]-HistoricalStockProgress[[#This Row],[Cost of Shares]],0)</f>
        <v>-1543.8332077404502</v>
      </c>
      <c r="L783" s="34" t="b" cm="1">
        <f t="array" ref="L783">IFERROR(IF(HistoricalStockProgress[[#This Row],[Price of Shares]]="",_xlfn.STOCKHISTORY(HistoricalStockProgress[[#This Row],[Full Company Name]],HistoricalStockProgress[[#This Row],[Date]],,2,0,1)),0)</f>
        <v>0</v>
      </c>
      <c r="M783" s="34">
        <f>YEAR(HistoricalStockProgress[[#This Row],[Date]])</f>
        <v>2020</v>
      </c>
      <c r="N783" s="34">
        <f>MONTH(HistoricalStockProgress[[#This Row],[Date]])</f>
        <v>3</v>
      </c>
    </row>
    <row r="784" spans="2:14">
      <c r="B784" s="15">
        <v>43951</v>
      </c>
      <c r="C784" s="34" t="s">
        <v>12</v>
      </c>
      <c r="D784" s="34" t="e" vm="1">
        <f>_xlfn.XLOOKUP(HistoricalStockProgress[[#This Row],[Company Ticker]],CompanyDetailsList[Company Ticker],CompanyDetailsList[Official Name],,0)</f>
        <v>#VALUE!</v>
      </c>
      <c r="E7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7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1953.8799010350301</v>
      </c>
      <c r="G784" s="17">
        <f>IFERROR(HistoricalStockProgress[[#This Row],[Cost of Shares]]/HistoricalStockProgress[[#This Row],[No. of Shares]],0)</f>
        <v>67.375169001207937</v>
      </c>
      <c r="H784" s="16" vm="1310">
        <v>54.92</v>
      </c>
      <c r="I784" s="16">
        <f>IF(HistoricalStockProgress[[#This Row],[No. of Shares]]&lt;&gt;0,HistoricalStockProgress[[#This Row],[Price of Shares]]*HistoricalStockProgress[[#This Row],[No. of Shares]],0)</f>
        <v>1592.68</v>
      </c>
      <c r="J784" s="16">
        <f>IF(HistoricalStockProgress[[#This Row],[No. of Shares]]&lt;&gt;0,HistoricalStockProgress[[#This Row],[Price of Shares]]-HistoricalStockProgress[[#This Row],[Cost of Shares]]/HistoricalStockProgress[[#This Row],[No. of Shares]],0)</f>
        <v>-12.455169001207935</v>
      </c>
      <c r="K784" s="17">
        <f>IF(HistoricalStockProgress[[#This Row],[Total Price of Shares]]&lt;&gt;0,HistoricalStockProgress[[#This Row],[Total Price of Shares]]-HistoricalStockProgress[[#This Row],[Cost of Shares]],0)</f>
        <v>-361.19990103503005</v>
      </c>
      <c r="L784" s="34" t="b" cm="1">
        <f t="array" ref="L784">IFERROR(IF(HistoricalStockProgress[[#This Row],[Price of Shares]]="",_xlfn.STOCKHISTORY(HistoricalStockProgress[[#This Row],[Full Company Name]],HistoricalStockProgress[[#This Row],[Date]],,2,0,1)),0)</f>
        <v>0</v>
      </c>
      <c r="M784" s="34">
        <f>YEAR(HistoricalStockProgress[[#This Row],[Date]])</f>
        <v>2020</v>
      </c>
      <c r="N784" s="34">
        <f>MONTH(HistoricalStockProgress[[#This Row],[Date]])</f>
        <v>4</v>
      </c>
    </row>
    <row r="785" spans="2:14">
      <c r="B785" s="15">
        <v>43951</v>
      </c>
      <c r="C785" s="34" t="s">
        <v>19</v>
      </c>
      <c r="D785" s="34" t="e" vm="3">
        <f>_xlfn.XLOOKUP(HistoricalStockProgress[[#This Row],[Company Ticker]],CompanyDetailsList[Company Ticker],CompanyDetailsList[Official Name],,0)</f>
        <v>#VALUE!</v>
      </c>
      <c r="E7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7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785" s="17">
        <f>IFERROR(HistoricalStockProgress[[#This Row],[Cost of Shares]]/HistoricalStockProgress[[#This Row],[No. of Shares]],0)</f>
        <v>158.45739987816083</v>
      </c>
      <c r="H785" s="16" vm="1311">
        <v>186.44</v>
      </c>
      <c r="I785" s="16">
        <f>IF(HistoricalStockProgress[[#This Row],[No. of Shares]]&lt;&gt;0,HistoricalStockProgress[[#This Row],[Price of Shares]]*HistoricalStockProgress[[#This Row],[No. of Shares]],0)</f>
        <v>10627.08</v>
      </c>
      <c r="J785" s="16">
        <f>IF(HistoricalStockProgress[[#This Row],[No. of Shares]]&lt;&gt;0,HistoricalStockProgress[[#This Row],[Price of Shares]]-HistoricalStockProgress[[#This Row],[Cost of Shares]]/HistoricalStockProgress[[#This Row],[No. of Shares]],0)</f>
        <v>27.98260012183917</v>
      </c>
      <c r="K785" s="17">
        <f>IF(HistoricalStockProgress[[#This Row],[Total Price of Shares]]&lt;&gt;0,HistoricalStockProgress[[#This Row],[Total Price of Shares]]-HistoricalStockProgress[[#This Row],[Cost of Shares]],0)</f>
        <v>1595.0082069448326</v>
      </c>
      <c r="L785" s="34" t="b" cm="1">
        <f t="array" ref="L785">IFERROR(IF(HistoricalStockProgress[[#This Row],[Price of Shares]]="",_xlfn.STOCKHISTORY(HistoricalStockProgress[[#This Row],[Full Company Name]],HistoricalStockProgress[[#This Row],[Date]],,2,0,1)),0)</f>
        <v>0</v>
      </c>
      <c r="M785" s="34">
        <f>YEAR(HistoricalStockProgress[[#This Row],[Date]])</f>
        <v>2020</v>
      </c>
      <c r="N785" s="34">
        <f>MONTH(HistoricalStockProgress[[#This Row],[Date]])</f>
        <v>4</v>
      </c>
    </row>
    <row r="786" spans="2:14">
      <c r="B786" s="15">
        <v>43951</v>
      </c>
      <c r="C786" s="34" t="s">
        <v>23</v>
      </c>
      <c r="D786" s="34" t="e" vm="4">
        <f>_xlfn.XLOOKUP(HistoricalStockProgress[[#This Row],[Company Ticker]],CompanyDetailsList[Company Ticker],CompanyDetailsList[Official Name],,0)</f>
        <v>#VALUE!</v>
      </c>
      <c r="E7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7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786" s="17">
        <f>IFERROR(HistoricalStockProgress[[#This Row],[Cost of Shares]]/HistoricalStockProgress[[#This Row],[No. of Shares]],0)</f>
        <v>45.768494888570878</v>
      </c>
      <c r="H786" s="16" vm="1312">
        <v>45.89</v>
      </c>
      <c r="I786" s="16">
        <f>IF(HistoricalStockProgress[[#This Row],[No. of Shares]]&lt;&gt;0,HistoricalStockProgress[[#This Row],[Price of Shares]]*HistoricalStockProgress[[#This Row],[No. of Shares]],0)</f>
        <v>2661.62</v>
      </c>
      <c r="J786" s="16">
        <f>IF(HistoricalStockProgress[[#This Row],[No. of Shares]]&lt;&gt;0,HistoricalStockProgress[[#This Row],[Price of Shares]]-HistoricalStockProgress[[#This Row],[Cost of Shares]]/HistoricalStockProgress[[#This Row],[No. of Shares]],0)</f>
        <v>0.12150511142912279</v>
      </c>
      <c r="K786" s="17">
        <f>IF(HistoricalStockProgress[[#This Row],[Total Price of Shares]]&lt;&gt;0,HistoricalStockProgress[[#This Row],[Total Price of Shares]]-HistoricalStockProgress[[#This Row],[Cost of Shares]],0)</f>
        <v>7.0472964628888803</v>
      </c>
      <c r="L786" s="34" t="b" cm="1">
        <f t="array" ref="L786">IFERROR(IF(HistoricalStockProgress[[#This Row],[Price of Shares]]="",_xlfn.STOCKHISTORY(HistoricalStockProgress[[#This Row],[Full Company Name]],HistoricalStockProgress[[#This Row],[Date]],,2,0,1)),0)</f>
        <v>0</v>
      </c>
      <c r="M786" s="34">
        <f>YEAR(HistoricalStockProgress[[#This Row],[Date]])</f>
        <v>2020</v>
      </c>
      <c r="N786" s="34">
        <f>MONTH(HistoricalStockProgress[[#This Row],[Date]])</f>
        <v>4</v>
      </c>
    </row>
    <row r="787" spans="2:14">
      <c r="B787" s="15">
        <v>43951</v>
      </c>
      <c r="C787" s="34" t="s">
        <v>21</v>
      </c>
      <c r="D787" s="34" t="e" vm="6">
        <f>_xlfn.XLOOKUP(HistoricalStockProgress[[#This Row],[Company Ticker]],CompanyDetailsList[Company Ticker],CompanyDetailsList[Official Name],,0)</f>
        <v>#VALUE!</v>
      </c>
      <c r="E7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v>
      </c>
      <c r="F7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2087.9623605222587</v>
      </c>
      <c r="G787" s="17">
        <f>IFERROR(HistoricalStockProgress[[#This Row],[Cost of Shares]]/HistoricalStockProgress[[#This Row],[No. of Shares]],0)</f>
        <v>122.82131532483875</v>
      </c>
      <c r="H787" s="16" vm="1313">
        <v>117.87</v>
      </c>
      <c r="I787" s="16">
        <f>IF(HistoricalStockProgress[[#This Row],[No. of Shares]]&lt;&gt;0,HistoricalStockProgress[[#This Row],[Price of Shares]]*HistoricalStockProgress[[#This Row],[No. of Shares]],0)</f>
        <v>2003.79</v>
      </c>
      <c r="J787" s="16">
        <f>IF(HistoricalStockProgress[[#This Row],[No. of Shares]]&lt;&gt;0,HistoricalStockProgress[[#This Row],[Price of Shares]]-HistoricalStockProgress[[#This Row],[Cost of Shares]]/HistoricalStockProgress[[#This Row],[No. of Shares]],0)</f>
        <v>-4.9513153248387454</v>
      </c>
      <c r="K787" s="17">
        <f>IF(HistoricalStockProgress[[#This Row],[Total Price of Shares]]&lt;&gt;0,HistoricalStockProgress[[#This Row],[Total Price of Shares]]-HistoricalStockProgress[[#This Row],[Cost of Shares]],0)</f>
        <v>-84.172360522258714</v>
      </c>
      <c r="L787" s="34" t="b" cm="1">
        <f t="array" ref="L787">IFERROR(IF(HistoricalStockProgress[[#This Row],[Price of Shares]]="",_xlfn.STOCKHISTORY(HistoricalStockProgress[[#This Row],[Full Company Name]],HistoricalStockProgress[[#This Row],[Date]],,2,0,1)),0)</f>
        <v>0</v>
      </c>
      <c r="M787" s="34">
        <f>YEAR(HistoricalStockProgress[[#This Row],[Date]])</f>
        <v>2020</v>
      </c>
      <c r="N787" s="34">
        <f>MONTH(HistoricalStockProgress[[#This Row],[Date]])</f>
        <v>4</v>
      </c>
    </row>
    <row r="788" spans="2:14">
      <c r="B788" s="15">
        <v>43951</v>
      </c>
      <c r="C788" s="34" t="s">
        <v>84</v>
      </c>
      <c r="D788" s="34" t="e" vm="7">
        <f>_xlfn.XLOOKUP(HistoricalStockProgress[[#This Row],[Company Ticker]],CompanyDetailsList[Company Ticker],CompanyDetailsList[Official Name],,0)</f>
        <v>#VALUE!</v>
      </c>
      <c r="E7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7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788" s="17">
        <f>IFERROR(HistoricalStockProgress[[#This Row],[Cost of Shares]]/HistoricalStockProgress[[#This Row],[No. of Shares]],0)</f>
        <v>104.18087504950869</v>
      </c>
      <c r="H788" s="16" vm="1314">
        <v>150.04</v>
      </c>
      <c r="I788" s="16">
        <f>IF(HistoricalStockProgress[[#This Row],[No. of Shares]]&lt;&gt;0,HistoricalStockProgress[[#This Row],[Price of Shares]]*HistoricalStockProgress[[#This Row],[No. of Shares]],0)</f>
        <v>7652.04</v>
      </c>
      <c r="J788" s="16">
        <f>IF(HistoricalStockProgress[[#This Row],[No. of Shares]]&lt;&gt;0,HistoricalStockProgress[[#This Row],[Price of Shares]]-HistoricalStockProgress[[#This Row],[Cost of Shares]]/HistoricalStockProgress[[#This Row],[No. of Shares]],0)</f>
        <v>45.859124950491307</v>
      </c>
      <c r="K788" s="17">
        <f>IF(HistoricalStockProgress[[#This Row],[Total Price of Shares]]&lt;&gt;0,HistoricalStockProgress[[#This Row],[Total Price of Shares]]-HistoricalStockProgress[[#This Row],[Cost of Shares]],0)</f>
        <v>2338.8153724750573</v>
      </c>
      <c r="L788" s="34" t="b" cm="1">
        <f t="array" ref="L788">IFERROR(IF(HistoricalStockProgress[[#This Row],[Price of Shares]]="",_xlfn.STOCKHISTORY(HistoricalStockProgress[[#This Row],[Full Company Name]],HistoricalStockProgress[[#This Row],[Date]],,2,0,1)),0)</f>
        <v>0</v>
      </c>
      <c r="M788" s="34">
        <f>YEAR(HistoricalStockProgress[[#This Row],[Date]])</f>
        <v>2020</v>
      </c>
      <c r="N788" s="34">
        <f>MONTH(HistoricalStockProgress[[#This Row],[Date]])</f>
        <v>4</v>
      </c>
    </row>
    <row r="789" spans="2:14">
      <c r="B789" s="15">
        <v>43951</v>
      </c>
      <c r="C789" s="34" t="s">
        <v>86</v>
      </c>
      <c r="D789" s="34" t="e" vm="8">
        <f>_xlfn.XLOOKUP(HistoricalStockProgress[[#This Row],[Company Ticker]],CompanyDetailsList[Company Ticker],CompanyDetailsList[Official Name],,0)</f>
        <v>#VALUE!</v>
      </c>
      <c r="E7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7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789" s="17">
        <f>IFERROR(HistoricalStockProgress[[#This Row],[Cost of Shares]]/HistoricalStockProgress[[#This Row],[No. of Shares]],0)</f>
        <v>85.876031764920896</v>
      </c>
      <c r="H789" s="16" vm="1315">
        <v>82.2</v>
      </c>
      <c r="I789" s="16">
        <f>IF(HistoricalStockProgress[[#This Row],[No. of Shares]]&lt;&gt;0,HistoricalStockProgress[[#This Row],[Price of Shares]]*HistoricalStockProgress[[#This Row],[No. of Shares]],0)</f>
        <v>4356.6000000000004</v>
      </c>
      <c r="J789" s="16">
        <f>IF(HistoricalStockProgress[[#This Row],[No. of Shares]]&lt;&gt;0,HistoricalStockProgress[[#This Row],[Price of Shares]]-HistoricalStockProgress[[#This Row],[Cost of Shares]]/HistoricalStockProgress[[#This Row],[No. of Shares]],0)</f>
        <v>-3.6760317649208929</v>
      </c>
      <c r="K789" s="17">
        <f>IF(HistoricalStockProgress[[#This Row],[Total Price of Shares]]&lt;&gt;0,HistoricalStockProgress[[#This Row],[Total Price of Shares]]-HistoricalStockProgress[[#This Row],[Cost of Shares]],0)</f>
        <v>-194.82968354080731</v>
      </c>
      <c r="L789" s="34" t="b" cm="1">
        <f t="array" ref="L789">IFERROR(IF(HistoricalStockProgress[[#This Row],[Price of Shares]]="",_xlfn.STOCKHISTORY(HistoricalStockProgress[[#This Row],[Full Company Name]],HistoricalStockProgress[[#This Row],[Date]],,2,0,1)),0)</f>
        <v>0</v>
      </c>
      <c r="M789" s="34">
        <f>YEAR(HistoricalStockProgress[[#This Row],[Date]])</f>
        <v>2020</v>
      </c>
      <c r="N789" s="34">
        <f>MONTH(HistoricalStockProgress[[#This Row],[Date]])</f>
        <v>4</v>
      </c>
    </row>
    <row r="790" spans="2:14">
      <c r="B790" s="15">
        <v>43951</v>
      </c>
      <c r="C790" s="34" t="s">
        <v>88</v>
      </c>
      <c r="D790" s="34" t="e" vm="9">
        <f>_xlfn.XLOOKUP(HistoricalStockProgress[[#This Row],[Company Ticker]],CompanyDetailsList[Company Ticker],CompanyDetailsList[Official Name],,0)</f>
        <v>#VALUE!</v>
      </c>
      <c r="E7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7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790" s="17">
        <f>IFERROR(HistoricalStockProgress[[#This Row],[Cost of Shares]]/HistoricalStockProgress[[#This Row],[No. of Shares]],0)</f>
        <v>187.727755253422</v>
      </c>
      <c r="H790" s="16" vm="1316">
        <v>187.56</v>
      </c>
      <c r="I790" s="16">
        <f>IF(HistoricalStockProgress[[#This Row],[No. of Shares]]&lt;&gt;0,HistoricalStockProgress[[#This Row],[Price of Shares]]*HistoricalStockProgress[[#This Row],[No. of Shares]],0)</f>
        <v>11066.04</v>
      </c>
      <c r="J790" s="16">
        <f>IF(HistoricalStockProgress[[#This Row],[No. of Shares]]&lt;&gt;0,HistoricalStockProgress[[#This Row],[Price of Shares]]-HistoricalStockProgress[[#This Row],[Cost of Shares]]/HistoricalStockProgress[[#This Row],[No. of Shares]],0)</f>
        <v>-0.16775525342200126</v>
      </c>
      <c r="K790" s="17">
        <f>IF(HistoricalStockProgress[[#This Row],[Total Price of Shares]]&lt;&gt;0,HistoricalStockProgress[[#This Row],[Total Price of Shares]]-HistoricalStockProgress[[#This Row],[Cost of Shares]],0)</f>
        <v>-9.8975599518980744</v>
      </c>
      <c r="L790" s="34" t="b" cm="1">
        <f t="array" ref="L790">IFERROR(IF(HistoricalStockProgress[[#This Row],[Price of Shares]]="",_xlfn.STOCKHISTORY(HistoricalStockProgress[[#This Row],[Full Company Name]],HistoricalStockProgress[[#This Row],[Date]],,2,0,1)),0)</f>
        <v>0</v>
      </c>
      <c r="M790" s="34">
        <f>YEAR(HistoricalStockProgress[[#This Row],[Date]])</f>
        <v>2020</v>
      </c>
      <c r="N790" s="34">
        <f>MONTH(HistoricalStockProgress[[#This Row],[Date]])</f>
        <v>4</v>
      </c>
    </row>
    <row r="791" spans="2:14">
      <c r="B791" s="15">
        <v>43951</v>
      </c>
      <c r="C791" s="34" t="s">
        <v>22</v>
      </c>
      <c r="D791" s="34" t="e" vm="10">
        <f>_xlfn.XLOOKUP(HistoricalStockProgress[[#This Row],[Company Ticker]],CompanyDetailsList[Company Ticker],CompanyDetailsList[Official Name],,0)</f>
        <v>#VALUE!</v>
      </c>
      <c r="E7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7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791" s="17">
        <f>IFERROR(HistoricalStockProgress[[#This Row],[Cost of Shares]]/HistoricalStockProgress[[#This Row],[No. of Shares]],0)</f>
        <v>96.351727068187571</v>
      </c>
      <c r="H791" s="16" vm="1317">
        <v>116.38</v>
      </c>
      <c r="I791" s="16">
        <f>IF(HistoricalStockProgress[[#This Row],[No. of Shares]]&lt;&gt;0,HistoricalStockProgress[[#This Row],[Price of Shares]]*HistoricalStockProgress[[#This Row],[No. of Shares]],0)</f>
        <v>9426.7799999999988</v>
      </c>
      <c r="J791" s="16">
        <f>IF(HistoricalStockProgress[[#This Row],[No. of Shares]]&lt;&gt;0,HistoricalStockProgress[[#This Row],[Price of Shares]]-HistoricalStockProgress[[#This Row],[Cost of Shares]]/HistoricalStockProgress[[#This Row],[No. of Shares]],0)</f>
        <v>20.028272931812424</v>
      </c>
      <c r="K791" s="17">
        <f>IF(HistoricalStockProgress[[#This Row],[Total Price of Shares]]&lt;&gt;0,HistoricalStockProgress[[#This Row],[Total Price of Shares]]-HistoricalStockProgress[[#This Row],[Cost of Shares]],0)</f>
        <v>1622.290107476806</v>
      </c>
      <c r="L791" s="34" t="b" cm="1">
        <f t="array" ref="L791">IFERROR(IF(HistoricalStockProgress[[#This Row],[Price of Shares]]="",_xlfn.STOCKHISTORY(HistoricalStockProgress[[#This Row],[Full Company Name]],HistoricalStockProgress[[#This Row],[Date]],,2,0,1)),0)</f>
        <v>0</v>
      </c>
      <c r="M791" s="34">
        <f>YEAR(HistoricalStockProgress[[#This Row],[Date]])</f>
        <v>2020</v>
      </c>
      <c r="N791" s="34">
        <f>MONTH(HistoricalStockProgress[[#This Row],[Date]])</f>
        <v>4</v>
      </c>
    </row>
    <row r="792" spans="2:14">
      <c r="B792" s="15">
        <v>43951</v>
      </c>
      <c r="C792" s="34" t="s">
        <v>91</v>
      </c>
      <c r="D792" s="34" t="e" vm="11">
        <f>_xlfn.XLOOKUP(HistoricalStockProgress[[#This Row],[Company Ticker]],CompanyDetailsList[Company Ticker],CompanyDetailsList[Official Name],,0)</f>
        <v>#VALUE!</v>
      </c>
      <c r="E7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113</v>
      </c>
      <c r="F7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8617.7943854195</v>
      </c>
      <c r="G792" s="17">
        <f>IFERROR(HistoricalStockProgress[[#This Row],[Cost of Shares]]/HistoricalStockProgress[[#This Row],[No. of Shares]],0)</f>
        <v>76.263667127606197</v>
      </c>
      <c r="H792" s="16" vm="1318">
        <v>179.21</v>
      </c>
      <c r="I792" s="16">
        <f>IF(HistoricalStockProgress[[#This Row],[No. of Shares]]&lt;&gt;0,HistoricalStockProgress[[#This Row],[Price of Shares]]*HistoricalStockProgress[[#This Row],[No. of Shares]],0)</f>
        <v>20250.73</v>
      </c>
      <c r="J792" s="16">
        <f>IF(HistoricalStockProgress[[#This Row],[No. of Shares]]&lt;&gt;0,HistoricalStockProgress[[#This Row],[Price of Shares]]-HistoricalStockProgress[[#This Row],[Cost of Shares]]/HistoricalStockProgress[[#This Row],[No. of Shares]],0)</f>
        <v>102.94633287239381</v>
      </c>
      <c r="K792" s="17">
        <f>IF(HistoricalStockProgress[[#This Row],[Total Price of Shares]]&lt;&gt;0,HistoricalStockProgress[[#This Row],[Total Price of Shares]]-HistoricalStockProgress[[#This Row],[Cost of Shares]],0)</f>
        <v>11632.9356145805</v>
      </c>
      <c r="L792" s="34" t="b" cm="1">
        <f t="array" ref="L792">IFERROR(IF(HistoricalStockProgress[[#This Row],[Price of Shares]]="",_xlfn.STOCKHISTORY(HistoricalStockProgress[[#This Row],[Full Company Name]],HistoricalStockProgress[[#This Row],[Date]],,2,0,1)),0)</f>
        <v>0</v>
      </c>
      <c r="M792" s="34">
        <f>YEAR(HistoricalStockProgress[[#This Row],[Date]])</f>
        <v>2020</v>
      </c>
      <c r="N792" s="34">
        <f>MONTH(HistoricalStockProgress[[#This Row],[Date]])</f>
        <v>4</v>
      </c>
    </row>
    <row r="793" spans="2:14">
      <c r="B793" s="15">
        <v>43951</v>
      </c>
      <c r="C793" s="34" t="s">
        <v>16</v>
      </c>
      <c r="D793" s="34" t="e" vm="12">
        <f>_xlfn.XLOOKUP(HistoricalStockProgress[[#This Row],[Company Ticker]],CompanyDetailsList[Company Ticker],CompanyDetailsList[Official Name],,0)</f>
        <v>#VALUE!</v>
      </c>
      <c r="E7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7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793" s="17">
        <f>IFERROR(HistoricalStockProgress[[#This Row],[Cost of Shares]]/HistoricalStockProgress[[#This Row],[No. of Shares]],0)</f>
        <v>82.900834685216523</v>
      </c>
      <c r="H793" s="16" vm="1319">
        <v>46.47</v>
      </c>
      <c r="I793" s="16">
        <f>IF(HistoricalStockProgress[[#This Row],[No. of Shares]]&lt;&gt;0,HistoricalStockProgress[[#This Row],[Price of Shares]]*HistoricalStockProgress[[#This Row],[No. of Shares]],0)</f>
        <v>6738.15</v>
      </c>
      <c r="J793" s="16">
        <f>IF(HistoricalStockProgress[[#This Row],[No. of Shares]]&lt;&gt;0,HistoricalStockProgress[[#This Row],[Price of Shares]]-HistoricalStockProgress[[#This Row],[Cost of Shares]]/HistoricalStockProgress[[#This Row],[No. of Shares]],0)</f>
        <v>-36.430834685216524</v>
      </c>
      <c r="K793" s="17">
        <f>IF(HistoricalStockProgress[[#This Row],[Total Price of Shares]]&lt;&gt;0,HistoricalStockProgress[[#This Row],[Total Price of Shares]]-HistoricalStockProgress[[#This Row],[Cost of Shares]],0)</f>
        <v>-5282.4710293563967</v>
      </c>
      <c r="L793" s="34" t="b" cm="1">
        <f t="array" ref="L793">IFERROR(IF(HistoricalStockProgress[[#This Row],[Price of Shares]]="",_xlfn.STOCKHISTORY(HistoricalStockProgress[[#This Row],[Full Company Name]],HistoricalStockProgress[[#This Row],[Date]],,2,0,1)),0)</f>
        <v>0</v>
      </c>
      <c r="M793" s="34">
        <f>YEAR(HistoricalStockProgress[[#This Row],[Date]])</f>
        <v>2020</v>
      </c>
      <c r="N793" s="34">
        <f>MONTH(HistoricalStockProgress[[#This Row],[Date]])</f>
        <v>4</v>
      </c>
    </row>
    <row r="794" spans="2:14">
      <c r="B794" s="15">
        <v>43951</v>
      </c>
      <c r="C794" s="34" t="s">
        <v>95</v>
      </c>
      <c r="D794" s="34" t="e" vm="13">
        <f>_xlfn.XLOOKUP(HistoricalStockProgress[[#This Row],[Company Ticker]],CompanyDetailsList[Company Ticker],CompanyDetailsList[Official Name],,0)</f>
        <v>#VALUE!</v>
      </c>
      <c r="E7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7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794" s="17">
        <f>IFERROR(HistoricalStockProgress[[#This Row],[Cost of Shares]]/HistoricalStockProgress[[#This Row],[No. of Shares]],0)</f>
        <v>143.29758396474452</v>
      </c>
      <c r="H794" s="16" vm="1320">
        <v>219.83</v>
      </c>
      <c r="I794" s="16">
        <f>IF(HistoricalStockProgress[[#This Row],[No. of Shares]]&lt;&gt;0,HistoricalStockProgress[[#This Row],[Price of Shares]]*HistoricalStockProgress[[#This Row],[No. of Shares]],0)</f>
        <v>9452.69</v>
      </c>
      <c r="J794" s="16">
        <f>IF(HistoricalStockProgress[[#This Row],[No. of Shares]]&lt;&gt;0,HistoricalStockProgress[[#This Row],[Price of Shares]]-HistoricalStockProgress[[#This Row],[Cost of Shares]]/HistoricalStockProgress[[#This Row],[No. of Shares]],0)</f>
        <v>76.532416035255494</v>
      </c>
      <c r="K794" s="17">
        <f>IF(HistoricalStockProgress[[#This Row],[Total Price of Shares]]&lt;&gt;0,HistoricalStockProgress[[#This Row],[Total Price of Shares]]-HistoricalStockProgress[[#This Row],[Cost of Shares]],0)</f>
        <v>3290.8938895159863</v>
      </c>
      <c r="L794" s="34" t="b" cm="1">
        <f t="array" ref="L794">IFERROR(IF(HistoricalStockProgress[[#This Row],[Price of Shares]]="",_xlfn.STOCKHISTORY(HistoricalStockProgress[[#This Row],[Full Company Name]],HistoricalStockProgress[[#This Row],[Date]],,2,0,1)),0)</f>
        <v>0</v>
      </c>
      <c r="M794" s="34">
        <f>YEAR(HistoricalStockProgress[[#This Row],[Date]])</f>
        <v>2020</v>
      </c>
      <c r="N794" s="34">
        <f>MONTH(HistoricalStockProgress[[#This Row],[Date]])</f>
        <v>4</v>
      </c>
    </row>
    <row r="795" spans="2:14">
      <c r="B795" s="15">
        <v>43951</v>
      </c>
      <c r="C795" s="34" t="s">
        <v>17</v>
      </c>
      <c r="D795" s="34" t="e" vm="14">
        <f>_xlfn.XLOOKUP(HistoricalStockProgress[[#This Row],[Company Ticker]],CompanyDetailsList[Company Ticker],CompanyDetailsList[Official Name],,0)</f>
        <v>#VALUE!</v>
      </c>
      <c r="E7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91</v>
      </c>
      <c r="F7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13257.550624316333</v>
      </c>
      <c r="G795" s="17">
        <f>IFERROR(HistoricalStockProgress[[#This Row],[Cost of Shares]]/HistoricalStockProgress[[#This Row],[No. of Shares]],0)</f>
        <v>145.68736949798168</v>
      </c>
      <c r="H795" s="16" vm="1321">
        <v>125.56</v>
      </c>
      <c r="I795" s="16">
        <f>IF(HistoricalStockProgress[[#This Row],[No. of Shares]]&lt;&gt;0,HistoricalStockProgress[[#This Row],[Price of Shares]]*HistoricalStockProgress[[#This Row],[No. of Shares]],0)</f>
        <v>11425.960000000001</v>
      </c>
      <c r="J795" s="16">
        <f>IF(HistoricalStockProgress[[#This Row],[No. of Shares]]&lt;&gt;0,HistoricalStockProgress[[#This Row],[Price of Shares]]-HistoricalStockProgress[[#This Row],[Cost of Shares]]/HistoricalStockProgress[[#This Row],[No. of Shares]],0)</f>
        <v>-20.127369497981675</v>
      </c>
      <c r="K795" s="17">
        <f>IF(HistoricalStockProgress[[#This Row],[Total Price of Shares]]&lt;&gt;0,HistoricalStockProgress[[#This Row],[Total Price of Shares]]-HistoricalStockProgress[[#This Row],[Cost of Shares]],0)</f>
        <v>-1831.5906243163317</v>
      </c>
      <c r="L795" s="34" t="b" cm="1">
        <f t="array" ref="L795">IFERROR(IF(HistoricalStockProgress[[#This Row],[Price of Shares]]="",_xlfn.STOCKHISTORY(HistoricalStockProgress[[#This Row],[Full Company Name]],HistoricalStockProgress[[#This Row],[Date]],,2,0,1)),0)</f>
        <v>0</v>
      </c>
      <c r="M795" s="34">
        <f>YEAR(HistoricalStockProgress[[#This Row],[Date]])</f>
        <v>2020</v>
      </c>
      <c r="N795" s="34">
        <f>MONTH(HistoricalStockProgress[[#This Row],[Date]])</f>
        <v>4</v>
      </c>
    </row>
    <row r="796" spans="2:14">
      <c r="B796" s="15">
        <v>43951</v>
      </c>
      <c r="C796" s="34" t="s">
        <v>98</v>
      </c>
      <c r="D796" s="34" t="e" vm="15">
        <f>_xlfn.XLOOKUP(HistoricalStockProgress[[#This Row],[Company Ticker]],CompanyDetailsList[Company Ticker],CompanyDetailsList[Official Name],,0)</f>
        <v>#VALUE!</v>
      </c>
      <c r="E7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7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796" s="17">
        <f>IFERROR(HistoricalStockProgress[[#This Row],[Cost of Shares]]/HistoricalStockProgress[[#This Row],[No. of Shares]],0)</f>
        <v>39.627242008882604</v>
      </c>
      <c r="H796" s="16" vm="1322">
        <v>57.78</v>
      </c>
      <c r="I796" s="16">
        <f>IF(HistoricalStockProgress[[#This Row],[No. of Shares]]&lt;&gt;0,HistoricalStockProgress[[#This Row],[Price of Shares]]*HistoricalStockProgress[[#This Row],[No. of Shares]],0)</f>
        <v>4217.9400000000005</v>
      </c>
      <c r="J796" s="16">
        <f>IF(HistoricalStockProgress[[#This Row],[No. of Shares]]&lt;&gt;0,HistoricalStockProgress[[#This Row],[Price of Shares]]-HistoricalStockProgress[[#This Row],[Cost of Shares]]/HistoricalStockProgress[[#This Row],[No. of Shares]],0)</f>
        <v>18.152757991117397</v>
      </c>
      <c r="K796" s="17">
        <f>IF(HistoricalStockProgress[[#This Row],[Total Price of Shares]]&lt;&gt;0,HistoricalStockProgress[[#This Row],[Total Price of Shares]]-HistoricalStockProgress[[#This Row],[Cost of Shares]],0)</f>
        <v>1325.1513333515704</v>
      </c>
      <c r="L796" s="34" t="b" cm="1">
        <f t="array" ref="L796">IFERROR(IF(HistoricalStockProgress[[#This Row],[Price of Shares]]="",_xlfn.STOCKHISTORY(HistoricalStockProgress[[#This Row],[Full Company Name]],HistoricalStockProgress[[#This Row],[Date]],,2,0,1)),0)</f>
        <v>0</v>
      </c>
      <c r="M796" s="34">
        <f>YEAR(HistoricalStockProgress[[#This Row],[Date]])</f>
        <v>2020</v>
      </c>
      <c r="N796" s="34">
        <f>MONTH(HistoricalStockProgress[[#This Row],[Date]])</f>
        <v>4</v>
      </c>
    </row>
    <row r="797" spans="2:14">
      <c r="B797" s="15">
        <v>43951</v>
      </c>
      <c r="C797" s="34" t="s">
        <v>100</v>
      </c>
      <c r="D797" s="34" t="e" vm="16">
        <f>_xlfn.XLOOKUP(HistoricalStockProgress[[#This Row],[Company Ticker]],CompanyDetailsList[Company Ticker],CompanyDetailsList[Official Name],,0)</f>
        <v>#VALUE!</v>
      </c>
      <c r="E7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74</v>
      </c>
      <c r="F7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6400.3550613930956</v>
      </c>
      <c r="G797" s="17">
        <f>IFERROR(HistoricalStockProgress[[#This Row],[Cost of Shares]]/HistoricalStockProgress[[#This Row],[No. of Shares]],0)</f>
        <v>86.491284613420206</v>
      </c>
      <c r="H797" s="16" vm="1323">
        <v>84.66</v>
      </c>
      <c r="I797" s="16">
        <f>IF(HistoricalStockProgress[[#This Row],[No. of Shares]]&lt;&gt;0,HistoricalStockProgress[[#This Row],[Price of Shares]]*HistoricalStockProgress[[#This Row],[No. of Shares]],0)</f>
        <v>6264.84</v>
      </c>
      <c r="J797" s="16">
        <f>IF(HistoricalStockProgress[[#This Row],[No. of Shares]]&lt;&gt;0,HistoricalStockProgress[[#This Row],[Price of Shares]]-HistoricalStockProgress[[#This Row],[Cost of Shares]]/HistoricalStockProgress[[#This Row],[No. of Shares]],0)</f>
        <v>-1.831284613420209</v>
      </c>
      <c r="K797" s="17">
        <f>IF(HistoricalStockProgress[[#This Row],[Total Price of Shares]]&lt;&gt;0,HistoricalStockProgress[[#This Row],[Total Price of Shares]]-HistoricalStockProgress[[#This Row],[Cost of Shares]],0)</f>
        <v>-135.51506139309549</v>
      </c>
      <c r="L797" s="34" t="b" cm="1">
        <f t="array" ref="L797">IFERROR(IF(HistoricalStockProgress[[#This Row],[Price of Shares]]="",_xlfn.STOCKHISTORY(HistoricalStockProgress[[#This Row],[Full Company Name]],HistoricalStockProgress[[#This Row],[Date]],,2,0,1)),0)</f>
        <v>0</v>
      </c>
      <c r="M797" s="34">
        <f>YEAR(HistoricalStockProgress[[#This Row],[Date]])</f>
        <v>2020</v>
      </c>
      <c r="N797" s="34">
        <f>MONTH(HistoricalStockProgress[[#This Row],[Date]])</f>
        <v>4</v>
      </c>
    </row>
    <row r="798" spans="2:14">
      <c r="B798" s="15">
        <v>43951</v>
      </c>
      <c r="C798" s="34" t="s">
        <v>15</v>
      </c>
      <c r="D798" s="34" t="e" vm="17">
        <f>_xlfn.XLOOKUP(HistoricalStockProgress[[#This Row],[Company Ticker]],CompanyDetailsList[Company Ticker],CompanyDetailsList[Official Name],,0)</f>
        <v>#VALUE!</v>
      </c>
      <c r="E7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7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798" s="17">
        <f>IFERROR(HistoricalStockProgress[[#This Row],[Cost of Shares]]/HistoricalStockProgress[[#This Row],[No. of Shares]],0)</f>
        <v>26.081956457072195</v>
      </c>
      <c r="H798" s="16" vm="1324">
        <v>23.010300000000001</v>
      </c>
      <c r="I798" s="16">
        <f>IF(HistoricalStockProgress[[#This Row],[No. of Shares]]&lt;&gt;0,HistoricalStockProgress[[#This Row],[Price of Shares]]*HistoricalStockProgress[[#This Row],[No. of Shares]],0)</f>
        <v>2853.2772</v>
      </c>
      <c r="J798" s="16">
        <f>IF(HistoricalStockProgress[[#This Row],[No. of Shares]]&lt;&gt;0,HistoricalStockProgress[[#This Row],[Price of Shares]]-HistoricalStockProgress[[#This Row],[Cost of Shares]]/HistoricalStockProgress[[#This Row],[No. of Shares]],0)</f>
        <v>-3.0716564570721943</v>
      </c>
      <c r="K798" s="17">
        <f>IF(HistoricalStockProgress[[#This Row],[Total Price of Shares]]&lt;&gt;0,HistoricalStockProgress[[#This Row],[Total Price of Shares]]-HistoricalStockProgress[[#This Row],[Cost of Shares]],0)</f>
        <v>-380.88540067695203</v>
      </c>
      <c r="L798" s="34" t="b" cm="1">
        <f t="array" ref="L798">IFERROR(IF(HistoricalStockProgress[[#This Row],[Price of Shares]]="",_xlfn.STOCKHISTORY(HistoricalStockProgress[[#This Row],[Full Company Name]],HistoricalStockProgress[[#This Row],[Date]],,2,0,1)),0)</f>
        <v>0</v>
      </c>
      <c r="M798" s="34">
        <f>YEAR(HistoricalStockProgress[[#This Row],[Date]])</f>
        <v>2020</v>
      </c>
      <c r="N798" s="34">
        <f>MONTH(HistoricalStockProgress[[#This Row],[Date]])</f>
        <v>4</v>
      </c>
    </row>
    <row r="799" spans="2:14">
      <c r="B799" s="15">
        <v>43951</v>
      </c>
      <c r="C799" s="34" t="s">
        <v>13</v>
      </c>
      <c r="D799" s="34" t="e" vm="18">
        <f>_xlfn.XLOOKUP(HistoricalStockProgress[[#This Row],[Company Ticker]],CompanyDetailsList[Company Ticker],CompanyDetailsList[Official Name],,0)</f>
        <v>#VALUE!</v>
      </c>
      <c r="E7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7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799" s="17">
        <f>IFERROR(HistoricalStockProgress[[#This Row],[Cost of Shares]]/HistoricalStockProgress[[#This Row],[No. of Shares]],0)</f>
        <v>35.846938938346874</v>
      </c>
      <c r="H799" s="16" vm="1325">
        <v>36.363399999999999</v>
      </c>
      <c r="I799" s="16">
        <f>IF(HistoricalStockProgress[[#This Row],[No. of Shares]]&lt;&gt;0,HistoricalStockProgress[[#This Row],[Price of Shares]]*HistoricalStockProgress[[#This Row],[No. of Shares]],0)</f>
        <v>1999.9869999999999</v>
      </c>
      <c r="J799" s="16">
        <f>IF(HistoricalStockProgress[[#This Row],[No. of Shares]]&lt;&gt;0,HistoricalStockProgress[[#This Row],[Price of Shares]]-HistoricalStockProgress[[#This Row],[Cost of Shares]]/HistoricalStockProgress[[#This Row],[No. of Shares]],0)</f>
        <v>0.51646106165312489</v>
      </c>
      <c r="K799" s="17">
        <f>IF(HistoricalStockProgress[[#This Row],[Total Price of Shares]]&lt;&gt;0,HistoricalStockProgress[[#This Row],[Total Price of Shares]]-HistoricalStockProgress[[#This Row],[Cost of Shares]],0)</f>
        <v>28.40535839092172</v>
      </c>
      <c r="L799" s="34" t="b" cm="1">
        <f t="array" ref="L799">IFERROR(IF(HistoricalStockProgress[[#This Row],[Price of Shares]]="",_xlfn.STOCKHISTORY(HistoricalStockProgress[[#This Row],[Full Company Name]],HistoricalStockProgress[[#This Row],[Date]],,2,0,1)),0)</f>
        <v>0</v>
      </c>
      <c r="M799" s="34">
        <f>YEAR(HistoricalStockProgress[[#This Row],[Date]])</f>
        <v>2020</v>
      </c>
      <c r="N799" s="34">
        <f>MONTH(HistoricalStockProgress[[#This Row],[Date]])</f>
        <v>4</v>
      </c>
    </row>
    <row r="800" spans="2:14">
      <c r="B800" s="15">
        <v>43951</v>
      </c>
      <c r="C800" s="34" t="s">
        <v>20</v>
      </c>
      <c r="D800" s="34" t="e" vm="19">
        <f>_xlfn.XLOOKUP(HistoricalStockProgress[[#This Row],[Company Ticker]],CompanyDetailsList[Company Ticker],CompanyDetailsList[Official Name],,0)</f>
        <v>#VALUE!</v>
      </c>
      <c r="E8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8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800" s="17">
        <f>IFERROR(HistoricalStockProgress[[#This Row],[Cost of Shares]]/HistoricalStockProgress[[#This Row],[No. of Shares]],0)</f>
        <v>93.912242833589502</v>
      </c>
      <c r="H800" s="16" vm="1326">
        <v>95.76</v>
      </c>
      <c r="I800" s="16">
        <f>IF(HistoricalStockProgress[[#This Row],[No. of Shares]]&lt;&gt;0,HistoricalStockProgress[[#This Row],[Price of Shares]]*HistoricalStockProgress[[#This Row],[No. of Shares]],0)</f>
        <v>7469.2800000000007</v>
      </c>
      <c r="J800" s="16">
        <f>IF(HistoricalStockProgress[[#This Row],[No. of Shares]]&lt;&gt;0,HistoricalStockProgress[[#This Row],[Price of Shares]]-HistoricalStockProgress[[#This Row],[Cost of Shares]]/HistoricalStockProgress[[#This Row],[No. of Shares]],0)</f>
        <v>1.8477571664105028</v>
      </c>
      <c r="K800" s="17">
        <f>IF(HistoricalStockProgress[[#This Row],[Total Price of Shares]]&lt;&gt;0,HistoricalStockProgress[[#This Row],[Total Price of Shares]]-HistoricalStockProgress[[#This Row],[Cost of Shares]],0)</f>
        <v>144.12505898001928</v>
      </c>
      <c r="L800" s="34" t="b" cm="1">
        <f t="array" ref="L800">IFERROR(IF(HistoricalStockProgress[[#This Row],[Price of Shares]]="",_xlfn.STOCKHISTORY(HistoricalStockProgress[[#This Row],[Full Company Name]],HistoricalStockProgress[[#This Row],[Date]],,2,0,1)),0)</f>
        <v>0</v>
      </c>
      <c r="M800" s="34">
        <f>YEAR(HistoricalStockProgress[[#This Row],[Date]])</f>
        <v>2020</v>
      </c>
      <c r="N800" s="34">
        <f>MONTH(HistoricalStockProgress[[#This Row],[Date]])</f>
        <v>4</v>
      </c>
    </row>
    <row r="801" spans="2:14">
      <c r="B801" s="15">
        <v>43951</v>
      </c>
      <c r="C801" s="34" t="s">
        <v>106</v>
      </c>
      <c r="D801" s="34" t="e" vm="20">
        <f>_xlfn.XLOOKUP(HistoricalStockProgress[[#This Row],[Company Ticker]],CompanyDetailsList[Company Ticker],CompanyDetailsList[Official Name],,0)</f>
        <v>#VALUE!</v>
      </c>
      <c r="E8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65</v>
      </c>
      <c r="F8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6977.8332077404502</v>
      </c>
      <c r="G801" s="17">
        <f>IFERROR(HistoricalStockProgress[[#This Row],[Cost of Shares]]/HistoricalStockProgress[[#This Row],[No. of Shares]],0)</f>
        <v>107.35128011908385</v>
      </c>
      <c r="H801" s="16" vm="1327">
        <v>90.83</v>
      </c>
      <c r="I801" s="16">
        <f>IF(HistoricalStockProgress[[#This Row],[No. of Shares]]&lt;&gt;0,HistoricalStockProgress[[#This Row],[Price of Shares]]*HistoricalStockProgress[[#This Row],[No. of Shares]],0)</f>
        <v>5903.95</v>
      </c>
      <c r="J801" s="16">
        <f>IF(HistoricalStockProgress[[#This Row],[No. of Shares]]&lt;&gt;0,HistoricalStockProgress[[#This Row],[Price of Shares]]-HistoricalStockProgress[[#This Row],[Cost of Shares]]/HistoricalStockProgress[[#This Row],[No. of Shares]],0)</f>
        <v>-16.521280119083855</v>
      </c>
      <c r="K801" s="17">
        <f>IF(HistoricalStockProgress[[#This Row],[Total Price of Shares]]&lt;&gt;0,HistoricalStockProgress[[#This Row],[Total Price of Shares]]-HistoricalStockProgress[[#This Row],[Cost of Shares]],0)</f>
        <v>-1073.8832077404504</v>
      </c>
      <c r="L801" s="34" t="b" cm="1">
        <f t="array" ref="L801">IFERROR(IF(HistoricalStockProgress[[#This Row],[Price of Shares]]="",_xlfn.STOCKHISTORY(HistoricalStockProgress[[#This Row],[Full Company Name]],HistoricalStockProgress[[#This Row],[Date]],,2,0,1)),0)</f>
        <v>0</v>
      </c>
      <c r="M801" s="34">
        <f>YEAR(HistoricalStockProgress[[#This Row],[Date]])</f>
        <v>2020</v>
      </c>
      <c r="N801" s="34">
        <f>MONTH(HistoricalStockProgress[[#This Row],[Date]])</f>
        <v>4</v>
      </c>
    </row>
    <row r="802" spans="2:14">
      <c r="B802" s="15">
        <v>43982</v>
      </c>
      <c r="C802" s="34" t="s">
        <v>12</v>
      </c>
      <c r="D802" s="34" t="e" vm="1">
        <f>_xlfn.XLOOKUP(HistoricalStockProgress[[#This Row],[Company Ticker]],CompanyDetailsList[Company Ticker],CompanyDetailsList[Official Name],,0)</f>
        <v>#VALUE!</v>
      </c>
      <c r="E8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8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1953.8799010350301</v>
      </c>
      <c r="G802" s="17">
        <f>IFERROR(HistoricalStockProgress[[#This Row],[Cost of Shares]]/HistoricalStockProgress[[#This Row],[No. of Shares]],0)</f>
        <v>67.375169001207937</v>
      </c>
      <c r="H802" s="16" vm="1328">
        <v>55.31</v>
      </c>
      <c r="I802" s="16">
        <f>IF(HistoricalStockProgress[[#This Row],[No. of Shares]]&lt;&gt;0,HistoricalStockProgress[[#This Row],[Price of Shares]]*HistoricalStockProgress[[#This Row],[No. of Shares]],0)</f>
        <v>1603.99</v>
      </c>
      <c r="J802" s="16">
        <f>IF(HistoricalStockProgress[[#This Row],[No. of Shares]]&lt;&gt;0,HistoricalStockProgress[[#This Row],[Price of Shares]]-HistoricalStockProgress[[#This Row],[Cost of Shares]]/HistoricalStockProgress[[#This Row],[No. of Shares]],0)</f>
        <v>-12.065169001207934</v>
      </c>
      <c r="K802" s="17">
        <f>IF(HistoricalStockProgress[[#This Row],[Total Price of Shares]]&lt;&gt;0,HistoricalStockProgress[[#This Row],[Total Price of Shares]]-HistoricalStockProgress[[#This Row],[Cost of Shares]],0)</f>
        <v>-349.88990103503011</v>
      </c>
      <c r="L802" s="34" t="b" cm="1">
        <f t="array" ref="L802">IFERROR(IF(HistoricalStockProgress[[#This Row],[Price of Shares]]="",_xlfn.STOCKHISTORY(HistoricalStockProgress[[#This Row],[Full Company Name]],HistoricalStockProgress[[#This Row],[Date]],,2,0,1)),0)</f>
        <v>0</v>
      </c>
      <c r="M802" s="34">
        <f>YEAR(HistoricalStockProgress[[#This Row],[Date]])</f>
        <v>2020</v>
      </c>
      <c r="N802" s="34">
        <f>MONTH(HistoricalStockProgress[[#This Row],[Date]])</f>
        <v>5</v>
      </c>
    </row>
    <row r="803" spans="2:14">
      <c r="B803" s="15">
        <v>43982</v>
      </c>
      <c r="C803" s="34" t="s">
        <v>19</v>
      </c>
      <c r="D803" s="34" t="e" vm="3">
        <f>_xlfn.XLOOKUP(HistoricalStockProgress[[#This Row],[Company Ticker]],CompanyDetailsList[Company Ticker],CompanyDetailsList[Official Name],,0)</f>
        <v>#VALUE!</v>
      </c>
      <c r="E8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8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803" s="17">
        <f>IFERROR(HistoricalStockProgress[[#This Row],[Cost of Shares]]/HistoricalStockProgress[[#This Row],[No. of Shares]],0)</f>
        <v>158.45739987816083</v>
      </c>
      <c r="H803" s="16" vm="1329">
        <v>206.25</v>
      </c>
      <c r="I803" s="16">
        <f>IF(HistoricalStockProgress[[#This Row],[No. of Shares]]&lt;&gt;0,HistoricalStockProgress[[#This Row],[Price of Shares]]*HistoricalStockProgress[[#This Row],[No. of Shares]],0)</f>
        <v>11756.25</v>
      </c>
      <c r="J803" s="16">
        <f>IF(HistoricalStockProgress[[#This Row],[No. of Shares]]&lt;&gt;0,HistoricalStockProgress[[#This Row],[Price of Shares]]-HistoricalStockProgress[[#This Row],[Cost of Shares]]/HistoricalStockProgress[[#This Row],[No. of Shares]],0)</f>
        <v>47.792600121839172</v>
      </c>
      <c r="K803" s="17">
        <f>IF(HistoricalStockProgress[[#This Row],[Total Price of Shares]]&lt;&gt;0,HistoricalStockProgress[[#This Row],[Total Price of Shares]]-HistoricalStockProgress[[#This Row],[Cost of Shares]],0)</f>
        <v>2724.1782069448327</v>
      </c>
      <c r="L803" s="34" t="b" cm="1">
        <f t="array" ref="L803">IFERROR(IF(HistoricalStockProgress[[#This Row],[Price of Shares]]="",_xlfn.STOCKHISTORY(HistoricalStockProgress[[#This Row],[Full Company Name]],HistoricalStockProgress[[#This Row],[Date]],,2,0,1)),0)</f>
        <v>0</v>
      </c>
      <c r="M803" s="34">
        <f>YEAR(HistoricalStockProgress[[#This Row],[Date]])</f>
        <v>2020</v>
      </c>
      <c r="N803" s="34">
        <f>MONTH(HistoricalStockProgress[[#This Row],[Date]])</f>
        <v>5</v>
      </c>
    </row>
    <row r="804" spans="2:14">
      <c r="B804" s="15">
        <v>43982</v>
      </c>
      <c r="C804" s="34" t="s">
        <v>23</v>
      </c>
      <c r="D804" s="34" t="e" vm="4">
        <f>_xlfn.XLOOKUP(HistoricalStockProgress[[#This Row],[Company Ticker]],CompanyDetailsList[Company Ticker],CompanyDetailsList[Official Name],,0)</f>
        <v>#VALUE!</v>
      </c>
      <c r="E8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8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804" s="17">
        <f>IFERROR(HistoricalStockProgress[[#This Row],[Cost of Shares]]/HistoricalStockProgress[[#This Row],[No. of Shares]],0)</f>
        <v>45.768494888570878</v>
      </c>
      <c r="H804" s="16" vm="1330">
        <v>46.68</v>
      </c>
      <c r="I804" s="16">
        <f>IF(HistoricalStockProgress[[#This Row],[No. of Shares]]&lt;&gt;0,HistoricalStockProgress[[#This Row],[Price of Shares]]*HistoricalStockProgress[[#This Row],[No. of Shares]],0)</f>
        <v>2707.44</v>
      </c>
      <c r="J804" s="16">
        <f>IF(HistoricalStockProgress[[#This Row],[No. of Shares]]&lt;&gt;0,HistoricalStockProgress[[#This Row],[Price of Shares]]-HistoricalStockProgress[[#This Row],[Cost of Shares]]/HistoricalStockProgress[[#This Row],[No. of Shares]],0)</f>
        <v>0.91150511142912194</v>
      </c>
      <c r="K804" s="17">
        <f>IF(HistoricalStockProgress[[#This Row],[Total Price of Shares]]&lt;&gt;0,HistoricalStockProgress[[#This Row],[Total Price of Shares]]-HistoricalStockProgress[[#This Row],[Cost of Shares]],0)</f>
        <v>52.867296462889044</v>
      </c>
      <c r="L804" s="34" t="b" cm="1">
        <f t="array" ref="L804">IFERROR(IF(HistoricalStockProgress[[#This Row],[Price of Shares]]="",_xlfn.STOCKHISTORY(HistoricalStockProgress[[#This Row],[Full Company Name]],HistoricalStockProgress[[#This Row],[Date]],,2,0,1)),0)</f>
        <v>0</v>
      </c>
      <c r="M804" s="34">
        <f>YEAR(HistoricalStockProgress[[#This Row],[Date]])</f>
        <v>2020</v>
      </c>
      <c r="N804" s="34">
        <f>MONTH(HistoricalStockProgress[[#This Row],[Date]])</f>
        <v>5</v>
      </c>
    </row>
    <row r="805" spans="2:14">
      <c r="B805" s="15">
        <v>43982</v>
      </c>
      <c r="C805" s="34" t="s">
        <v>21</v>
      </c>
      <c r="D805" s="34" t="e" vm="6">
        <f>_xlfn.XLOOKUP(HistoricalStockProgress[[#This Row],[Company Ticker]],CompanyDetailsList[Company Ticker],CompanyDetailsList[Official Name],,0)</f>
        <v>#VALUE!</v>
      </c>
      <c r="E8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v>
      </c>
      <c r="F8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2087.9623605222587</v>
      </c>
      <c r="G805" s="17">
        <f>IFERROR(HistoricalStockProgress[[#This Row],[Cost of Shares]]/HistoricalStockProgress[[#This Row],[No. of Shares]],0)</f>
        <v>122.82131532483875</v>
      </c>
      <c r="H805" s="16" vm="1331">
        <v>115.92</v>
      </c>
      <c r="I805" s="16">
        <f>IF(HistoricalStockProgress[[#This Row],[No. of Shares]]&lt;&gt;0,HistoricalStockProgress[[#This Row],[Price of Shares]]*HistoricalStockProgress[[#This Row],[No. of Shares]],0)</f>
        <v>1970.64</v>
      </c>
      <c r="J805" s="16">
        <f>IF(HistoricalStockProgress[[#This Row],[No. of Shares]]&lt;&gt;0,HistoricalStockProgress[[#This Row],[Price of Shares]]-HistoricalStockProgress[[#This Row],[Cost of Shares]]/HistoricalStockProgress[[#This Row],[No. of Shares]],0)</f>
        <v>-6.9013153248387482</v>
      </c>
      <c r="K805" s="17">
        <f>IF(HistoricalStockProgress[[#This Row],[Total Price of Shares]]&lt;&gt;0,HistoricalStockProgress[[#This Row],[Total Price of Shares]]-HistoricalStockProgress[[#This Row],[Cost of Shares]],0)</f>
        <v>-117.32236052225858</v>
      </c>
      <c r="L805" s="34" t="b" cm="1">
        <f t="array" ref="L805">IFERROR(IF(HistoricalStockProgress[[#This Row],[Price of Shares]]="",_xlfn.STOCKHISTORY(HistoricalStockProgress[[#This Row],[Full Company Name]],HistoricalStockProgress[[#This Row],[Date]],,2,0,1)),0)</f>
        <v>0</v>
      </c>
      <c r="M805" s="34">
        <f>YEAR(HistoricalStockProgress[[#This Row],[Date]])</f>
        <v>2020</v>
      </c>
      <c r="N805" s="34">
        <f>MONTH(HistoricalStockProgress[[#This Row],[Date]])</f>
        <v>5</v>
      </c>
    </row>
    <row r="806" spans="2:14">
      <c r="B806" s="15">
        <v>43982</v>
      </c>
      <c r="C806" s="34" t="s">
        <v>84</v>
      </c>
      <c r="D806" s="34" t="e" vm="7">
        <f>_xlfn.XLOOKUP(HistoricalStockProgress[[#This Row],[Company Ticker]],CompanyDetailsList[Company Ticker],CompanyDetailsList[Official Name],,0)</f>
        <v>#VALUE!</v>
      </c>
      <c r="E8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8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806" s="17">
        <f>IFERROR(HistoricalStockProgress[[#This Row],[Cost of Shares]]/HistoricalStockProgress[[#This Row],[No. of Shares]],0)</f>
        <v>104.18087504950869</v>
      </c>
      <c r="H806" s="16" vm="1332">
        <v>148.75</v>
      </c>
      <c r="I806" s="16">
        <f>IF(HistoricalStockProgress[[#This Row],[No. of Shares]]&lt;&gt;0,HistoricalStockProgress[[#This Row],[Price of Shares]]*HistoricalStockProgress[[#This Row],[No. of Shares]],0)</f>
        <v>7586.25</v>
      </c>
      <c r="J806" s="16">
        <f>IF(HistoricalStockProgress[[#This Row],[No. of Shares]]&lt;&gt;0,HistoricalStockProgress[[#This Row],[Price of Shares]]-HistoricalStockProgress[[#This Row],[Cost of Shares]]/HistoricalStockProgress[[#This Row],[No. of Shares]],0)</f>
        <v>44.569124950491315</v>
      </c>
      <c r="K806" s="17">
        <f>IF(HistoricalStockProgress[[#This Row],[Total Price of Shares]]&lt;&gt;0,HistoricalStockProgress[[#This Row],[Total Price of Shares]]-HistoricalStockProgress[[#This Row],[Cost of Shares]],0)</f>
        <v>2273.0253724750573</v>
      </c>
      <c r="L806" s="34" t="b" cm="1">
        <f t="array" ref="L806">IFERROR(IF(HistoricalStockProgress[[#This Row],[Price of Shares]]="",_xlfn.STOCKHISTORY(HistoricalStockProgress[[#This Row],[Full Company Name]],HistoricalStockProgress[[#This Row],[Date]],,2,0,1)),0)</f>
        <v>0</v>
      </c>
      <c r="M806" s="34">
        <f>YEAR(HistoricalStockProgress[[#This Row],[Date]])</f>
        <v>2020</v>
      </c>
      <c r="N806" s="34">
        <f>MONTH(HistoricalStockProgress[[#This Row],[Date]])</f>
        <v>5</v>
      </c>
    </row>
    <row r="807" spans="2:14">
      <c r="B807" s="15">
        <v>43982</v>
      </c>
      <c r="C807" s="34" t="s">
        <v>86</v>
      </c>
      <c r="D807" s="34" t="e" vm="8">
        <f>_xlfn.XLOOKUP(HistoricalStockProgress[[#This Row],[Company Ticker]],CompanyDetailsList[Company Ticker],CompanyDetailsList[Official Name],,0)</f>
        <v>#VALUE!</v>
      </c>
      <c r="E8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8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807" s="17">
        <f>IFERROR(HistoricalStockProgress[[#This Row],[Cost of Shares]]/HistoricalStockProgress[[#This Row],[No. of Shares]],0)</f>
        <v>85.876031764920896</v>
      </c>
      <c r="H807" s="16" vm="1333">
        <v>92.67</v>
      </c>
      <c r="I807" s="16">
        <f>IF(HistoricalStockProgress[[#This Row],[No. of Shares]]&lt;&gt;0,HistoricalStockProgress[[#This Row],[Price of Shares]]*HistoricalStockProgress[[#This Row],[No. of Shares]],0)</f>
        <v>4911.51</v>
      </c>
      <c r="J807" s="16">
        <f>IF(HistoricalStockProgress[[#This Row],[No. of Shares]]&lt;&gt;0,HistoricalStockProgress[[#This Row],[Price of Shares]]-HistoricalStockProgress[[#This Row],[Cost of Shares]]/HistoricalStockProgress[[#This Row],[No. of Shares]],0)</f>
        <v>6.793968235079106</v>
      </c>
      <c r="K807" s="17">
        <f>IF(HistoricalStockProgress[[#This Row],[Total Price of Shares]]&lt;&gt;0,HistoricalStockProgress[[#This Row],[Total Price of Shares]]-HistoricalStockProgress[[#This Row],[Cost of Shares]],0)</f>
        <v>360.08031645919255</v>
      </c>
      <c r="L807" s="34" t="b" cm="1">
        <f t="array" ref="L807">IFERROR(IF(HistoricalStockProgress[[#This Row],[Price of Shares]]="",_xlfn.STOCKHISTORY(HistoricalStockProgress[[#This Row],[Full Company Name]],HistoricalStockProgress[[#This Row],[Date]],,2,0,1)),0)</f>
        <v>0</v>
      </c>
      <c r="M807" s="34">
        <f>YEAR(HistoricalStockProgress[[#This Row],[Date]])</f>
        <v>2020</v>
      </c>
      <c r="N807" s="34">
        <f>MONTH(HistoricalStockProgress[[#This Row],[Date]])</f>
        <v>5</v>
      </c>
    </row>
    <row r="808" spans="2:14">
      <c r="B808" s="15">
        <v>43982</v>
      </c>
      <c r="C808" s="34" t="s">
        <v>88</v>
      </c>
      <c r="D808" s="34" t="e" vm="9">
        <f>_xlfn.XLOOKUP(HistoricalStockProgress[[#This Row],[Company Ticker]],CompanyDetailsList[Company Ticker],CompanyDetailsList[Official Name],,0)</f>
        <v>#VALUE!</v>
      </c>
      <c r="E8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8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808" s="17">
        <f>IFERROR(HistoricalStockProgress[[#This Row],[Cost of Shares]]/HistoricalStockProgress[[#This Row],[No. of Shares]],0)</f>
        <v>187.727755253422</v>
      </c>
      <c r="H808" s="16" vm="1334">
        <v>186.32</v>
      </c>
      <c r="I808" s="16">
        <f>IF(HistoricalStockProgress[[#This Row],[No. of Shares]]&lt;&gt;0,HistoricalStockProgress[[#This Row],[Price of Shares]]*HistoricalStockProgress[[#This Row],[No. of Shares]],0)</f>
        <v>10992.88</v>
      </c>
      <c r="J808" s="16">
        <f>IF(HistoricalStockProgress[[#This Row],[No. of Shares]]&lt;&gt;0,HistoricalStockProgress[[#This Row],[Price of Shares]]-HistoricalStockProgress[[#This Row],[Cost of Shares]]/HistoricalStockProgress[[#This Row],[No. of Shares]],0)</f>
        <v>-1.4077552534220104</v>
      </c>
      <c r="K808" s="17">
        <f>IF(HistoricalStockProgress[[#This Row],[Total Price of Shares]]&lt;&gt;0,HistoricalStockProgress[[#This Row],[Total Price of Shares]]-HistoricalStockProgress[[#This Row],[Cost of Shares]],0)</f>
        <v>-83.057559951899748</v>
      </c>
      <c r="L808" s="34" t="b" cm="1">
        <f t="array" ref="L808">IFERROR(IF(HistoricalStockProgress[[#This Row],[Price of Shares]]="",_xlfn.STOCKHISTORY(HistoricalStockProgress[[#This Row],[Full Company Name]],HistoricalStockProgress[[#This Row],[Date]],,2,0,1)),0)</f>
        <v>0</v>
      </c>
      <c r="M808" s="34">
        <f>YEAR(HistoricalStockProgress[[#This Row],[Date]])</f>
        <v>2020</v>
      </c>
      <c r="N808" s="34">
        <f>MONTH(HistoricalStockProgress[[#This Row],[Date]])</f>
        <v>5</v>
      </c>
    </row>
    <row r="809" spans="2:14">
      <c r="B809" s="15">
        <v>43982</v>
      </c>
      <c r="C809" s="34" t="s">
        <v>22</v>
      </c>
      <c r="D809" s="34" t="e" vm="10">
        <f>_xlfn.XLOOKUP(HistoricalStockProgress[[#This Row],[Company Ticker]],CompanyDetailsList[Company Ticker],CompanyDetailsList[Official Name],,0)</f>
        <v>#VALUE!</v>
      </c>
      <c r="E8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8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809" s="17">
        <f>IFERROR(HistoricalStockProgress[[#This Row],[Cost of Shares]]/HistoricalStockProgress[[#This Row],[No. of Shares]],0)</f>
        <v>96.351727068187571</v>
      </c>
      <c r="H809" s="16" vm="1335">
        <v>120.13</v>
      </c>
      <c r="I809" s="16">
        <f>IF(HistoricalStockProgress[[#This Row],[No. of Shares]]&lt;&gt;0,HistoricalStockProgress[[#This Row],[Price of Shares]]*HistoricalStockProgress[[#This Row],[No. of Shares]],0)</f>
        <v>9730.5299999999988</v>
      </c>
      <c r="J809" s="16">
        <f>IF(HistoricalStockProgress[[#This Row],[No. of Shares]]&lt;&gt;0,HistoricalStockProgress[[#This Row],[Price of Shares]]-HistoricalStockProgress[[#This Row],[Cost of Shares]]/HistoricalStockProgress[[#This Row],[No. of Shares]],0)</f>
        <v>23.778272931812424</v>
      </c>
      <c r="K809" s="17">
        <f>IF(HistoricalStockProgress[[#This Row],[Total Price of Shares]]&lt;&gt;0,HistoricalStockProgress[[#This Row],[Total Price of Shares]]-HistoricalStockProgress[[#This Row],[Cost of Shares]],0)</f>
        <v>1926.040107476806</v>
      </c>
      <c r="L809" s="34" t="b" cm="1">
        <f t="array" ref="L809">IFERROR(IF(HistoricalStockProgress[[#This Row],[Price of Shares]]="",_xlfn.STOCKHISTORY(HistoricalStockProgress[[#This Row],[Full Company Name]],HistoricalStockProgress[[#This Row],[Date]],,2,0,1)),0)</f>
        <v>0</v>
      </c>
      <c r="M809" s="34">
        <f>YEAR(HistoricalStockProgress[[#This Row],[Date]])</f>
        <v>2020</v>
      </c>
      <c r="N809" s="34">
        <f>MONTH(HistoricalStockProgress[[#This Row],[Date]])</f>
        <v>5</v>
      </c>
    </row>
    <row r="810" spans="2:14">
      <c r="B810" s="15">
        <v>43982</v>
      </c>
      <c r="C810" s="34" t="s">
        <v>91</v>
      </c>
      <c r="D810" s="34" t="e" vm="11">
        <f>_xlfn.XLOOKUP(HistoricalStockProgress[[#This Row],[Company Ticker]],CompanyDetailsList[Company Ticker],CompanyDetailsList[Official Name],,0)</f>
        <v>#VALUE!</v>
      </c>
      <c r="E8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113</v>
      </c>
      <c r="F8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8617.7943854195</v>
      </c>
      <c r="G810" s="17">
        <f>IFERROR(HistoricalStockProgress[[#This Row],[Cost of Shares]]/HistoricalStockProgress[[#This Row],[No. of Shares]],0)</f>
        <v>76.263667127606197</v>
      </c>
      <c r="H810" s="16" vm="1336">
        <v>183.25</v>
      </c>
      <c r="I810" s="16">
        <f>IF(HistoricalStockProgress[[#This Row],[No. of Shares]]&lt;&gt;0,HistoricalStockProgress[[#This Row],[Price of Shares]]*HistoricalStockProgress[[#This Row],[No. of Shares]],0)</f>
        <v>20707.25</v>
      </c>
      <c r="J810" s="16">
        <f>IF(HistoricalStockProgress[[#This Row],[No. of Shares]]&lt;&gt;0,HistoricalStockProgress[[#This Row],[Price of Shares]]-HistoricalStockProgress[[#This Row],[Cost of Shares]]/HistoricalStockProgress[[#This Row],[No. of Shares]],0)</f>
        <v>106.9863328723938</v>
      </c>
      <c r="K810" s="17">
        <f>IF(HistoricalStockProgress[[#This Row],[Total Price of Shares]]&lt;&gt;0,HistoricalStockProgress[[#This Row],[Total Price of Shares]]-HistoricalStockProgress[[#This Row],[Cost of Shares]],0)</f>
        <v>12089.4556145805</v>
      </c>
      <c r="L810" s="34" t="b" cm="1">
        <f t="array" ref="L810">IFERROR(IF(HistoricalStockProgress[[#This Row],[Price of Shares]]="",_xlfn.STOCKHISTORY(HistoricalStockProgress[[#This Row],[Full Company Name]],HistoricalStockProgress[[#This Row],[Date]],,2,0,1)),0)</f>
        <v>0</v>
      </c>
      <c r="M810" s="34">
        <f>YEAR(HistoricalStockProgress[[#This Row],[Date]])</f>
        <v>2020</v>
      </c>
      <c r="N810" s="34">
        <f>MONTH(HistoricalStockProgress[[#This Row],[Date]])</f>
        <v>5</v>
      </c>
    </row>
    <row r="811" spans="2:14">
      <c r="B811" s="15">
        <v>43982</v>
      </c>
      <c r="C811" s="34" t="s">
        <v>16</v>
      </c>
      <c r="D811" s="34" t="e" vm="12">
        <f>_xlfn.XLOOKUP(HistoricalStockProgress[[#This Row],[Company Ticker]],CompanyDetailsList[Company Ticker],CompanyDetailsList[Official Name],,0)</f>
        <v>#VALUE!</v>
      </c>
      <c r="E8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8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811" s="17">
        <f>IFERROR(HistoricalStockProgress[[#This Row],[Cost of Shares]]/HistoricalStockProgress[[#This Row],[No. of Shares]],0)</f>
        <v>82.900834685216523</v>
      </c>
      <c r="H811" s="16" vm="1337">
        <v>45.47</v>
      </c>
      <c r="I811" s="16">
        <f>IF(HistoricalStockProgress[[#This Row],[No. of Shares]]&lt;&gt;0,HistoricalStockProgress[[#This Row],[Price of Shares]]*HistoricalStockProgress[[#This Row],[No. of Shares]],0)</f>
        <v>6593.15</v>
      </c>
      <c r="J811" s="16">
        <f>IF(HistoricalStockProgress[[#This Row],[No. of Shares]]&lt;&gt;0,HistoricalStockProgress[[#This Row],[Price of Shares]]-HistoricalStockProgress[[#This Row],[Cost of Shares]]/HistoricalStockProgress[[#This Row],[No. of Shares]],0)</f>
        <v>-37.430834685216524</v>
      </c>
      <c r="K811" s="17">
        <f>IF(HistoricalStockProgress[[#This Row],[Total Price of Shares]]&lt;&gt;0,HistoricalStockProgress[[#This Row],[Total Price of Shares]]-HistoricalStockProgress[[#This Row],[Cost of Shares]],0)</f>
        <v>-5427.4710293563967</v>
      </c>
      <c r="L811" s="34" t="b" cm="1">
        <f t="array" ref="L811">IFERROR(IF(HistoricalStockProgress[[#This Row],[Price of Shares]]="",_xlfn.STOCKHISTORY(HistoricalStockProgress[[#This Row],[Full Company Name]],HistoricalStockProgress[[#This Row],[Date]],,2,0,1)),0)</f>
        <v>0</v>
      </c>
      <c r="M811" s="34">
        <f>YEAR(HistoricalStockProgress[[#This Row],[Date]])</f>
        <v>2020</v>
      </c>
      <c r="N811" s="34">
        <f>MONTH(HistoricalStockProgress[[#This Row],[Date]])</f>
        <v>5</v>
      </c>
    </row>
    <row r="812" spans="2:14">
      <c r="B812" s="15">
        <v>43982</v>
      </c>
      <c r="C812" s="34" t="s">
        <v>95</v>
      </c>
      <c r="D812" s="34" t="e" vm="13">
        <f>_xlfn.XLOOKUP(HistoricalStockProgress[[#This Row],[Company Ticker]],CompanyDetailsList[Company Ticker],CompanyDetailsList[Official Name],,0)</f>
        <v>#VALUE!</v>
      </c>
      <c r="E8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8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812" s="17">
        <f>IFERROR(HistoricalStockProgress[[#This Row],[Cost of Shares]]/HistoricalStockProgress[[#This Row],[No. of Shares]],0)</f>
        <v>143.29758396474452</v>
      </c>
      <c r="H812" s="16" vm="1338">
        <v>248.48</v>
      </c>
      <c r="I812" s="16">
        <f>IF(HistoricalStockProgress[[#This Row],[No. of Shares]]&lt;&gt;0,HistoricalStockProgress[[#This Row],[Price of Shares]]*HistoricalStockProgress[[#This Row],[No. of Shares]],0)</f>
        <v>10684.64</v>
      </c>
      <c r="J812" s="16">
        <f>IF(HistoricalStockProgress[[#This Row],[No. of Shares]]&lt;&gt;0,HistoricalStockProgress[[#This Row],[Price of Shares]]-HistoricalStockProgress[[#This Row],[Cost of Shares]]/HistoricalStockProgress[[#This Row],[No. of Shares]],0)</f>
        <v>105.18241603525547</v>
      </c>
      <c r="K812" s="17">
        <f>IF(HistoricalStockProgress[[#This Row],[Total Price of Shares]]&lt;&gt;0,HistoricalStockProgress[[#This Row],[Total Price of Shares]]-HistoricalStockProgress[[#This Row],[Cost of Shares]],0)</f>
        <v>4522.8438895159852</v>
      </c>
      <c r="L812" s="34" t="b" cm="1">
        <f t="array" ref="L812">IFERROR(IF(HistoricalStockProgress[[#This Row],[Price of Shares]]="",_xlfn.STOCKHISTORY(HistoricalStockProgress[[#This Row],[Full Company Name]],HistoricalStockProgress[[#This Row],[Date]],,2,0,1)),0)</f>
        <v>0</v>
      </c>
      <c r="M812" s="34">
        <f>YEAR(HistoricalStockProgress[[#This Row],[Date]])</f>
        <v>2020</v>
      </c>
      <c r="N812" s="34">
        <f>MONTH(HistoricalStockProgress[[#This Row],[Date]])</f>
        <v>5</v>
      </c>
    </row>
    <row r="813" spans="2:14">
      <c r="B813" s="15">
        <v>43982</v>
      </c>
      <c r="C813" s="34" t="s">
        <v>17</v>
      </c>
      <c r="D813" s="34" t="e" vm="14">
        <f>_xlfn.XLOOKUP(HistoricalStockProgress[[#This Row],[Company Ticker]],CompanyDetailsList[Company Ticker],CompanyDetailsList[Official Name],,0)</f>
        <v>#VALUE!</v>
      </c>
      <c r="E8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91</v>
      </c>
      <c r="F8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13257.550624316333</v>
      </c>
      <c r="G813" s="17">
        <f>IFERROR(HistoricalStockProgress[[#This Row],[Cost of Shares]]/HistoricalStockProgress[[#This Row],[No. of Shares]],0)</f>
        <v>145.68736949798168</v>
      </c>
      <c r="H813" s="16" vm="1241">
        <v>124.9</v>
      </c>
      <c r="I813" s="16">
        <f>IF(HistoricalStockProgress[[#This Row],[No. of Shares]]&lt;&gt;0,HistoricalStockProgress[[#This Row],[Price of Shares]]*HistoricalStockProgress[[#This Row],[No. of Shares]],0)</f>
        <v>11365.9</v>
      </c>
      <c r="J813" s="16">
        <f>IF(HistoricalStockProgress[[#This Row],[No. of Shares]]&lt;&gt;0,HistoricalStockProgress[[#This Row],[Price of Shares]]-HistoricalStockProgress[[#This Row],[Cost of Shares]]/HistoricalStockProgress[[#This Row],[No. of Shares]],0)</f>
        <v>-20.787369497981672</v>
      </c>
      <c r="K813" s="17">
        <f>IF(HistoricalStockProgress[[#This Row],[Total Price of Shares]]&lt;&gt;0,HistoricalStockProgress[[#This Row],[Total Price of Shares]]-HistoricalStockProgress[[#This Row],[Cost of Shares]],0)</f>
        <v>-1891.6506243163331</v>
      </c>
      <c r="L813" s="34" t="b" cm="1">
        <f t="array" ref="L813">IFERROR(IF(HistoricalStockProgress[[#This Row],[Price of Shares]]="",_xlfn.STOCKHISTORY(HistoricalStockProgress[[#This Row],[Full Company Name]],HistoricalStockProgress[[#This Row],[Date]],,2,0,1)),0)</f>
        <v>0</v>
      </c>
      <c r="M813" s="34">
        <f>YEAR(HistoricalStockProgress[[#This Row],[Date]])</f>
        <v>2020</v>
      </c>
      <c r="N813" s="34">
        <f>MONTH(HistoricalStockProgress[[#This Row],[Date]])</f>
        <v>5</v>
      </c>
    </row>
    <row r="814" spans="2:14">
      <c r="B814" s="15">
        <v>43982</v>
      </c>
      <c r="C814" s="34" t="s">
        <v>98</v>
      </c>
      <c r="D814" s="34" t="e" vm="15">
        <f>_xlfn.XLOOKUP(HistoricalStockProgress[[#This Row],[Company Ticker]],CompanyDetailsList[Company Ticker],CompanyDetailsList[Official Name],,0)</f>
        <v>#VALUE!</v>
      </c>
      <c r="E8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8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814" s="17">
        <f>IFERROR(HistoricalStockProgress[[#This Row],[Cost of Shares]]/HistoricalStockProgress[[#This Row],[No. of Shares]],0)</f>
        <v>39.627242008882604</v>
      </c>
      <c r="H814" s="16" vm="1339">
        <v>63.89</v>
      </c>
      <c r="I814" s="16">
        <f>IF(HistoricalStockProgress[[#This Row],[No. of Shares]]&lt;&gt;0,HistoricalStockProgress[[#This Row],[Price of Shares]]*HistoricalStockProgress[[#This Row],[No. of Shares]],0)</f>
        <v>4663.97</v>
      </c>
      <c r="J814" s="16">
        <f>IF(HistoricalStockProgress[[#This Row],[No. of Shares]]&lt;&gt;0,HistoricalStockProgress[[#This Row],[Price of Shares]]-HistoricalStockProgress[[#This Row],[Cost of Shares]]/HistoricalStockProgress[[#This Row],[No. of Shares]],0)</f>
        <v>24.262757991117397</v>
      </c>
      <c r="K814" s="17">
        <f>IF(HistoricalStockProgress[[#This Row],[Total Price of Shares]]&lt;&gt;0,HistoricalStockProgress[[#This Row],[Total Price of Shares]]-HistoricalStockProgress[[#This Row],[Cost of Shares]],0)</f>
        <v>1771.1813333515702</v>
      </c>
      <c r="L814" s="34" t="b" cm="1">
        <f t="array" ref="L814">IFERROR(IF(HistoricalStockProgress[[#This Row],[Price of Shares]]="",_xlfn.STOCKHISTORY(HistoricalStockProgress[[#This Row],[Full Company Name]],HistoricalStockProgress[[#This Row],[Date]],,2,0,1)),0)</f>
        <v>0</v>
      </c>
      <c r="M814" s="34">
        <f>YEAR(HistoricalStockProgress[[#This Row],[Date]])</f>
        <v>2020</v>
      </c>
      <c r="N814" s="34">
        <f>MONTH(HistoricalStockProgress[[#This Row],[Date]])</f>
        <v>5</v>
      </c>
    </row>
    <row r="815" spans="2:14">
      <c r="B815" s="15">
        <v>43982</v>
      </c>
      <c r="C815" s="34" t="s">
        <v>100</v>
      </c>
      <c r="D815" s="34" t="e" vm="16">
        <f>_xlfn.XLOOKUP(HistoricalStockProgress[[#This Row],[Company Ticker]],CompanyDetailsList[Company Ticker],CompanyDetailsList[Official Name],,0)</f>
        <v>#VALUE!</v>
      </c>
      <c r="E8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109</v>
      </c>
      <c r="F8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9263.9352759443282</v>
      </c>
      <c r="G815" s="17">
        <f>IFERROR(HistoricalStockProgress[[#This Row],[Cost of Shares]]/HistoricalStockProgress[[#This Row],[No. of Shares]],0)</f>
        <v>84.990231889397506</v>
      </c>
      <c r="H815" s="16" vm="1340">
        <v>85.63</v>
      </c>
      <c r="I815" s="16">
        <f>IF(HistoricalStockProgress[[#This Row],[No. of Shares]]&lt;&gt;0,HistoricalStockProgress[[#This Row],[Price of Shares]]*HistoricalStockProgress[[#This Row],[No. of Shares]],0)</f>
        <v>9333.67</v>
      </c>
      <c r="J815" s="16">
        <f>IF(HistoricalStockProgress[[#This Row],[No. of Shares]]&lt;&gt;0,HistoricalStockProgress[[#This Row],[Price of Shares]]-HistoricalStockProgress[[#This Row],[Cost of Shares]]/HistoricalStockProgress[[#This Row],[No. of Shares]],0)</f>
        <v>0.63976811060248906</v>
      </c>
      <c r="K815" s="17">
        <f>IF(HistoricalStockProgress[[#This Row],[Total Price of Shares]]&lt;&gt;0,HistoricalStockProgress[[#This Row],[Total Price of Shares]]-HistoricalStockProgress[[#This Row],[Cost of Shares]],0)</f>
        <v>69.734724055671904</v>
      </c>
      <c r="L815" s="34" t="b" cm="1">
        <f t="array" ref="L815">IFERROR(IF(HistoricalStockProgress[[#This Row],[Price of Shares]]="",_xlfn.STOCKHISTORY(HistoricalStockProgress[[#This Row],[Full Company Name]],HistoricalStockProgress[[#This Row],[Date]],,2,0,1)),0)</f>
        <v>0</v>
      </c>
      <c r="M815" s="34">
        <f>YEAR(HistoricalStockProgress[[#This Row],[Date]])</f>
        <v>2020</v>
      </c>
      <c r="N815" s="34">
        <f>MONTH(HistoricalStockProgress[[#This Row],[Date]])</f>
        <v>5</v>
      </c>
    </row>
    <row r="816" spans="2:14">
      <c r="B816" s="15">
        <v>43982</v>
      </c>
      <c r="C816" s="34" t="s">
        <v>15</v>
      </c>
      <c r="D816" s="34" t="e" vm="17">
        <f>_xlfn.XLOOKUP(HistoricalStockProgress[[#This Row],[Company Ticker]],CompanyDetailsList[Company Ticker],CompanyDetailsList[Official Name],,0)</f>
        <v>#VALUE!</v>
      </c>
      <c r="E8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8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816" s="17">
        <f>IFERROR(HistoricalStockProgress[[#This Row],[Cost of Shares]]/HistoricalStockProgress[[#This Row],[No. of Shares]],0)</f>
        <v>26.081956457072195</v>
      </c>
      <c r="H816" s="16" vm="1341">
        <v>23.3049</v>
      </c>
      <c r="I816" s="16">
        <f>IF(HistoricalStockProgress[[#This Row],[No. of Shares]]&lt;&gt;0,HistoricalStockProgress[[#This Row],[Price of Shares]]*HistoricalStockProgress[[#This Row],[No. of Shares]],0)</f>
        <v>2889.8076000000001</v>
      </c>
      <c r="J816" s="16">
        <f>IF(HistoricalStockProgress[[#This Row],[No. of Shares]]&lt;&gt;0,HistoricalStockProgress[[#This Row],[Price of Shares]]-HistoricalStockProgress[[#This Row],[Cost of Shares]]/HistoricalStockProgress[[#This Row],[No. of Shares]],0)</f>
        <v>-2.7770564570721952</v>
      </c>
      <c r="K816" s="17">
        <f>IF(HistoricalStockProgress[[#This Row],[Total Price of Shares]]&lt;&gt;0,HistoricalStockProgress[[#This Row],[Total Price of Shares]]-HistoricalStockProgress[[#This Row],[Cost of Shares]],0)</f>
        <v>-344.35500067695193</v>
      </c>
      <c r="L816" s="34" t="b" cm="1">
        <f t="array" ref="L816">IFERROR(IF(HistoricalStockProgress[[#This Row],[Price of Shares]]="",_xlfn.STOCKHISTORY(HistoricalStockProgress[[#This Row],[Full Company Name]],HistoricalStockProgress[[#This Row],[Date]],,2,0,1)),0)</f>
        <v>0</v>
      </c>
      <c r="M816" s="34">
        <f>YEAR(HistoricalStockProgress[[#This Row],[Date]])</f>
        <v>2020</v>
      </c>
      <c r="N816" s="34">
        <f>MONTH(HistoricalStockProgress[[#This Row],[Date]])</f>
        <v>5</v>
      </c>
    </row>
    <row r="817" spans="2:14">
      <c r="B817" s="15">
        <v>43982</v>
      </c>
      <c r="C817" s="34" t="s">
        <v>13</v>
      </c>
      <c r="D817" s="34" t="e" vm="18">
        <f>_xlfn.XLOOKUP(HistoricalStockProgress[[#This Row],[Company Ticker]],CompanyDetailsList[Company Ticker],CompanyDetailsList[Official Name],,0)</f>
        <v>#VALUE!</v>
      </c>
      <c r="E8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8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817" s="17">
        <f>IFERROR(HistoricalStockProgress[[#This Row],[Cost of Shares]]/HistoricalStockProgress[[#This Row],[No. of Shares]],0)</f>
        <v>35.846938938346874</v>
      </c>
      <c r="H817" s="16" vm="1342">
        <v>36.202199999999998</v>
      </c>
      <c r="I817" s="16">
        <f>IF(HistoricalStockProgress[[#This Row],[No. of Shares]]&lt;&gt;0,HistoricalStockProgress[[#This Row],[Price of Shares]]*HistoricalStockProgress[[#This Row],[No. of Shares]],0)</f>
        <v>1991.1209999999999</v>
      </c>
      <c r="J817" s="16">
        <f>IF(HistoricalStockProgress[[#This Row],[No. of Shares]]&lt;&gt;0,HistoricalStockProgress[[#This Row],[Price of Shares]]-HistoricalStockProgress[[#This Row],[Cost of Shares]]/HistoricalStockProgress[[#This Row],[No. of Shares]],0)</f>
        <v>0.35526106165312399</v>
      </c>
      <c r="K817" s="17">
        <f>IF(HistoricalStockProgress[[#This Row],[Total Price of Shares]]&lt;&gt;0,HistoricalStockProgress[[#This Row],[Total Price of Shares]]-HistoricalStockProgress[[#This Row],[Cost of Shares]],0)</f>
        <v>19.539358390921734</v>
      </c>
      <c r="L817" s="34" t="b" cm="1">
        <f t="array" ref="L817">IFERROR(IF(HistoricalStockProgress[[#This Row],[Price of Shares]]="",_xlfn.STOCKHISTORY(HistoricalStockProgress[[#This Row],[Full Company Name]],HistoricalStockProgress[[#This Row],[Date]],,2,0,1)),0)</f>
        <v>0</v>
      </c>
      <c r="M817" s="34">
        <f>YEAR(HistoricalStockProgress[[#This Row],[Date]])</f>
        <v>2020</v>
      </c>
      <c r="N817" s="34">
        <f>MONTH(HistoricalStockProgress[[#This Row],[Date]])</f>
        <v>5</v>
      </c>
    </row>
    <row r="818" spans="2:14">
      <c r="B818" s="15">
        <v>43982</v>
      </c>
      <c r="C818" s="34" t="s">
        <v>20</v>
      </c>
      <c r="D818" s="34" t="e" vm="19">
        <f>_xlfn.XLOOKUP(HistoricalStockProgress[[#This Row],[Company Ticker]],CompanyDetailsList[Company Ticker],CompanyDetailsList[Official Name],,0)</f>
        <v>#VALUE!</v>
      </c>
      <c r="E8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8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818" s="17">
        <f>IFERROR(HistoricalStockProgress[[#This Row],[Cost of Shares]]/HistoricalStockProgress[[#This Row],[No. of Shares]],0)</f>
        <v>93.912242833589502</v>
      </c>
      <c r="H818" s="16" vm="1343">
        <v>97.31</v>
      </c>
      <c r="I818" s="16">
        <f>IF(HistoricalStockProgress[[#This Row],[No. of Shares]]&lt;&gt;0,HistoricalStockProgress[[#This Row],[Price of Shares]]*HistoricalStockProgress[[#This Row],[No. of Shares]],0)</f>
        <v>7590.18</v>
      </c>
      <c r="J818" s="16">
        <f>IF(HistoricalStockProgress[[#This Row],[No. of Shares]]&lt;&gt;0,HistoricalStockProgress[[#This Row],[Price of Shares]]-HistoricalStockProgress[[#This Row],[Cost of Shares]]/HistoricalStockProgress[[#This Row],[No. of Shares]],0)</f>
        <v>3.3977571664105</v>
      </c>
      <c r="K818" s="17">
        <f>IF(HistoricalStockProgress[[#This Row],[Total Price of Shares]]&lt;&gt;0,HistoricalStockProgress[[#This Row],[Total Price of Shares]]-HistoricalStockProgress[[#This Row],[Cost of Shares]],0)</f>
        <v>265.02505898001891</v>
      </c>
      <c r="L818" s="34" t="b" cm="1">
        <f t="array" ref="L818">IFERROR(IF(HistoricalStockProgress[[#This Row],[Price of Shares]]="",_xlfn.STOCKHISTORY(HistoricalStockProgress[[#This Row],[Full Company Name]],HistoricalStockProgress[[#This Row],[Date]],,2,0,1)),0)</f>
        <v>0</v>
      </c>
      <c r="M818" s="34">
        <f>YEAR(HistoricalStockProgress[[#This Row],[Date]])</f>
        <v>2020</v>
      </c>
      <c r="N818" s="34">
        <f>MONTH(HistoricalStockProgress[[#This Row],[Date]])</f>
        <v>5</v>
      </c>
    </row>
    <row r="819" spans="2:14">
      <c r="B819" s="15">
        <v>43982</v>
      </c>
      <c r="C819" s="34" t="s">
        <v>106</v>
      </c>
      <c r="D819" s="34" t="e" vm="20">
        <f>_xlfn.XLOOKUP(HistoricalStockProgress[[#This Row],[Company Ticker]],CompanyDetailsList[Company Ticker],CompanyDetailsList[Official Name],,0)</f>
        <v>#VALUE!</v>
      </c>
      <c r="E8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65</v>
      </c>
      <c r="F8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6977.8332077404502</v>
      </c>
      <c r="G819" s="17">
        <f>IFERROR(HistoricalStockProgress[[#This Row],[Cost of Shares]]/HistoricalStockProgress[[#This Row],[No. of Shares]],0)</f>
        <v>107.35128011908385</v>
      </c>
      <c r="H819" s="16" vm="1344">
        <v>101.67</v>
      </c>
      <c r="I819" s="16">
        <f>IF(HistoricalStockProgress[[#This Row],[No. of Shares]]&lt;&gt;0,HistoricalStockProgress[[#This Row],[Price of Shares]]*HistoricalStockProgress[[#This Row],[No. of Shares]],0)</f>
        <v>6608.55</v>
      </c>
      <c r="J819" s="16">
        <f>IF(HistoricalStockProgress[[#This Row],[No. of Shares]]&lt;&gt;0,HistoricalStockProgress[[#This Row],[Price of Shares]]-HistoricalStockProgress[[#This Row],[Cost of Shares]]/HistoricalStockProgress[[#This Row],[No. of Shares]],0)</f>
        <v>-5.6812801190838513</v>
      </c>
      <c r="K819" s="17">
        <f>IF(HistoricalStockProgress[[#This Row],[Total Price of Shares]]&lt;&gt;0,HistoricalStockProgress[[#This Row],[Total Price of Shares]]-HistoricalStockProgress[[#This Row],[Cost of Shares]],0)</f>
        <v>-369.28320774045005</v>
      </c>
      <c r="L819" s="34" t="b" cm="1">
        <f t="array" ref="L819">IFERROR(IF(HistoricalStockProgress[[#This Row],[Price of Shares]]="",_xlfn.STOCKHISTORY(HistoricalStockProgress[[#This Row],[Full Company Name]],HistoricalStockProgress[[#This Row],[Date]],,2,0,1)),0)</f>
        <v>0</v>
      </c>
      <c r="M819" s="34">
        <f>YEAR(HistoricalStockProgress[[#This Row],[Date]])</f>
        <v>2020</v>
      </c>
      <c r="N819" s="34">
        <f>MONTH(HistoricalStockProgress[[#This Row],[Date]])</f>
        <v>5</v>
      </c>
    </row>
    <row r="820" spans="2:14">
      <c r="B820" s="15">
        <v>44012</v>
      </c>
      <c r="C820" s="34" t="s">
        <v>12</v>
      </c>
      <c r="D820" s="34" t="e" vm="1">
        <f>_xlfn.XLOOKUP(HistoricalStockProgress[[#This Row],[Company Ticker]],CompanyDetailsList[Company Ticker],CompanyDetailsList[Official Name],,0)</f>
        <v>#VALUE!</v>
      </c>
      <c r="E8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8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1953.8799010350301</v>
      </c>
      <c r="G820" s="17">
        <f>IFERROR(HistoricalStockProgress[[#This Row],[Cost of Shares]]/HistoricalStockProgress[[#This Row],[No. of Shares]],0)</f>
        <v>67.375169001207937</v>
      </c>
      <c r="H820" s="16" vm="628">
        <v>59.5</v>
      </c>
      <c r="I820" s="16">
        <f>IF(HistoricalStockProgress[[#This Row],[No. of Shares]]&lt;&gt;0,HistoricalStockProgress[[#This Row],[Price of Shares]]*HistoricalStockProgress[[#This Row],[No. of Shares]],0)</f>
        <v>1725.5</v>
      </c>
      <c r="J820" s="16">
        <f>IF(HistoricalStockProgress[[#This Row],[No. of Shares]]&lt;&gt;0,HistoricalStockProgress[[#This Row],[Price of Shares]]-HistoricalStockProgress[[#This Row],[Cost of Shares]]/HistoricalStockProgress[[#This Row],[No. of Shares]],0)</f>
        <v>-7.8751690012079365</v>
      </c>
      <c r="K820" s="17">
        <f>IF(HistoricalStockProgress[[#This Row],[Total Price of Shares]]&lt;&gt;0,HistoricalStockProgress[[#This Row],[Total Price of Shares]]-HistoricalStockProgress[[#This Row],[Cost of Shares]],0)</f>
        <v>-228.37990103503012</v>
      </c>
      <c r="L820" s="34" t="b" cm="1">
        <f t="array" ref="L820">IFERROR(IF(HistoricalStockProgress[[#This Row],[Price of Shares]]="",_xlfn.STOCKHISTORY(HistoricalStockProgress[[#This Row],[Full Company Name]],HistoricalStockProgress[[#This Row],[Date]],,2,0,1)),0)</f>
        <v>0</v>
      </c>
      <c r="M820" s="34">
        <f>YEAR(HistoricalStockProgress[[#This Row],[Date]])</f>
        <v>2020</v>
      </c>
      <c r="N820" s="34">
        <f>MONTH(HistoricalStockProgress[[#This Row],[Date]])</f>
        <v>6</v>
      </c>
    </row>
    <row r="821" spans="2:14">
      <c r="B821" s="15">
        <v>44012</v>
      </c>
      <c r="C821" s="34" t="s">
        <v>19</v>
      </c>
      <c r="D821" s="34" t="e" vm="3">
        <f>_xlfn.XLOOKUP(HistoricalStockProgress[[#This Row],[Company Ticker]],CompanyDetailsList[Company Ticker],CompanyDetailsList[Official Name],,0)</f>
        <v>#VALUE!</v>
      </c>
      <c r="E8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8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821" s="17">
        <f>IFERROR(HistoricalStockProgress[[#This Row],[Cost of Shares]]/HistoricalStockProgress[[#This Row],[No. of Shares]],0)</f>
        <v>158.45739987816083</v>
      </c>
      <c r="H821" s="16" vm="1345">
        <v>219.37</v>
      </c>
      <c r="I821" s="16">
        <f>IF(HistoricalStockProgress[[#This Row],[No. of Shares]]&lt;&gt;0,HistoricalStockProgress[[#This Row],[Price of Shares]]*HistoricalStockProgress[[#This Row],[No. of Shares]],0)</f>
        <v>12504.09</v>
      </c>
      <c r="J821" s="16">
        <f>IF(HistoricalStockProgress[[#This Row],[No. of Shares]]&lt;&gt;0,HistoricalStockProgress[[#This Row],[Price of Shares]]-HistoricalStockProgress[[#This Row],[Cost of Shares]]/HistoricalStockProgress[[#This Row],[No. of Shares]],0)</f>
        <v>60.912600121839176</v>
      </c>
      <c r="K821" s="17">
        <f>IF(HistoricalStockProgress[[#This Row],[Total Price of Shares]]&lt;&gt;0,HistoricalStockProgress[[#This Row],[Total Price of Shares]]-HistoricalStockProgress[[#This Row],[Cost of Shares]],0)</f>
        <v>3472.0182069448329</v>
      </c>
      <c r="L821" s="34" t="b" cm="1">
        <f t="array" ref="L821">IFERROR(IF(HistoricalStockProgress[[#This Row],[Price of Shares]]="",_xlfn.STOCKHISTORY(HistoricalStockProgress[[#This Row],[Full Company Name]],HistoricalStockProgress[[#This Row],[Date]],,2,0,1)),0)</f>
        <v>0</v>
      </c>
      <c r="M821" s="34">
        <f>YEAR(HistoricalStockProgress[[#This Row],[Date]])</f>
        <v>2020</v>
      </c>
      <c r="N821" s="34">
        <f>MONTH(HistoricalStockProgress[[#This Row],[Date]])</f>
        <v>6</v>
      </c>
    </row>
    <row r="822" spans="2:14">
      <c r="B822" s="15">
        <v>44012</v>
      </c>
      <c r="C822" s="34" t="s">
        <v>23</v>
      </c>
      <c r="D822" s="34" t="e" vm="4">
        <f>_xlfn.XLOOKUP(HistoricalStockProgress[[#This Row],[Company Ticker]],CompanyDetailsList[Company Ticker],CompanyDetailsList[Official Name],,0)</f>
        <v>#VALUE!</v>
      </c>
      <c r="E8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8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822" s="17">
        <f>IFERROR(HistoricalStockProgress[[#This Row],[Cost of Shares]]/HistoricalStockProgress[[#This Row],[No. of Shares]],0)</f>
        <v>45.768494888570878</v>
      </c>
      <c r="H822" s="16" vm="1346">
        <v>44.68</v>
      </c>
      <c r="I822" s="16">
        <f>IF(HistoricalStockProgress[[#This Row],[No. of Shares]]&lt;&gt;0,HistoricalStockProgress[[#This Row],[Price of Shares]]*HistoricalStockProgress[[#This Row],[No. of Shares]],0)</f>
        <v>2591.44</v>
      </c>
      <c r="J822" s="16">
        <f>IF(HistoricalStockProgress[[#This Row],[No. of Shares]]&lt;&gt;0,HistoricalStockProgress[[#This Row],[Price of Shares]]-HistoricalStockProgress[[#This Row],[Cost of Shares]]/HistoricalStockProgress[[#This Row],[No. of Shares]],0)</f>
        <v>-1.0884948885708781</v>
      </c>
      <c r="K822" s="17">
        <f>IF(HistoricalStockProgress[[#This Row],[Total Price of Shares]]&lt;&gt;0,HistoricalStockProgress[[#This Row],[Total Price of Shares]]-HistoricalStockProgress[[#This Row],[Cost of Shares]],0)</f>
        <v>-63.132703537110956</v>
      </c>
      <c r="L822" s="34" t="b" cm="1">
        <f t="array" ref="L822">IFERROR(IF(HistoricalStockProgress[[#This Row],[Price of Shares]]="",_xlfn.STOCKHISTORY(HistoricalStockProgress[[#This Row],[Full Company Name]],HistoricalStockProgress[[#This Row],[Date]],,2,0,1)),0)</f>
        <v>0</v>
      </c>
      <c r="M822" s="34">
        <f>YEAR(HistoricalStockProgress[[#This Row],[Date]])</f>
        <v>2020</v>
      </c>
      <c r="N822" s="34">
        <f>MONTH(HistoricalStockProgress[[#This Row],[Date]])</f>
        <v>6</v>
      </c>
    </row>
    <row r="823" spans="2:14">
      <c r="B823" s="15">
        <v>44012</v>
      </c>
      <c r="C823" s="34" t="s">
        <v>21</v>
      </c>
      <c r="D823" s="34" t="e" vm="6">
        <f>_xlfn.XLOOKUP(HistoricalStockProgress[[#This Row],[Company Ticker]],CompanyDetailsList[Company Ticker],CompanyDetailsList[Official Name],,0)</f>
        <v>#VALUE!</v>
      </c>
      <c r="E8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v>
      </c>
      <c r="F8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2087.9623605222587</v>
      </c>
      <c r="G823" s="17">
        <f>IFERROR(HistoricalStockProgress[[#This Row],[Cost of Shares]]/HistoricalStockProgress[[#This Row],[No. of Shares]],0)</f>
        <v>122.82131532483875</v>
      </c>
      <c r="H823" s="16" vm="1347">
        <v>119.57</v>
      </c>
      <c r="I823" s="16">
        <f>IF(HistoricalStockProgress[[#This Row],[No. of Shares]]&lt;&gt;0,HistoricalStockProgress[[#This Row],[Price of Shares]]*HistoricalStockProgress[[#This Row],[No. of Shares]],0)</f>
        <v>2032.6899999999998</v>
      </c>
      <c r="J823" s="16">
        <f>IF(HistoricalStockProgress[[#This Row],[No. of Shares]]&lt;&gt;0,HistoricalStockProgress[[#This Row],[Price of Shares]]-HistoricalStockProgress[[#This Row],[Cost of Shares]]/HistoricalStockProgress[[#This Row],[No. of Shares]],0)</f>
        <v>-3.2513153248387567</v>
      </c>
      <c r="K823" s="17">
        <f>IF(HistoricalStockProgress[[#This Row],[Total Price of Shares]]&lt;&gt;0,HistoricalStockProgress[[#This Row],[Total Price of Shares]]-HistoricalStockProgress[[#This Row],[Cost of Shares]],0)</f>
        <v>-55.27236052225885</v>
      </c>
      <c r="L823" s="34" t="b" cm="1">
        <f t="array" ref="L823">IFERROR(IF(HistoricalStockProgress[[#This Row],[Price of Shares]]="",_xlfn.STOCKHISTORY(HistoricalStockProgress[[#This Row],[Full Company Name]],HistoricalStockProgress[[#This Row],[Date]],,2,0,1)),0)</f>
        <v>0</v>
      </c>
      <c r="M823" s="34">
        <f>YEAR(HistoricalStockProgress[[#This Row],[Date]])</f>
        <v>2020</v>
      </c>
      <c r="N823" s="34">
        <f>MONTH(HistoricalStockProgress[[#This Row],[Date]])</f>
        <v>6</v>
      </c>
    </row>
    <row r="824" spans="2:14">
      <c r="B824" s="15">
        <v>44012</v>
      </c>
      <c r="C824" s="34" t="s">
        <v>84</v>
      </c>
      <c r="D824" s="34" t="e" vm="7">
        <f>_xlfn.XLOOKUP(HistoricalStockProgress[[#This Row],[Company Ticker]],CompanyDetailsList[Company Ticker],CompanyDetailsList[Official Name],,0)</f>
        <v>#VALUE!</v>
      </c>
      <c r="E8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8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824" s="17">
        <f>IFERROR(HistoricalStockProgress[[#This Row],[Cost of Shares]]/HistoricalStockProgress[[#This Row],[No. of Shares]],0)</f>
        <v>104.18087504950869</v>
      </c>
      <c r="H824" s="16" vm="1348">
        <v>140.63</v>
      </c>
      <c r="I824" s="16">
        <f>IF(HistoricalStockProgress[[#This Row],[No. of Shares]]&lt;&gt;0,HistoricalStockProgress[[#This Row],[Price of Shares]]*HistoricalStockProgress[[#This Row],[No. of Shares]],0)</f>
        <v>7172.13</v>
      </c>
      <c r="J824" s="16">
        <f>IF(HistoricalStockProgress[[#This Row],[No. of Shares]]&lt;&gt;0,HistoricalStockProgress[[#This Row],[Price of Shares]]-HistoricalStockProgress[[#This Row],[Cost of Shares]]/HistoricalStockProgress[[#This Row],[No. of Shares]],0)</f>
        <v>36.44912495049131</v>
      </c>
      <c r="K824" s="17">
        <f>IF(HistoricalStockProgress[[#This Row],[Total Price of Shares]]&lt;&gt;0,HistoricalStockProgress[[#This Row],[Total Price of Shares]]-HistoricalStockProgress[[#This Row],[Cost of Shares]],0)</f>
        <v>1858.9053724750574</v>
      </c>
      <c r="L824" s="34" t="b" cm="1">
        <f t="array" ref="L824">IFERROR(IF(HistoricalStockProgress[[#This Row],[Price of Shares]]="",_xlfn.STOCKHISTORY(HistoricalStockProgress[[#This Row],[Full Company Name]],HistoricalStockProgress[[#This Row],[Date]],,2,0,1)),0)</f>
        <v>0</v>
      </c>
      <c r="M824" s="34">
        <f>YEAR(HistoricalStockProgress[[#This Row],[Date]])</f>
        <v>2020</v>
      </c>
      <c r="N824" s="34">
        <f>MONTH(HistoricalStockProgress[[#This Row],[Date]])</f>
        <v>6</v>
      </c>
    </row>
    <row r="825" spans="2:14">
      <c r="B825" s="15">
        <v>44012</v>
      </c>
      <c r="C825" s="34" t="s">
        <v>86</v>
      </c>
      <c r="D825" s="34" t="e" vm="8">
        <f>_xlfn.XLOOKUP(HistoricalStockProgress[[#This Row],[Company Ticker]],CompanyDetailsList[Company Ticker],CompanyDetailsList[Official Name],,0)</f>
        <v>#VALUE!</v>
      </c>
      <c r="E8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8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825" s="17">
        <f>IFERROR(HistoricalStockProgress[[#This Row],[Cost of Shares]]/HistoricalStockProgress[[#This Row],[No. of Shares]],0)</f>
        <v>85.876031764920896</v>
      </c>
      <c r="H825" s="16" vm="1349">
        <v>98.18</v>
      </c>
      <c r="I825" s="16">
        <f>IF(HistoricalStockProgress[[#This Row],[No. of Shares]]&lt;&gt;0,HistoricalStockProgress[[#This Row],[Price of Shares]]*HistoricalStockProgress[[#This Row],[No. of Shares]],0)</f>
        <v>5203.54</v>
      </c>
      <c r="J825" s="16">
        <f>IF(HistoricalStockProgress[[#This Row],[No. of Shares]]&lt;&gt;0,HistoricalStockProgress[[#This Row],[Price of Shares]]-HistoricalStockProgress[[#This Row],[Cost of Shares]]/HistoricalStockProgress[[#This Row],[No. of Shares]],0)</f>
        <v>12.303968235079111</v>
      </c>
      <c r="K825" s="17">
        <f>IF(HistoricalStockProgress[[#This Row],[Total Price of Shares]]&lt;&gt;0,HistoricalStockProgress[[#This Row],[Total Price of Shares]]-HistoricalStockProgress[[#This Row],[Cost of Shares]],0)</f>
        <v>652.11031645919229</v>
      </c>
      <c r="L825" s="34" t="b" cm="1">
        <f t="array" ref="L825">IFERROR(IF(HistoricalStockProgress[[#This Row],[Price of Shares]]="",_xlfn.STOCKHISTORY(HistoricalStockProgress[[#This Row],[Full Company Name]],HistoricalStockProgress[[#This Row],[Date]],,2,0,1)),0)</f>
        <v>0</v>
      </c>
      <c r="M825" s="34">
        <f>YEAR(HistoricalStockProgress[[#This Row],[Date]])</f>
        <v>2020</v>
      </c>
      <c r="N825" s="34">
        <f>MONTH(HistoricalStockProgress[[#This Row],[Date]])</f>
        <v>6</v>
      </c>
    </row>
    <row r="826" spans="2:14">
      <c r="B826" s="15">
        <v>44012</v>
      </c>
      <c r="C826" s="34" t="s">
        <v>88</v>
      </c>
      <c r="D826" s="34" t="e" vm="9">
        <f>_xlfn.XLOOKUP(HistoricalStockProgress[[#This Row],[Company Ticker]],CompanyDetailsList[Company Ticker],CompanyDetailsList[Official Name],,0)</f>
        <v>#VALUE!</v>
      </c>
      <c r="E8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8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826" s="17">
        <f>IFERROR(HistoricalStockProgress[[#This Row],[Cost of Shares]]/HistoricalStockProgress[[#This Row],[No. of Shares]],0)</f>
        <v>187.727755253422</v>
      </c>
      <c r="H826" s="16" vm="1350">
        <v>184.47</v>
      </c>
      <c r="I826" s="16">
        <f>IF(HistoricalStockProgress[[#This Row],[No. of Shares]]&lt;&gt;0,HistoricalStockProgress[[#This Row],[Price of Shares]]*HistoricalStockProgress[[#This Row],[No. of Shares]],0)</f>
        <v>10883.73</v>
      </c>
      <c r="J826" s="16">
        <f>IF(HistoricalStockProgress[[#This Row],[No. of Shares]]&lt;&gt;0,HistoricalStockProgress[[#This Row],[Price of Shares]]-HistoricalStockProgress[[#This Row],[Cost of Shares]]/HistoricalStockProgress[[#This Row],[No. of Shares]],0)</f>
        <v>-3.2577552534220047</v>
      </c>
      <c r="K826" s="17">
        <f>IF(HistoricalStockProgress[[#This Row],[Total Price of Shares]]&lt;&gt;0,HistoricalStockProgress[[#This Row],[Total Price of Shares]]-HistoricalStockProgress[[#This Row],[Cost of Shares]],0)</f>
        <v>-192.20755995189938</v>
      </c>
      <c r="L826" s="34" t="b" cm="1">
        <f t="array" ref="L826">IFERROR(IF(HistoricalStockProgress[[#This Row],[Price of Shares]]="",_xlfn.STOCKHISTORY(HistoricalStockProgress[[#This Row],[Full Company Name]],HistoricalStockProgress[[#This Row],[Date]],,2,0,1)),0)</f>
        <v>0</v>
      </c>
      <c r="M826" s="34">
        <f>YEAR(HistoricalStockProgress[[#This Row],[Date]])</f>
        <v>2020</v>
      </c>
      <c r="N826" s="34">
        <f>MONTH(HistoricalStockProgress[[#This Row],[Date]])</f>
        <v>6</v>
      </c>
    </row>
    <row r="827" spans="2:14">
      <c r="B827" s="15">
        <v>44012</v>
      </c>
      <c r="C827" s="34" t="s">
        <v>22</v>
      </c>
      <c r="D827" s="34" t="e" vm="10">
        <f>_xlfn.XLOOKUP(HistoricalStockProgress[[#This Row],[Company Ticker]],CompanyDetailsList[Company Ticker],CompanyDetailsList[Official Name],,0)</f>
        <v>#VALUE!</v>
      </c>
      <c r="E8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8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827" s="17">
        <f>IFERROR(HistoricalStockProgress[[#This Row],[Cost of Shares]]/HistoricalStockProgress[[#This Row],[No. of Shares]],0)</f>
        <v>96.351727068187571</v>
      </c>
      <c r="H827" s="16" vm="1351">
        <v>126.5</v>
      </c>
      <c r="I827" s="16">
        <f>IF(HistoricalStockProgress[[#This Row],[No. of Shares]]&lt;&gt;0,HistoricalStockProgress[[#This Row],[Price of Shares]]*HistoricalStockProgress[[#This Row],[No. of Shares]],0)</f>
        <v>10246.5</v>
      </c>
      <c r="J827" s="16">
        <f>IF(HistoricalStockProgress[[#This Row],[No. of Shares]]&lt;&gt;0,HistoricalStockProgress[[#This Row],[Price of Shares]]-HistoricalStockProgress[[#This Row],[Cost of Shares]]/HistoricalStockProgress[[#This Row],[No. of Shares]],0)</f>
        <v>30.148272931812429</v>
      </c>
      <c r="K827" s="17">
        <f>IF(HistoricalStockProgress[[#This Row],[Total Price of Shares]]&lt;&gt;0,HistoricalStockProgress[[#This Row],[Total Price of Shares]]-HistoricalStockProgress[[#This Row],[Cost of Shares]],0)</f>
        <v>2442.0101074768072</v>
      </c>
      <c r="L827" s="34" t="b" cm="1">
        <f t="array" ref="L827">IFERROR(IF(HistoricalStockProgress[[#This Row],[Price of Shares]]="",_xlfn.STOCKHISTORY(HistoricalStockProgress[[#This Row],[Full Company Name]],HistoricalStockProgress[[#This Row],[Date]],,2,0,1)),0)</f>
        <v>0</v>
      </c>
      <c r="M827" s="34">
        <f>YEAR(HistoricalStockProgress[[#This Row],[Date]])</f>
        <v>2020</v>
      </c>
      <c r="N827" s="34">
        <f>MONTH(HistoricalStockProgress[[#This Row],[Date]])</f>
        <v>6</v>
      </c>
    </row>
    <row r="828" spans="2:14">
      <c r="B828" s="15">
        <v>44012</v>
      </c>
      <c r="C828" s="34" t="s">
        <v>91</v>
      </c>
      <c r="D828" s="34" t="e" vm="11">
        <f>_xlfn.XLOOKUP(HistoricalStockProgress[[#This Row],[Company Ticker]],CompanyDetailsList[Company Ticker],CompanyDetailsList[Official Name],,0)</f>
        <v>#VALUE!</v>
      </c>
      <c r="E8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8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828" s="17">
        <f>IFERROR(HistoricalStockProgress[[#This Row],[Cost of Shares]]/HistoricalStockProgress[[#This Row],[No. of Shares]],0)</f>
        <v>100.94993172657422</v>
      </c>
      <c r="H828" s="16" vm="1352">
        <v>203.51</v>
      </c>
      <c r="I828" s="16">
        <f>IF(HistoricalStockProgress[[#This Row],[No. of Shares]]&lt;&gt;0,HistoricalStockProgress[[#This Row],[Price of Shares]]*HistoricalStockProgress[[#This Row],[No. of Shares]],0)</f>
        <v>29915.969999999998</v>
      </c>
      <c r="J828" s="16">
        <f>IF(HistoricalStockProgress[[#This Row],[No. of Shares]]&lt;&gt;0,HistoricalStockProgress[[#This Row],[Price of Shares]]-HistoricalStockProgress[[#This Row],[Cost of Shares]]/HistoricalStockProgress[[#This Row],[No. of Shares]],0)</f>
        <v>102.56006827342577</v>
      </c>
      <c r="K828" s="17">
        <f>IF(HistoricalStockProgress[[#This Row],[Total Price of Shares]]&lt;&gt;0,HistoricalStockProgress[[#This Row],[Total Price of Shares]]-HistoricalStockProgress[[#This Row],[Cost of Shares]],0)</f>
        <v>15076.330036193587</v>
      </c>
      <c r="L828" s="34" t="b" cm="1">
        <f t="array" ref="L828">IFERROR(IF(HistoricalStockProgress[[#This Row],[Price of Shares]]="",_xlfn.STOCKHISTORY(HistoricalStockProgress[[#This Row],[Full Company Name]],HistoricalStockProgress[[#This Row],[Date]],,2,0,1)),0)</f>
        <v>0</v>
      </c>
      <c r="M828" s="34">
        <f>YEAR(HistoricalStockProgress[[#This Row],[Date]])</f>
        <v>2020</v>
      </c>
      <c r="N828" s="34">
        <f>MONTH(HistoricalStockProgress[[#This Row],[Date]])</f>
        <v>6</v>
      </c>
    </row>
    <row r="829" spans="2:14">
      <c r="B829" s="15">
        <v>44012</v>
      </c>
      <c r="C829" s="34" t="s">
        <v>16</v>
      </c>
      <c r="D829" s="34" t="e" vm="12">
        <f>_xlfn.XLOOKUP(HistoricalStockProgress[[#This Row],[Company Ticker]],CompanyDetailsList[Company Ticker],CompanyDetailsList[Official Name],,0)</f>
        <v>#VALUE!</v>
      </c>
      <c r="E8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8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829" s="17">
        <f>IFERROR(HistoricalStockProgress[[#This Row],[Cost of Shares]]/HistoricalStockProgress[[#This Row],[No. of Shares]],0)</f>
        <v>82.900834685216523</v>
      </c>
      <c r="H829" s="16" vm="1353">
        <v>44.72</v>
      </c>
      <c r="I829" s="16">
        <f>IF(HistoricalStockProgress[[#This Row],[No. of Shares]]&lt;&gt;0,HistoricalStockProgress[[#This Row],[Price of Shares]]*HistoricalStockProgress[[#This Row],[No. of Shares]],0)</f>
        <v>6484.4</v>
      </c>
      <c r="J829" s="16">
        <f>IF(HistoricalStockProgress[[#This Row],[No. of Shares]]&lt;&gt;0,HistoricalStockProgress[[#This Row],[Price of Shares]]-HistoricalStockProgress[[#This Row],[Cost of Shares]]/HistoricalStockProgress[[#This Row],[No. of Shares]],0)</f>
        <v>-38.180834685216524</v>
      </c>
      <c r="K829" s="17">
        <f>IF(HistoricalStockProgress[[#This Row],[Total Price of Shares]]&lt;&gt;0,HistoricalStockProgress[[#This Row],[Total Price of Shares]]-HistoricalStockProgress[[#This Row],[Cost of Shares]],0)</f>
        <v>-5536.2210293563967</v>
      </c>
      <c r="L829" s="34" t="b" cm="1">
        <f t="array" ref="L829">IFERROR(IF(HistoricalStockProgress[[#This Row],[Price of Shares]]="",_xlfn.STOCKHISTORY(HistoricalStockProgress[[#This Row],[Full Company Name]],HistoricalStockProgress[[#This Row],[Date]],,2,0,1)),0)</f>
        <v>0</v>
      </c>
      <c r="M829" s="34">
        <f>YEAR(HistoricalStockProgress[[#This Row],[Date]])</f>
        <v>2020</v>
      </c>
      <c r="N829" s="34">
        <f>MONTH(HistoricalStockProgress[[#This Row],[Date]])</f>
        <v>6</v>
      </c>
    </row>
    <row r="830" spans="2:14">
      <c r="B830" s="15">
        <v>44012</v>
      </c>
      <c r="C830" s="34" t="s">
        <v>95</v>
      </c>
      <c r="D830" s="34" t="e" vm="13">
        <f>_xlfn.XLOOKUP(HistoricalStockProgress[[#This Row],[Company Ticker]],CompanyDetailsList[Company Ticker],CompanyDetailsList[Official Name],,0)</f>
        <v>#VALUE!</v>
      </c>
      <c r="E8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8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830" s="17">
        <f>IFERROR(HistoricalStockProgress[[#This Row],[Cost of Shares]]/HistoricalStockProgress[[#This Row],[No. of Shares]],0)</f>
        <v>143.29758396474452</v>
      </c>
      <c r="H830" s="16" vm="1354">
        <v>250.51</v>
      </c>
      <c r="I830" s="16">
        <f>IF(HistoricalStockProgress[[#This Row],[No. of Shares]]&lt;&gt;0,HistoricalStockProgress[[#This Row],[Price of Shares]]*HistoricalStockProgress[[#This Row],[No. of Shares]],0)</f>
        <v>10771.93</v>
      </c>
      <c r="J830" s="16">
        <f>IF(HistoricalStockProgress[[#This Row],[No. of Shares]]&lt;&gt;0,HistoricalStockProgress[[#This Row],[Price of Shares]]-HistoricalStockProgress[[#This Row],[Cost of Shares]]/HistoricalStockProgress[[#This Row],[No. of Shares]],0)</f>
        <v>107.21241603525547</v>
      </c>
      <c r="K830" s="17">
        <f>IF(HistoricalStockProgress[[#This Row],[Total Price of Shares]]&lt;&gt;0,HistoricalStockProgress[[#This Row],[Total Price of Shares]]-HistoricalStockProgress[[#This Row],[Cost of Shares]],0)</f>
        <v>4610.1338895159861</v>
      </c>
      <c r="L830" s="34" t="b" cm="1">
        <f t="array" ref="L830">IFERROR(IF(HistoricalStockProgress[[#This Row],[Price of Shares]]="",_xlfn.STOCKHISTORY(HistoricalStockProgress[[#This Row],[Full Company Name]],HistoricalStockProgress[[#This Row],[Date]],,2,0,1)),0)</f>
        <v>0</v>
      </c>
      <c r="M830" s="34">
        <f>YEAR(HistoricalStockProgress[[#This Row],[Date]])</f>
        <v>2020</v>
      </c>
      <c r="N830" s="34">
        <f>MONTH(HistoricalStockProgress[[#This Row],[Date]])</f>
        <v>6</v>
      </c>
    </row>
    <row r="831" spans="2:14">
      <c r="B831" s="15">
        <v>44012</v>
      </c>
      <c r="C831" s="34" t="s">
        <v>17</v>
      </c>
      <c r="D831" s="34" t="e" vm="14">
        <f>_xlfn.XLOOKUP(HistoricalStockProgress[[#This Row],[Company Ticker]],CompanyDetailsList[Company Ticker],CompanyDetailsList[Official Name],,0)</f>
        <v>#VALUE!</v>
      </c>
      <c r="E8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91</v>
      </c>
      <c r="F8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13257.550624316333</v>
      </c>
      <c r="G831" s="17">
        <f>IFERROR(HistoricalStockProgress[[#This Row],[Cost of Shares]]/HistoricalStockProgress[[#This Row],[No. of Shares]],0)</f>
        <v>145.68736949798168</v>
      </c>
      <c r="H831" s="16" vm="1355">
        <v>120.77</v>
      </c>
      <c r="I831" s="16">
        <f>IF(HistoricalStockProgress[[#This Row],[No. of Shares]]&lt;&gt;0,HistoricalStockProgress[[#This Row],[Price of Shares]]*HistoricalStockProgress[[#This Row],[No. of Shares]],0)</f>
        <v>10990.07</v>
      </c>
      <c r="J831" s="16">
        <f>IF(HistoricalStockProgress[[#This Row],[No. of Shares]]&lt;&gt;0,HistoricalStockProgress[[#This Row],[Price of Shares]]-HistoricalStockProgress[[#This Row],[Cost of Shares]]/HistoricalStockProgress[[#This Row],[No. of Shares]],0)</f>
        <v>-24.917369497981682</v>
      </c>
      <c r="K831" s="17">
        <f>IF(HistoricalStockProgress[[#This Row],[Total Price of Shares]]&lt;&gt;0,HistoricalStockProgress[[#This Row],[Total Price of Shares]]-HistoricalStockProgress[[#This Row],[Cost of Shares]],0)</f>
        <v>-2267.480624316333</v>
      </c>
      <c r="L831" s="34" t="b" cm="1">
        <f t="array" ref="L831">IFERROR(IF(HistoricalStockProgress[[#This Row],[Price of Shares]]="",_xlfn.STOCKHISTORY(HistoricalStockProgress[[#This Row],[Full Company Name]],HistoricalStockProgress[[#This Row],[Date]],,2,0,1)),0)</f>
        <v>0</v>
      </c>
      <c r="M831" s="34">
        <f>YEAR(HistoricalStockProgress[[#This Row],[Date]])</f>
        <v>2020</v>
      </c>
      <c r="N831" s="34">
        <f>MONTH(HistoricalStockProgress[[#This Row],[Date]])</f>
        <v>6</v>
      </c>
    </row>
    <row r="832" spans="2:14">
      <c r="B832" s="15">
        <v>44012</v>
      </c>
      <c r="C832" s="34" t="s">
        <v>98</v>
      </c>
      <c r="D832" s="34" t="e" vm="15">
        <f>_xlfn.XLOOKUP(HistoricalStockProgress[[#This Row],[Company Ticker]],CompanyDetailsList[Company Ticker],CompanyDetailsList[Official Name],,0)</f>
        <v>#VALUE!</v>
      </c>
      <c r="E8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8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832" s="17">
        <f>IFERROR(HistoricalStockProgress[[#This Row],[Cost of Shares]]/HistoricalStockProgress[[#This Row],[No. of Shares]],0)</f>
        <v>39.627242008882604</v>
      </c>
      <c r="H832" s="16" vm="1356">
        <v>60.042499999999997</v>
      </c>
      <c r="I832" s="16">
        <f>IF(HistoricalStockProgress[[#This Row],[No. of Shares]]&lt;&gt;0,HistoricalStockProgress[[#This Row],[Price of Shares]]*HistoricalStockProgress[[#This Row],[No. of Shares]],0)</f>
        <v>4383.1025</v>
      </c>
      <c r="J832" s="16">
        <f>IF(HistoricalStockProgress[[#This Row],[No. of Shares]]&lt;&gt;0,HistoricalStockProgress[[#This Row],[Price of Shares]]-HistoricalStockProgress[[#This Row],[Cost of Shares]]/HistoricalStockProgress[[#This Row],[No. of Shares]],0)</f>
        <v>20.415257991117393</v>
      </c>
      <c r="K832" s="17">
        <f>IF(HistoricalStockProgress[[#This Row],[Total Price of Shares]]&lt;&gt;0,HistoricalStockProgress[[#This Row],[Total Price of Shares]]-HistoricalStockProgress[[#This Row],[Cost of Shares]],0)</f>
        <v>1490.3138333515699</v>
      </c>
      <c r="L832" s="34" t="b" cm="1">
        <f t="array" ref="L832">IFERROR(IF(HistoricalStockProgress[[#This Row],[Price of Shares]]="",_xlfn.STOCKHISTORY(HistoricalStockProgress[[#This Row],[Full Company Name]],HistoricalStockProgress[[#This Row],[Date]],,2,0,1)),0)</f>
        <v>0</v>
      </c>
      <c r="M832" s="34">
        <f>YEAR(HistoricalStockProgress[[#This Row],[Date]])</f>
        <v>2020</v>
      </c>
      <c r="N832" s="34">
        <f>MONTH(HistoricalStockProgress[[#This Row],[Date]])</f>
        <v>6</v>
      </c>
    </row>
    <row r="833" spans="2:14">
      <c r="B833" s="15">
        <v>44012</v>
      </c>
      <c r="C833" s="34" t="s">
        <v>100</v>
      </c>
      <c r="D833" s="34" t="e" vm="16">
        <f>_xlfn.XLOOKUP(HistoricalStockProgress[[#This Row],[Company Ticker]],CompanyDetailsList[Company Ticker],CompanyDetailsList[Official Name],,0)</f>
        <v>#VALUE!</v>
      </c>
      <c r="E8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109</v>
      </c>
      <c r="F8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9263.9352759443282</v>
      </c>
      <c r="G833" s="17">
        <f>IFERROR(HistoricalStockProgress[[#This Row],[Cost of Shares]]/HistoricalStockProgress[[#This Row],[No. of Shares]],0)</f>
        <v>84.990231889397506</v>
      </c>
      <c r="H833" s="16" vm="1357">
        <v>79.89</v>
      </c>
      <c r="I833" s="16">
        <f>IF(HistoricalStockProgress[[#This Row],[No. of Shares]]&lt;&gt;0,HistoricalStockProgress[[#This Row],[Price of Shares]]*HistoricalStockProgress[[#This Row],[No. of Shares]],0)</f>
        <v>8708.01</v>
      </c>
      <c r="J833" s="16">
        <f>IF(HistoricalStockProgress[[#This Row],[No. of Shares]]&lt;&gt;0,HistoricalStockProgress[[#This Row],[Price of Shares]]-HistoricalStockProgress[[#This Row],[Cost of Shares]]/HistoricalStockProgress[[#This Row],[No. of Shares]],0)</f>
        <v>-5.1002318893975058</v>
      </c>
      <c r="K833" s="17">
        <f>IF(HistoricalStockProgress[[#This Row],[Total Price of Shares]]&lt;&gt;0,HistoricalStockProgress[[#This Row],[Total Price of Shares]]-HistoricalStockProgress[[#This Row],[Cost of Shares]],0)</f>
        <v>-555.92527594432795</v>
      </c>
      <c r="L833" s="34" t="b" cm="1">
        <f t="array" ref="L833">IFERROR(IF(HistoricalStockProgress[[#This Row],[Price of Shares]]="",_xlfn.STOCKHISTORY(HistoricalStockProgress[[#This Row],[Full Company Name]],HistoricalStockProgress[[#This Row],[Date]],,2,0,1)),0)</f>
        <v>0</v>
      </c>
      <c r="M833" s="34">
        <f>YEAR(HistoricalStockProgress[[#This Row],[Date]])</f>
        <v>2020</v>
      </c>
      <c r="N833" s="34">
        <f>MONTH(HistoricalStockProgress[[#This Row],[Date]])</f>
        <v>6</v>
      </c>
    </row>
    <row r="834" spans="2:14">
      <c r="B834" s="15">
        <v>44012</v>
      </c>
      <c r="C834" s="34" t="s">
        <v>15</v>
      </c>
      <c r="D834" s="34" t="e" vm="17">
        <f>_xlfn.XLOOKUP(HistoricalStockProgress[[#This Row],[Company Ticker]],CompanyDetailsList[Company Ticker],CompanyDetailsList[Official Name],,0)</f>
        <v>#VALUE!</v>
      </c>
      <c r="E8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8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834" s="17">
        <f>IFERROR(HistoricalStockProgress[[#This Row],[Cost of Shares]]/HistoricalStockProgress[[#This Row],[No. of Shares]],0)</f>
        <v>26.081956457072195</v>
      </c>
      <c r="H834" s="16" vm="1358">
        <v>22.8291</v>
      </c>
      <c r="I834" s="16">
        <f>IF(HistoricalStockProgress[[#This Row],[No. of Shares]]&lt;&gt;0,HistoricalStockProgress[[#This Row],[Price of Shares]]*HistoricalStockProgress[[#This Row],[No. of Shares]],0)</f>
        <v>2830.8083999999999</v>
      </c>
      <c r="J834" s="16">
        <f>IF(HistoricalStockProgress[[#This Row],[No. of Shares]]&lt;&gt;0,HistoricalStockProgress[[#This Row],[Price of Shares]]-HistoricalStockProgress[[#This Row],[Cost of Shares]]/HistoricalStockProgress[[#This Row],[No. of Shares]],0)</f>
        <v>-3.2528564570721947</v>
      </c>
      <c r="K834" s="17">
        <f>IF(HistoricalStockProgress[[#This Row],[Total Price of Shares]]&lt;&gt;0,HistoricalStockProgress[[#This Row],[Total Price of Shares]]-HistoricalStockProgress[[#This Row],[Cost of Shares]],0)</f>
        <v>-403.35420067695213</v>
      </c>
      <c r="L834" s="34" t="b" cm="1">
        <f t="array" ref="L834">IFERROR(IF(HistoricalStockProgress[[#This Row],[Price of Shares]]="",_xlfn.STOCKHISTORY(HistoricalStockProgress[[#This Row],[Full Company Name]],HistoricalStockProgress[[#This Row],[Date]],,2,0,1)),0)</f>
        <v>0</v>
      </c>
      <c r="M834" s="34">
        <f>YEAR(HistoricalStockProgress[[#This Row],[Date]])</f>
        <v>2020</v>
      </c>
      <c r="N834" s="34">
        <f>MONTH(HistoricalStockProgress[[#This Row],[Date]])</f>
        <v>6</v>
      </c>
    </row>
    <row r="835" spans="2:14">
      <c r="B835" s="15">
        <v>44012</v>
      </c>
      <c r="C835" s="34" t="s">
        <v>13</v>
      </c>
      <c r="D835" s="34" t="e" vm="18">
        <f>_xlfn.XLOOKUP(HistoricalStockProgress[[#This Row],[Company Ticker]],CompanyDetailsList[Company Ticker],CompanyDetailsList[Official Name],,0)</f>
        <v>#VALUE!</v>
      </c>
      <c r="E8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8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835" s="17">
        <f>IFERROR(HistoricalStockProgress[[#This Row],[Cost of Shares]]/HistoricalStockProgress[[#This Row],[No. of Shares]],0)</f>
        <v>35.846938938346874</v>
      </c>
      <c r="H835" s="16" vm="1359">
        <v>30.998000000000001</v>
      </c>
      <c r="I835" s="16">
        <f>IF(HistoricalStockProgress[[#This Row],[No. of Shares]]&lt;&gt;0,HistoricalStockProgress[[#This Row],[Price of Shares]]*HistoricalStockProgress[[#This Row],[No. of Shares]],0)</f>
        <v>1704.89</v>
      </c>
      <c r="J835" s="16">
        <f>IF(HistoricalStockProgress[[#This Row],[No. of Shares]]&lt;&gt;0,HistoricalStockProgress[[#This Row],[Price of Shares]]-HistoricalStockProgress[[#This Row],[Cost of Shares]]/HistoricalStockProgress[[#This Row],[No. of Shares]],0)</f>
        <v>-4.8489389383468726</v>
      </c>
      <c r="K835" s="17">
        <f>IF(HistoricalStockProgress[[#This Row],[Total Price of Shares]]&lt;&gt;0,HistoricalStockProgress[[#This Row],[Total Price of Shares]]-HistoricalStockProgress[[#This Row],[Cost of Shares]],0)</f>
        <v>-266.69164160907803</v>
      </c>
      <c r="L835" s="34" t="b" cm="1">
        <f t="array" ref="L835">IFERROR(IF(HistoricalStockProgress[[#This Row],[Price of Shares]]="",_xlfn.STOCKHISTORY(HistoricalStockProgress[[#This Row],[Full Company Name]],HistoricalStockProgress[[#This Row],[Date]],,2,0,1)),0)</f>
        <v>0</v>
      </c>
      <c r="M835" s="34">
        <f>YEAR(HistoricalStockProgress[[#This Row],[Date]])</f>
        <v>2020</v>
      </c>
      <c r="N835" s="34">
        <f>MONTH(HistoricalStockProgress[[#This Row],[Date]])</f>
        <v>6</v>
      </c>
    </row>
    <row r="836" spans="2:14">
      <c r="B836" s="15">
        <v>44012</v>
      </c>
      <c r="C836" s="34" t="s">
        <v>20</v>
      </c>
      <c r="D836" s="34" t="e" vm="19">
        <f>_xlfn.XLOOKUP(HistoricalStockProgress[[#This Row],[Company Ticker]],CompanyDetailsList[Company Ticker],CompanyDetailsList[Official Name],,0)</f>
        <v>#VALUE!</v>
      </c>
      <c r="E8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8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836" s="17">
        <f>IFERROR(HistoricalStockProgress[[#This Row],[Cost of Shares]]/HistoricalStockProgress[[#This Row],[No. of Shares]],0)</f>
        <v>93.912242833589502</v>
      </c>
      <c r="H836" s="16" vm="1360">
        <v>94.06</v>
      </c>
      <c r="I836" s="16">
        <f>IF(HistoricalStockProgress[[#This Row],[No. of Shares]]&lt;&gt;0,HistoricalStockProgress[[#This Row],[Price of Shares]]*HistoricalStockProgress[[#This Row],[No. of Shares]],0)</f>
        <v>7336.68</v>
      </c>
      <c r="J836" s="16">
        <f>IF(HistoricalStockProgress[[#This Row],[No. of Shares]]&lt;&gt;0,HistoricalStockProgress[[#This Row],[Price of Shares]]-HistoricalStockProgress[[#This Row],[Cost of Shares]]/HistoricalStockProgress[[#This Row],[No. of Shares]],0)</f>
        <v>0.14775716641049996</v>
      </c>
      <c r="K836" s="17">
        <f>IF(HistoricalStockProgress[[#This Row],[Total Price of Shares]]&lt;&gt;0,HistoricalStockProgress[[#This Row],[Total Price of Shares]]-HistoricalStockProgress[[#This Row],[Cost of Shares]],0)</f>
        <v>11.525058980018912</v>
      </c>
      <c r="L836" s="34" t="b" cm="1">
        <f t="array" ref="L836">IFERROR(IF(HistoricalStockProgress[[#This Row],[Price of Shares]]="",_xlfn.STOCKHISTORY(HistoricalStockProgress[[#This Row],[Full Company Name]],HistoricalStockProgress[[#This Row],[Date]],,2,0,1)),0)</f>
        <v>0</v>
      </c>
      <c r="M836" s="34">
        <f>YEAR(HistoricalStockProgress[[#This Row],[Date]])</f>
        <v>2020</v>
      </c>
      <c r="N836" s="34">
        <f>MONTH(HistoricalStockProgress[[#This Row],[Date]])</f>
        <v>6</v>
      </c>
    </row>
    <row r="837" spans="2:14">
      <c r="B837" s="15">
        <v>44012</v>
      </c>
      <c r="C837" s="34" t="s">
        <v>106</v>
      </c>
      <c r="D837" s="34" t="e" vm="20">
        <f>_xlfn.XLOOKUP(HistoricalStockProgress[[#This Row],[Company Ticker]],CompanyDetailsList[Company Ticker],CompanyDetailsList[Official Name],,0)</f>
        <v>#VALUE!</v>
      </c>
      <c r="E8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65</v>
      </c>
      <c r="F8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6977.8332077404502</v>
      </c>
      <c r="G837" s="17">
        <f>IFERROR(HistoricalStockProgress[[#This Row],[Cost of Shares]]/HistoricalStockProgress[[#This Row],[No. of Shares]],0)</f>
        <v>107.35128011908385</v>
      </c>
      <c r="H837" s="16" vm="1361">
        <v>106.06</v>
      </c>
      <c r="I837" s="16">
        <f>IF(HistoricalStockProgress[[#This Row],[No. of Shares]]&lt;&gt;0,HistoricalStockProgress[[#This Row],[Price of Shares]]*HistoricalStockProgress[[#This Row],[No. of Shares]],0)</f>
        <v>6893.9000000000005</v>
      </c>
      <c r="J837" s="16">
        <f>IF(HistoricalStockProgress[[#This Row],[No. of Shares]]&lt;&gt;0,HistoricalStockProgress[[#This Row],[Price of Shares]]-HistoricalStockProgress[[#This Row],[Cost of Shares]]/HistoricalStockProgress[[#This Row],[No. of Shares]],0)</f>
        <v>-1.2912801190838508</v>
      </c>
      <c r="K837" s="17">
        <f>IF(HistoricalStockProgress[[#This Row],[Total Price of Shares]]&lt;&gt;0,HistoricalStockProgress[[#This Row],[Total Price of Shares]]-HistoricalStockProgress[[#This Row],[Cost of Shares]],0)</f>
        <v>-83.933207740449689</v>
      </c>
      <c r="L837" s="34" t="b" cm="1">
        <f t="array" ref="L837">IFERROR(IF(HistoricalStockProgress[[#This Row],[Price of Shares]]="",_xlfn.STOCKHISTORY(HistoricalStockProgress[[#This Row],[Full Company Name]],HistoricalStockProgress[[#This Row],[Date]],,2,0,1)),0)</f>
        <v>0</v>
      </c>
      <c r="M837" s="34">
        <f>YEAR(HistoricalStockProgress[[#This Row],[Date]])</f>
        <v>2020</v>
      </c>
      <c r="N837" s="34">
        <f>MONTH(HistoricalStockProgress[[#This Row],[Date]])</f>
        <v>6</v>
      </c>
    </row>
    <row r="838" spans="2:14">
      <c r="B838" s="15">
        <v>44043</v>
      </c>
      <c r="C838" s="34" t="s">
        <v>12</v>
      </c>
      <c r="D838" s="34" t="e" vm="1">
        <f>_xlfn.XLOOKUP(HistoricalStockProgress[[#This Row],[Company Ticker]],CompanyDetailsList[Company Ticker],CompanyDetailsList[Official Name],,0)</f>
        <v>#VALUE!</v>
      </c>
      <c r="E8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8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1953.8799010350301</v>
      </c>
      <c r="G838" s="17">
        <f>IFERROR(HistoricalStockProgress[[#This Row],[Cost of Shares]]/HistoricalStockProgress[[#This Row],[No. of Shares]],0)</f>
        <v>67.375169001207937</v>
      </c>
      <c r="H838" s="16" vm="1362">
        <v>60.05</v>
      </c>
      <c r="I838" s="16">
        <f>IF(HistoricalStockProgress[[#This Row],[No. of Shares]]&lt;&gt;0,HistoricalStockProgress[[#This Row],[Price of Shares]]*HistoricalStockProgress[[#This Row],[No. of Shares]],0)</f>
        <v>1741.4499999999998</v>
      </c>
      <c r="J838" s="16">
        <f>IF(HistoricalStockProgress[[#This Row],[No. of Shares]]&lt;&gt;0,HistoricalStockProgress[[#This Row],[Price of Shares]]-HistoricalStockProgress[[#This Row],[Cost of Shares]]/HistoricalStockProgress[[#This Row],[No. of Shares]],0)</f>
        <v>-7.3251690012079393</v>
      </c>
      <c r="K838" s="17">
        <f>IF(HistoricalStockProgress[[#This Row],[Total Price of Shares]]&lt;&gt;0,HistoricalStockProgress[[#This Row],[Total Price of Shares]]-HistoricalStockProgress[[#This Row],[Cost of Shares]],0)</f>
        <v>-212.4299010350303</v>
      </c>
      <c r="L838" s="34" t="b" cm="1">
        <f t="array" ref="L838">IFERROR(IF(HistoricalStockProgress[[#This Row],[Price of Shares]]="",_xlfn.STOCKHISTORY(HistoricalStockProgress[[#This Row],[Full Company Name]],HistoricalStockProgress[[#This Row],[Date]],,2,0,1)),0)</f>
        <v>0</v>
      </c>
      <c r="M838" s="34">
        <f>YEAR(HistoricalStockProgress[[#This Row],[Date]])</f>
        <v>2020</v>
      </c>
      <c r="N838" s="34">
        <f>MONTH(HistoricalStockProgress[[#This Row],[Date]])</f>
        <v>7</v>
      </c>
    </row>
    <row r="839" spans="2:14">
      <c r="B839" s="15">
        <v>44043</v>
      </c>
      <c r="C839" s="34" t="s">
        <v>19</v>
      </c>
      <c r="D839" s="34" t="e" vm="3">
        <f>_xlfn.XLOOKUP(HistoricalStockProgress[[#This Row],[Company Ticker]],CompanyDetailsList[Company Ticker],CompanyDetailsList[Official Name],,0)</f>
        <v>#VALUE!</v>
      </c>
      <c r="E8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8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839" s="17">
        <f>IFERROR(HistoricalStockProgress[[#This Row],[Cost of Shares]]/HistoricalStockProgress[[#This Row],[No. of Shares]],0)</f>
        <v>158.45739987816083</v>
      </c>
      <c r="H839" s="16" vm="1363">
        <v>236.51</v>
      </c>
      <c r="I839" s="16">
        <f>IF(HistoricalStockProgress[[#This Row],[No. of Shares]]&lt;&gt;0,HistoricalStockProgress[[#This Row],[Price of Shares]]*HistoricalStockProgress[[#This Row],[No. of Shares]],0)</f>
        <v>13481.07</v>
      </c>
      <c r="J839" s="16">
        <f>IF(HistoricalStockProgress[[#This Row],[No. of Shares]]&lt;&gt;0,HistoricalStockProgress[[#This Row],[Price of Shares]]-HistoricalStockProgress[[#This Row],[Cost of Shares]]/HistoricalStockProgress[[#This Row],[No. of Shares]],0)</f>
        <v>78.052600121839163</v>
      </c>
      <c r="K839" s="17">
        <f>IF(HistoricalStockProgress[[#This Row],[Total Price of Shares]]&lt;&gt;0,HistoricalStockProgress[[#This Row],[Total Price of Shares]]-HistoricalStockProgress[[#This Row],[Cost of Shares]],0)</f>
        <v>4448.9982069448324</v>
      </c>
      <c r="L839" s="34" t="b" cm="1">
        <f t="array" ref="L839">IFERROR(IF(HistoricalStockProgress[[#This Row],[Price of Shares]]="",_xlfn.STOCKHISTORY(HistoricalStockProgress[[#This Row],[Full Company Name]],HistoricalStockProgress[[#This Row],[Date]],,2,0,1)),0)</f>
        <v>0</v>
      </c>
      <c r="M839" s="34">
        <f>YEAR(HistoricalStockProgress[[#This Row],[Date]])</f>
        <v>2020</v>
      </c>
      <c r="N839" s="34">
        <f>MONTH(HistoricalStockProgress[[#This Row],[Date]])</f>
        <v>7</v>
      </c>
    </row>
    <row r="840" spans="2:14">
      <c r="B840" s="15">
        <v>44043</v>
      </c>
      <c r="C840" s="34" t="s">
        <v>23</v>
      </c>
      <c r="D840" s="34" t="e" vm="4">
        <f>_xlfn.XLOOKUP(HistoricalStockProgress[[#This Row],[Company Ticker]],CompanyDetailsList[Company Ticker],CompanyDetailsList[Official Name],,0)</f>
        <v>#VALUE!</v>
      </c>
      <c r="E8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8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840" s="17">
        <f>IFERROR(HistoricalStockProgress[[#This Row],[Cost of Shares]]/HistoricalStockProgress[[#This Row],[No. of Shares]],0)</f>
        <v>45.768494888570878</v>
      </c>
      <c r="H840" s="16" vm="1364">
        <v>47.24</v>
      </c>
      <c r="I840" s="16">
        <f>IF(HistoricalStockProgress[[#This Row],[No. of Shares]]&lt;&gt;0,HistoricalStockProgress[[#This Row],[Price of Shares]]*HistoricalStockProgress[[#This Row],[No. of Shares]],0)</f>
        <v>2739.92</v>
      </c>
      <c r="J840" s="16">
        <f>IF(HistoricalStockProgress[[#This Row],[No. of Shares]]&lt;&gt;0,HistoricalStockProgress[[#This Row],[Price of Shares]]-HistoricalStockProgress[[#This Row],[Cost of Shares]]/HistoricalStockProgress[[#This Row],[No. of Shares]],0)</f>
        <v>1.4715051114291242</v>
      </c>
      <c r="K840" s="17">
        <f>IF(HistoricalStockProgress[[#This Row],[Total Price of Shares]]&lt;&gt;0,HistoricalStockProgress[[#This Row],[Total Price of Shares]]-HistoricalStockProgress[[#This Row],[Cost of Shares]],0)</f>
        <v>85.347296462889062</v>
      </c>
      <c r="L840" s="34" t="b" cm="1">
        <f t="array" ref="L840">IFERROR(IF(HistoricalStockProgress[[#This Row],[Price of Shares]]="",_xlfn.STOCKHISTORY(HistoricalStockProgress[[#This Row],[Full Company Name]],HistoricalStockProgress[[#This Row],[Date]],,2,0,1)),0)</f>
        <v>0</v>
      </c>
      <c r="M840" s="34">
        <f>YEAR(HistoricalStockProgress[[#This Row],[Date]])</f>
        <v>2020</v>
      </c>
      <c r="N840" s="34">
        <f>MONTH(HistoricalStockProgress[[#This Row],[Date]])</f>
        <v>7</v>
      </c>
    </row>
    <row r="841" spans="2:14">
      <c r="B841" s="15">
        <v>44043</v>
      </c>
      <c r="C841" s="34" t="s">
        <v>21</v>
      </c>
      <c r="D841" s="34" t="e" vm="6">
        <f>_xlfn.XLOOKUP(HistoricalStockProgress[[#This Row],[Company Ticker]],CompanyDetailsList[Company Ticker],CompanyDetailsList[Official Name],,0)</f>
        <v>#VALUE!</v>
      </c>
      <c r="E8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v>
      </c>
      <c r="F8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2087.9623605222587</v>
      </c>
      <c r="G841" s="17">
        <f>IFERROR(HistoricalStockProgress[[#This Row],[Cost of Shares]]/HistoricalStockProgress[[#This Row],[No. of Shares]],0)</f>
        <v>122.82131532483875</v>
      </c>
      <c r="H841" s="16" vm="1365">
        <v>131.12</v>
      </c>
      <c r="I841" s="16">
        <f>IF(HistoricalStockProgress[[#This Row],[No. of Shares]]&lt;&gt;0,HistoricalStockProgress[[#This Row],[Price of Shares]]*HistoricalStockProgress[[#This Row],[No. of Shares]],0)</f>
        <v>2229.04</v>
      </c>
      <c r="J841" s="16">
        <f>IF(HistoricalStockProgress[[#This Row],[No. of Shares]]&lt;&gt;0,HistoricalStockProgress[[#This Row],[Price of Shares]]-HistoricalStockProgress[[#This Row],[Cost of Shares]]/HistoricalStockProgress[[#This Row],[No. of Shares]],0)</f>
        <v>8.2986846751612546</v>
      </c>
      <c r="K841" s="17">
        <f>IF(HistoricalStockProgress[[#This Row],[Total Price of Shares]]&lt;&gt;0,HistoricalStockProgress[[#This Row],[Total Price of Shares]]-HistoricalStockProgress[[#This Row],[Cost of Shares]],0)</f>
        <v>141.07763947774129</v>
      </c>
      <c r="L841" s="34" t="b" cm="1">
        <f t="array" ref="L841">IFERROR(IF(HistoricalStockProgress[[#This Row],[Price of Shares]]="",_xlfn.STOCKHISTORY(HistoricalStockProgress[[#This Row],[Full Company Name]],HistoricalStockProgress[[#This Row],[Date]],,2,0,1)),0)</f>
        <v>0</v>
      </c>
      <c r="M841" s="34">
        <f>YEAR(HistoricalStockProgress[[#This Row],[Date]])</f>
        <v>2020</v>
      </c>
      <c r="N841" s="34">
        <f>MONTH(HistoricalStockProgress[[#This Row],[Date]])</f>
        <v>7</v>
      </c>
    </row>
    <row r="842" spans="2:14">
      <c r="B842" s="15">
        <v>44043</v>
      </c>
      <c r="C842" s="34" t="s">
        <v>84</v>
      </c>
      <c r="D842" s="34" t="e" vm="7">
        <f>_xlfn.XLOOKUP(HistoricalStockProgress[[#This Row],[Company Ticker]],CompanyDetailsList[Company Ticker],CompanyDetailsList[Official Name],,0)</f>
        <v>#VALUE!</v>
      </c>
      <c r="E8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8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842" s="17">
        <f>IFERROR(HistoricalStockProgress[[#This Row],[Cost of Shares]]/HistoricalStockProgress[[#This Row],[No. of Shares]],0)</f>
        <v>104.18087504950869</v>
      </c>
      <c r="H842" s="16" vm="1366">
        <v>145.76</v>
      </c>
      <c r="I842" s="16">
        <f>IF(HistoricalStockProgress[[#This Row],[No. of Shares]]&lt;&gt;0,HistoricalStockProgress[[#This Row],[Price of Shares]]*HistoricalStockProgress[[#This Row],[No. of Shares]],0)</f>
        <v>7433.7599999999993</v>
      </c>
      <c r="J842" s="16">
        <f>IF(HistoricalStockProgress[[#This Row],[No. of Shares]]&lt;&gt;0,HistoricalStockProgress[[#This Row],[Price of Shares]]-HistoricalStockProgress[[#This Row],[Cost of Shares]]/HistoricalStockProgress[[#This Row],[No. of Shares]],0)</f>
        <v>41.579124950491305</v>
      </c>
      <c r="K842" s="17">
        <f>IF(HistoricalStockProgress[[#This Row],[Total Price of Shares]]&lt;&gt;0,HistoricalStockProgress[[#This Row],[Total Price of Shares]]-HistoricalStockProgress[[#This Row],[Cost of Shares]],0)</f>
        <v>2120.5353724750566</v>
      </c>
      <c r="L842" s="34" t="b" cm="1">
        <f t="array" ref="L842">IFERROR(IF(HistoricalStockProgress[[#This Row],[Price of Shares]]="",_xlfn.STOCKHISTORY(HistoricalStockProgress[[#This Row],[Full Company Name]],HistoricalStockProgress[[#This Row],[Date]],,2,0,1)),0)</f>
        <v>0</v>
      </c>
      <c r="M842" s="34">
        <f>YEAR(HistoricalStockProgress[[#This Row],[Date]])</f>
        <v>2020</v>
      </c>
      <c r="N842" s="34">
        <f>MONTH(HistoricalStockProgress[[#This Row],[Date]])</f>
        <v>7</v>
      </c>
    </row>
    <row r="843" spans="2:14">
      <c r="B843" s="15">
        <v>44043</v>
      </c>
      <c r="C843" s="34" t="s">
        <v>86</v>
      </c>
      <c r="D843" s="34" t="e" vm="8">
        <f>_xlfn.XLOOKUP(HistoricalStockProgress[[#This Row],[Company Ticker]],CompanyDetailsList[Company Ticker],CompanyDetailsList[Official Name],,0)</f>
        <v>#VALUE!</v>
      </c>
      <c r="E8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8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843" s="17">
        <f>IFERROR(HistoricalStockProgress[[#This Row],[Cost of Shares]]/HistoricalStockProgress[[#This Row],[No. of Shares]],0)</f>
        <v>85.876031764920896</v>
      </c>
      <c r="H843" s="16" vm="1367">
        <v>94.91</v>
      </c>
      <c r="I843" s="16">
        <f>IF(HistoricalStockProgress[[#This Row],[No. of Shares]]&lt;&gt;0,HistoricalStockProgress[[#This Row],[Price of Shares]]*HistoricalStockProgress[[#This Row],[No. of Shares]],0)</f>
        <v>5030.2299999999996</v>
      </c>
      <c r="J843" s="16">
        <f>IF(HistoricalStockProgress[[#This Row],[No. of Shares]]&lt;&gt;0,HistoricalStockProgress[[#This Row],[Price of Shares]]-HistoricalStockProgress[[#This Row],[Cost of Shares]]/HistoricalStockProgress[[#This Row],[No. of Shares]],0)</f>
        <v>9.0339682350791009</v>
      </c>
      <c r="K843" s="17">
        <f>IF(HistoricalStockProgress[[#This Row],[Total Price of Shares]]&lt;&gt;0,HistoricalStockProgress[[#This Row],[Total Price of Shares]]-HistoricalStockProgress[[#This Row],[Cost of Shares]],0)</f>
        <v>478.80031645919189</v>
      </c>
      <c r="L843" s="34" t="b" cm="1">
        <f t="array" ref="L843">IFERROR(IF(HistoricalStockProgress[[#This Row],[Price of Shares]]="",_xlfn.STOCKHISTORY(HistoricalStockProgress[[#This Row],[Full Company Name]],HistoricalStockProgress[[#This Row],[Date]],,2,0,1)),0)</f>
        <v>0</v>
      </c>
      <c r="M843" s="34">
        <f>YEAR(HistoricalStockProgress[[#This Row],[Date]])</f>
        <v>2020</v>
      </c>
      <c r="N843" s="34">
        <f>MONTH(HistoricalStockProgress[[#This Row],[Date]])</f>
        <v>7</v>
      </c>
    </row>
    <row r="844" spans="2:14">
      <c r="B844" s="15">
        <v>44043</v>
      </c>
      <c r="C844" s="34" t="s">
        <v>88</v>
      </c>
      <c r="D844" s="34" t="e" vm="9">
        <f>_xlfn.XLOOKUP(HistoricalStockProgress[[#This Row],[Company Ticker]],CompanyDetailsList[Company Ticker],CompanyDetailsList[Official Name],,0)</f>
        <v>#VALUE!</v>
      </c>
      <c r="E8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8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844" s="17">
        <f>IFERROR(HistoricalStockProgress[[#This Row],[Cost of Shares]]/HistoricalStockProgress[[#This Row],[No. of Shares]],0)</f>
        <v>187.727755253422</v>
      </c>
      <c r="H844" s="16" vm="1368">
        <v>194.28</v>
      </c>
      <c r="I844" s="16">
        <f>IF(HistoricalStockProgress[[#This Row],[No. of Shares]]&lt;&gt;0,HistoricalStockProgress[[#This Row],[Price of Shares]]*HistoricalStockProgress[[#This Row],[No. of Shares]],0)</f>
        <v>11462.52</v>
      </c>
      <c r="J844" s="16">
        <f>IF(HistoricalStockProgress[[#This Row],[No. of Shares]]&lt;&gt;0,HistoricalStockProgress[[#This Row],[Price of Shares]]-HistoricalStockProgress[[#This Row],[Cost of Shares]]/HistoricalStockProgress[[#This Row],[No. of Shares]],0)</f>
        <v>6.5522447465779976</v>
      </c>
      <c r="K844" s="17">
        <f>IF(HistoricalStockProgress[[#This Row],[Total Price of Shares]]&lt;&gt;0,HistoricalStockProgress[[#This Row],[Total Price of Shares]]-HistoricalStockProgress[[#This Row],[Cost of Shares]],0)</f>
        <v>386.58244004810149</v>
      </c>
      <c r="L844" s="34" t="b" cm="1">
        <f t="array" ref="L844">IFERROR(IF(HistoricalStockProgress[[#This Row],[Price of Shares]]="",_xlfn.STOCKHISTORY(HistoricalStockProgress[[#This Row],[Full Company Name]],HistoricalStockProgress[[#This Row],[Date]],,2,0,1)),0)</f>
        <v>0</v>
      </c>
      <c r="M844" s="34">
        <f>YEAR(HistoricalStockProgress[[#This Row],[Date]])</f>
        <v>2020</v>
      </c>
      <c r="N844" s="34">
        <f>MONTH(HistoricalStockProgress[[#This Row],[Date]])</f>
        <v>7</v>
      </c>
    </row>
    <row r="845" spans="2:14">
      <c r="B845" s="15">
        <v>44043</v>
      </c>
      <c r="C845" s="34" t="s">
        <v>22</v>
      </c>
      <c r="D845" s="34" t="e" vm="10">
        <f>_xlfn.XLOOKUP(HistoricalStockProgress[[#This Row],[Company Ticker]],CompanyDetailsList[Company Ticker],CompanyDetailsList[Official Name],,0)</f>
        <v>#VALUE!</v>
      </c>
      <c r="E8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8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845" s="17">
        <f>IFERROR(HistoricalStockProgress[[#This Row],[Cost of Shares]]/HistoricalStockProgress[[#This Row],[No. of Shares]],0)</f>
        <v>96.351727068187571</v>
      </c>
      <c r="H845" s="16" vm="1369">
        <v>132.88</v>
      </c>
      <c r="I845" s="16">
        <f>IF(HistoricalStockProgress[[#This Row],[No. of Shares]]&lt;&gt;0,HistoricalStockProgress[[#This Row],[Price of Shares]]*HistoricalStockProgress[[#This Row],[No. of Shares]],0)</f>
        <v>10763.279999999999</v>
      </c>
      <c r="J845" s="16">
        <f>IF(HistoricalStockProgress[[#This Row],[No. of Shares]]&lt;&gt;0,HistoricalStockProgress[[#This Row],[Price of Shares]]-HistoricalStockProgress[[#This Row],[Cost of Shares]]/HistoricalStockProgress[[#This Row],[No. of Shares]],0)</f>
        <v>36.528272931812424</v>
      </c>
      <c r="K845" s="17">
        <f>IF(HistoricalStockProgress[[#This Row],[Total Price of Shares]]&lt;&gt;0,HistoricalStockProgress[[#This Row],[Total Price of Shares]]-HistoricalStockProgress[[#This Row],[Cost of Shares]],0)</f>
        <v>2958.790107476806</v>
      </c>
      <c r="L845" s="34" t="b" cm="1">
        <f t="array" ref="L845">IFERROR(IF(HistoricalStockProgress[[#This Row],[Price of Shares]]="",_xlfn.STOCKHISTORY(HistoricalStockProgress[[#This Row],[Full Company Name]],HistoricalStockProgress[[#This Row],[Date]],,2,0,1)),0)</f>
        <v>0</v>
      </c>
      <c r="M845" s="34">
        <f>YEAR(HistoricalStockProgress[[#This Row],[Date]])</f>
        <v>2020</v>
      </c>
      <c r="N845" s="34">
        <f>MONTH(HistoricalStockProgress[[#This Row],[Date]])</f>
        <v>7</v>
      </c>
    </row>
    <row r="846" spans="2:14">
      <c r="B846" s="15">
        <v>44043</v>
      </c>
      <c r="C846" s="34" t="s">
        <v>91</v>
      </c>
      <c r="D846" s="34" t="e" vm="11">
        <f>_xlfn.XLOOKUP(HistoricalStockProgress[[#This Row],[Company Ticker]],CompanyDetailsList[Company Ticker],CompanyDetailsList[Official Name],,0)</f>
        <v>#VALUE!</v>
      </c>
      <c r="E8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8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846" s="17">
        <f>IFERROR(HistoricalStockProgress[[#This Row],[Cost of Shares]]/HistoricalStockProgress[[#This Row],[No. of Shares]],0)</f>
        <v>100.94993172657422</v>
      </c>
      <c r="H846" s="16" vm="1370">
        <v>205.01</v>
      </c>
      <c r="I846" s="16">
        <f>IF(HistoricalStockProgress[[#This Row],[No. of Shares]]&lt;&gt;0,HistoricalStockProgress[[#This Row],[Price of Shares]]*HistoricalStockProgress[[#This Row],[No. of Shares]],0)</f>
        <v>30136.469999999998</v>
      </c>
      <c r="J846" s="16">
        <f>IF(HistoricalStockProgress[[#This Row],[No. of Shares]]&lt;&gt;0,HistoricalStockProgress[[#This Row],[Price of Shares]]-HistoricalStockProgress[[#This Row],[Cost of Shares]]/HistoricalStockProgress[[#This Row],[No. of Shares]],0)</f>
        <v>104.06006827342577</v>
      </c>
      <c r="K846" s="17">
        <f>IF(HistoricalStockProgress[[#This Row],[Total Price of Shares]]&lt;&gt;0,HistoricalStockProgress[[#This Row],[Total Price of Shares]]-HistoricalStockProgress[[#This Row],[Cost of Shares]],0)</f>
        <v>15296.830036193587</v>
      </c>
      <c r="L846" s="34" t="b" cm="1">
        <f t="array" ref="L846">IFERROR(IF(HistoricalStockProgress[[#This Row],[Price of Shares]]="",_xlfn.STOCKHISTORY(HistoricalStockProgress[[#This Row],[Full Company Name]],HistoricalStockProgress[[#This Row],[Date]],,2,0,1)),0)</f>
        <v>0</v>
      </c>
      <c r="M846" s="34">
        <f>YEAR(HistoricalStockProgress[[#This Row],[Date]])</f>
        <v>2020</v>
      </c>
      <c r="N846" s="34">
        <f>MONTH(HistoricalStockProgress[[#This Row],[Date]])</f>
        <v>7</v>
      </c>
    </row>
    <row r="847" spans="2:14">
      <c r="B847" s="15">
        <v>44043</v>
      </c>
      <c r="C847" s="34" t="s">
        <v>16</v>
      </c>
      <c r="D847" s="34" t="e" vm="12">
        <f>_xlfn.XLOOKUP(HistoricalStockProgress[[#This Row],[Company Ticker]],CompanyDetailsList[Company Ticker],CompanyDetailsList[Official Name],,0)</f>
        <v>#VALUE!</v>
      </c>
      <c r="E8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145</v>
      </c>
      <c r="F8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12020.621029356396</v>
      </c>
      <c r="G847" s="17">
        <f>IFERROR(HistoricalStockProgress[[#This Row],[Cost of Shares]]/HistoricalStockProgress[[#This Row],[No. of Shares]],0)</f>
        <v>82.900834685216523</v>
      </c>
      <c r="H847" s="16" vm="1371">
        <v>42.08</v>
      </c>
      <c r="I847" s="16">
        <f>IF(HistoricalStockProgress[[#This Row],[No. of Shares]]&lt;&gt;0,HistoricalStockProgress[[#This Row],[Price of Shares]]*HistoricalStockProgress[[#This Row],[No. of Shares]],0)</f>
        <v>6101.5999999999995</v>
      </c>
      <c r="J847" s="16">
        <f>IF(HistoricalStockProgress[[#This Row],[No. of Shares]]&lt;&gt;0,HistoricalStockProgress[[#This Row],[Price of Shares]]-HistoricalStockProgress[[#This Row],[Cost of Shares]]/HistoricalStockProgress[[#This Row],[No. of Shares]],0)</f>
        <v>-40.820834685216525</v>
      </c>
      <c r="K847" s="17">
        <f>IF(HistoricalStockProgress[[#This Row],[Total Price of Shares]]&lt;&gt;0,HistoricalStockProgress[[#This Row],[Total Price of Shares]]-HistoricalStockProgress[[#This Row],[Cost of Shares]],0)</f>
        <v>-5919.0210293563969</v>
      </c>
      <c r="L847" s="34" t="b" cm="1">
        <f t="array" ref="L847">IFERROR(IF(HistoricalStockProgress[[#This Row],[Price of Shares]]="",_xlfn.STOCKHISTORY(HistoricalStockProgress[[#This Row],[Full Company Name]],HistoricalStockProgress[[#This Row],[Date]],,2,0,1)),0)</f>
        <v>0</v>
      </c>
      <c r="M847" s="34">
        <f>YEAR(HistoricalStockProgress[[#This Row],[Date]])</f>
        <v>2020</v>
      </c>
      <c r="N847" s="34">
        <f>MONTH(HistoricalStockProgress[[#This Row],[Date]])</f>
        <v>7</v>
      </c>
    </row>
    <row r="848" spans="2:14">
      <c r="B848" s="15">
        <v>44043</v>
      </c>
      <c r="C848" s="34" t="s">
        <v>95</v>
      </c>
      <c r="D848" s="34" t="e" vm="13">
        <f>_xlfn.XLOOKUP(HistoricalStockProgress[[#This Row],[Company Ticker]],CompanyDetailsList[Company Ticker],CompanyDetailsList[Official Name],,0)</f>
        <v>#VALUE!</v>
      </c>
      <c r="E8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8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848" s="17">
        <f>IFERROR(HistoricalStockProgress[[#This Row],[Cost of Shares]]/HistoricalStockProgress[[#This Row],[No. of Shares]],0)</f>
        <v>143.29758396474452</v>
      </c>
      <c r="H848" s="16" vm="1372">
        <v>265.49</v>
      </c>
      <c r="I848" s="16">
        <f>IF(HistoricalStockProgress[[#This Row],[No. of Shares]]&lt;&gt;0,HistoricalStockProgress[[#This Row],[Price of Shares]]*HistoricalStockProgress[[#This Row],[No. of Shares]],0)</f>
        <v>11416.07</v>
      </c>
      <c r="J848" s="16">
        <f>IF(HistoricalStockProgress[[#This Row],[No. of Shares]]&lt;&gt;0,HistoricalStockProgress[[#This Row],[Price of Shares]]-HistoricalStockProgress[[#This Row],[Cost of Shares]]/HistoricalStockProgress[[#This Row],[No. of Shares]],0)</f>
        <v>122.19241603525549</v>
      </c>
      <c r="K848" s="17">
        <f>IF(HistoricalStockProgress[[#This Row],[Total Price of Shares]]&lt;&gt;0,HistoricalStockProgress[[#This Row],[Total Price of Shares]]-HistoricalStockProgress[[#This Row],[Cost of Shares]],0)</f>
        <v>5254.2738895159855</v>
      </c>
      <c r="L848" s="34" t="b" cm="1">
        <f t="array" ref="L848">IFERROR(IF(HistoricalStockProgress[[#This Row],[Price of Shares]]="",_xlfn.STOCKHISTORY(HistoricalStockProgress[[#This Row],[Full Company Name]],HistoricalStockProgress[[#This Row],[Date]],,2,0,1)),0)</f>
        <v>0</v>
      </c>
      <c r="M848" s="34">
        <f>YEAR(HistoricalStockProgress[[#This Row],[Date]])</f>
        <v>2020</v>
      </c>
      <c r="N848" s="34">
        <f>MONTH(HistoricalStockProgress[[#This Row],[Date]])</f>
        <v>7</v>
      </c>
    </row>
    <row r="849" spans="2:14">
      <c r="B849" s="15">
        <v>44043</v>
      </c>
      <c r="C849" s="34" t="s">
        <v>17</v>
      </c>
      <c r="D849" s="34" t="e" vm="14">
        <f>_xlfn.XLOOKUP(HistoricalStockProgress[[#This Row],[Company Ticker]],CompanyDetailsList[Company Ticker],CompanyDetailsList[Official Name],,0)</f>
        <v>#VALUE!</v>
      </c>
      <c r="E8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91</v>
      </c>
      <c r="F8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13257.550624316333</v>
      </c>
      <c r="G849" s="17">
        <f>IFERROR(HistoricalStockProgress[[#This Row],[Cost of Shares]]/HistoricalStockProgress[[#This Row],[No. of Shares]],0)</f>
        <v>145.68736949798168</v>
      </c>
      <c r="H849" s="16" vm="1373">
        <v>122.94</v>
      </c>
      <c r="I849" s="16">
        <f>IF(HistoricalStockProgress[[#This Row],[No. of Shares]]&lt;&gt;0,HistoricalStockProgress[[#This Row],[Price of Shares]]*HistoricalStockProgress[[#This Row],[No. of Shares]],0)</f>
        <v>11187.539999999999</v>
      </c>
      <c r="J849" s="16">
        <f>IF(HistoricalStockProgress[[#This Row],[No. of Shares]]&lt;&gt;0,HistoricalStockProgress[[#This Row],[Price of Shares]]-HistoricalStockProgress[[#This Row],[Cost of Shares]]/HistoricalStockProgress[[#This Row],[No. of Shares]],0)</f>
        <v>-22.74736949798168</v>
      </c>
      <c r="K849" s="17">
        <f>IF(HistoricalStockProgress[[#This Row],[Total Price of Shares]]&lt;&gt;0,HistoricalStockProgress[[#This Row],[Total Price of Shares]]-HistoricalStockProgress[[#This Row],[Cost of Shares]],0)</f>
        <v>-2070.0106243163336</v>
      </c>
      <c r="L849" s="34" t="b" cm="1">
        <f t="array" ref="L849">IFERROR(IF(HistoricalStockProgress[[#This Row],[Price of Shares]]="",_xlfn.STOCKHISTORY(HistoricalStockProgress[[#This Row],[Full Company Name]],HistoricalStockProgress[[#This Row],[Date]],,2,0,1)),0)</f>
        <v>0</v>
      </c>
      <c r="M849" s="34">
        <f>YEAR(HistoricalStockProgress[[#This Row],[Date]])</f>
        <v>2020</v>
      </c>
      <c r="N849" s="34">
        <f>MONTH(HistoricalStockProgress[[#This Row],[Date]])</f>
        <v>7</v>
      </c>
    </row>
    <row r="850" spans="2:14">
      <c r="B850" s="15">
        <v>44043</v>
      </c>
      <c r="C850" s="34" t="s">
        <v>98</v>
      </c>
      <c r="D850" s="34" t="e" vm="15">
        <f>_xlfn.XLOOKUP(HistoricalStockProgress[[#This Row],[Company Ticker]],CompanyDetailsList[Company Ticker],CompanyDetailsList[Official Name],,0)</f>
        <v>#VALUE!</v>
      </c>
      <c r="E8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8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850" s="17">
        <f>IFERROR(HistoricalStockProgress[[#This Row],[Cost of Shares]]/HistoricalStockProgress[[#This Row],[No. of Shares]],0)</f>
        <v>39.627242008882604</v>
      </c>
      <c r="H850" s="16" vm="1374">
        <v>70.174999999999997</v>
      </c>
      <c r="I850" s="16">
        <f>IF(HistoricalStockProgress[[#This Row],[No. of Shares]]&lt;&gt;0,HistoricalStockProgress[[#This Row],[Price of Shares]]*HistoricalStockProgress[[#This Row],[No. of Shares]],0)</f>
        <v>5122.7749999999996</v>
      </c>
      <c r="J850" s="16">
        <f>IF(HistoricalStockProgress[[#This Row],[No. of Shares]]&lt;&gt;0,HistoricalStockProgress[[#This Row],[Price of Shares]]-HistoricalStockProgress[[#This Row],[Cost of Shares]]/HistoricalStockProgress[[#This Row],[No. of Shares]],0)</f>
        <v>30.547757991117393</v>
      </c>
      <c r="K850" s="17">
        <f>IF(HistoricalStockProgress[[#This Row],[Total Price of Shares]]&lt;&gt;0,HistoricalStockProgress[[#This Row],[Total Price of Shares]]-HistoricalStockProgress[[#This Row],[Cost of Shares]],0)</f>
        <v>2229.9863333515696</v>
      </c>
      <c r="L850" s="34" t="b" cm="1">
        <f t="array" ref="L850">IFERROR(IF(HistoricalStockProgress[[#This Row],[Price of Shares]]="",_xlfn.STOCKHISTORY(HistoricalStockProgress[[#This Row],[Full Company Name]],HistoricalStockProgress[[#This Row],[Date]],,2,0,1)),0)</f>
        <v>0</v>
      </c>
      <c r="M850" s="34">
        <f>YEAR(HistoricalStockProgress[[#This Row],[Date]])</f>
        <v>2020</v>
      </c>
      <c r="N850" s="34">
        <f>MONTH(HistoricalStockProgress[[#This Row],[Date]])</f>
        <v>7</v>
      </c>
    </row>
    <row r="851" spans="2:14">
      <c r="B851" s="15">
        <v>44043</v>
      </c>
      <c r="C851" s="34" t="s">
        <v>100</v>
      </c>
      <c r="D851" s="34" t="e" vm="16">
        <f>_xlfn.XLOOKUP(HistoricalStockProgress[[#This Row],[Company Ticker]],CompanyDetailsList[Company Ticker],CompanyDetailsList[Official Name],,0)</f>
        <v>#VALUE!</v>
      </c>
      <c r="E8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109</v>
      </c>
      <c r="F8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9263.9352759443282</v>
      </c>
      <c r="G851" s="17">
        <f>IFERROR(HistoricalStockProgress[[#This Row],[Cost of Shares]]/HistoricalStockProgress[[#This Row],[No. of Shares]],0)</f>
        <v>84.990231889397506</v>
      </c>
      <c r="H851" s="16" vm="1375">
        <v>84.74</v>
      </c>
      <c r="I851" s="16">
        <f>IF(HistoricalStockProgress[[#This Row],[No. of Shares]]&lt;&gt;0,HistoricalStockProgress[[#This Row],[Price of Shares]]*HistoricalStockProgress[[#This Row],[No. of Shares]],0)</f>
        <v>9236.66</v>
      </c>
      <c r="J851" s="16">
        <f>IF(HistoricalStockProgress[[#This Row],[No. of Shares]]&lt;&gt;0,HistoricalStockProgress[[#This Row],[Price of Shares]]-HistoricalStockProgress[[#This Row],[Cost of Shares]]/HistoricalStockProgress[[#This Row],[No. of Shares]],0)</f>
        <v>-0.25023188939751151</v>
      </c>
      <c r="K851" s="17">
        <f>IF(HistoricalStockProgress[[#This Row],[Total Price of Shares]]&lt;&gt;0,HistoricalStockProgress[[#This Row],[Total Price of Shares]]-HistoricalStockProgress[[#This Row],[Cost of Shares]],0)</f>
        <v>-27.275275944328314</v>
      </c>
      <c r="L851" s="34" t="b" cm="1">
        <f t="array" ref="L851">IFERROR(IF(HistoricalStockProgress[[#This Row],[Price of Shares]]="",_xlfn.STOCKHISTORY(HistoricalStockProgress[[#This Row],[Full Company Name]],HistoricalStockProgress[[#This Row],[Date]],,2,0,1)),0)</f>
        <v>0</v>
      </c>
      <c r="M851" s="34">
        <f>YEAR(HistoricalStockProgress[[#This Row],[Date]])</f>
        <v>2020</v>
      </c>
      <c r="N851" s="34">
        <f>MONTH(HistoricalStockProgress[[#This Row],[Date]])</f>
        <v>7</v>
      </c>
    </row>
    <row r="852" spans="2:14">
      <c r="B852" s="15">
        <v>44043</v>
      </c>
      <c r="C852" s="34" t="s">
        <v>15</v>
      </c>
      <c r="D852" s="34" t="e" vm="17">
        <f>_xlfn.XLOOKUP(HistoricalStockProgress[[#This Row],[Company Ticker]],CompanyDetailsList[Company Ticker],CompanyDetailsList[Official Name],,0)</f>
        <v>#VALUE!</v>
      </c>
      <c r="E8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8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852" s="17">
        <f>IFERROR(HistoricalStockProgress[[#This Row],[Cost of Shares]]/HistoricalStockProgress[[#This Row],[No. of Shares]],0)</f>
        <v>26.081956457072195</v>
      </c>
      <c r="H852" s="16" vm="1376">
        <v>22.338200000000001</v>
      </c>
      <c r="I852" s="16">
        <f>IF(HistoricalStockProgress[[#This Row],[No. of Shares]]&lt;&gt;0,HistoricalStockProgress[[#This Row],[Price of Shares]]*HistoricalStockProgress[[#This Row],[No. of Shares]],0)</f>
        <v>2769.9367999999999</v>
      </c>
      <c r="J852" s="16">
        <f>IF(HistoricalStockProgress[[#This Row],[No. of Shares]]&lt;&gt;0,HistoricalStockProgress[[#This Row],[Price of Shares]]-HistoricalStockProgress[[#This Row],[Cost of Shares]]/HistoricalStockProgress[[#This Row],[No. of Shares]],0)</f>
        <v>-3.7437564570721946</v>
      </c>
      <c r="K852" s="17">
        <f>IF(HistoricalStockProgress[[#This Row],[Total Price of Shares]]&lt;&gt;0,HistoricalStockProgress[[#This Row],[Total Price of Shares]]-HistoricalStockProgress[[#This Row],[Cost of Shares]],0)</f>
        <v>-464.22580067695208</v>
      </c>
      <c r="L852" s="34" t="b" cm="1">
        <f t="array" ref="L852">IFERROR(IF(HistoricalStockProgress[[#This Row],[Price of Shares]]="",_xlfn.STOCKHISTORY(HistoricalStockProgress[[#This Row],[Full Company Name]],HistoricalStockProgress[[#This Row],[Date]],,2,0,1)),0)</f>
        <v>0</v>
      </c>
      <c r="M852" s="34">
        <f>YEAR(HistoricalStockProgress[[#This Row],[Date]])</f>
        <v>2020</v>
      </c>
      <c r="N852" s="34">
        <f>MONTH(HistoricalStockProgress[[#This Row],[Date]])</f>
        <v>7</v>
      </c>
    </row>
    <row r="853" spans="2:14">
      <c r="B853" s="15">
        <v>44043</v>
      </c>
      <c r="C853" s="34" t="s">
        <v>13</v>
      </c>
      <c r="D853" s="34" t="e" vm="18">
        <f>_xlfn.XLOOKUP(HistoricalStockProgress[[#This Row],[Company Ticker]],CompanyDetailsList[Company Ticker],CompanyDetailsList[Official Name],,0)</f>
        <v>#VALUE!</v>
      </c>
      <c r="E8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8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853" s="17">
        <f>IFERROR(HistoricalStockProgress[[#This Row],[Cost of Shares]]/HistoricalStockProgress[[#This Row],[No. of Shares]],0)</f>
        <v>35.846938938346874</v>
      </c>
      <c r="H853" s="16" vm="1377">
        <v>36.4771</v>
      </c>
      <c r="I853" s="16">
        <f>IF(HistoricalStockProgress[[#This Row],[No. of Shares]]&lt;&gt;0,HistoricalStockProgress[[#This Row],[Price of Shares]]*HistoricalStockProgress[[#This Row],[No. of Shares]],0)</f>
        <v>2006.2405000000001</v>
      </c>
      <c r="J853" s="16">
        <f>IF(HistoricalStockProgress[[#This Row],[No. of Shares]]&lt;&gt;0,HistoricalStockProgress[[#This Row],[Price of Shares]]-HistoricalStockProgress[[#This Row],[Cost of Shares]]/HistoricalStockProgress[[#This Row],[No. of Shares]],0)</f>
        <v>0.63016106165312635</v>
      </c>
      <c r="K853" s="17">
        <f>IF(HistoricalStockProgress[[#This Row],[Total Price of Shares]]&lt;&gt;0,HistoricalStockProgress[[#This Row],[Total Price of Shares]]-HistoricalStockProgress[[#This Row],[Cost of Shares]],0)</f>
        <v>34.658858390921978</v>
      </c>
      <c r="L853" s="34" t="b" cm="1">
        <f t="array" ref="L853">IFERROR(IF(HistoricalStockProgress[[#This Row],[Price of Shares]]="",_xlfn.STOCKHISTORY(HistoricalStockProgress[[#This Row],[Full Company Name]],HistoricalStockProgress[[#This Row],[Date]],,2,0,1)),0)</f>
        <v>0</v>
      </c>
      <c r="M853" s="34">
        <f>YEAR(HistoricalStockProgress[[#This Row],[Date]])</f>
        <v>2020</v>
      </c>
      <c r="N853" s="34">
        <f>MONTH(HistoricalStockProgress[[#This Row],[Date]])</f>
        <v>7</v>
      </c>
    </row>
    <row r="854" spans="2:14">
      <c r="B854" s="15">
        <v>44043</v>
      </c>
      <c r="C854" s="34" t="s">
        <v>20</v>
      </c>
      <c r="D854" s="34" t="e" vm="19">
        <f>_xlfn.XLOOKUP(HistoricalStockProgress[[#This Row],[Company Ticker]],CompanyDetailsList[Company Ticker],CompanyDetailsList[Official Name],,0)</f>
        <v>#VALUE!</v>
      </c>
      <c r="E8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8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854" s="17">
        <f>IFERROR(HistoricalStockProgress[[#This Row],[Cost of Shares]]/HistoricalStockProgress[[#This Row],[No. of Shares]],0)</f>
        <v>93.912242833589502</v>
      </c>
      <c r="H854" s="16" vm="1378">
        <v>96.64</v>
      </c>
      <c r="I854" s="16">
        <f>IF(HistoricalStockProgress[[#This Row],[No. of Shares]]&lt;&gt;0,HistoricalStockProgress[[#This Row],[Price of Shares]]*HistoricalStockProgress[[#This Row],[No. of Shares]],0)</f>
        <v>7537.92</v>
      </c>
      <c r="J854" s="16">
        <f>IF(HistoricalStockProgress[[#This Row],[No. of Shares]]&lt;&gt;0,HistoricalStockProgress[[#This Row],[Price of Shares]]-HistoricalStockProgress[[#This Row],[Cost of Shares]]/HistoricalStockProgress[[#This Row],[No. of Shares]],0)</f>
        <v>2.7277571664104983</v>
      </c>
      <c r="K854" s="17">
        <f>IF(HistoricalStockProgress[[#This Row],[Total Price of Shares]]&lt;&gt;0,HistoricalStockProgress[[#This Row],[Total Price of Shares]]-HistoricalStockProgress[[#This Row],[Cost of Shares]],0)</f>
        <v>212.76505898001869</v>
      </c>
      <c r="L854" s="34" t="b" cm="1">
        <f t="array" ref="L854">IFERROR(IF(HistoricalStockProgress[[#This Row],[Price of Shares]]="",_xlfn.STOCKHISTORY(HistoricalStockProgress[[#This Row],[Full Company Name]],HistoricalStockProgress[[#This Row],[Date]],,2,0,1)),0)</f>
        <v>0</v>
      </c>
      <c r="M854" s="34">
        <f>YEAR(HistoricalStockProgress[[#This Row],[Date]])</f>
        <v>2020</v>
      </c>
      <c r="N854" s="34">
        <f>MONTH(HistoricalStockProgress[[#This Row],[Date]])</f>
        <v>7</v>
      </c>
    </row>
    <row r="855" spans="2:14">
      <c r="B855" s="15">
        <v>44043</v>
      </c>
      <c r="C855" s="34" t="s">
        <v>106</v>
      </c>
      <c r="D855" s="34" t="e" vm="20">
        <f>_xlfn.XLOOKUP(HistoricalStockProgress[[#This Row],[Company Ticker]],CompanyDetailsList[Company Ticker],CompanyDetailsList[Official Name],,0)</f>
        <v>#VALUE!</v>
      </c>
      <c r="E8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8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855" s="17">
        <f>IFERROR(HistoricalStockProgress[[#This Row],[Cost of Shares]]/HistoricalStockProgress[[#This Row],[No. of Shares]],0)</f>
        <v>108.54870748680406</v>
      </c>
      <c r="H855" s="16" vm="1379">
        <v>107.65</v>
      </c>
      <c r="I855" s="16">
        <f>IF(HistoricalStockProgress[[#This Row],[No. of Shares]]&lt;&gt;0,HistoricalStockProgress[[#This Row],[Price of Shares]]*HistoricalStockProgress[[#This Row],[No. of Shares]],0)</f>
        <v>9473.2000000000007</v>
      </c>
      <c r="J855" s="16">
        <f>IF(HistoricalStockProgress[[#This Row],[No. of Shares]]&lt;&gt;0,HistoricalStockProgress[[#This Row],[Price of Shares]]-HistoricalStockProgress[[#This Row],[Cost of Shares]]/HistoricalStockProgress[[#This Row],[No. of Shares]],0)</f>
        <v>-0.89870748680405654</v>
      </c>
      <c r="K855" s="17">
        <f>IF(HistoricalStockProgress[[#This Row],[Total Price of Shares]]&lt;&gt;0,HistoricalStockProgress[[#This Row],[Total Price of Shares]]-HistoricalStockProgress[[#This Row],[Cost of Shares]],0)</f>
        <v>-79.086258838757203</v>
      </c>
      <c r="L855" s="34" t="b" cm="1">
        <f t="array" ref="L855">IFERROR(IF(HistoricalStockProgress[[#This Row],[Price of Shares]]="",_xlfn.STOCKHISTORY(HistoricalStockProgress[[#This Row],[Full Company Name]],HistoricalStockProgress[[#This Row],[Date]],,2,0,1)),0)</f>
        <v>0</v>
      </c>
      <c r="M855" s="34">
        <f>YEAR(HistoricalStockProgress[[#This Row],[Date]])</f>
        <v>2020</v>
      </c>
      <c r="N855" s="34">
        <f>MONTH(HistoricalStockProgress[[#This Row],[Date]])</f>
        <v>7</v>
      </c>
    </row>
    <row r="856" spans="2:14">
      <c r="B856" s="15">
        <v>44074</v>
      </c>
      <c r="C856" s="34" t="s">
        <v>12</v>
      </c>
      <c r="D856" s="34" t="e" vm="1">
        <f>_xlfn.XLOOKUP(HistoricalStockProgress[[#This Row],[Company Ticker]],CompanyDetailsList[Company Ticker],CompanyDetailsList[Official Name],,0)</f>
        <v>#VALUE!</v>
      </c>
      <c r="E8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8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1953.8799010350301</v>
      </c>
      <c r="G856" s="17">
        <f>IFERROR(HistoricalStockProgress[[#This Row],[Cost of Shares]]/HistoricalStockProgress[[#This Row],[No. of Shares]],0)</f>
        <v>67.375169001207937</v>
      </c>
      <c r="H856" s="16" vm="1380">
        <v>62.03</v>
      </c>
      <c r="I856" s="16">
        <f>IF(HistoricalStockProgress[[#This Row],[No. of Shares]]&lt;&gt;0,HistoricalStockProgress[[#This Row],[Price of Shares]]*HistoricalStockProgress[[#This Row],[No. of Shares]],0)</f>
        <v>1798.8700000000001</v>
      </c>
      <c r="J856" s="16">
        <f>IF(HistoricalStockProgress[[#This Row],[No. of Shares]]&lt;&gt;0,HistoricalStockProgress[[#This Row],[Price of Shares]]-HistoricalStockProgress[[#This Row],[Cost of Shares]]/HistoricalStockProgress[[#This Row],[No. of Shares]],0)</f>
        <v>-5.3451690012079354</v>
      </c>
      <c r="K856" s="17">
        <f>IF(HistoricalStockProgress[[#This Row],[Total Price of Shares]]&lt;&gt;0,HistoricalStockProgress[[#This Row],[Total Price of Shares]]-HistoricalStockProgress[[#This Row],[Cost of Shares]],0)</f>
        <v>-155.00990103503</v>
      </c>
      <c r="L856" s="34" t="b" cm="1">
        <f t="array" ref="L856">IFERROR(IF(HistoricalStockProgress[[#This Row],[Price of Shares]]="",_xlfn.STOCKHISTORY(HistoricalStockProgress[[#This Row],[Full Company Name]],HistoricalStockProgress[[#This Row],[Date]],,2,0,1)),0)</f>
        <v>0</v>
      </c>
      <c r="M856" s="34">
        <f>YEAR(HistoricalStockProgress[[#This Row],[Date]])</f>
        <v>2020</v>
      </c>
      <c r="N856" s="34">
        <f>MONTH(HistoricalStockProgress[[#This Row],[Date]])</f>
        <v>8</v>
      </c>
    </row>
    <row r="857" spans="2:14">
      <c r="B857" s="15">
        <v>44074</v>
      </c>
      <c r="C857" s="34" t="s">
        <v>19</v>
      </c>
      <c r="D857" s="34" t="e" vm="3">
        <f>_xlfn.XLOOKUP(HistoricalStockProgress[[#This Row],[Company Ticker]],CompanyDetailsList[Company Ticker],CompanyDetailsList[Official Name],,0)</f>
        <v>#VALUE!</v>
      </c>
      <c r="E8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8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857" s="17">
        <f>IFERROR(HistoricalStockProgress[[#This Row],[Cost of Shares]]/HistoricalStockProgress[[#This Row],[No. of Shares]],0)</f>
        <v>158.45739987816083</v>
      </c>
      <c r="H857" s="16" vm="1381">
        <v>223.5</v>
      </c>
      <c r="I857" s="16">
        <f>IF(HistoricalStockProgress[[#This Row],[No. of Shares]]&lt;&gt;0,HistoricalStockProgress[[#This Row],[Price of Shares]]*HistoricalStockProgress[[#This Row],[No. of Shares]],0)</f>
        <v>12739.5</v>
      </c>
      <c r="J857" s="16">
        <f>IF(HistoricalStockProgress[[#This Row],[No. of Shares]]&lt;&gt;0,HistoricalStockProgress[[#This Row],[Price of Shares]]-HistoricalStockProgress[[#This Row],[Cost of Shares]]/HistoricalStockProgress[[#This Row],[No. of Shares]],0)</f>
        <v>65.042600121839172</v>
      </c>
      <c r="K857" s="17">
        <f>IF(HistoricalStockProgress[[#This Row],[Total Price of Shares]]&lt;&gt;0,HistoricalStockProgress[[#This Row],[Total Price of Shares]]-HistoricalStockProgress[[#This Row],[Cost of Shares]],0)</f>
        <v>3707.4282069448327</v>
      </c>
      <c r="L857" s="34" t="b" cm="1">
        <f t="array" ref="L857">IFERROR(IF(HistoricalStockProgress[[#This Row],[Price of Shares]]="",_xlfn.STOCKHISTORY(HistoricalStockProgress[[#This Row],[Full Company Name]],HistoricalStockProgress[[#This Row],[Date]],,2,0,1)),0)</f>
        <v>0</v>
      </c>
      <c r="M857" s="34">
        <f>YEAR(HistoricalStockProgress[[#This Row],[Date]])</f>
        <v>2020</v>
      </c>
      <c r="N857" s="34">
        <f>MONTH(HistoricalStockProgress[[#This Row],[Date]])</f>
        <v>8</v>
      </c>
    </row>
    <row r="858" spans="2:14">
      <c r="B858" s="15">
        <v>44074</v>
      </c>
      <c r="C858" s="34" t="s">
        <v>23</v>
      </c>
      <c r="D858" s="34" t="e" vm="4">
        <f>_xlfn.XLOOKUP(HistoricalStockProgress[[#This Row],[Company Ticker]],CompanyDetailsList[Company Ticker],CompanyDetailsList[Official Name],,0)</f>
        <v>#VALUE!</v>
      </c>
      <c r="E8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8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858" s="17">
        <f>IFERROR(HistoricalStockProgress[[#This Row],[Cost of Shares]]/HistoricalStockProgress[[#This Row],[No. of Shares]],0)</f>
        <v>45.768494888570878</v>
      </c>
      <c r="H858" s="16" vm="1382">
        <v>49.53</v>
      </c>
      <c r="I858" s="16">
        <f>IF(HistoricalStockProgress[[#This Row],[No. of Shares]]&lt;&gt;0,HistoricalStockProgress[[#This Row],[Price of Shares]]*HistoricalStockProgress[[#This Row],[No. of Shares]],0)</f>
        <v>2872.7400000000002</v>
      </c>
      <c r="J858" s="16">
        <f>IF(HistoricalStockProgress[[#This Row],[No. of Shares]]&lt;&gt;0,HistoricalStockProgress[[#This Row],[Price of Shares]]-HistoricalStockProgress[[#This Row],[Cost of Shares]]/HistoricalStockProgress[[#This Row],[No. of Shares]],0)</f>
        <v>3.7615051114291234</v>
      </c>
      <c r="K858" s="17">
        <f>IF(HistoricalStockProgress[[#This Row],[Total Price of Shares]]&lt;&gt;0,HistoricalStockProgress[[#This Row],[Total Price of Shares]]-HistoricalStockProgress[[#This Row],[Cost of Shares]],0)</f>
        <v>218.16729646288923</v>
      </c>
      <c r="L858" s="34" t="b" cm="1">
        <f t="array" ref="L858">IFERROR(IF(HistoricalStockProgress[[#This Row],[Price of Shares]]="",_xlfn.STOCKHISTORY(HistoricalStockProgress[[#This Row],[Full Company Name]],HistoricalStockProgress[[#This Row],[Date]],,2,0,1)),0)</f>
        <v>0</v>
      </c>
      <c r="M858" s="34">
        <f>YEAR(HistoricalStockProgress[[#This Row],[Date]])</f>
        <v>2020</v>
      </c>
      <c r="N858" s="34">
        <f>MONTH(HistoricalStockProgress[[#This Row],[Date]])</f>
        <v>8</v>
      </c>
    </row>
    <row r="859" spans="2:14">
      <c r="B859" s="15">
        <v>44074</v>
      </c>
      <c r="C859" s="34" t="s">
        <v>21</v>
      </c>
      <c r="D859" s="34" t="e" vm="6">
        <f>_xlfn.XLOOKUP(HistoricalStockProgress[[#This Row],[Company Ticker]],CompanyDetailsList[Company Ticker],CompanyDetailsList[Official Name],,0)</f>
        <v>#VALUE!</v>
      </c>
      <c r="E8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v>
      </c>
      <c r="F8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2087.9623605222587</v>
      </c>
      <c r="G859" s="17">
        <f>IFERROR(HistoricalStockProgress[[#This Row],[Cost of Shares]]/HistoricalStockProgress[[#This Row],[No. of Shares]],0)</f>
        <v>122.82131532483875</v>
      </c>
      <c r="H859" s="16" vm="1383">
        <v>138.33000000000001</v>
      </c>
      <c r="I859" s="16">
        <f>IF(HistoricalStockProgress[[#This Row],[No. of Shares]]&lt;&gt;0,HistoricalStockProgress[[#This Row],[Price of Shares]]*HistoricalStockProgress[[#This Row],[No. of Shares]],0)</f>
        <v>2351.61</v>
      </c>
      <c r="J859" s="16">
        <f>IF(HistoricalStockProgress[[#This Row],[No. of Shares]]&lt;&gt;0,HistoricalStockProgress[[#This Row],[Price of Shares]]-HistoricalStockProgress[[#This Row],[Cost of Shares]]/HistoricalStockProgress[[#This Row],[No. of Shares]],0)</f>
        <v>15.508684675161263</v>
      </c>
      <c r="K859" s="17">
        <f>IF(HistoricalStockProgress[[#This Row],[Total Price of Shares]]&lt;&gt;0,HistoricalStockProgress[[#This Row],[Total Price of Shares]]-HistoricalStockProgress[[#This Row],[Cost of Shares]],0)</f>
        <v>263.64763947774145</v>
      </c>
      <c r="L859" s="34" t="b" cm="1">
        <f t="array" ref="L859">IFERROR(IF(HistoricalStockProgress[[#This Row],[Price of Shares]]="",_xlfn.STOCKHISTORY(HistoricalStockProgress[[#This Row],[Full Company Name]],HistoricalStockProgress[[#This Row],[Date]],,2,0,1)),0)</f>
        <v>0</v>
      </c>
      <c r="M859" s="34">
        <f>YEAR(HistoricalStockProgress[[#This Row],[Date]])</f>
        <v>2020</v>
      </c>
      <c r="N859" s="34">
        <f>MONTH(HistoricalStockProgress[[#This Row],[Date]])</f>
        <v>8</v>
      </c>
    </row>
    <row r="860" spans="2:14">
      <c r="B860" s="15">
        <v>44074</v>
      </c>
      <c r="C860" s="34" t="s">
        <v>84</v>
      </c>
      <c r="D860" s="34" t="e" vm="7">
        <f>_xlfn.XLOOKUP(HistoricalStockProgress[[#This Row],[Company Ticker]],CompanyDetailsList[Company Ticker],CompanyDetailsList[Official Name],,0)</f>
        <v>#VALUE!</v>
      </c>
      <c r="E8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8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860" s="17">
        <f>IFERROR(HistoricalStockProgress[[#This Row],[Cost of Shares]]/HistoricalStockProgress[[#This Row],[No. of Shares]],0)</f>
        <v>104.18087504950869</v>
      </c>
      <c r="H860" s="16" vm="1384">
        <v>153.41</v>
      </c>
      <c r="I860" s="16">
        <f>IF(HistoricalStockProgress[[#This Row],[No. of Shares]]&lt;&gt;0,HistoricalStockProgress[[#This Row],[Price of Shares]]*HistoricalStockProgress[[#This Row],[No. of Shares]],0)</f>
        <v>7823.91</v>
      </c>
      <c r="J860" s="16">
        <f>IF(HistoricalStockProgress[[#This Row],[No. of Shares]]&lt;&gt;0,HistoricalStockProgress[[#This Row],[Price of Shares]]-HistoricalStockProgress[[#This Row],[Cost of Shares]]/HistoricalStockProgress[[#This Row],[No. of Shares]],0)</f>
        <v>49.229124950491311</v>
      </c>
      <c r="K860" s="17">
        <f>IF(HistoricalStockProgress[[#This Row],[Total Price of Shares]]&lt;&gt;0,HistoricalStockProgress[[#This Row],[Total Price of Shares]]-HistoricalStockProgress[[#This Row],[Cost of Shares]],0)</f>
        <v>2510.6853724750572</v>
      </c>
      <c r="L860" s="34" t="b" cm="1">
        <f t="array" ref="L860">IFERROR(IF(HistoricalStockProgress[[#This Row],[Price of Shares]]="",_xlfn.STOCKHISTORY(HistoricalStockProgress[[#This Row],[Full Company Name]],HistoricalStockProgress[[#This Row],[Date]],,2,0,1)),0)</f>
        <v>0</v>
      </c>
      <c r="M860" s="34">
        <f>YEAR(HistoricalStockProgress[[#This Row],[Date]])</f>
        <v>2020</v>
      </c>
      <c r="N860" s="34">
        <f>MONTH(HistoricalStockProgress[[#This Row],[Date]])</f>
        <v>8</v>
      </c>
    </row>
    <row r="861" spans="2:14">
      <c r="B861" s="15">
        <v>44074</v>
      </c>
      <c r="C861" s="34" t="s">
        <v>86</v>
      </c>
      <c r="D861" s="34" t="e" vm="8">
        <f>_xlfn.XLOOKUP(HistoricalStockProgress[[#This Row],[Company Ticker]],CompanyDetailsList[Company Ticker],CompanyDetailsList[Official Name],,0)</f>
        <v>#VALUE!</v>
      </c>
      <c r="E8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53</v>
      </c>
      <c r="F8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4551.4296835408077</v>
      </c>
      <c r="G861" s="17">
        <f>IFERROR(HistoricalStockProgress[[#This Row],[Cost of Shares]]/HistoricalStockProgress[[#This Row],[No. of Shares]],0)</f>
        <v>85.876031764920896</v>
      </c>
      <c r="H861" s="16" vm="1385">
        <v>95.77</v>
      </c>
      <c r="I861" s="16">
        <f>IF(HistoricalStockProgress[[#This Row],[No. of Shares]]&lt;&gt;0,HistoricalStockProgress[[#This Row],[Price of Shares]]*HistoricalStockProgress[[#This Row],[No. of Shares]],0)</f>
        <v>5075.8099999999995</v>
      </c>
      <c r="J861" s="16">
        <f>IF(HistoricalStockProgress[[#This Row],[No. of Shares]]&lt;&gt;0,HistoricalStockProgress[[#This Row],[Price of Shares]]-HistoricalStockProgress[[#This Row],[Cost of Shares]]/HistoricalStockProgress[[#This Row],[No. of Shares]],0)</f>
        <v>9.8939682350791003</v>
      </c>
      <c r="K861" s="17">
        <f>IF(HistoricalStockProgress[[#This Row],[Total Price of Shares]]&lt;&gt;0,HistoricalStockProgress[[#This Row],[Total Price of Shares]]-HistoricalStockProgress[[#This Row],[Cost of Shares]],0)</f>
        <v>524.38031645919182</v>
      </c>
      <c r="L861" s="34" t="b" cm="1">
        <f t="array" ref="L861">IFERROR(IF(HistoricalStockProgress[[#This Row],[Price of Shares]]="",_xlfn.STOCKHISTORY(HistoricalStockProgress[[#This Row],[Full Company Name]],HistoricalStockProgress[[#This Row],[Date]],,2,0,1)),0)</f>
        <v>0</v>
      </c>
      <c r="M861" s="34">
        <f>YEAR(HistoricalStockProgress[[#This Row],[Date]])</f>
        <v>2020</v>
      </c>
      <c r="N861" s="34">
        <f>MONTH(HistoricalStockProgress[[#This Row],[Date]])</f>
        <v>8</v>
      </c>
    </row>
    <row r="862" spans="2:14">
      <c r="B862" s="15">
        <v>44074</v>
      </c>
      <c r="C862" s="34" t="s">
        <v>88</v>
      </c>
      <c r="D862" s="34" t="e" vm="9">
        <f>_xlfn.XLOOKUP(HistoricalStockProgress[[#This Row],[Company Ticker]],CompanyDetailsList[Company Ticker],CompanyDetailsList[Official Name],,0)</f>
        <v>#VALUE!</v>
      </c>
      <c r="E8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8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862" s="17">
        <f>IFERROR(HistoricalStockProgress[[#This Row],[Cost of Shares]]/HistoricalStockProgress[[#This Row],[No. of Shares]],0)</f>
        <v>187.727755253422</v>
      </c>
      <c r="H862" s="16" vm="1386">
        <v>213.52</v>
      </c>
      <c r="I862" s="16">
        <f>IF(HistoricalStockProgress[[#This Row],[No. of Shares]]&lt;&gt;0,HistoricalStockProgress[[#This Row],[Price of Shares]]*HistoricalStockProgress[[#This Row],[No. of Shares]],0)</f>
        <v>12597.68</v>
      </c>
      <c r="J862" s="16">
        <f>IF(HistoricalStockProgress[[#This Row],[No. of Shares]]&lt;&gt;0,HistoricalStockProgress[[#This Row],[Price of Shares]]-HistoricalStockProgress[[#This Row],[Cost of Shares]]/HistoricalStockProgress[[#This Row],[No. of Shares]],0)</f>
        <v>25.792244746578007</v>
      </c>
      <c r="K862" s="17">
        <f>IF(HistoricalStockProgress[[#This Row],[Total Price of Shares]]&lt;&gt;0,HistoricalStockProgress[[#This Row],[Total Price of Shares]]-HistoricalStockProgress[[#This Row],[Cost of Shares]],0)</f>
        <v>1521.7424400481013</v>
      </c>
      <c r="L862" s="34" t="b" cm="1">
        <f t="array" ref="L862">IFERROR(IF(HistoricalStockProgress[[#This Row],[Price of Shares]]="",_xlfn.STOCKHISTORY(HistoricalStockProgress[[#This Row],[Full Company Name]],HistoricalStockProgress[[#This Row],[Date]],,2,0,1)),0)</f>
        <v>0</v>
      </c>
      <c r="M862" s="34">
        <f>YEAR(HistoricalStockProgress[[#This Row],[Date]])</f>
        <v>2020</v>
      </c>
      <c r="N862" s="34">
        <f>MONTH(HistoricalStockProgress[[#This Row],[Date]])</f>
        <v>8</v>
      </c>
    </row>
    <row r="863" spans="2:14">
      <c r="B863" s="15">
        <v>44074</v>
      </c>
      <c r="C863" s="34" t="s">
        <v>22</v>
      </c>
      <c r="D863" s="34" t="e" vm="10">
        <f>_xlfn.XLOOKUP(HistoricalStockProgress[[#This Row],[Company Ticker]],CompanyDetailsList[Company Ticker],CompanyDetailsList[Official Name],,0)</f>
        <v>#VALUE!</v>
      </c>
      <c r="E8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8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863" s="17">
        <f>IFERROR(HistoricalStockProgress[[#This Row],[Cost of Shares]]/HistoricalStockProgress[[#This Row],[No. of Shares]],0)</f>
        <v>96.351727068187571</v>
      </c>
      <c r="H863" s="16" vm="1387">
        <v>142.31</v>
      </c>
      <c r="I863" s="16">
        <f>IF(HistoricalStockProgress[[#This Row],[No. of Shares]]&lt;&gt;0,HistoricalStockProgress[[#This Row],[Price of Shares]]*HistoricalStockProgress[[#This Row],[No. of Shares]],0)</f>
        <v>11527.11</v>
      </c>
      <c r="J863" s="16">
        <f>IF(HistoricalStockProgress[[#This Row],[No. of Shares]]&lt;&gt;0,HistoricalStockProgress[[#This Row],[Price of Shares]]-HistoricalStockProgress[[#This Row],[Cost of Shares]]/HistoricalStockProgress[[#This Row],[No. of Shares]],0)</f>
        <v>45.958272931812431</v>
      </c>
      <c r="K863" s="17">
        <f>IF(HistoricalStockProgress[[#This Row],[Total Price of Shares]]&lt;&gt;0,HistoricalStockProgress[[#This Row],[Total Price of Shares]]-HistoricalStockProgress[[#This Row],[Cost of Shares]],0)</f>
        <v>3722.6201074768078</v>
      </c>
      <c r="L863" s="34" t="b" cm="1">
        <f t="array" ref="L863">IFERROR(IF(HistoricalStockProgress[[#This Row],[Price of Shares]]="",_xlfn.STOCKHISTORY(HistoricalStockProgress[[#This Row],[Full Company Name]],HistoricalStockProgress[[#This Row],[Date]],,2,0,1)),0)</f>
        <v>0</v>
      </c>
      <c r="M863" s="34">
        <f>YEAR(HistoricalStockProgress[[#This Row],[Date]])</f>
        <v>2020</v>
      </c>
      <c r="N863" s="34">
        <f>MONTH(HistoricalStockProgress[[#This Row],[Date]])</f>
        <v>8</v>
      </c>
    </row>
    <row r="864" spans="2:14">
      <c r="B864" s="15">
        <v>44074</v>
      </c>
      <c r="C864" s="34" t="s">
        <v>91</v>
      </c>
      <c r="D864" s="34" t="e" vm="11">
        <f>_xlfn.XLOOKUP(HistoricalStockProgress[[#This Row],[Company Ticker]],CompanyDetailsList[Company Ticker],CompanyDetailsList[Official Name],,0)</f>
        <v>#VALUE!</v>
      </c>
      <c r="E8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8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864" s="17">
        <f>IFERROR(HistoricalStockProgress[[#This Row],[Cost of Shares]]/HistoricalStockProgress[[#This Row],[No. of Shares]],0)</f>
        <v>100.94993172657422</v>
      </c>
      <c r="H864" s="16" vm="1388">
        <v>225.53</v>
      </c>
      <c r="I864" s="16">
        <f>IF(HistoricalStockProgress[[#This Row],[No. of Shares]]&lt;&gt;0,HistoricalStockProgress[[#This Row],[Price of Shares]]*HistoricalStockProgress[[#This Row],[No. of Shares]],0)</f>
        <v>33152.910000000003</v>
      </c>
      <c r="J864" s="16">
        <f>IF(HistoricalStockProgress[[#This Row],[No. of Shares]]&lt;&gt;0,HistoricalStockProgress[[#This Row],[Price of Shares]]-HistoricalStockProgress[[#This Row],[Cost of Shares]]/HistoricalStockProgress[[#This Row],[No. of Shares]],0)</f>
        <v>124.58006827342578</v>
      </c>
      <c r="K864" s="17">
        <f>IF(HistoricalStockProgress[[#This Row],[Total Price of Shares]]&lt;&gt;0,HistoricalStockProgress[[#This Row],[Total Price of Shares]]-HistoricalStockProgress[[#This Row],[Cost of Shares]],0)</f>
        <v>18313.270036193593</v>
      </c>
      <c r="L864" s="34" t="b" cm="1">
        <f t="array" ref="L864">IFERROR(IF(HistoricalStockProgress[[#This Row],[Price of Shares]]="",_xlfn.STOCKHISTORY(HistoricalStockProgress[[#This Row],[Full Company Name]],HistoricalStockProgress[[#This Row],[Date]],,2,0,1)),0)</f>
        <v>0</v>
      </c>
      <c r="M864" s="34">
        <f>YEAR(HistoricalStockProgress[[#This Row],[Date]])</f>
        <v>2020</v>
      </c>
      <c r="N864" s="34">
        <f>MONTH(HistoricalStockProgress[[#This Row],[Date]])</f>
        <v>8</v>
      </c>
    </row>
    <row r="865" spans="2:14">
      <c r="B865" s="15">
        <v>44074</v>
      </c>
      <c r="C865" s="34" t="s">
        <v>16</v>
      </c>
      <c r="D865" s="34" t="e" vm="12">
        <f>_xlfn.XLOOKUP(HistoricalStockProgress[[#This Row],[Company Ticker]],CompanyDetailsList[Company Ticker],CompanyDetailsList[Official Name],,0)</f>
        <v>#VALUE!</v>
      </c>
      <c r="E8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175</v>
      </c>
      <c r="F8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13287.78699035665</v>
      </c>
      <c r="G865" s="17">
        <f>IFERROR(HistoricalStockProgress[[#This Row],[Cost of Shares]]/HistoricalStockProgress[[#This Row],[No. of Shares]],0)</f>
        <v>75.930211373466577</v>
      </c>
      <c r="H865" s="16" vm="1389">
        <v>39.94</v>
      </c>
      <c r="I865" s="16">
        <f>IF(HistoricalStockProgress[[#This Row],[No. of Shares]]&lt;&gt;0,HistoricalStockProgress[[#This Row],[Price of Shares]]*HistoricalStockProgress[[#This Row],[No. of Shares]],0)</f>
        <v>6989.5</v>
      </c>
      <c r="J865" s="16">
        <f>IF(HistoricalStockProgress[[#This Row],[No. of Shares]]&lt;&gt;0,HistoricalStockProgress[[#This Row],[Price of Shares]]-HistoricalStockProgress[[#This Row],[Cost of Shares]]/HistoricalStockProgress[[#This Row],[No. of Shares]],0)</f>
        <v>-35.990211373466579</v>
      </c>
      <c r="K865" s="17">
        <f>IF(HistoricalStockProgress[[#This Row],[Total Price of Shares]]&lt;&gt;0,HistoricalStockProgress[[#This Row],[Total Price of Shares]]-HistoricalStockProgress[[#This Row],[Cost of Shares]],0)</f>
        <v>-6298.2869903566498</v>
      </c>
      <c r="L865" s="34" t="b" cm="1">
        <f t="array" ref="L865">IFERROR(IF(HistoricalStockProgress[[#This Row],[Price of Shares]]="",_xlfn.STOCKHISTORY(HistoricalStockProgress[[#This Row],[Full Company Name]],HistoricalStockProgress[[#This Row],[Date]],,2,0,1)),0)</f>
        <v>0</v>
      </c>
      <c r="M865" s="34">
        <f>YEAR(HistoricalStockProgress[[#This Row],[Date]])</f>
        <v>2020</v>
      </c>
      <c r="N865" s="34">
        <f>MONTH(HistoricalStockProgress[[#This Row],[Date]])</f>
        <v>8</v>
      </c>
    </row>
    <row r="866" spans="2:14">
      <c r="B866" s="15">
        <v>44074</v>
      </c>
      <c r="C866" s="34" t="s">
        <v>95</v>
      </c>
      <c r="D866" s="34" t="e" vm="13">
        <f>_xlfn.XLOOKUP(HistoricalStockProgress[[#This Row],[Company Ticker]],CompanyDetailsList[Company Ticker],CompanyDetailsList[Official Name],,0)</f>
        <v>#VALUE!</v>
      </c>
      <c r="E8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8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866" s="17">
        <f>IFERROR(HistoricalStockProgress[[#This Row],[Cost of Shares]]/HistoricalStockProgress[[#This Row],[No. of Shares]],0)</f>
        <v>143.29758396474452</v>
      </c>
      <c r="H866" s="16" vm="1390">
        <v>285.04000000000002</v>
      </c>
      <c r="I866" s="16">
        <f>IF(HistoricalStockProgress[[#This Row],[No. of Shares]]&lt;&gt;0,HistoricalStockProgress[[#This Row],[Price of Shares]]*HistoricalStockProgress[[#This Row],[No. of Shares]],0)</f>
        <v>12256.720000000001</v>
      </c>
      <c r="J866" s="16">
        <f>IF(HistoricalStockProgress[[#This Row],[No. of Shares]]&lt;&gt;0,HistoricalStockProgress[[#This Row],[Price of Shares]]-HistoricalStockProgress[[#This Row],[Cost of Shares]]/HistoricalStockProgress[[#This Row],[No. of Shares]],0)</f>
        <v>141.7424160352555</v>
      </c>
      <c r="K866" s="17">
        <f>IF(HistoricalStockProgress[[#This Row],[Total Price of Shares]]&lt;&gt;0,HistoricalStockProgress[[#This Row],[Total Price of Shares]]-HistoricalStockProgress[[#This Row],[Cost of Shares]],0)</f>
        <v>6094.923889515987</v>
      </c>
      <c r="L866" s="34" t="b" cm="1">
        <f t="array" ref="L866">IFERROR(IF(HistoricalStockProgress[[#This Row],[Price of Shares]]="",_xlfn.STOCKHISTORY(HistoricalStockProgress[[#This Row],[Full Company Name]],HistoricalStockProgress[[#This Row],[Date]],,2,0,1)),0)</f>
        <v>0</v>
      </c>
      <c r="M866" s="34">
        <f>YEAR(HistoricalStockProgress[[#This Row],[Date]])</f>
        <v>2020</v>
      </c>
      <c r="N866" s="34">
        <f>MONTH(HistoricalStockProgress[[#This Row],[Date]])</f>
        <v>8</v>
      </c>
    </row>
    <row r="867" spans="2:14">
      <c r="B867" s="15">
        <v>44074</v>
      </c>
      <c r="C867" s="34" t="s">
        <v>17</v>
      </c>
      <c r="D867" s="34" t="e" vm="14">
        <f>_xlfn.XLOOKUP(HistoricalStockProgress[[#This Row],[Company Ticker]],CompanyDetailsList[Company Ticker],CompanyDetailsList[Official Name],,0)</f>
        <v>#VALUE!</v>
      </c>
      <c r="E8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91</v>
      </c>
      <c r="F8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13257.550624316333</v>
      </c>
      <c r="G867" s="17">
        <f>IFERROR(HistoricalStockProgress[[#This Row],[Cost of Shares]]/HistoricalStockProgress[[#This Row],[No. of Shares]],0)</f>
        <v>145.68736949798168</v>
      </c>
      <c r="H867" s="16" vm="1391">
        <v>123.31</v>
      </c>
      <c r="I867" s="16">
        <f>IF(HistoricalStockProgress[[#This Row],[No. of Shares]]&lt;&gt;0,HistoricalStockProgress[[#This Row],[Price of Shares]]*HistoricalStockProgress[[#This Row],[No. of Shares]],0)</f>
        <v>11221.210000000001</v>
      </c>
      <c r="J867" s="16">
        <f>IF(HistoricalStockProgress[[#This Row],[No. of Shares]]&lt;&gt;0,HistoricalStockProgress[[#This Row],[Price of Shares]]-HistoricalStockProgress[[#This Row],[Cost of Shares]]/HistoricalStockProgress[[#This Row],[No. of Shares]],0)</f>
        <v>-22.377369497981675</v>
      </c>
      <c r="K867" s="17">
        <f>IF(HistoricalStockProgress[[#This Row],[Total Price of Shares]]&lt;&gt;0,HistoricalStockProgress[[#This Row],[Total Price of Shares]]-HistoricalStockProgress[[#This Row],[Cost of Shares]],0)</f>
        <v>-2036.3406243163317</v>
      </c>
      <c r="L867" s="34" t="b" cm="1">
        <f t="array" ref="L867">IFERROR(IF(HistoricalStockProgress[[#This Row],[Price of Shares]]="",_xlfn.STOCKHISTORY(HistoricalStockProgress[[#This Row],[Full Company Name]],HistoricalStockProgress[[#This Row],[Date]],,2,0,1)),0)</f>
        <v>0</v>
      </c>
      <c r="M867" s="34">
        <f>YEAR(HistoricalStockProgress[[#This Row],[Date]])</f>
        <v>2020</v>
      </c>
      <c r="N867" s="34">
        <f>MONTH(HistoricalStockProgress[[#This Row],[Date]])</f>
        <v>8</v>
      </c>
    </row>
    <row r="868" spans="2:14">
      <c r="B868" s="15">
        <v>44074</v>
      </c>
      <c r="C868" s="34" t="s">
        <v>98</v>
      </c>
      <c r="D868" s="34" t="e" vm="15">
        <f>_xlfn.XLOOKUP(HistoricalStockProgress[[#This Row],[Company Ticker]],CompanyDetailsList[Company Ticker],CompanyDetailsList[Official Name],,0)</f>
        <v>#VALUE!</v>
      </c>
      <c r="E8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8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868" s="17">
        <f>IFERROR(HistoricalStockProgress[[#This Row],[Cost of Shares]]/HistoricalStockProgress[[#This Row],[No. of Shares]],0)</f>
        <v>39.627242008882604</v>
      </c>
      <c r="H868" s="16" vm="1392">
        <v>69.792500000000004</v>
      </c>
      <c r="I868" s="16">
        <f>IF(HistoricalStockProgress[[#This Row],[No. of Shares]]&lt;&gt;0,HistoricalStockProgress[[#This Row],[Price of Shares]]*HistoricalStockProgress[[#This Row],[No. of Shares]],0)</f>
        <v>5094.8525</v>
      </c>
      <c r="J868" s="16">
        <f>IF(HistoricalStockProgress[[#This Row],[No. of Shares]]&lt;&gt;0,HistoricalStockProgress[[#This Row],[Price of Shares]]-HistoricalStockProgress[[#This Row],[Cost of Shares]]/HistoricalStockProgress[[#This Row],[No. of Shares]],0)</f>
        <v>30.1652579911174</v>
      </c>
      <c r="K868" s="17">
        <f>IF(HistoricalStockProgress[[#This Row],[Total Price of Shares]]&lt;&gt;0,HistoricalStockProgress[[#This Row],[Total Price of Shares]]-HistoricalStockProgress[[#This Row],[Cost of Shares]],0)</f>
        <v>2202.0638333515699</v>
      </c>
      <c r="L868" s="34" t="b" cm="1">
        <f t="array" ref="L868">IFERROR(IF(HistoricalStockProgress[[#This Row],[Price of Shares]]="",_xlfn.STOCKHISTORY(HistoricalStockProgress[[#This Row],[Full Company Name]],HistoricalStockProgress[[#This Row],[Date]],,2,0,1)),0)</f>
        <v>0</v>
      </c>
      <c r="M868" s="34">
        <f>YEAR(HistoricalStockProgress[[#This Row],[Date]])</f>
        <v>2020</v>
      </c>
      <c r="N868" s="34">
        <f>MONTH(HistoricalStockProgress[[#This Row],[Date]])</f>
        <v>8</v>
      </c>
    </row>
    <row r="869" spans="2:14">
      <c r="B869" s="15">
        <v>44074</v>
      </c>
      <c r="C869" s="34" t="s">
        <v>100</v>
      </c>
      <c r="D869" s="34" t="e" vm="16">
        <f>_xlfn.XLOOKUP(HistoricalStockProgress[[#This Row],[Company Ticker]],CompanyDetailsList[Company Ticker],CompanyDetailsList[Official Name],,0)</f>
        <v>#VALUE!</v>
      </c>
      <c r="E8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109</v>
      </c>
      <c r="F8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9263.9352759443282</v>
      </c>
      <c r="G869" s="17">
        <f>IFERROR(HistoricalStockProgress[[#This Row],[Cost of Shares]]/HistoricalStockProgress[[#This Row],[No. of Shares]],0)</f>
        <v>84.990231889397506</v>
      </c>
      <c r="H869" s="16" vm="1393">
        <v>80.34</v>
      </c>
      <c r="I869" s="16">
        <f>IF(HistoricalStockProgress[[#This Row],[No. of Shares]]&lt;&gt;0,HistoricalStockProgress[[#This Row],[Price of Shares]]*HistoricalStockProgress[[#This Row],[No. of Shares]],0)</f>
        <v>8757.06</v>
      </c>
      <c r="J869" s="16">
        <f>IF(HistoricalStockProgress[[#This Row],[No. of Shares]]&lt;&gt;0,HistoricalStockProgress[[#This Row],[Price of Shares]]-HistoricalStockProgress[[#This Row],[Cost of Shares]]/HistoricalStockProgress[[#This Row],[No. of Shares]],0)</f>
        <v>-4.650231889397503</v>
      </c>
      <c r="K869" s="17">
        <f>IF(HistoricalStockProgress[[#This Row],[Total Price of Shares]]&lt;&gt;0,HistoricalStockProgress[[#This Row],[Total Price of Shares]]-HistoricalStockProgress[[#This Row],[Cost of Shares]],0)</f>
        <v>-506.87527594432868</v>
      </c>
      <c r="L869" s="34" t="b" cm="1">
        <f t="array" ref="L869">IFERROR(IF(HistoricalStockProgress[[#This Row],[Price of Shares]]="",_xlfn.STOCKHISTORY(HistoricalStockProgress[[#This Row],[Full Company Name]],HistoricalStockProgress[[#This Row],[Date]],,2,0,1)),0)</f>
        <v>0</v>
      </c>
      <c r="M869" s="34">
        <f>YEAR(HistoricalStockProgress[[#This Row],[Date]])</f>
        <v>2020</v>
      </c>
      <c r="N869" s="34">
        <f>MONTH(HistoricalStockProgress[[#This Row],[Date]])</f>
        <v>8</v>
      </c>
    </row>
    <row r="870" spans="2:14">
      <c r="B870" s="15">
        <v>44074</v>
      </c>
      <c r="C870" s="34" t="s">
        <v>15</v>
      </c>
      <c r="D870" s="34" t="e" vm="17">
        <f>_xlfn.XLOOKUP(HistoricalStockProgress[[#This Row],[Company Ticker]],CompanyDetailsList[Company Ticker],CompanyDetailsList[Official Name],,0)</f>
        <v>#VALUE!</v>
      </c>
      <c r="E8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8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870" s="17">
        <f>IFERROR(HistoricalStockProgress[[#This Row],[Cost of Shares]]/HistoricalStockProgress[[#This Row],[No. of Shares]],0)</f>
        <v>26.081956457072195</v>
      </c>
      <c r="H870" s="16" vm="1394">
        <v>22.511900000000001</v>
      </c>
      <c r="I870" s="16">
        <f>IF(HistoricalStockProgress[[#This Row],[No. of Shares]]&lt;&gt;0,HistoricalStockProgress[[#This Row],[Price of Shares]]*HistoricalStockProgress[[#This Row],[No. of Shares]],0)</f>
        <v>2791.4756000000002</v>
      </c>
      <c r="J870" s="16">
        <f>IF(HistoricalStockProgress[[#This Row],[No. of Shares]]&lt;&gt;0,HistoricalStockProgress[[#This Row],[Price of Shares]]-HistoricalStockProgress[[#This Row],[Cost of Shares]]/HistoricalStockProgress[[#This Row],[No. of Shares]],0)</f>
        <v>-3.5700564570721944</v>
      </c>
      <c r="K870" s="17">
        <f>IF(HistoricalStockProgress[[#This Row],[Total Price of Shares]]&lt;&gt;0,HistoricalStockProgress[[#This Row],[Total Price of Shares]]-HistoricalStockProgress[[#This Row],[Cost of Shares]],0)</f>
        <v>-442.68700067695181</v>
      </c>
      <c r="L870" s="34" t="b" cm="1">
        <f t="array" ref="L870">IFERROR(IF(HistoricalStockProgress[[#This Row],[Price of Shares]]="",_xlfn.STOCKHISTORY(HistoricalStockProgress[[#This Row],[Full Company Name]],HistoricalStockProgress[[#This Row],[Date]],,2,0,1)),0)</f>
        <v>0</v>
      </c>
      <c r="M870" s="34">
        <f>YEAR(HistoricalStockProgress[[#This Row],[Date]])</f>
        <v>2020</v>
      </c>
      <c r="N870" s="34">
        <f>MONTH(HistoricalStockProgress[[#This Row],[Date]])</f>
        <v>8</v>
      </c>
    </row>
    <row r="871" spans="2:14">
      <c r="B871" s="15">
        <v>44074</v>
      </c>
      <c r="C871" s="34" t="s">
        <v>13</v>
      </c>
      <c r="D871" s="34" t="e" vm="18">
        <f>_xlfn.XLOOKUP(HistoricalStockProgress[[#This Row],[Company Ticker]],CompanyDetailsList[Company Ticker],CompanyDetailsList[Official Name],,0)</f>
        <v>#VALUE!</v>
      </c>
      <c r="E8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8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871" s="17">
        <f>IFERROR(HistoricalStockProgress[[#This Row],[Cost of Shares]]/HistoricalStockProgress[[#This Row],[No. of Shares]],0)</f>
        <v>35.846938938346874</v>
      </c>
      <c r="H871" s="16" vm="1395">
        <v>35.823</v>
      </c>
      <c r="I871" s="16">
        <f>IF(HistoricalStockProgress[[#This Row],[No. of Shares]]&lt;&gt;0,HistoricalStockProgress[[#This Row],[Price of Shares]]*HistoricalStockProgress[[#This Row],[No. of Shares]],0)</f>
        <v>1970.2650000000001</v>
      </c>
      <c r="J871" s="16">
        <f>IF(HistoricalStockProgress[[#This Row],[No. of Shares]]&lt;&gt;0,HistoricalStockProgress[[#This Row],[Price of Shares]]-HistoricalStockProgress[[#This Row],[Cost of Shares]]/HistoricalStockProgress[[#This Row],[No. of Shares]],0)</f>
        <v>-2.3938938346873329E-2</v>
      </c>
      <c r="K871" s="17">
        <f>IF(HistoricalStockProgress[[#This Row],[Total Price of Shares]]&lt;&gt;0,HistoricalStockProgress[[#This Row],[Total Price of Shares]]-HistoricalStockProgress[[#This Row],[Cost of Shares]],0)</f>
        <v>-1.3166416090780331</v>
      </c>
      <c r="L871" s="34" t="b" cm="1">
        <f t="array" ref="L871">IFERROR(IF(HistoricalStockProgress[[#This Row],[Price of Shares]]="",_xlfn.STOCKHISTORY(HistoricalStockProgress[[#This Row],[Full Company Name]],HistoricalStockProgress[[#This Row],[Date]],,2,0,1)),0)</f>
        <v>0</v>
      </c>
      <c r="M871" s="34">
        <f>YEAR(HistoricalStockProgress[[#This Row],[Date]])</f>
        <v>2020</v>
      </c>
      <c r="N871" s="34">
        <f>MONTH(HistoricalStockProgress[[#This Row],[Date]])</f>
        <v>8</v>
      </c>
    </row>
    <row r="872" spans="2:14">
      <c r="B872" s="15">
        <v>44074</v>
      </c>
      <c r="C872" s="34" t="s">
        <v>20</v>
      </c>
      <c r="D872" s="34" t="e" vm="19">
        <f>_xlfn.XLOOKUP(HistoricalStockProgress[[#This Row],[Company Ticker]],CompanyDetailsList[Company Ticker],CompanyDetailsList[Official Name],,0)</f>
        <v>#VALUE!</v>
      </c>
      <c r="E8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8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872" s="17">
        <f>IFERROR(HistoricalStockProgress[[#This Row],[Cost of Shares]]/HistoricalStockProgress[[#This Row],[No. of Shares]],0)</f>
        <v>93.912242833589502</v>
      </c>
      <c r="H872" s="16" vm="1396">
        <v>100.19</v>
      </c>
      <c r="I872" s="16">
        <f>IF(HistoricalStockProgress[[#This Row],[No. of Shares]]&lt;&gt;0,HistoricalStockProgress[[#This Row],[Price of Shares]]*HistoricalStockProgress[[#This Row],[No. of Shares]],0)</f>
        <v>7814.82</v>
      </c>
      <c r="J872" s="16">
        <f>IF(HistoricalStockProgress[[#This Row],[No. of Shares]]&lt;&gt;0,HistoricalStockProgress[[#This Row],[Price of Shares]]-HistoricalStockProgress[[#This Row],[Cost of Shares]]/HistoricalStockProgress[[#This Row],[No. of Shares]],0)</f>
        <v>6.2777571664104954</v>
      </c>
      <c r="K872" s="17">
        <f>IF(HistoricalStockProgress[[#This Row],[Total Price of Shares]]&lt;&gt;0,HistoricalStockProgress[[#This Row],[Total Price of Shares]]-HistoricalStockProgress[[#This Row],[Cost of Shares]],0)</f>
        <v>489.66505898001833</v>
      </c>
      <c r="L872" s="34" t="b" cm="1">
        <f t="array" ref="L872">IFERROR(IF(HistoricalStockProgress[[#This Row],[Price of Shares]]="",_xlfn.STOCKHISTORY(HistoricalStockProgress[[#This Row],[Full Company Name]],HistoricalStockProgress[[#This Row],[Date]],,2,0,1)),0)</f>
        <v>0</v>
      </c>
      <c r="M872" s="34">
        <f>YEAR(HistoricalStockProgress[[#This Row],[Date]])</f>
        <v>2020</v>
      </c>
      <c r="N872" s="34">
        <f>MONTH(HistoricalStockProgress[[#This Row],[Date]])</f>
        <v>8</v>
      </c>
    </row>
    <row r="873" spans="2:14">
      <c r="B873" s="15">
        <v>44074</v>
      </c>
      <c r="C873" s="34" t="s">
        <v>106</v>
      </c>
      <c r="D873" s="34" t="e" vm="20">
        <f>_xlfn.XLOOKUP(HistoricalStockProgress[[#This Row],[Company Ticker]],CompanyDetailsList[Company Ticker],CompanyDetailsList[Official Name],,0)</f>
        <v>#VALUE!</v>
      </c>
      <c r="E8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8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873" s="17">
        <f>IFERROR(HistoricalStockProgress[[#This Row],[Cost of Shares]]/HistoricalStockProgress[[#This Row],[No. of Shares]],0)</f>
        <v>108.54870748680406</v>
      </c>
      <c r="H873" s="16" vm="1397">
        <v>120.4</v>
      </c>
      <c r="I873" s="16">
        <f>IF(HistoricalStockProgress[[#This Row],[No. of Shares]]&lt;&gt;0,HistoricalStockProgress[[#This Row],[Price of Shares]]*HistoricalStockProgress[[#This Row],[No. of Shares]],0)</f>
        <v>10595.2</v>
      </c>
      <c r="J873" s="16">
        <f>IF(HistoricalStockProgress[[#This Row],[No. of Shares]]&lt;&gt;0,HistoricalStockProgress[[#This Row],[Price of Shares]]-HistoricalStockProgress[[#This Row],[Cost of Shares]]/HistoricalStockProgress[[#This Row],[No. of Shares]],0)</f>
        <v>11.851292513195943</v>
      </c>
      <c r="K873" s="17">
        <f>IF(HistoricalStockProgress[[#This Row],[Total Price of Shares]]&lt;&gt;0,HistoricalStockProgress[[#This Row],[Total Price of Shares]]-HistoricalStockProgress[[#This Row],[Cost of Shares]],0)</f>
        <v>1042.9137411612428</v>
      </c>
      <c r="L873" s="34" t="b" cm="1">
        <f t="array" ref="L873">IFERROR(IF(HistoricalStockProgress[[#This Row],[Price of Shares]]="",_xlfn.STOCKHISTORY(HistoricalStockProgress[[#This Row],[Full Company Name]],HistoricalStockProgress[[#This Row],[Date]],,2,0,1)),0)</f>
        <v>0</v>
      </c>
      <c r="M873" s="34">
        <f>YEAR(HistoricalStockProgress[[#This Row],[Date]])</f>
        <v>2020</v>
      </c>
      <c r="N873" s="34">
        <f>MONTH(HistoricalStockProgress[[#This Row],[Date]])</f>
        <v>8</v>
      </c>
    </row>
    <row r="874" spans="2:14">
      <c r="B874" s="15">
        <v>44104</v>
      </c>
      <c r="C874" s="34" t="s">
        <v>12</v>
      </c>
      <c r="D874" s="34" t="e" vm="1">
        <f>_xlfn.XLOOKUP(HistoricalStockProgress[[#This Row],[Company Ticker]],CompanyDetailsList[Company Ticker],CompanyDetailsList[Official Name],,0)</f>
        <v>#VALUE!</v>
      </c>
      <c r="E8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8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1953.8799010350301</v>
      </c>
      <c r="G874" s="17">
        <f>IFERROR(HistoricalStockProgress[[#This Row],[Cost of Shares]]/HistoricalStockProgress[[#This Row],[No. of Shares]],0)</f>
        <v>67.375169001207937</v>
      </c>
      <c r="H874" s="16" vm="1398">
        <v>60.75</v>
      </c>
      <c r="I874" s="16">
        <f>IF(HistoricalStockProgress[[#This Row],[No. of Shares]]&lt;&gt;0,HistoricalStockProgress[[#This Row],[Price of Shares]]*HistoricalStockProgress[[#This Row],[No. of Shares]],0)</f>
        <v>1761.75</v>
      </c>
      <c r="J874" s="16">
        <f>IF(HistoricalStockProgress[[#This Row],[No. of Shares]]&lt;&gt;0,HistoricalStockProgress[[#This Row],[Price of Shares]]-HistoricalStockProgress[[#This Row],[Cost of Shares]]/HistoricalStockProgress[[#This Row],[No. of Shares]],0)</f>
        <v>-6.6251690012079365</v>
      </c>
      <c r="K874" s="17">
        <f>IF(HistoricalStockProgress[[#This Row],[Total Price of Shares]]&lt;&gt;0,HistoricalStockProgress[[#This Row],[Total Price of Shares]]-HistoricalStockProgress[[#This Row],[Cost of Shares]],0)</f>
        <v>-192.12990103503012</v>
      </c>
      <c r="L874" s="34" t="b" cm="1">
        <f t="array" ref="L874">IFERROR(IF(HistoricalStockProgress[[#This Row],[Price of Shares]]="",_xlfn.STOCKHISTORY(HistoricalStockProgress[[#This Row],[Full Company Name]],HistoricalStockProgress[[#This Row],[Date]],,2,0,1)),0)</f>
        <v>0</v>
      </c>
      <c r="M874" s="34">
        <f>YEAR(HistoricalStockProgress[[#This Row],[Date]])</f>
        <v>2020</v>
      </c>
      <c r="N874" s="34">
        <f>MONTH(HistoricalStockProgress[[#This Row],[Date]])</f>
        <v>9</v>
      </c>
    </row>
    <row r="875" spans="2:14">
      <c r="B875" s="15">
        <v>44104</v>
      </c>
      <c r="C875" s="34" t="s">
        <v>19</v>
      </c>
      <c r="D875" s="34" t="e" vm="3">
        <f>_xlfn.XLOOKUP(HistoricalStockProgress[[#This Row],[Company Ticker]],CompanyDetailsList[Company Ticker],CompanyDetailsList[Official Name],,0)</f>
        <v>#VALUE!</v>
      </c>
      <c r="E8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8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875" s="17">
        <f>IFERROR(HistoricalStockProgress[[#This Row],[Cost of Shares]]/HistoricalStockProgress[[#This Row],[No. of Shares]],0)</f>
        <v>158.45739987816083</v>
      </c>
      <c r="H875" s="16" vm="1399">
        <v>210.17</v>
      </c>
      <c r="I875" s="16">
        <f>IF(HistoricalStockProgress[[#This Row],[No. of Shares]]&lt;&gt;0,HistoricalStockProgress[[#This Row],[Price of Shares]]*HistoricalStockProgress[[#This Row],[No. of Shares]],0)</f>
        <v>11979.689999999999</v>
      </c>
      <c r="J875" s="16">
        <f>IF(HistoricalStockProgress[[#This Row],[No. of Shares]]&lt;&gt;0,HistoricalStockProgress[[#This Row],[Price of Shares]]-HistoricalStockProgress[[#This Row],[Cost of Shares]]/HistoricalStockProgress[[#This Row],[No. of Shares]],0)</f>
        <v>51.712600121839159</v>
      </c>
      <c r="K875" s="17">
        <f>IF(HistoricalStockProgress[[#This Row],[Total Price of Shares]]&lt;&gt;0,HistoricalStockProgress[[#This Row],[Total Price of Shares]]-HistoricalStockProgress[[#This Row],[Cost of Shares]],0)</f>
        <v>2947.6182069448314</v>
      </c>
      <c r="L875" s="34" t="b" cm="1">
        <f t="array" ref="L875">IFERROR(IF(HistoricalStockProgress[[#This Row],[Price of Shares]]="",_xlfn.STOCKHISTORY(HistoricalStockProgress[[#This Row],[Full Company Name]],HistoricalStockProgress[[#This Row],[Date]],,2,0,1)),0)</f>
        <v>0</v>
      </c>
      <c r="M875" s="34">
        <f>YEAR(HistoricalStockProgress[[#This Row],[Date]])</f>
        <v>2020</v>
      </c>
      <c r="N875" s="34">
        <f>MONTH(HistoricalStockProgress[[#This Row],[Date]])</f>
        <v>9</v>
      </c>
    </row>
    <row r="876" spans="2:14">
      <c r="B876" s="15">
        <v>44104</v>
      </c>
      <c r="C876" s="34" t="s">
        <v>23</v>
      </c>
      <c r="D876" s="34" t="e" vm="4">
        <f>_xlfn.XLOOKUP(HistoricalStockProgress[[#This Row],[Company Ticker]],CompanyDetailsList[Company Ticker],CompanyDetailsList[Official Name],,0)</f>
        <v>#VALUE!</v>
      </c>
      <c r="E8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8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876" s="17">
        <f>IFERROR(HistoricalStockProgress[[#This Row],[Cost of Shares]]/HistoricalStockProgress[[#This Row],[No. of Shares]],0)</f>
        <v>45.768494888570878</v>
      </c>
      <c r="H876" s="16" vm="1400">
        <v>49.37</v>
      </c>
      <c r="I876" s="16">
        <f>IF(HistoricalStockProgress[[#This Row],[No. of Shares]]&lt;&gt;0,HistoricalStockProgress[[#This Row],[Price of Shares]]*HistoricalStockProgress[[#This Row],[No. of Shares]],0)</f>
        <v>2863.46</v>
      </c>
      <c r="J876" s="16">
        <f>IF(HistoricalStockProgress[[#This Row],[No. of Shares]]&lt;&gt;0,HistoricalStockProgress[[#This Row],[Price of Shares]]-HistoricalStockProgress[[#This Row],[Cost of Shares]]/HistoricalStockProgress[[#This Row],[No. of Shares]],0)</f>
        <v>3.6015051114291197</v>
      </c>
      <c r="K876" s="17">
        <f>IF(HistoricalStockProgress[[#This Row],[Total Price of Shares]]&lt;&gt;0,HistoricalStockProgress[[#This Row],[Total Price of Shares]]-HistoricalStockProgress[[#This Row],[Cost of Shares]],0)</f>
        <v>208.88729646288903</v>
      </c>
      <c r="L876" s="34" t="b" cm="1">
        <f t="array" ref="L876">IFERROR(IF(HistoricalStockProgress[[#This Row],[Price of Shares]]="",_xlfn.STOCKHISTORY(HistoricalStockProgress[[#This Row],[Full Company Name]],HistoricalStockProgress[[#This Row],[Date]],,2,0,1)),0)</f>
        <v>0</v>
      </c>
      <c r="M876" s="34">
        <f>YEAR(HistoricalStockProgress[[#This Row],[Date]])</f>
        <v>2020</v>
      </c>
      <c r="N876" s="34">
        <f>MONTH(HistoricalStockProgress[[#This Row],[Date]])</f>
        <v>9</v>
      </c>
    </row>
    <row r="877" spans="2:14">
      <c r="B877" s="15">
        <v>44104</v>
      </c>
      <c r="C877" s="34" t="s">
        <v>18</v>
      </c>
      <c r="D877" s="34" t="e" vm="5">
        <f>_xlfn.XLOOKUP(HistoricalStockProgress[[#This Row],[Company Ticker]],CompanyDetailsList[Company Ticker],CompanyDetailsList[Official Name],,0)</f>
        <v>#VALUE!</v>
      </c>
      <c r="E8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v>
      </c>
      <c r="F8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1322.059549224459</v>
      </c>
      <c r="G877" s="17">
        <f>IFERROR(HistoricalStockProgress[[#This Row],[Cost of Shares]]/HistoricalStockProgress[[#This Row],[No. of Shares]],0)</f>
        <v>132.2059549224459</v>
      </c>
      <c r="H877" s="16" vm="1401">
        <v>138.6</v>
      </c>
      <c r="I877" s="16">
        <f>IF(HistoricalStockProgress[[#This Row],[No. of Shares]]&lt;&gt;0,HistoricalStockProgress[[#This Row],[Price of Shares]]*HistoricalStockProgress[[#This Row],[No. of Shares]],0)</f>
        <v>1386</v>
      </c>
      <c r="J877" s="16">
        <f>IF(HistoricalStockProgress[[#This Row],[No. of Shares]]&lt;&gt;0,HistoricalStockProgress[[#This Row],[Price of Shares]]-HistoricalStockProgress[[#This Row],[Cost of Shares]]/HistoricalStockProgress[[#This Row],[No. of Shares]],0)</f>
        <v>6.3940450775540967</v>
      </c>
      <c r="K877" s="17">
        <f>IF(HistoricalStockProgress[[#This Row],[Total Price of Shares]]&lt;&gt;0,HistoricalStockProgress[[#This Row],[Total Price of Shares]]-HistoricalStockProgress[[#This Row],[Cost of Shares]],0)</f>
        <v>63.940450775540967</v>
      </c>
      <c r="L877" s="34" t="b" cm="1">
        <f t="array" ref="L877">IFERROR(IF(HistoricalStockProgress[[#This Row],[Price of Shares]]="",_xlfn.STOCKHISTORY(HistoricalStockProgress[[#This Row],[Full Company Name]],HistoricalStockProgress[[#This Row],[Date]],,2,0,1)),0)</f>
        <v>0</v>
      </c>
      <c r="M877" s="34">
        <f>YEAR(HistoricalStockProgress[[#This Row],[Date]])</f>
        <v>2020</v>
      </c>
      <c r="N877" s="34">
        <f>MONTH(HistoricalStockProgress[[#This Row],[Date]])</f>
        <v>9</v>
      </c>
    </row>
    <row r="878" spans="2:14">
      <c r="B878" s="15">
        <v>44104</v>
      </c>
      <c r="C878" s="34" t="s">
        <v>21</v>
      </c>
      <c r="D878" s="34" t="e" vm="6">
        <f>_xlfn.XLOOKUP(HistoricalStockProgress[[#This Row],[Company Ticker]],CompanyDetailsList[Company Ticker],CompanyDetailsList[Official Name],,0)</f>
        <v>#VALUE!</v>
      </c>
      <c r="E8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v>
      </c>
      <c r="F8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2087.9623605222587</v>
      </c>
      <c r="G878" s="17">
        <f>IFERROR(HistoricalStockProgress[[#This Row],[Cost of Shares]]/HistoricalStockProgress[[#This Row],[No. of Shares]],0)</f>
        <v>122.82131532483875</v>
      </c>
      <c r="H878" s="16" vm="1402">
        <v>138.99</v>
      </c>
      <c r="I878" s="16">
        <f>IF(HistoricalStockProgress[[#This Row],[No. of Shares]]&lt;&gt;0,HistoricalStockProgress[[#This Row],[Price of Shares]]*HistoricalStockProgress[[#This Row],[No. of Shares]],0)</f>
        <v>2362.83</v>
      </c>
      <c r="J878" s="16">
        <f>IF(HistoricalStockProgress[[#This Row],[No. of Shares]]&lt;&gt;0,HistoricalStockProgress[[#This Row],[Price of Shares]]-HistoricalStockProgress[[#This Row],[Cost of Shares]]/HistoricalStockProgress[[#This Row],[No. of Shares]],0)</f>
        <v>16.168684675161259</v>
      </c>
      <c r="K878" s="17">
        <f>IF(HistoricalStockProgress[[#This Row],[Total Price of Shares]]&lt;&gt;0,HistoricalStockProgress[[#This Row],[Total Price of Shares]]-HistoricalStockProgress[[#This Row],[Cost of Shares]],0)</f>
        <v>274.86763947774125</v>
      </c>
      <c r="L878" s="34" t="b" cm="1">
        <f t="array" ref="L878">IFERROR(IF(HistoricalStockProgress[[#This Row],[Price of Shares]]="",_xlfn.STOCKHISTORY(HistoricalStockProgress[[#This Row],[Full Company Name]],HistoricalStockProgress[[#This Row],[Date]],,2,0,1)),0)</f>
        <v>0</v>
      </c>
      <c r="M878" s="34">
        <f>YEAR(HistoricalStockProgress[[#This Row],[Date]])</f>
        <v>2020</v>
      </c>
      <c r="N878" s="34">
        <f>MONTH(HistoricalStockProgress[[#This Row],[Date]])</f>
        <v>9</v>
      </c>
    </row>
    <row r="879" spans="2:14">
      <c r="B879" s="15">
        <v>44104</v>
      </c>
      <c r="C879" s="34" t="s">
        <v>84</v>
      </c>
      <c r="D879" s="34" t="e" vm="7">
        <f>_xlfn.XLOOKUP(HistoricalStockProgress[[#This Row],[Company Ticker]],CompanyDetailsList[Company Ticker],CompanyDetailsList[Official Name],,0)</f>
        <v>#VALUE!</v>
      </c>
      <c r="E8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8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879" s="17">
        <f>IFERROR(HistoricalStockProgress[[#This Row],[Cost of Shares]]/HistoricalStockProgress[[#This Row],[No. of Shares]],0)</f>
        <v>104.18087504950869</v>
      </c>
      <c r="H879" s="16" vm="1403">
        <v>148.88</v>
      </c>
      <c r="I879" s="16">
        <f>IF(HistoricalStockProgress[[#This Row],[No. of Shares]]&lt;&gt;0,HistoricalStockProgress[[#This Row],[Price of Shares]]*HistoricalStockProgress[[#This Row],[No. of Shares]],0)</f>
        <v>7592.88</v>
      </c>
      <c r="J879" s="16">
        <f>IF(HistoricalStockProgress[[#This Row],[No. of Shares]]&lt;&gt;0,HistoricalStockProgress[[#This Row],[Price of Shares]]-HistoricalStockProgress[[#This Row],[Cost of Shares]]/HistoricalStockProgress[[#This Row],[No. of Shares]],0)</f>
        <v>44.69912495049131</v>
      </c>
      <c r="K879" s="17">
        <f>IF(HistoricalStockProgress[[#This Row],[Total Price of Shares]]&lt;&gt;0,HistoricalStockProgress[[#This Row],[Total Price of Shares]]-HistoricalStockProgress[[#This Row],[Cost of Shares]],0)</f>
        <v>2279.6553724750574</v>
      </c>
      <c r="L879" s="34" t="b" cm="1">
        <f t="array" ref="L879">IFERROR(IF(HistoricalStockProgress[[#This Row],[Price of Shares]]="",_xlfn.STOCKHISTORY(HistoricalStockProgress[[#This Row],[Full Company Name]],HistoricalStockProgress[[#This Row],[Date]],,2,0,1)),0)</f>
        <v>0</v>
      </c>
      <c r="M879" s="34">
        <f>YEAR(HistoricalStockProgress[[#This Row],[Date]])</f>
        <v>2020</v>
      </c>
      <c r="N879" s="34">
        <f>MONTH(HistoricalStockProgress[[#This Row],[Date]])</f>
        <v>9</v>
      </c>
    </row>
    <row r="880" spans="2:14">
      <c r="B880" s="15">
        <v>44104</v>
      </c>
      <c r="C880" s="34" t="s">
        <v>86</v>
      </c>
      <c r="D880" s="34" t="e" vm="8">
        <f>_xlfn.XLOOKUP(HistoricalStockProgress[[#This Row],[Company Ticker]],CompanyDetailsList[Company Ticker],CompanyDetailsList[Official Name],,0)</f>
        <v>#VALUE!</v>
      </c>
      <c r="E8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80</v>
      </c>
      <c r="F8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6988.5261087655599</v>
      </c>
      <c r="G880" s="17">
        <f>IFERROR(HistoricalStockProgress[[#This Row],[Cost of Shares]]/HistoricalStockProgress[[#This Row],[No. of Shares]],0)</f>
        <v>87.356576359569502</v>
      </c>
      <c r="H880" s="16" vm="1404">
        <v>87.59</v>
      </c>
      <c r="I880" s="16">
        <f>IF(HistoricalStockProgress[[#This Row],[No. of Shares]]&lt;&gt;0,HistoricalStockProgress[[#This Row],[Price of Shares]]*HistoricalStockProgress[[#This Row],[No. of Shares]],0)</f>
        <v>7007.2000000000007</v>
      </c>
      <c r="J880" s="16">
        <f>IF(HistoricalStockProgress[[#This Row],[No. of Shares]]&lt;&gt;0,HistoricalStockProgress[[#This Row],[Price of Shares]]-HistoricalStockProgress[[#This Row],[Cost of Shares]]/HistoricalStockProgress[[#This Row],[No. of Shares]],0)</f>
        <v>0.23342364043050168</v>
      </c>
      <c r="K880" s="17">
        <f>IF(HistoricalStockProgress[[#This Row],[Total Price of Shares]]&lt;&gt;0,HistoricalStockProgress[[#This Row],[Total Price of Shares]]-HistoricalStockProgress[[#This Row],[Cost of Shares]],0)</f>
        <v>18.673891234440816</v>
      </c>
      <c r="L880" s="34" t="b" cm="1">
        <f t="array" ref="L880">IFERROR(IF(HistoricalStockProgress[[#This Row],[Price of Shares]]="",_xlfn.STOCKHISTORY(HistoricalStockProgress[[#This Row],[Full Company Name]],HistoricalStockProgress[[#This Row],[Date]],,2,0,1)),0)</f>
        <v>0</v>
      </c>
      <c r="M880" s="34">
        <f>YEAR(HistoricalStockProgress[[#This Row],[Date]])</f>
        <v>2020</v>
      </c>
      <c r="N880" s="34">
        <f>MONTH(HistoricalStockProgress[[#This Row],[Date]])</f>
        <v>9</v>
      </c>
    </row>
    <row r="881" spans="2:14">
      <c r="B881" s="15">
        <v>44104</v>
      </c>
      <c r="C881" s="34" t="s">
        <v>88</v>
      </c>
      <c r="D881" s="34" t="e" vm="9">
        <f>_xlfn.XLOOKUP(HistoricalStockProgress[[#This Row],[Company Ticker]],CompanyDetailsList[Company Ticker],CompanyDetailsList[Official Name],,0)</f>
        <v>#VALUE!</v>
      </c>
      <c r="E8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8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881" s="17">
        <f>IFERROR(HistoricalStockProgress[[#This Row],[Cost of Shares]]/HistoricalStockProgress[[#This Row],[No. of Shares]],0)</f>
        <v>187.727755253422</v>
      </c>
      <c r="H881" s="16" vm="1405">
        <v>219.49</v>
      </c>
      <c r="I881" s="16">
        <f>IF(HistoricalStockProgress[[#This Row],[No. of Shares]]&lt;&gt;0,HistoricalStockProgress[[#This Row],[Price of Shares]]*HistoricalStockProgress[[#This Row],[No. of Shares]],0)</f>
        <v>12949.91</v>
      </c>
      <c r="J881" s="16">
        <f>IF(HistoricalStockProgress[[#This Row],[No. of Shares]]&lt;&gt;0,HistoricalStockProgress[[#This Row],[Price of Shares]]-HistoricalStockProgress[[#This Row],[Cost of Shares]]/HistoricalStockProgress[[#This Row],[No. of Shares]],0)</f>
        <v>31.762244746578006</v>
      </c>
      <c r="K881" s="17">
        <f>IF(HistoricalStockProgress[[#This Row],[Total Price of Shares]]&lt;&gt;0,HistoricalStockProgress[[#This Row],[Total Price of Shares]]-HistoricalStockProgress[[#This Row],[Cost of Shares]],0)</f>
        <v>1873.9724400481009</v>
      </c>
      <c r="L881" s="34" t="b" cm="1">
        <f t="array" ref="L881">IFERROR(IF(HistoricalStockProgress[[#This Row],[Price of Shares]]="",_xlfn.STOCKHISTORY(HistoricalStockProgress[[#This Row],[Full Company Name]],HistoricalStockProgress[[#This Row],[Date]],,2,0,1)),0)</f>
        <v>0</v>
      </c>
      <c r="M881" s="34">
        <f>YEAR(HistoricalStockProgress[[#This Row],[Date]])</f>
        <v>2020</v>
      </c>
      <c r="N881" s="34">
        <f>MONTH(HistoricalStockProgress[[#This Row],[Date]])</f>
        <v>9</v>
      </c>
    </row>
    <row r="882" spans="2:14">
      <c r="B882" s="15">
        <v>44104</v>
      </c>
      <c r="C882" s="34" t="s">
        <v>22</v>
      </c>
      <c r="D882" s="34" t="e" vm="10">
        <f>_xlfn.XLOOKUP(HistoricalStockProgress[[#This Row],[Company Ticker]],CompanyDetailsList[Company Ticker],CompanyDetailsList[Official Name],,0)</f>
        <v>#VALUE!</v>
      </c>
      <c r="E8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8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882" s="17">
        <f>IFERROR(HistoricalStockProgress[[#This Row],[Cost of Shares]]/HistoricalStockProgress[[#This Row],[No. of Shares]],0)</f>
        <v>96.351727068187571</v>
      </c>
      <c r="H882" s="16" vm="1406">
        <v>149.15</v>
      </c>
      <c r="I882" s="16">
        <f>IF(HistoricalStockProgress[[#This Row],[No. of Shares]]&lt;&gt;0,HistoricalStockProgress[[#This Row],[Price of Shares]]*HistoricalStockProgress[[#This Row],[No. of Shares]],0)</f>
        <v>12081.15</v>
      </c>
      <c r="J882" s="16">
        <f>IF(HistoricalStockProgress[[#This Row],[No. of Shares]]&lt;&gt;0,HistoricalStockProgress[[#This Row],[Price of Shares]]-HistoricalStockProgress[[#This Row],[Cost of Shares]]/HistoricalStockProgress[[#This Row],[No. of Shares]],0)</f>
        <v>52.798272931812434</v>
      </c>
      <c r="K882" s="17">
        <f>IF(HistoricalStockProgress[[#This Row],[Total Price of Shares]]&lt;&gt;0,HistoricalStockProgress[[#This Row],[Total Price of Shares]]-HistoricalStockProgress[[#This Row],[Cost of Shares]],0)</f>
        <v>4276.6601074768068</v>
      </c>
      <c r="L882" s="34" t="b" cm="1">
        <f t="array" ref="L882">IFERROR(IF(HistoricalStockProgress[[#This Row],[Price of Shares]]="",_xlfn.STOCKHISTORY(HistoricalStockProgress[[#This Row],[Full Company Name]],HistoricalStockProgress[[#This Row],[Date]],,2,0,1)),0)</f>
        <v>0</v>
      </c>
      <c r="M882" s="34">
        <f>YEAR(HistoricalStockProgress[[#This Row],[Date]])</f>
        <v>2020</v>
      </c>
      <c r="N882" s="34">
        <f>MONTH(HistoricalStockProgress[[#This Row],[Date]])</f>
        <v>9</v>
      </c>
    </row>
    <row r="883" spans="2:14">
      <c r="B883" s="15">
        <v>44104</v>
      </c>
      <c r="C883" s="34" t="s">
        <v>91</v>
      </c>
      <c r="D883" s="34" t="e" vm="11">
        <f>_xlfn.XLOOKUP(HistoricalStockProgress[[#This Row],[Company Ticker]],CompanyDetailsList[Company Ticker],CompanyDetailsList[Official Name],,0)</f>
        <v>#VALUE!</v>
      </c>
      <c r="E8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8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883" s="17">
        <f>IFERROR(HistoricalStockProgress[[#This Row],[Cost of Shares]]/HistoricalStockProgress[[#This Row],[No. of Shares]],0)</f>
        <v>100.94993172657422</v>
      </c>
      <c r="H883" s="16" vm="1407">
        <v>210.33</v>
      </c>
      <c r="I883" s="16">
        <f>IF(HistoricalStockProgress[[#This Row],[No. of Shares]]&lt;&gt;0,HistoricalStockProgress[[#This Row],[Price of Shares]]*HistoricalStockProgress[[#This Row],[No. of Shares]],0)</f>
        <v>30918.510000000002</v>
      </c>
      <c r="J883" s="16">
        <f>IF(HistoricalStockProgress[[#This Row],[No. of Shares]]&lt;&gt;0,HistoricalStockProgress[[#This Row],[Price of Shares]]-HistoricalStockProgress[[#This Row],[Cost of Shares]]/HistoricalStockProgress[[#This Row],[No. of Shares]],0)</f>
        <v>109.38006827342579</v>
      </c>
      <c r="K883" s="17">
        <f>IF(HistoricalStockProgress[[#This Row],[Total Price of Shares]]&lt;&gt;0,HistoricalStockProgress[[#This Row],[Total Price of Shares]]-HistoricalStockProgress[[#This Row],[Cost of Shares]],0)</f>
        <v>16078.870036193592</v>
      </c>
      <c r="L883" s="34" t="b" cm="1">
        <f t="array" ref="L883">IFERROR(IF(HistoricalStockProgress[[#This Row],[Price of Shares]]="",_xlfn.STOCKHISTORY(HistoricalStockProgress[[#This Row],[Full Company Name]],HistoricalStockProgress[[#This Row],[Date]],,2,0,1)),0)</f>
        <v>0</v>
      </c>
      <c r="M883" s="34">
        <f>YEAR(HistoricalStockProgress[[#This Row],[Date]])</f>
        <v>2020</v>
      </c>
      <c r="N883" s="34">
        <f>MONTH(HistoricalStockProgress[[#This Row],[Date]])</f>
        <v>9</v>
      </c>
    </row>
    <row r="884" spans="2:14">
      <c r="B884" s="15">
        <v>44104</v>
      </c>
      <c r="C884" s="34" t="s">
        <v>16</v>
      </c>
      <c r="D884" s="34" t="e" vm="12">
        <f>_xlfn.XLOOKUP(HistoricalStockProgress[[#This Row],[Company Ticker]],CompanyDetailsList[Company Ticker],CompanyDetailsList[Official Name],,0)</f>
        <v>#VALUE!</v>
      </c>
      <c r="E8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175</v>
      </c>
      <c r="F8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13287.78699035665</v>
      </c>
      <c r="G884" s="17">
        <f>IFERROR(HistoricalStockProgress[[#This Row],[Cost of Shares]]/HistoricalStockProgress[[#This Row],[No. of Shares]],0)</f>
        <v>75.930211373466577</v>
      </c>
      <c r="H884" s="16" vm="1408">
        <v>34.33</v>
      </c>
      <c r="I884" s="16">
        <f>IF(HistoricalStockProgress[[#This Row],[No. of Shares]]&lt;&gt;0,HistoricalStockProgress[[#This Row],[Price of Shares]]*HistoricalStockProgress[[#This Row],[No. of Shares]],0)</f>
        <v>6007.75</v>
      </c>
      <c r="J884" s="16">
        <f>IF(HistoricalStockProgress[[#This Row],[No. of Shares]]&lt;&gt;0,HistoricalStockProgress[[#This Row],[Price of Shares]]-HistoricalStockProgress[[#This Row],[Cost of Shares]]/HistoricalStockProgress[[#This Row],[No. of Shares]],0)</f>
        <v>-41.600211373466578</v>
      </c>
      <c r="K884" s="17">
        <f>IF(HistoricalStockProgress[[#This Row],[Total Price of Shares]]&lt;&gt;0,HistoricalStockProgress[[#This Row],[Total Price of Shares]]-HistoricalStockProgress[[#This Row],[Cost of Shares]],0)</f>
        <v>-7280.0369903566498</v>
      </c>
      <c r="L884" s="34" t="b" cm="1">
        <f t="array" ref="L884">IFERROR(IF(HistoricalStockProgress[[#This Row],[Price of Shares]]="",_xlfn.STOCKHISTORY(HistoricalStockProgress[[#This Row],[Full Company Name]],HistoricalStockProgress[[#This Row],[Date]],,2,0,1)),0)</f>
        <v>0</v>
      </c>
      <c r="M884" s="34">
        <f>YEAR(HistoricalStockProgress[[#This Row],[Date]])</f>
        <v>2020</v>
      </c>
      <c r="N884" s="34">
        <f>MONTH(HistoricalStockProgress[[#This Row],[Date]])</f>
        <v>9</v>
      </c>
    </row>
    <row r="885" spans="2:14">
      <c r="B885" s="15">
        <v>44104</v>
      </c>
      <c r="C885" s="34" t="s">
        <v>95</v>
      </c>
      <c r="D885" s="34" t="e" vm="13">
        <f>_xlfn.XLOOKUP(HistoricalStockProgress[[#This Row],[Company Ticker]],CompanyDetailsList[Company Ticker],CompanyDetailsList[Official Name],,0)</f>
        <v>#VALUE!</v>
      </c>
      <c r="E8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8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885" s="17">
        <f>IFERROR(HistoricalStockProgress[[#This Row],[Cost of Shares]]/HistoricalStockProgress[[#This Row],[No. of Shares]],0)</f>
        <v>143.29758396474452</v>
      </c>
      <c r="H885" s="16" vm="1409">
        <v>277.70999999999998</v>
      </c>
      <c r="I885" s="16">
        <f>IF(HistoricalStockProgress[[#This Row],[No. of Shares]]&lt;&gt;0,HistoricalStockProgress[[#This Row],[Price of Shares]]*HistoricalStockProgress[[#This Row],[No. of Shares]],0)</f>
        <v>11941.529999999999</v>
      </c>
      <c r="J885" s="16">
        <f>IF(HistoricalStockProgress[[#This Row],[No. of Shares]]&lt;&gt;0,HistoricalStockProgress[[#This Row],[Price of Shares]]-HistoricalStockProgress[[#This Row],[Cost of Shares]]/HistoricalStockProgress[[#This Row],[No. of Shares]],0)</f>
        <v>134.41241603525546</v>
      </c>
      <c r="K885" s="17">
        <f>IF(HistoricalStockProgress[[#This Row],[Total Price of Shares]]&lt;&gt;0,HistoricalStockProgress[[#This Row],[Total Price of Shares]]-HistoricalStockProgress[[#This Row],[Cost of Shares]],0)</f>
        <v>5779.7338895159846</v>
      </c>
      <c r="L885" s="34" t="b" cm="1">
        <f t="array" ref="L885">IFERROR(IF(HistoricalStockProgress[[#This Row],[Price of Shares]]="",_xlfn.STOCKHISTORY(HistoricalStockProgress[[#This Row],[Full Company Name]],HistoricalStockProgress[[#This Row],[Date]],,2,0,1)),0)</f>
        <v>0</v>
      </c>
      <c r="M885" s="34">
        <f>YEAR(HistoricalStockProgress[[#This Row],[Date]])</f>
        <v>2020</v>
      </c>
      <c r="N885" s="34">
        <f>MONTH(HistoricalStockProgress[[#This Row],[Date]])</f>
        <v>9</v>
      </c>
    </row>
    <row r="886" spans="2:14">
      <c r="B886" s="15">
        <v>44104</v>
      </c>
      <c r="C886" s="34" t="s">
        <v>17</v>
      </c>
      <c r="D886" s="34" t="e" vm="14">
        <f>_xlfn.XLOOKUP(HistoricalStockProgress[[#This Row],[Company Ticker]],CompanyDetailsList[Company Ticker],CompanyDetailsList[Official Name],,0)</f>
        <v>#VALUE!</v>
      </c>
      <c r="E8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91</v>
      </c>
      <c r="F8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13257.550624316333</v>
      </c>
      <c r="G886" s="17">
        <f>IFERROR(HistoricalStockProgress[[#This Row],[Cost of Shares]]/HistoricalStockProgress[[#This Row],[No. of Shares]],0)</f>
        <v>145.68736949798168</v>
      </c>
      <c r="H886" s="16" vm="1410">
        <v>121.67</v>
      </c>
      <c r="I886" s="16">
        <f>IF(HistoricalStockProgress[[#This Row],[No. of Shares]]&lt;&gt;0,HistoricalStockProgress[[#This Row],[Price of Shares]]*HistoricalStockProgress[[#This Row],[No. of Shares]],0)</f>
        <v>11071.97</v>
      </c>
      <c r="J886" s="16">
        <f>IF(HistoricalStockProgress[[#This Row],[No. of Shares]]&lt;&gt;0,HistoricalStockProgress[[#This Row],[Price of Shares]]-HistoricalStockProgress[[#This Row],[Cost of Shares]]/HistoricalStockProgress[[#This Row],[No. of Shares]],0)</f>
        <v>-24.017369497981676</v>
      </c>
      <c r="K886" s="17">
        <f>IF(HistoricalStockProgress[[#This Row],[Total Price of Shares]]&lt;&gt;0,HistoricalStockProgress[[#This Row],[Total Price of Shares]]-HistoricalStockProgress[[#This Row],[Cost of Shares]],0)</f>
        <v>-2185.5806243163333</v>
      </c>
      <c r="L886" s="34" t="b" cm="1">
        <f t="array" ref="L886">IFERROR(IF(HistoricalStockProgress[[#This Row],[Price of Shares]]="",_xlfn.STOCKHISTORY(HistoricalStockProgress[[#This Row],[Full Company Name]],HistoricalStockProgress[[#This Row],[Date]],,2,0,1)),0)</f>
        <v>0</v>
      </c>
      <c r="M886" s="34">
        <f>YEAR(HistoricalStockProgress[[#This Row],[Date]])</f>
        <v>2020</v>
      </c>
      <c r="N886" s="34">
        <f>MONTH(HistoricalStockProgress[[#This Row],[Date]])</f>
        <v>9</v>
      </c>
    </row>
    <row r="887" spans="2:14">
      <c r="B887" s="15">
        <v>44104</v>
      </c>
      <c r="C887" s="34" t="s">
        <v>98</v>
      </c>
      <c r="D887" s="34" t="e" vm="15">
        <f>_xlfn.XLOOKUP(HistoricalStockProgress[[#This Row],[Company Ticker]],CompanyDetailsList[Company Ticker],CompanyDetailsList[Official Name],,0)</f>
        <v>#VALUE!</v>
      </c>
      <c r="E8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8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887" s="17">
        <f>IFERROR(HistoricalStockProgress[[#This Row],[Cost of Shares]]/HistoricalStockProgress[[#This Row],[No. of Shares]],0)</f>
        <v>39.627242008882604</v>
      </c>
      <c r="H887" s="16" vm="1411">
        <v>69.39</v>
      </c>
      <c r="I887" s="16">
        <f>IF(HistoricalStockProgress[[#This Row],[No. of Shares]]&lt;&gt;0,HistoricalStockProgress[[#This Row],[Price of Shares]]*HistoricalStockProgress[[#This Row],[No. of Shares]],0)</f>
        <v>5065.47</v>
      </c>
      <c r="J887" s="16">
        <f>IF(HistoricalStockProgress[[#This Row],[No. of Shares]]&lt;&gt;0,HistoricalStockProgress[[#This Row],[Price of Shares]]-HistoricalStockProgress[[#This Row],[Cost of Shares]]/HistoricalStockProgress[[#This Row],[No. of Shares]],0)</f>
        <v>29.762757991117397</v>
      </c>
      <c r="K887" s="17">
        <f>IF(HistoricalStockProgress[[#This Row],[Total Price of Shares]]&lt;&gt;0,HistoricalStockProgress[[#This Row],[Total Price of Shares]]-HistoricalStockProgress[[#This Row],[Cost of Shares]],0)</f>
        <v>2172.6813333515702</v>
      </c>
      <c r="L887" s="34" t="b" cm="1">
        <f t="array" ref="L887">IFERROR(IF(HistoricalStockProgress[[#This Row],[Price of Shares]]="",_xlfn.STOCKHISTORY(HistoricalStockProgress[[#This Row],[Full Company Name]],HistoricalStockProgress[[#This Row],[Date]],,2,0,1)),0)</f>
        <v>0</v>
      </c>
      <c r="M887" s="34">
        <f>YEAR(HistoricalStockProgress[[#This Row],[Date]])</f>
        <v>2020</v>
      </c>
      <c r="N887" s="34">
        <f>MONTH(HistoricalStockProgress[[#This Row],[Date]])</f>
        <v>9</v>
      </c>
    </row>
    <row r="888" spans="2:14">
      <c r="B888" s="15">
        <v>44104</v>
      </c>
      <c r="C888" s="34" t="s">
        <v>100</v>
      </c>
      <c r="D888" s="34" t="e" vm="16">
        <f>_xlfn.XLOOKUP(HistoricalStockProgress[[#This Row],[Company Ticker]],CompanyDetailsList[Company Ticker],CompanyDetailsList[Official Name],,0)</f>
        <v>#VALUE!</v>
      </c>
      <c r="E8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109</v>
      </c>
      <c r="F8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9263.9352759443282</v>
      </c>
      <c r="G888" s="17">
        <f>IFERROR(HistoricalStockProgress[[#This Row],[Cost of Shares]]/HistoricalStockProgress[[#This Row],[No. of Shares]],0)</f>
        <v>84.990231889397506</v>
      </c>
      <c r="H888" s="16" vm="1412">
        <v>88.56</v>
      </c>
      <c r="I888" s="16">
        <f>IF(HistoricalStockProgress[[#This Row],[No. of Shares]]&lt;&gt;0,HistoricalStockProgress[[#This Row],[Price of Shares]]*HistoricalStockProgress[[#This Row],[No. of Shares]],0)</f>
        <v>9653.0400000000009</v>
      </c>
      <c r="J888" s="16">
        <f>IF(HistoricalStockProgress[[#This Row],[No. of Shares]]&lt;&gt;0,HistoricalStockProgress[[#This Row],[Price of Shares]]-HistoricalStockProgress[[#This Row],[Cost of Shares]]/HistoricalStockProgress[[#This Row],[No. of Shares]],0)</f>
        <v>3.5697681106024959</v>
      </c>
      <c r="K888" s="17">
        <f>IF(HistoricalStockProgress[[#This Row],[Total Price of Shares]]&lt;&gt;0,HistoricalStockProgress[[#This Row],[Total Price of Shares]]-HistoricalStockProgress[[#This Row],[Cost of Shares]],0)</f>
        <v>389.1047240556727</v>
      </c>
      <c r="L888" s="34" t="b" cm="1">
        <f t="array" ref="L888">IFERROR(IF(HistoricalStockProgress[[#This Row],[Price of Shares]]="",_xlfn.STOCKHISTORY(HistoricalStockProgress[[#This Row],[Full Company Name]],HistoricalStockProgress[[#This Row],[Date]],,2,0,1)),0)</f>
        <v>0</v>
      </c>
      <c r="M888" s="34">
        <f>YEAR(HistoricalStockProgress[[#This Row],[Date]])</f>
        <v>2020</v>
      </c>
      <c r="N888" s="34">
        <f>MONTH(HistoricalStockProgress[[#This Row],[Date]])</f>
        <v>9</v>
      </c>
    </row>
    <row r="889" spans="2:14">
      <c r="B889" s="15">
        <v>44104</v>
      </c>
      <c r="C889" s="34" t="s">
        <v>15</v>
      </c>
      <c r="D889" s="34" t="e" vm="17">
        <f>_xlfn.XLOOKUP(HistoricalStockProgress[[#This Row],[Company Ticker]],CompanyDetailsList[Company Ticker],CompanyDetailsList[Official Name],,0)</f>
        <v>#VALUE!</v>
      </c>
      <c r="E8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8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889" s="17">
        <f>IFERROR(HistoricalStockProgress[[#This Row],[Cost of Shares]]/HistoricalStockProgress[[#This Row],[No. of Shares]],0)</f>
        <v>26.081956457072195</v>
      </c>
      <c r="H889" s="16" vm="1413">
        <v>21.530200000000001</v>
      </c>
      <c r="I889" s="16">
        <f>IF(HistoricalStockProgress[[#This Row],[No. of Shares]]&lt;&gt;0,HistoricalStockProgress[[#This Row],[Price of Shares]]*HistoricalStockProgress[[#This Row],[No. of Shares]],0)</f>
        <v>2669.7447999999999</v>
      </c>
      <c r="J889" s="16">
        <f>IF(HistoricalStockProgress[[#This Row],[No. of Shares]]&lt;&gt;0,HistoricalStockProgress[[#This Row],[Price of Shares]]-HistoricalStockProgress[[#This Row],[Cost of Shares]]/HistoricalStockProgress[[#This Row],[No. of Shares]],0)</f>
        <v>-4.5517564570721945</v>
      </c>
      <c r="K889" s="17">
        <f>IF(HistoricalStockProgress[[#This Row],[Total Price of Shares]]&lt;&gt;0,HistoricalStockProgress[[#This Row],[Total Price of Shares]]-HistoricalStockProgress[[#This Row],[Cost of Shares]],0)</f>
        <v>-564.41780067695208</v>
      </c>
      <c r="L889" s="34" t="b" cm="1">
        <f t="array" ref="L889">IFERROR(IF(HistoricalStockProgress[[#This Row],[Price of Shares]]="",_xlfn.STOCKHISTORY(HistoricalStockProgress[[#This Row],[Full Company Name]],HistoricalStockProgress[[#This Row],[Date]],,2,0,1)),0)</f>
        <v>0</v>
      </c>
      <c r="M889" s="34">
        <f>YEAR(HistoricalStockProgress[[#This Row],[Date]])</f>
        <v>2020</v>
      </c>
      <c r="N889" s="34">
        <f>MONTH(HistoricalStockProgress[[#This Row],[Date]])</f>
        <v>9</v>
      </c>
    </row>
    <row r="890" spans="2:14">
      <c r="B890" s="15">
        <v>44104</v>
      </c>
      <c r="C890" s="34" t="s">
        <v>13</v>
      </c>
      <c r="D890" s="34" t="e" vm="18">
        <f>_xlfn.XLOOKUP(HistoricalStockProgress[[#This Row],[Company Ticker]],CompanyDetailsList[Company Ticker],CompanyDetailsList[Official Name],,0)</f>
        <v>#VALUE!</v>
      </c>
      <c r="E8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8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890" s="17">
        <f>IFERROR(HistoricalStockProgress[[#This Row],[Cost of Shares]]/HistoricalStockProgress[[#This Row],[No. of Shares]],0)</f>
        <v>35.846938938346874</v>
      </c>
      <c r="H890" s="16" vm="1414">
        <v>34.7898</v>
      </c>
      <c r="I890" s="16">
        <f>IF(HistoricalStockProgress[[#This Row],[No. of Shares]]&lt;&gt;0,HistoricalStockProgress[[#This Row],[Price of Shares]]*HistoricalStockProgress[[#This Row],[No. of Shares]],0)</f>
        <v>1913.4390000000001</v>
      </c>
      <c r="J890" s="16">
        <f>IF(HistoricalStockProgress[[#This Row],[No. of Shares]]&lt;&gt;0,HistoricalStockProgress[[#This Row],[Price of Shares]]-HistoricalStockProgress[[#This Row],[Cost of Shares]]/HistoricalStockProgress[[#This Row],[No. of Shares]],0)</f>
        <v>-1.0571389383468741</v>
      </c>
      <c r="K890" s="17">
        <f>IF(HistoricalStockProgress[[#This Row],[Total Price of Shares]]&lt;&gt;0,HistoricalStockProgress[[#This Row],[Total Price of Shares]]-HistoricalStockProgress[[#This Row],[Cost of Shares]],0)</f>
        <v>-58.142641609078055</v>
      </c>
      <c r="L890" s="34" t="b" cm="1">
        <f t="array" ref="L890">IFERROR(IF(HistoricalStockProgress[[#This Row],[Price of Shares]]="",_xlfn.STOCKHISTORY(HistoricalStockProgress[[#This Row],[Full Company Name]],HistoricalStockProgress[[#This Row],[Date]],,2,0,1)),0)</f>
        <v>0</v>
      </c>
      <c r="M890" s="34">
        <f>YEAR(HistoricalStockProgress[[#This Row],[Date]])</f>
        <v>2020</v>
      </c>
      <c r="N890" s="34">
        <f>MONTH(HistoricalStockProgress[[#This Row],[Date]])</f>
        <v>9</v>
      </c>
    </row>
    <row r="891" spans="2:14">
      <c r="B891" s="15">
        <v>44104</v>
      </c>
      <c r="C891" s="34" t="s">
        <v>20</v>
      </c>
      <c r="D891" s="34" t="e" vm="19">
        <f>_xlfn.XLOOKUP(HistoricalStockProgress[[#This Row],[Company Ticker]],CompanyDetailsList[Company Ticker],CompanyDetailsList[Official Name],,0)</f>
        <v>#VALUE!</v>
      </c>
      <c r="E8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8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891" s="17">
        <f>IFERROR(HistoricalStockProgress[[#This Row],[Cost of Shares]]/HistoricalStockProgress[[#This Row],[No. of Shares]],0)</f>
        <v>93.912242833589502</v>
      </c>
      <c r="H891" s="16" vm="1415">
        <v>96.27</v>
      </c>
      <c r="I891" s="16">
        <f>IF(HistoricalStockProgress[[#This Row],[No. of Shares]]&lt;&gt;0,HistoricalStockProgress[[#This Row],[Price of Shares]]*HistoricalStockProgress[[#This Row],[No. of Shares]],0)</f>
        <v>7509.0599999999995</v>
      </c>
      <c r="J891" s="16">
        <f>IF(HistoricalStockProgress[[#This Row],[No. of Shares]]&lt;&gt;0,HistoricalStockProgress[[#This Row],[Price of Shares]]-HistoricalStockProgress[[#This Row],[Cost of Shares]]/HistoricalStockProgress[[#This Row],[No. of Shares]],0)</f>
        <v>2.3577571664104937</v>
      </c>
      <c r="K891" s="17">
        <f>IF(HistoricalStockProgress[[#This Row],[Total Price of Shares]]&lt;&gt;0,HistoricalStockProgress[[#This Row],[Total Price of Shares]]-HistoricalStockProgress[[#This Row],[Cost of Shares]],0)</f>
        <v>183.90505898001811</v>
      </c>
      <c r="L891" s="34" t="b" cm="1">
        <f t="array" ref="L891">IFERROR(IF(HistoricalStockProgress[[#This Row],[Price of Shares]]="",_xlfn.STOCKHISTORY(HistoricalStockProgress[[#This Row],[Full Company Name]],HistoricalStockProgress[[#This Row],[Date]],,2,0,1)),0)</f>
        <v>0</v>
      </c>
      <c r="M891" s="34">
        <f>YEAR(HistoricalStockProgress[[#This Row],[Date]])</f>
        <v>2020</v>
      </c>
      <c r="N891" s="34">
        <f>MONTH(HistoricalStockProgress[[#This Row],[Date]])</f>
        <v>9</v>
      </c>
    </row>
    <row r="892" spans="2:14">
      <c r="B892" s="15">
        <v>44104</v>
      </c>
      <c r="C892" s="34" t="s">
        <v>106</v>
      </c>
      <c r="D892" s="34" t="e" vm="20">
        <f>_xlfn.XLOOKUP(HistoricalStockProgress[[#This Row],[Company Ticker]],CompanyDetailsList[Company Ticker],CompanyDetailsList[Official Name],,0)</f>
        <v>#VALUE!</v>
      </c>
      <c r="E8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8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892" s="17">
        <f>IFERROR(HistoricalStockProgress[[#This Row],[Cost of Shares]]/HistoricalStockProgress[[#This Row],[No. of Shares]],0)</f>
        <v>108.54870748680406</v>
      </c>
      <c r="H892" s="16" vm="1416">
        <v>122.08</v>
      </c>
      <c r="I892" s="16">
        <f>IF(HistoricalStockProgress[[#This Row],[No. of Shares]]&lt;&gt;0,HistoricalStockProgress[[#This Row],[Price of Shares]]*HistoricalStockProgress[[#This Row],[No. of Shares]],0)</f>
        <v>10743.039999999999</v>
      </c>
      <c r="J892" s="16">
        <f>IF(HistoricalStockProgress[[#This Row],[No. of Shares]]&lt;&gt;0,HistoricalStockProgress[[#This Row],[Price of Shares]]-HistoricalStockProgress[[#This Row],[Cost of Shares]]/HistoricalStockProgress[[#This Row],[No. of Shares]],0)</f>
        <v>13.531292513195936</v>
      </c>
      <c r="K892" s="17">
        <f>IF(HistoricalStockProgress[[#This Row],[Total Price of Shares]]&lt;&gt;0,HistoricalStockProgress[[#This Row],[Total Price of Shares]]-HistoricalStockProgress[[#This Row],[Cost of Shares]],0)</f>
        <v>1190.7537411612411</v>
      </c>
      <c r="L892" s="34" t="b" cm="1">
        <f t="array" ref="L892">IFERROR(IF(HistoricalStockProgress[[#This Row],[Price of Shares]]="",_xlfn.STOCKHISTORY(HistoricalStockProgress[[#This Row],[Full Company Name]],HistoricalStockProgress[[#This Row],[Date]],,2,0,1)),0)</f>
        <v>0</v>
      </c>
      <c r="M892" s="34">
        <f>YEAR(HistoricalStockProgress[[#This Row],[Date]])</f>
        <v>2020</v>
      </c>
      <c r="N892" s="34">
        <f>MONTH(HistoricalStockProgress[[#This Row],[Date]])</f>
        <v>9</v>
      </c>
    </row>
    <row r="893" spans="2:14">
      <c r="B893" s="15">
        <v>44135</v>
      </c>
      <c r="C893" s="34" t="s">
        <v>12</v>
      </c>
      <c r="D893" s="34" t="e" vm="1">
        <f>_xlfn.XLOOKUP(HistoricalStockProgress[[#This Row],[Company Ticker]],CompanyDetailsList[Company Ticker],CompanyDetailsList[Official Name],,0)</f>
        <v>#VALUE!</v>
      </c>
      <c r="E8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29</v>
      </c>
      <c r="F8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1953.8799010350301</v>
      </c>
      <c r="G893" s="17">
        <f>IFERROR(HistoricalStockProgress[[#This Row],[Cost of Shares]]/HistoricalStockProgress[[#This Row],[No. of Shares]],0)</f>
        <v>67.375169001207937</v>
      </c>
      <c r="H893" s="16" vm="1417">
        <v>57.86</v>
      </c>
      <c r="I893" s="16">
        <f>IF(HistoricalStockProgress[[#This Row],[No. of Shares]]&lt;&gt;0,HistoricalStockProgress[[#This Row],[Price of Shares]]*HistoricalStockProgress[[#This Row],[No. of Shares]],0)</f>
        <v>1677.94</v>
      </c>
      <c r="J893" s="16">
        <f>IF(HistoricalStockProgress[[#This Row],[No. of Shares]]&lt;&gt;0,HistoricalStockProgress[[#This Row],[Price of Shares]]-HistoricalStockProgress[[#This Row],[Cost of Shares]]/HistoricalStockProgress[[#This Row],[No. of Shares]],0)</f>
        <v>-9.5151690012079371</v>
      </c>
      <c r="K893" s="17">
        <f>IF(HistoricalStockProgress[[#This Row],[Total Price of Shares]]&lt;&gt;0,HistoricalStockProgress[[#This Row],[Total Price of Shares]]-HistoricalStockProgress[[#This Row],[Cost of Shares]],0)</f>
        <v>-275.93990103503006</v>
      </c>
      <c r="L893" s="34" t="b" cm="1">
        <f t="array" ref="L893">IFERROR(IF(HistoricalStockProgress[[#This Row],[Price of Shares]]="",_xlfn.STOCKHISTORY(HistoricalStockProgress[[#This Row],[Full Company Name]],HistoricalStockProgress[[#This Row],[Date]],,2,0,1)),0)</f>
        <v>0</v>
      </c>
      <c r="M893" s="34">
        <f>YEAR(HistoricalStockProgress[[#This Row],[Date]])</f>
        <v>2020</v>
      </c>
      <c r="N893" s="34">
        <f>MONTH(HistoricalStockProgress[[#This Row],[Date]])</f>
        <v>10</v>
      </c>
    </row>
    <row r="894" spans="2:14">
      <c r="B894" s="15">
        <v>44135</v>
      </c>
      <c r="C894" s="34" t="s">
        <v>19</v>
      </c>
      <c r="D894" s="34" t="e" vm="3">
        <f>_xlfn.XLOOKUP(HistoricalStockProgress[[#This Row],[Company Ticker]],CompanyDetailsList[Company Ticker],CompanyDetailsList[Official Name],,0)</f>
        <v>#VALUE!</v>
      </c>
      <c r="E8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8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894" s="17">
        <f>IFERROR(HistoricalStockProgress[[#This Row],[Cost of Shares]]/HistoricalStockProgress[[#This Row],[No. of Shares]],0)</f>
        <v>158.45739987816083</v>
      </c>
      <c r="H894" s="16" vm="1418">
        <v>207.25</v>
      </c>
      <c r="I894" s="16">
        <f>IF(HistoricalStockProgress[[#This Row],[No. of Shares]]&lt;&gt;0,HistoricalStockProgress[[#This Row],[Price of Shares]]*HistoricalStockProgress[[#This Row],[No. of Shares]],0)</f>
        <v>11813.25</v>
      </c>
      <c r="J894" s="16">
        <f>IF(HistoricalStockProgress[[#This Row],[No. of Shares]]&lt;&gt;0,HistoricalStockProgress[[#This Row],[Price of Shares]]-HistoricalStockProgress[[#This Row],[Cost of Shares]]/HistoricalStockProgress[[#This Row],[No. of Shares]],0)</f>
        <v>48.792600121839172</v>
      </c>
      <c r="K894" s="17">
        <f>IF(HistoricalStockProgress[[#This Row],[Total Price of Shares]]&lt;&gt;0,HistoricalStockProgress[[#This Row],[Total Price of Shares]]-HistoricalStockProgress[[#This Row],[Cost of Shares]],0)</f>
        <v>2781.1782069448327</v>
      </c>
      <c r="L894" s="34" t="b" cm="1">
        <f t="array" ref="L894">IFERROR(IF(HistoricalStockProgress[[#This Row],[Price of Shares]]="",_xlfn.STOCKHISTORY(HistoricalStockProgress[[#This Row],[Full Company Name]],HistoricalStockProgress[[#This Row],[Date]],,2,0,1)),0)</f>
        <v>0</v>
      </c>
      <c r="M894" s="34">
        <f>YEAR(HistoricalStockProgress[[#This Row],[Date]])</f>
        <v>2020</v>
      </c>
      <c r="N894" s="34">
        <f>MONTH(HistoricalStockProgress[[#This Row],[Date]])</f>
        <v>10</v>
      </c>
    </row>
    <row r="895" spans="2:14">
      <c r="B895" s="15">
        <v>44135</v>
      </c>
      <c r="C895" s="34" t="s">
        <v>23</v>
      </c>
      <c r="D895" s="34" t="e" vm="4">
        <f>_xlfn.XLOOKUP(HistoricalStockProgress[[#This Row],[Company Ticker]],CompanyDetailsList[Company Ticker],CompanyDetailsList[Official Name],,0)</f>
        <v>#VALUE!</v>
      </c>
      <c r="E8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8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895" s="17">
        <f>IFERROR(HistoricalStockProgress[[#This Row],[Cost of Shares]]/HistoricalStockProgress[[#This Row],[No. of Shares]],0)</f>
        <v>45.768494888570878</v>
      </c>
      <c r="H895" s="16" vm="1419">
        <v>48.06</v>
      </c>
      <c r="I895" s="16">
        <f>IF(HistoricalStockProgress[[#This Row],[No. of Shares]]&lt;&gt;0,HistoricalStockProgress[[#This Row],[Price of Shares]]*HistoricalStockProgress[[#This Row],[No. of Shares]],0)</f>
        <v>2787.48</v>
      </c>
      <c r="J895" s="16">
        <f>IF(HistoricalStockProgress[[#This Row],[No. of Shares]]&lt;&gt;0,HistoricalStockProgress[[#This Row],[Price of Shares]]-HistoricalStockProgress[[#This Row],[Cost of Shares]]/HistoricalStockProgress[[#This Row],[No. of Shares]],0)</f>
        <v>2.2915051114291245</v>
      </c>
      <c r="K895" s="17">
        <f>IF(HistoricalStockProgress[[#This Row],[Total Price of Shares]]&lt;&gt;0,HistoricalStockProgress[[#This Row],[Total Price of Shares]]-HistoricalStockProgress[[#This Row],[Cost of Shares]],0)</f>
        <v>132.90729646288901</v>
      </c>
      <c r="L895" s="34" t="b" cm="1">
        <f t="array" ref="L895">IFERROR(IF(HistoricalStockProgress[[#This Row],[Price of Shares]]="",_xlfn.STOCKHISTORY(HistoricalStockProgress[[#This Row],[Full Company Name]],HistoricalStockProgress[[#This Row],[Date]],,2,0,1)),0)</f>
        <v>0</v>
      </c>
      <c r="M895" s="34">
        <f>YEAR(HistoricalStockProgress[[#This Row],[Date]])</f>
        <v>2020</v>
      </c>
      <c r="N895" s="34">
        <f>MONTH(HistoricalStockProgress[[#This Row],[Date]])</f>
        <v>10</v>
      </c>
    </row>
    <row r="896" spans="2:14">
      <c r="B896" s="15">
        <v>44135</v>
      </c>
      <c r="C896" s="34" t="s">
        <v>18</v>
      </c>
      <c r="D896" s="34" t="e" vm="5">
        <f>_xlfn.XLOOKUP(HistoricalStockProgress[[#This Row],[Company Ticker]],CompanyDetailsList[Company Ticker],CompanyDetailsList[Official Name],,0)</f>
        <v>#VALUE!</v>
      </c>
      <c r="E8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v>
      </c>
      <c r="F8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1322.059549224459</v>
      </c>
      <c r="G896" s="17">
        <f>IFERROR(HistoricalStockProgress[[#This Row],[Cost of Shares]]/HistoricalStockProgress[[#This Row],[No. of Shares]],0)</f>
        <v>132.2059549224459</v>
      </c>
      <c r="H896" s="16" vm="1420">
        <v>133.29</v>
      </c>
      <c r="I896" s="16">
        <f>IF(HistoricalStockProgress[[#This Row],[No. of Shares]]&lt;&gt;0,HistoricalStockProgress[[#This Row],[Price of Shares]]*HistoricalStockProgress[[#This Row],[No. of Shares]],0)</f>
        <v>1332.8999999999999</v>
      </c>
      <c r="J896" s="16">
        <f>IF(HistoricalStockProgress[[#This Row],[No. of Shares]]&lt;&gt;0,HistoricalStockProgress[[#This Row],[Price of Shares]]-HistoricalStockProgress[[#This Row],[Cost of Shares]]/HistoricalStockProgress[[#This Row],[No. of Shares]],0)</f>
        <v>1.0840450775540944</v>
      </c>
      <c r="K896" s="17">
        <f>IF(HistoricalStockProgress[[#This Row],[Total Price of Shares]]&lt;&gt;0,HistoricalStockProgress[[#This Row],[Total Price of Shares]]-HistoricalStockProgress[[#This Row],[Cost of Shares]],0)</f>
        <v>10.84045077554083</v>
      </c>
      <c r="L896" s="34" t="b" cm="1">
        <f t="array" ref="L896">IFERROR(IF(HistoricalStockProgress[[#This Row],[Price of Shares]]="",_xlfn.STOCKHISTORY(HistoricalStockProgress[[#This Row],[Full Company Name]],HistoricalStockProgress[[#This Row],[Date]],,2,0,1)),0)</f>
        <v>0</v>
      </c>
      <c r="M896" s="34">
        <f>YEAR(HistoricalStockProgress[[#This Row],[Date]])</f>
        <v>2020</v>
      </c>
      <c r="N896" s="34">
        <f>MONTH(HistoricalStockProgress[[#This Row],[Date]])</f>
        <v>10</v>
      </c>
    </row>
    <row r="897" spans="2:14">
      <c r="B897" s="15">
        <v>44135</v>
      </c>
      <c r="C897" s="34" t="s">
        <v>21</v>
      </c>
      <c r="D897" s="34" t="e" vm="6">
        <f>_xlfn.XLOOKUP(HistoricalStockProgress[[#This Row],[Company Ticker]],CompanyDetailsList[Company Ticker],CompanyDetailsList[Official Name],,0)</f>
        <v>#VALUE!</v>
      </c>
      <c r="E8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v>
      </c>
      <c r="F8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2087.9623605222587</v>
      </c>
      <c r="G897" s="17">
        <f>IFERROR(HistoricalStockProgress[[#This Row],[Cost of Shares]]/HistoricalStockProgress[[#This Row],[No. of Shares]],0)</f>
        <v>122.82131532483875</v>
      </c>
      <c r="H897" s="16" vm="1421">
        <v>137.1</v>
      </c>
      <c r="I897" s="16">
        <f>IF(HistoricalStockProgress[[#This Row],[No. of Shares]]&lt;&gt;0,HistoricalStockProgress[[#This Row],[Price of Shares]]*HistoricalStockProgress[[#This Row],[No. of Shares]],0)</f>
        <v>2330.6999999999998</v>
      </c>
      <c r="J897" s="16">
        <f>IF(HistoricalStockProgress[[#This Row],[No. of Shares]]&lt;&gt;0,HistoricalStockProgress[[#This Row],[Price of Shares]]-HistoricalStockProgress[[#This Row],[Cost of Shares]]/HistoricalStockProgress[[#This Row],[No. of Shares]],0)</f>
        <v>14.278684675161244</v>
      </c>
      <c r="K897" s="17">
        <f>IF(HistoricalStockProgress[[#This Row],[Total Price of Shares]]&lt;&gt;0,HistoricalStockProgress[[#This Row],[Total Price of Shares]]-HistoricalStockProgress[[#This Row],[Cost of Shares]],0)</f>
        <v>242.73763947774114</v>
      </c>
      <c r="L897" s="34" t="b" cm="1">
        <f t="array" ref="L897">IFERROR(IF(HistoricalStockProgress[[#This Row],[Price of Shares]]="",_xlfn.STOCKHISTORY(HistoricalStockProgress[[#This Row],[Full Company Name]],HistoricalStockProgress[[#This Row],[Date]],,2,0,1)),0)</f>
        <v>0</v>
      </c>
      <c r="M897" s="34">
        <f>YEAR(HistoricalStockProgress[[#This Row],[Date]])</f>
        <v>2020</v>
      </c>
      <c r="N897" s="34">
        <f>MONTH(HistoricalStockProgress[[#This Row],[Date]])</f>
        <v>10</v>
      </c>
    </row>
    <row r="898" spans="2:14">
      <c r="B898" s="15">
        <v>44135</v>
      </c>
      <c r="C898" s="34" t="s">
        <v>84</v>
      </c>
      <c r="D898" s="34" t="e" vm="7">
        <f>_xlfn.XLOOKUP(HistoricalStockProgress[[#This Row],[Company Ticker]],CompanyDetailsList[Company Ticker],CompanyDetailsList[Official Name],,0)</f>
        <v>#VALUE!</v>
      </c>
      <c r="E8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8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898" s="17">
        <f>IFERROR(HistoricalStockProgress[[#This Row],[Cost of Shares]]/HistoricalStockProgress[[#This Row],[No. of Shares]],0)</f>
        <v>104.18087504950869</v>
      </c>
      <c r="H898" s="16" vm="1422">
        <v>137.11000000000001</v>
      </c>
      <c r="I898" s="16">
        <f>IF(HistoricalStockProgress[[#This Row],[No. of Shares]]&lt;&gt;0,HistoricalStockProgress[[#This Row],[Price of Shares]]*HistoricalStockProgress[[#This Row],[No. of Shares]],0)</f>
        <v>6992.6100000000006</v>
      </c>
      <c r="J898" s="16">
        <f>IF(HistoricalStockProgress[[#This Row],[No. of Shares]]&lt;&gt;0,HistoricalStockProgress[[#This Row],[Price of Shares]]-HistoricalStockProgress[[#This Row],[Cost of Shares]]/HistoricalStockProgress[[#This Row],[No. of Shares]],0)</f>
        <v>32.929124950491328</v>
      </c>
      <c r="K898" s="17">
        <f>IF(HistoricalStockProgress[[#This Row],[Total Price of Shares]]&lt;&gt;0,HistoricalStockProgress[[#This Row],[Total Price of Shares]]-HistoricalStockProgress[[#This Row],[Cost of Shares]],0)</f>
        <v>1679.3853724750579</v>
      </c>
      <c r="L898" s="34" t="b" cm="1">
        <f t="array" ref="L898">IFERROR(IF(HistoricalStockProgress[[#This Row],[Price of Shares]]="",_xlfn.STOCKHISTORY(HistoricalStockProgress[[#This Row],[Full Company Name]],HistoricalStockProgress[[#This Row],[Date]],,2,0,1)),0)</f>
        <v>0</v>
      </c>
      <c r="M898" s="34">
        <f>YEAR(HistoricalStockProgress[[#This Row],[Date]])</f>
        <v>2020</v>
      </c>
      <c r="N898" s="34">
        <f>MONTH(HistoricalStockProgress[[#This Row],[Date]])</f>
        <v>10</v>
      </c>
    </row>
    <row r="899" spans="2:14">
      <c r="B899" s="15">
        <v>44135</v>
      </c>
      <c r="C899" s="34" t="s">
        <v>86</v>
      </c>
      <c r="D899" s="34" t="e" vm="8">
        <f>_xlfn.XLOOKUP(HistoricalStockProgress[[#This Row],[Company Ticker]],CompanyDetailsList[Company Ticker],CompanyDetailsList[Official Name],,0)</f>
        <v>#VALUE!</v>
      </c>
      <c r="E8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80</v>
      </c>
      <c r="F8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6988.5261087655599</v>
      </c>
      <c r="G899" s="17">
        <f>IFERROR(HistoricalStockProgress[[#This Row],[Cost of Shares]]/HistoricalStockProgress[[#This Row],[No. of Shares]],0)</f>
        <v>87.356576359569502</v>
      </c>
      <c r="H899" s="16" vm="1423">
        <v>85.1</v>
      </c>
      <c r="I899" s="16">
        <f>IF(HistoricalStockProgress[[#This Row],[No. of Shares]]&lt;&gt;0,HistoricalStockProgress[[#This Row],[Price of Shares]]*HistoricalStockProgress[[#This Row],[No. of Shares]],0)</f>
        <v>6808</v>
      </c>
      <c r="J899" s="16">
        <f>IF(HistoricalStockProgress[[#This Row],[No. of Shares]]&lt;&gt;0,HistoricalStockProgress[[#This Row],[Price of Shares]]-HistoricalStockProgress[[#This Row],[Cost of Shares]]/HistoricalStockProgress[[#This Row],[No. of Shares]],0)</f>
        <v>-2.2565763595695074</v>
      </c>
      <c r="K899" s="17">
        <f>IF(HistoricalStockProgress[[#This Row],[Total Price of Shares]]&lt;&gt;0,HistoricalStockProgress[[#This Row],[Total Price of Shares]]-HistoricalStockProgress[[#This Row],[Cost of Shares]],0)</f>
        <v>-180.52610876555991</v>
      </c>
      <c r="L899" s="34" t="b" cm="1">
        <f t="array" ref="L899">IFERROR(IF(HistoricalStockProgress[[#This Row],[Price of Shares]]="",_xlfn.STOCKHISTORY(HistoricalStockProgress[[#This Row],[Full Company Name]],HistoricalStockProgress[[#This Row],[Date]],,2,0,1)),0)</f>
        <v>0</v>
      </c>
      <c r="M899" s="34">
        <f>YEAR(HistoricalStockProgress[[#This Row],[Date]])</f>
        <v>2020</v>
      </c>
      <c r="N899" s="34">
        <f>MONTH(HistoricalStockProgress[[#This Row],[Date]])</f>
        <v>10</v>
      </c>
    </row>
    <row r="900" spans="2:14">
      <c r="B900" s="15">
        <v>44135</v>
      </c>
      <c r="C900" s="34" t="s">
        <v>88</v>
      </c>
      <c r="D900" s="34" t="e" vm="9">
        <f>_xlfn.XLOOKUP(HistoricalStockProgress[[#This Row],[Company Ticker]],CompanyDetailsList[Company Ticker],CompanyDetailsList[Official Name],,0)</f>
        <v>#VALUE!</v>
      </c>
      <c r="E9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9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900" s="17">
        <f>IFERROR(HistoricalStockProgress[[#This Row],[Cost of Shares]]/HistoricalStockProgress[[#This Row],[No. of Shares]],0)</f>
        <v>187.727755253422</v>
      </c>
      <c r="H900" s="16" vm="1424">
        <v>213</v>
      </c>
      <c r="I900" s="16">
        <f>IF(HistoricalStockProgress[[#This Row],[No. of Shares]]&lt;&gt;0,HistoricalStockProgress[[#This Row],[Price of Shares]]*HistoricalStockProgress[[#This Row],[No. of Shares]],0)</f>
        <v>12567</v>
      </c>
      <c r="J900" s="16">
        <f>IF(HistoricalStockProgress[[#This Row],[No. of Shares]]&lt;&gt;0,HistoricalStockProgress[[#This Row],[Price of Shares]]-HistoricalStockProgress[[#This Row],[Cost of Shares]]/HistoricalStockProgress[[#This Row],[No. of Shares]],0)</f>
        <v>25.272244746577996</v>
      </c>
      <c r="K900" s="17">
        <f>IF(HistoricalStockProgress[[#This Row],[Total Price of Shares]]&lt;&gt;0,HistoricalStockProgress[[#This Row],[Total Price of Shares]]-HistoricalStockProgress[[#This Row],[Cost of Shares]],0)</f>
        <v>1491.0624400481011</v>
      </c>
      <c r="L900" s="34" t="b" cm="1">
        <f t="array" ref="L900">IFERROR(IF(HistoricalStockProgress[[#This Row],[Price of Shares]]="",_xlfn.STOCKHISTORY(HistoricalStockProgress[[#This Row],[Full Company Name]],HistoricalStockProgress[[#This Row],[Date]],,2,0,1)),0)</f>
        <v>0</v>
      </c>
      <c r="M900" s="34">
        <f>YEAR(HistoricalStockProgress[[#This Row],[Date]])</f>
        <v>2020</v>
      </c>
      <c r="N900" s="34">
        <f>MONTH(HistoricalStockProgress[[#This Row],[Date]])</f>
        <v>10</v>
      </c>
    </row>
    <row r="901" spans="2:14">
      <c r="B901" s="15">
        <v>44135</v>
      </c>
      <c r="C901" s="34" t="s">
        <v>22</v>
      </c>
      <c r="D901" s="34" t="e" vm="10">
        <f>_xlfn.XLOOKUP(HistoricalStockProgress[[#This Row],[Company Ticker]],CompanyDetailsList[Company Ticker],CompanyDetailsList[Official Name],,0)</f>
        <v>#VALUE!</v>
      </c>
      <c r="E9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9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901" s="17">
        <f>IFERROR(HistoricalStockProgress[[#This Row],[Cost of Shares]]/HistoricalStockProgress[[#This Row],[No. of Shares]],0)</f>
        <v>96.351727068187571</v>
      </c>
      <c r="H901" s="16" vm="1425">
        <v>157.05000000000001</v>
      </c>
      <c r="I901" s="16">
        <f>IF(HistoricalStockProgress[[#This Row],[No. of Shares]]&lt;&gt;0,HistoricalStockProgress[[#This Row],[Price of Shares]]*HistoricalStockProgress[[#This Row],[No. of Shares]],0)</f>
        <v>12721.050000000001</v>
      </c>
      <c r="J901" s="16">
        <f>IF(HistoricalStockProgress[[#This Row],[No. of Shares]]&lt;&gt;0,HistoricalStockProgress[[#This Row],[Price of Shares]]-HistoricalStockProgress[[#This Row],[Cost of Shares]]/HistoricalStockProgress[[#This Row],[No. of Shares]],0)</f>
        <v>60.69827293181244</v>
      </c>
      <c r="K901" s="17">
        <f>IF(HistoricalStockProgress[[#This Row],[Total Price of Shares]]&lt;&gt;0,HistoricalStockProgress[[#This Row],[Total Price of Shares]]-HistoricalStockProgress[[#This Row],[Cost of Shares]],0)</f>
        <v>4916.5601074768083</v>
      </c>
      <c r="L901" s="34" t="b" cm="1">
        <f t="array" ref="L901">IFERROR(IF(HistoricalStockProgress[[#This Row],[Price of Shares]]="",_xlfn.STOCKHISTORY(HistoricalStockProgress[[#This Row],[Full Company Name]],HistoricalStockProgress[[#This Row],[Date]],,2,0,1)),0)</f>
        <v>0</v>
      </c>
      <c r="M901" s="34">
        <f>YEAR(HistoricalStockProgress[[#This Row],[Date]])</f>
        <v>2020</v>
      </c>
      <c r="N901" s="34">
        <f>MONTH(HistoricalStockProgress[[#This Row],[Date]])</f>
        <v>10</v>
      </c>
    </row>
    <row r="902" spans="2:14">
      <c r="B902" s="15">
        <v>44135</v>
      </c>
      <c r="C902" s="34" t="s">
        <v>91</v>
      </c>
      <c r="D902" s="34" t="e" vm="11">
        <f>_xlfn.XLOOKUP(HistoricalStockProgress[[#This Row],[Company Ticker]],CompanyDetailsList[Company Ticker],CompanyDetailsList[Official Name],,0)</f>
        <v>#VALUE!</v>
      </c>
      <c r="E9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9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902" s="17">
        <f>IFERROR(HistoricalStockProgress[[#This Row],[Cost of Shares]]/HistoricalStockProgress[[#This Row],[No. of Shares]],0)</f>
        <v>100.94993172657422</v>
      </c>
      <c r="H902" s="16" vm="1426">
        <v>202.47</v>
      </c>
      <c r="I902" s="16">
        <f>IF(HistoricalStockProgress[[#This Row],[No. of Shares]]&lt;&gt;0,HistoricalStockProgress[[#This Row],[Price of Shares]]*HistoricalStockProgress[[#This Row],[No. of Shares]],0)</f>
        <v>29763.09</v>
      </c>
      <c r="J902" s="16">
        <f>IF(HistoricalStockProgress[[#This Row],[No. of Shares]]&lt;&gt;0,HistoricalStockProgress[[#This Row],[Price of Shares]]-HistoricalStockProgress[[#This Row],[Cost of Shares]]/HistoricalStockProgress[[#This Row],[No. of Shares]],0)</f>
        <v>101.52006827342578</v>
      </c>
      <c r="K902" s="17">
        <f>IF(HistoricalStockProgress[[#This Row],[Total Price of Shares]]&lt;&gt;0,HistoricalStockProgress[[#This Row],[Total Price of Shares]]-HistoricalStockProgress[[#This Row],[Cost of Shares]],0)</f>
        <v>14923.45003619359</v>
      </c>
      <c r="L902" s="34" t="b" cm="1">
        <f t="array" ref="L902">IFERROR(IF(HistoricalStockProgress[[#This Row],[Price of Shares]]="",_xlfn.STOCKHISTORY(HistoricalStockProgress[[#This Row],[Full Company Name]],HistoricalStockProgress[[#This Row],[Date]],,2,0,1)),0)</f>
        <v>0</v>
      </c>
      <c r="M902" s="34">
        <f>YEAR(HistoricalStockProgress[[#This Row],[Date]])</f>
        <v>2020</v>
      </c>
      <c r="N902" s="34">
        <f>MONTH(HistoricalStockProgress[[#This Row],[Date]])</f>
        <v>10</v>
      </c>
    </row>
    <row r="903" spans="2:14">
      <c r="B903" s="15">
        <v>44135</v>
      </c>
      <c r="C903" s="34" t="s">
        <v>16</v>
      </c>
      <c r="D903" s="34" t="e" vm="12">
        <f>_xlfn.XLOOKUP(HistoricalStockProgress[[#This Row],[Company Ticker]],CompanyDetailsList[Company Ticker],CompanyDetailsList[Official Name],,0)</f>
        <v>#VALUE!</v>
      </c>
      <c r="E9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175</v>
      </c>
      <c r="F9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13287.78699035665</v>
      </c>
      <c r="G903" s="17">
        <f>IFERROR(HistoricalStockProgress[[#This Row],[Cost of Shares]]/HistoricalStockProgress[[#This Row],[No. of Shares]],0)</f>
        <v>75.930211373466577</v>
      </c>
      <c r="H903" s="16" vm="1427">
        <v>32.619999999999997</v>
      </c>
      <c r="I903" s="16">
        <f>IF(HistoricalStockProgress[[#This Row],[No. of Shares]]&lt;&gt;0,HistoricalStockProgress[[#This Row],[Price of Shares]]*HistoricalStockProgress[[#This Row],[No. of Shares]],0)</f>
        <v>5708.5</v>
      </c>
      <c r="J903" s="16">
        <f>IF(HistoricalStockProgress[[#This Row],[No. of Shares]]&lt;&gt;0,HistoricalStockProgress[[#This Row],[Price of Shares]]-HistoricalStockProgress[[#This Row],[Cost of Shares]]/HistoricalStockProgress[[#This Row],[No. of Shares]],0)</f>
        <v>-43.310211373466579</v>
      </c>
      <c r="K903" s="17">
        <f>IF(HistoricalStockProgress[[#This Row],[Total Price of Shares]]&lt;&gt;0,HistoricalStockProgress[[#This Row],[Total Price of Shares]]-HistoricalStockProgress[[#This Row],[Cost of Shares]],0)</f>
        <v>-7579.2869903566498</v>
      </c>
      <c r="L903" s="34" t="b" cm="1">
        <f t="array" ref="L903">IFERROR(IF(HistoricalStockProgress[[#This Row],[Price of Shares]]="",_xlfn.STOCKHISTORY(HistoricalStockProgress[[#This Row],[Full Company Name]],HistoricalStockProgress[[#This Row],[Date]],,2,0,1)),0)</f>
        <v>0</v>
      </c>
      <c r="M903" s="34">
        <f>YEAR(HistoricalStockProgress[[#This Row],[Date]])</f>
        <v>2020</v>
      </c>
      <c r="N903" s="34">
        <f>MONTH(HistoricalStockProgress[[#This Row],[Date]])</f>
        <v>10</v>
      </c>
    </row>
    <row r="904" spans="2:14">
      <c r="B904" s="15">
        <v>44135</v>
      </c>
      <c r="C904" s="34" t="s">
        <v>95</v>
      </c>
      <c r="D904" s="34" t="e" vm="13">
        <f>_xlfn.XLOOKUP(HistoricalStockProgress[[#This Row],[Company Ticker]],CompanyDetailsList[Company Ticker],CompanyDetailsList[Official Name],,0)</f>
        <v>#VALUE!</v>
      </c>
      <c r="E9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9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904" s="17">
        <f>IFERROR(HistoricalStockProgress[[#This Row],[Cost of Shares]]/HistoricalStockProgress[[#This Row],[No. of Shares]],0)</f>
        <v>143.29758396474452</v>
      </c>
      <c r="H904" s="16" vm="1428">
        <v>266.70999999999998</v>
      </c>
      <c r="I904" s="16">
        <f>IF(HistoricalStockProgress[[#This Row],[No. of Shares]]&lt;&gt;0,HistoricalStockProgress[[#This Row],[Price of Shares]]*HistoricalStockProgress[[#This Row],[No. of Shares]],0)</f>
        <v>11468.529999999999</v>
      </c>
      <c r="J904" s="16">
        <f>IF(HistoricalStockProgress[[#This Row],[No. of Shares]]&lt;&gt;0,HistoricalStockProgress[[#This Row],[Price of Shares]]-HistoricalStockProgress[[#This Row],[Cost of Shares]]/HistoricalStockProgress[[#This Row],[No. of Shares]],0)</f>
        <v>123.41241603525546</v>
      </c>
      <c r="K904" s="17">
        <f>IF(HistoricalStockProgress[[#This Row],[Total Price of Shares]]&lt;&gt;0,HistoricalStockProgress[[#This Row],[Total Price of Shares]]-HistoricalStockProgress[[#This Row],[Cost of Shares]],0)</f>
        <v>5306.7338895159846</v>
      </c>
      <c r="L904" s="34" t="b" cm="1">
        <f t="array" ref="L904">IFERROR(IF(HistoricalStockProgress[[#This Row],[Price of Shares]]="",_xlfn.STOCKHISTORY(HistoricalStockProgress[[#This Row],[Full Company Name]],HistoricalStockProgress[[#This Row],[Date]],,2,0,1)),0)</f>
        <v>0</v>
      </c>
      <c r="M904" s="34">
        <f>YEAR(HistoricalStockProgress[[#This Row],[Date]])</f>
        <v>2020</v>
      </c>
      <c r="N904" s="34">
        <f>MONTH(HistoricalStockProgress[[#This Row],[Date]])</f>
        <v>10</v>
      </c>
    </row>
    <row r="905" spans="2:14">
      <c r="B905" s="15">
        <v>44135</v>
      </c>
      <c r="C905" s="34" t="s">
        <v>17</v>
      </c>
      <c r="D905" s="34" t="e" vm="14">
        <f>_xlfn.XLOOKUP(HistoricalStockProgress[[#This Row],[Company Ticker]],CompanyDetailsList[Company Ticker],CompanyDetailsList[Official Name],,0)</f>
        <v>#VALUE!</v>
      </c>
      <c r="E9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91</v>
      </c>
      <c r="F9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13257.550624316333</v>
      </c>
      <c r="G905" s="17">
        <f>IFERROR(HistoricalStockProgress[[#This Row],[Cost of Shares]]/HistoricalStockProgress[[#This Row],[No. of Shares]],0)</f>
        <v>145.68736949798168</v>
      </c>
      <c r="H905" s="16" vm="1429">
        <v>111.66</v>
      </c>
      <c r="I905" s="16">
        <f>IF(HistoricalStockProgress[[#This Row],[No. of Shares]]&lt;&gt;0,HistoricalStockProgress[[#This Row],[Price of Shares]]*HistoricalStockProgress[[#This Row],[No. of Shares]],0)</f>
        <v>10161.06</v>
      </c>
      <c r="J905" s="16">
        <f>IF(HistoricalStockProgress[[#This Row],[No. of Shares]]&lt;&gt;0,HistoricalStockProgress[[#This Row],[Price of Shares]]-HistoricalStockProgress[[#This Row],[Cost of Shares]]/HistoricalStockProgress[[#This Row],[No. of Shares]],0)</f>
        <v>-34.027369497981681</v>
      </c>
      <c r="K905" s="17">
        <f>IF(HistoricalStockProgress[[#This Row],[Total Price of Shares]]&lt;&gt;0,HistoricalStockProgress[[#This Row],[Total Price of Shares]]-HistoricalStockProgress[[#This Row],[Cost of Shares]],0)</f>
        <v>-3096.4906243163332</v>
      </c>
      <c r="L905" s="34" t="b" cm="1">
        <f t="array" ref="L905">IFERROR(IF(HistoricalStockProgress[[#This Row],[Price of Shares]]="",_xlfn.STOCKHISTORY(HistoricalStockProgress[[#This Row],[Full Company Name]],HistoricalStockProgress[[#This Row],[Date]],,2,0,1)),0)</f>
        <v>0</v>
      </c>
      <c r="M905" s="34">
        <f>YEAR(HistoricalStockProgress[[#This Row],[Date]])</f>
        <v>2020</v>
      </c>
      <c r="N905" s="34">
        <f>MONTH(HistoricalStockProgress[[#This Row],[Date]])</f>
        <v>10</v>
      </c>
    </row>
    <row r="906" spans="2:14">
      <c r="B906" s="15">
        <v>44135</v>
      </c>
      <c r="C906" s="34" t="s">
        <v>98</v>
      </c>
      <c r="D906" s="34" t="e" vm="15">
        <f>_xlfn.XLOOKUP(HistoricalStockProgress[[#This Row],[Company Ticker]],CompanyDetailsList[Company Ticker],CompanyDetailsList[Official Name],,0)</f>
        <v>#VALUE!</v>
      </c>
      <c r="E9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9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906" s="17">
        <f>IFERROR(HistoricalStockProgress[[#This Row],[Cost of Shares]]/HistoricalStockProgress[[#This Row],[No. of Shares]],0)</f>
        <v>39.627242008882604</v>
      </c>
      <c r="H906" s="16" vm="1430">
        <v>73.209999999999994</v>
      </c>
      <c r="I906" s="16">
        <f>IF(HistoricalStockProgress[[#This Row],[No. of Shares]]&lt;&gt;0,HistoricalStockProgress[[#This Row],[Price of Shares]]*HistoricalStockProgress[[#This Row],[No. of Shares]],0)</f>
        <v>5344.33</v>
      </c>
      <c r="J906" s="16">
        <f>IF(HistoricalStockProgress[[#This Row],[No. of Shares]]&lt;&gt;0,HistoricalStockProgress[[#This Row],[Price of Shares]]-HistoricalStockProgress[[#This Row],[Cost of Shares]]/HistoricalStockProgress[[#This Row],[No. of Shares]],0)</f>
        <v>33.58275799111739</v>
      </c>
      <c r="K906" s="17">
        <f>IF(HistoricalStockProgress[[#This Row],[Total Price of Shares]]&lt;&gt;0,HistoricalStockProgress[[#This Row],[Total Price of Shares]]-HistoricalStockProgress[[#This Row],[Cost of Shares]],0)</f>
        <v>2451.5413333515698</v>
      </c>
      <c r="L906" s="34" t="b" cm="1">
        <f t="array" ref="L906">IFERROR(IF(HistoricalStockProgress[[#This Row],[Price of Shares]]="",_xlfn.STOCKHISTORY(HistoricalStockProgress[[#This Row],[Full Company Name]],HistoricalStockProgress[[#This Row],[Date]],,2,0,1)),0)</f>
        <v>0</v>
      </c>
      <c r="M906" s="34">
        <f>YEAR(HistoricalStockProgress[[#This Row],[Date]])</f>
        <v>2020</v>
      </c>
      <c r="N906" s="34">
        <f>MONTH(HistoricalStockProgress[[#This Row],[Date]])</f>
        <v>10</v>
      </c>
    </row>
    <row r="907" spans="2:14">
      <c r="B907" s="15">
        <v>44135</v>
      </c>
      <c r="C907" s="34" t="s">
        <v>100</v>
      </c>
      <c r="D907" s="34" t="e" vm="16">
        <f>_xlfn.XLOOKUP(HistoricalStockProgress[[#This Row],[Company Ticker]],CompanyDetailsList[Company Ticker],CompanyDetailsList[Official Name],,0)</f>
        <v>#VALUE!</v>
      </c>
      <c r="E9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109</v>
      </c>
      <c r="F9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9263.9352759443282</v>
      </c>
      <c r="G907" s="17">
        <f>IFERROR(HistoricalStockProgress[[#This Row],[Cost of Shares]]/HistoricalStockProgress[[#This Row],[No. of Shares]],0)</f>
        <v>84.990231889397506</v>
      </c>
      <c r="H907" s="16" vm="1431">
        <v>92.11</v>
      </c>
      <c r="I907" s="16">
        <f>IF(HistoricalStockProgress[[#This Row],[No. of Shares]]&lt;&gt;0,HistoricalStockProgress[[#This Row],[Price of Shares]]*HistoricalStockProgress[[#This Row],[No. of Shares]],0)</f>
        <v>10039.99</v>
      </c>
      <c r="J907" s="16">
        <f>IF(HistoricalStockProgress[[#This Row],[No. of Shares]]&lt;&gt;0,HistoricalStockProgress[[#This Row],[Price of Shares]]-HistoricalStockProgress[[#This Row],[Cost of Shares]]/HistoricalStockProgress[[#This Row],[No. of Shares]],0)</f>
        <v>7.119768110602493</v>
      </c>
      <c r="K907" s="17">
        <f>IF(HistoricalStockProgress[[#This Row],[Total Price of Shares]]&lt;&gt;0,HistoricalStockProgress[[#This Row],[Total Price of Shares]]-HistoricalStockProgress[[#This Row],[Cost of Shares]],0)</f>
        <v>776.05472405567161</v>
      </c>
      <c r="L907" s="34" t="b" cm="1">
        <f t="array" ref="L907">IFERROR(IF(HistoricalStockProgress[[#This Row],[Price of Shares]]="",_xlfn.STOCKHISTORY(HistoricalStockProgress[[#This Row],[Full Company Name]],HistoricalStockProgress[[#This Row],[Date]],,2,0,1)),0)</f>
        <v>0</v>
      </c>
      <c r="M907" s="34">
        <f>YEAR(HistoricalStockProgress[[#This Row],[Date]])</f>
        <v>2020</v>
      </c>
      <c r="N907" s="34">
        <f>MONTH(HistoricalStockProgress[[#This Row],[Date]])</f>
        <v>10</v>
      </c>
    </row>
    <row r="908" spans="2:14">
      <c r="B908" s="15">
        <v>44135</v>
      </c>
      <c r="C908" s="34" t="s">
        <v>15</v>
      </c>
      <c r="D908" s="34" t="e" vm="17">
        <f>_xlfn.XLOOKUP(HistoricalStockProgress[[#This Row],[Company Ticker]],CompanyDetailsList[Company Ticker],CompanyDetailsList[Official Name],,0)</f>
        <v>#VALUE!</v>
      </c>
      <c r="E9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9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908" s="17">
        <f>IFERROR(HistoricalStockProgress[[#This Row],[Cost of Shares]]/HistoricalStockProgress[[#This Row],[No. of Shares]],0)</f>
        <v>26.081956457072195</v>
      </c>
      <c r="H908" s="16" vm="1432">
        <v>20.405000000000001</v>
      </c>
      <c r="I908" s="16">
        <f>IF(HistoricalStockProgress[[#This Row],[No. of Shares]]&lt;&gt;0,HistoricalStockProgress[[#This Row],[Price of Shares]]*HistoricalStockProgress[[#This Row],[No. of Shares]],0)</f>
        <v>2530.2200000000003</v>
      </c>
      <c r="J908" s="16">
        <f>IF(HistoricalStockProgress[[#This Row],[No. of Shares]]&lt;&gt;0,HistoricalStockProgress[[#This Row],[Price of Shares]]-HistoricalStockProgress[[#This Row],[Cost of Shares]]/HistoricalStockProgress[[#This Row],[No. of Shares]],0)</f>
        <v>-5.676956457072194</v>
      </c>
      <c r="K908" s="17">
        <f>IF(HistoricalStockProgress[[#This Row],[Total Price of Shares]]&lt;&gt;0,HistoricalStockProgress[[#This Row],[Total Price of Shares]]-HistoricalStockProgress[[#This Row],[Cost of Shares]],0)</f>
        <v>-703.94260067695177</v>
      </c>
      <c r="L908" s="34" t="b" cm="1">
        <f t="array" ref="L908">IFERROR(IF(HistoricalStockProgress[[#This Row],[Price of Shares]]="",_xlfn.STOCKHISTORY(HistoricalStockProgress[[#This Row],[Full Company Name]],HistoricalStockProgress[[#This Row],[Date]],,2,0,1)),0)</f>
        <v>0</v>
      </c>
      <c r="M908" s="34">
        <f>YEAR(HistoricalStockProgress[[#This Row],[Date]])</f>
        <v>2020</v>
      </c>
      <c r="N908" s="34">
        <f>MONTH(HistoricalStockProgress[[#This Row],[Date]])</f>
        <v>10</v>
      </c>
    </row>
    <row r="909" spans="2:14">
      <c r="B909" s="15">
        <v>44135</v>
      </c>
      <c r="C909" s="34" t="s">
        <v>13</v>
      </c>
      <c r="D909" s="34" t="e" vm="18">
        <f>_xlfn.XLOOKUP(HistoricalStockProgress[[#This Row],[Company Ticker]],CompanyDetailsList[Company Ticker],CompanyDetailsList[Official Name],,0)</f>
        <v>#VALUE!</v>
      </c>
      <c r="E9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9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909" s="17">
        <f>IFERROR(HistoricalStockProgress[[#This Row],[Cost of Shares]]/HistoricalStockProgress[[#This Row],[No. of Shares]],0)</f>
        <v>35.846938938346874</v>
      </c>
      <c r="H909" s="16" vm="1433">
        <v>33.633299999999998</v>
      </c>
      <c r="I909" s="16">
        <f>IF(HistoricalStockProgress[[#This Row],[No. of Shares]]&lt;&gt;0,HistoricalStockProgress[[#This Row],[Price of Shares]]*HistoricalStockProgress[[#This Row],[No. of Shares]],0)</f>
        <v>1849.8315</v>
      </c>
      <c r="J909" s="16">
        <f>IF(HistoricalStockProgress[[#This Row],[No. of Shares]]&lt;&gt;0,HistoricalStockProgress[[#This Row],[Price of Shares]]-HistoricalStockProgress[[#This Row],[Cost of Shares]]/HistoricalStockProgress[[#This Row],[No. of Shares]],0)</f>
        <v>-2.2136389383468753</v>
      </c>
      <c r="K909" s="17">
        <f>IF(HistoricalStockProgress[[#This Row],[Total Price of Shares]]&lt;&gt;0,HistoricalStockProgress[[#This Row],[Total Price of Shares]]-HistoricalStockProgress[[#This Row],[Cost of Shares]],0)</f>
        <v>-121.75014160907813</v>
      </c>
      <c r="L909" s="34" t="b" cm="1">
        <f t="array" ref="L909">IFERROR(IF(HistoricalStockProgress[[#This Row],[Price of Shares]]="",_xlfn.STOCKHISTORY(HistoricalStockProgress[[#This Row],[Full Company Name]],HistoricalStockProgress[[#This Row],[Date]],,2,0,1)),0)</f>
        <v>0</v>
      </c>
      <c r="M909" s="34">
        <f>YEAR(HistoricalStockProgress[[#This Row],[Date]])</f>
        <v>2020</v>
      </c>
      <c r="N909" s="34">
        <f>MONTH(HistoricalStockProgress[[#This Row],[Date]])</f>
        <v>10</v>
      </c>
    </row>
    <row r="910" spans="2:14">
      <c r="B910" s="15">
        <v>44135</v>
      </c>
      <c r="C910" s="34" t="s">
        <v>20</v>
      </c>
      <c r="D910" s="34" t="e" vm="19">
        <f>_xlfn.XLOOKUP(HistoricalStockProgress[[#This Row],[Company Ticker]],CompanyDetailsList[Company Ticker],CompanyDetailsList[Official Name],,0)</f>
        <v>#VALUE!</v>
      </c>
      <c r="E9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9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910" s="17">
        <f>IFERROR(HistoricalStockProgress[[#This Row],[Cost of Shares]]/HistoricalStockProgress[[#This Row],[No. of Shares]],0)</f>
        <v>93.912242833589502</v>
      </c>
      <c r="H910" s="16" vm="1434">
        <v>98.04</v>
      </c>
      <c r="I910" s="16">
        <f>IF(HistoricalStockProgress[[#This Row],[No. of Shares]]&lt;&gt;0,HistoricalStockProgress[[#This Row],[Price of Shares]]*HistoricalStockProgress[[#This Row],[No. of Shares]],0)</f>
        <v>7647.1200000000008</v>
      </c>
      <c r="J910" s="16">
        <f>IF(HistoricalStockProgress[[#This Row],[No. of Shares]]&lt;&gt;0,HistoricalStockProgress[[#This Row],[Price of Shares]]-HistoricalStockProgress[[#This Row],[Cost of Shares]]/HistoricalStockProgress[[#This Row],[No. of Shares]],0)</f>
        <v>4.1277571664105039</v>
      </c>
      <c r="K910" s="17">
        <f>IF(HistoricalStockProgress[[#This Row],[Total Price of Shares]]&lt;&gt;0,HistoricalStockProgress[[#This Row],[Total Price of Shares]]-HistoricalStockProgress[[#This Row],[Cost of Shares]],0)</f>
        <v>321.96505898001942</v>
      </c>
      <c r="L910" s="34" t="b" cm="1">
        <f t="array" ref="L910">IFERROR(IF(HistoricalStockProgress[[#This Row],[Price of Shares]]="",_xlfn.STOCKHISTORY(HistoricalStockProgress[[#This Row],[Full Company Name]],HistoricalStockProgress[[#This Row],[Date]],,2,0,1)),0)</f>
        <v>0</v>
      </c>
      <c r="M910" s="34">
        <f>YEAR(HistoricalStockProgress[[#This Row],[Date]])</f>
        <v>2020</v>
      </c>
      <c r="N910" s="34">
        <f>MONTH(HistoricalStockProgress[[#This Row],[Date]])</f>
        <v>10</v>
      </c>
    </row>
    <row r="911" spans="2:14">
      <c r="B911" s="15">
        <v>44135</v>
      </c>
      <c r="C911" s="34" t="s">
        <v>106</v>
      </c>
      <c r="D911" s="34" t="e" vm="20">
        <f>_xlfn.XLOOKUP(HistoricalStockProgress[[#This Row],[Company Ticker]],CompanyDetailsList[Company Ticker],CompanyDetailsList[Official Name],,0)</f>
        <v>#VALUE!</v>
      </c>
      <c r="E9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9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911" s="17">
        <f>IFERROR(HistoricalStockProgress[[#This Row],[Cost of Shares]]/HistoricalStockProgress[[#This Row],[No. of Shares]],0)</f>
        <v>108.54870748680406</v>
      </c>
      <c r="H911" s="16" vm="1435">
        <v>129.72</v>
      </c>
      <c r="I911" s="16">
        <f>IF(HistoricalStockProgress[[#This Row],[No. of Shares]]&lt;&gt;0,HistoricalStockProgress[[#This Row],[Price of Shares]]*HistoricalStockProgress[[#This Row],[No. of Shares]],0)</f>
        <v>11415.36</v>
      </c>
      <c r="J911" s="16">
        <f>IF(HistoricalStockProgress[[#This Row],[No. of Shares]]&lt;&gt;0,HistoricalStockProgress[[#This Row],[Price of Shares]]-HistoricalStockProgress[[#This Row],[Cost of Shares]]/HistoricalStockProgress[[#This Row],[No. of Shares]],0)</f>
        <v>21.171292513195937</v>
      </c>
      <c r="K911" s="17">
        <f>IF(HistoricalStockProgress[[#This Row],[Total Price of Shares]]&lt;&gt;0,HistoricalStockProgress[[#This Row],[Total Price of Shares]]-HistoricalStockProgress[[#This Row],[Cost of Shares]],0)</f>
        <v>1863.0737411612427</v>
      </c>
      <c r="L911" s="34" t="b" cm="1">
        <f t="array" ref="L911">IFERROR(IF(HistoricalStockProgress[[#This Row],[Price of Shares]]="",_xlfn.STOCKHISTORY(HistoricalStockProgress[[#This Row],[Full Company Name]],HistoricalStockProgress[[#This Row],[Date]],,2,0,1)),0)</f>
        <v>0</v>
      </c>
      <c r="M911" s="34">
        <f>YEAR(HistoricalStockProgress[[#This Row],[Date]])</f>
        <v>2020</v>
      </c>
      <c r="N911" s="34">
        <f>MONTH(HistoricalStockProgress[[#This Row],[Date]])</f>
        <v>10</v>
      </c>
    </row>
    <row r="912" spans="2:14">
      <c r="B912" s="15">
        <v>44165</v>
      </c>
      <c r="C912" s="34" t="s">
        <v>12</v>
      </c>
      <c r="D912" s="34" t="e" vm="1">
        <f>_xlfn.XLOOKUP(HistoricalStockProgress[[#This Row],[Company Ticker]],CompanyDetailsList[Company Ticker],CompanyDetailsList[Official Name],,0)</f>
        <v>#VALUE!</v>
      </c>
      <c r="E9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9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912" s="17">
        <f>IFERROR(HistoricalStockProgress[[#This Row],[Cost of Shares]]/HistoricalStockProgress[[#This Row],[No. of Shares]],0)</f>
        <v>63.845182519411239</v>
      </c>
      <c r="H912" s="16" vm="1436">
        <v>59.97</v>
      </c>
      <c r="I912" s="16">
        <f>IF(HistoricalStockProgress[[#This Row],[No. of Shares]]&lt;&gt;0,HistoricalStockProgress[[#This Row],[Price of Shares]]*HistoricalStockProgress[[#This Row],[No. of Shares]],0)</f>
        <v>3838.08</v>
      </c>
      <c r="J912" s="16">
        <f>IF(HistoricalStockProgress[[#This Row],[No. of Shares]]&lt;&gt;0,HistoricalStockProgress[[#This Row],[Price of Shares]]-HistoricalStockProgress[[#This Row],[Cost of Shares]]/HistoricalStockProgress[[#This Row],[No. of Shares]],0)</f>
        <v>-3.8751825194112399</v>
      </c>
      <c r="K912" s="17">
        <f>IF(HistoricalStockProgress[[#This Row],[Total Price of Shares]]&lt;&gt;0,HistoricalStockProgress[[#This Row],[Total Price of Shares]]-HistoricalStockProgress[[#This Row],[Cost of Shares]],0)</f>
        <v>-248.01168124231936</v>
      </c>
      <c r="L912" s="34" t="b" cm="1">
        <f t="array" ref="L912">IFERROR(IF(HistoricalStockProgress[[#This Row],[Price of Shares]]="",_xlfn.STOCKHISTORY(HistoricalStockProgress[[#This Row],[Full Company Name]],HistoricalStockProgress[[#This Row],[Date]],,2,0,1)),0)</f>
        <v>0</v>
      </c>
      <c r="M912" s="34">
        <f>YEAR(HistoricalStockProgress[[#This Row],[Date]])</f>
        <v>2020</v>
      </c>
      <c r="N912" s="34">
        <f>MONTH(HistoricalStockProgress[[#This Row],[Date]])</f>
        <v>11</v>
      </c>
    </row>
    <row r="913" spans="2:14">
      <c r="B913" s="15">
        <v>44165</v>
      </c>
      <c r="C913" s="34" t="s">
        <v>19</v>
      </c>
      <c r="D913" s="34" t="e" vm="3">
        <f>_xlfn.XLOOKUP(HistoricalStockProgress[[#This Row],[Company Ticker]],CompanyDetailsList[Company Ticker],CompanyDetailsList[Official Name],,0)</f>
        <v>#VALUE!</v>
      </c>
      <c r="E9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9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913" s="17">
        <f>IFERROR(HistoricalStockProgress[[#This Row],[Cost of Shares]]/HistoricalStockProgress[[#This Row],[No. of Shares]],0)</f>
        <v>158.45739987816083</v>
      </c>
      <c r="H913" s="16" vm="1437">
        <v>202.96</v>
      </c>
      <c r="I913" s="16">
        <f>IF(HistoricalStockProgress[[#This Row],[No. of Shares]]&lt;&gt;0,HistoricalStockProgress[[#This Row],[Price of Shares]]*HistoricalStockProgress[[#This Row],[No. of Shares]],0)</f>
        <v>11568.720000000001</v>
      </c>
      <c r="J913" s="16">
        <f>IF(HistoricalStockProgress[[#This Row],[No. of Shares]]&lt;&gt;0,HistoricalStockProgress[[#This Row],[Price of Shares]]-HistoricalStockProgress[[#This Row],[Cost of Shares]]/HistoricalStockProgress[[#This Row],[No. of Shares]],0)</f>
        <v>44.50260012183918</v>
      </c>
      <c r="K913" s="17">
        <f>IF(HistoricalStockProgress[[#This Row],[Total Price of Shares]]&lt;&gt;0,HistoricalStockProgress[[#This Row],[Total Price of Shares]]-HistoricalStockProgress[[#This Row],[Cost of Shares]],0)</f>
        <v>2536.6482069448339</v>
      </c>
      <c r="L913" s="34" t="b" cm="1">
        <f t="array" ref="L913">IFERROR(IF(HistoricalStockProgress[[#This Row],[Price of Shares]]="",_xlfn.STOCKHISTORY(HistoricalStockProgress[[#This Row],[Full Company Name]],HistoricalStockProgress[[#This Row],[Date]],,2,0,1)),0)</f>
        <v>0</v>
      </c>
      <c r="M913" s="34">
        <f>YEAR(HistoricalStockProgress[[#This Row],[Date]])</f>
        <v>2020</v>
      </c>
      <c r="N913" s="34">
        <f>MONTH(HistoricalStockProgress[[#This Row],[Date]])</f>
        <v>11</v>
      </c>
    </row>
    <row r="914" spans="2:14">
      <c r="B914" s="15">
        <v>44165</v>
      </c>
      <c r="C914" s="34" t="s">
        <v>23</v>
      </c>
      <c r="D914" s="34" t="e" vm="4">
        <f>_xlfn.XLOOKUP(HistoricalStockProgress[[#This Row],[Company Ticker]],CompanyDetailsList[Company Ticker],CompanyDetailsList[Official Name],,0)</f>
        <v>#VALUE!</v>
      </c>
      <c r="E9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9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914" s="17">
        <f>IFERROR(HistoricalStockProgress[[#This Row],[Cost of Shares]]/HistoricalStockProgress[[#This Row],[No. of Shares]],0)</f>
        <v>45.768494888570878</v>
      </c>
      <c r="H914" s="16" vm="1438">
        <v>51.6</v>
      </c>
      <c r="I914" s="16">
        <f>IF(HistoricalStockProgress[[#This Row],[No. of Shares]]&lt;&gt;0,HistoricalStockProgress[[#This Row],[Price of Shares]]*HistoricalStockProgress[[#This Row],[No. of Shares]],0)</f>
        <v>2992.8</v>
      </c>
      <c r="J914" s="16">
        <f>IF(HistoricalStockProgress[[#This Row],[No. of Shares]]&lt;&gt;0,HistoricalStockProgress[[#This Row],[Price of Shares]]-HistoricalStockProgress[[#This Row],[Cost of Shares]]/HistoricalStockProgress[[#This Row],[No. of Shares]],0)</f>
        <v>5.8315051114291236</v>
      </c>
      <c r="K914" s="17">
        <f>IF(HistoricalStockProgress[[#This Row],[Total Price of Shares]]&lt;&gt;0,HistoricalStockProgress[[#This Row],[Total Price of Shares]]-HistoricalStockProgress[[#This Row],[Cost of Shares]],0)</f>
        <v>338.22729646288917</v>
      </c>
      <c r="L914" s="34" t="b" cm="1">
        <f t="array" ref="L914">IFERROR(IF(HistoricalStockProgress[[#This Row],[Price of Shares]]="",_xlfn.STOCKHISTORY(HistoricalStockProgress[[#This Row],[Full Company Name]],HistoricalStockProgress[[#This Row],[Date]],,2,0,1)),0)</f>
        <v>0</v>
      </c>
      <c r="M914" s="34">
        <f>YEAR(HistoricalStockProgress[[#This Row],[Date]])</f>
        <v>2020</v>
      </c>
      <c r="N914" s="34">
        <f>MONTH(HistoricalStockProgress[[#This Row],[Date]])</f>
        <v>11</v>
      </c>
    </row>
    <row r="915" spans="2:14">
      <c r="B915" s="15">
        <v>44165</v>
      </c>
      <c r="C915" s="34" t="s">
        <v>18</v>
      </c>
      <c r="D915" s="34" t="e" vm="5">
        <f>_xlfn.XLOOKUP(HistoricalStockProgress[[#This Row],[Company Ticker]],CompanyDetailsList[Company Ticker],CompanyDetailsList[Official Name],,0)</f>
        <v>#VALUE!</v>
      </c>
      <c r="E9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v>
      </c>
      <c r="F9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1322.059549224459</v>
      </c>
      <c r="G915" s="17">
        <f>IFERROR(HistoricalStockProgress[[#This Row],[Cost of Shares]]/HistoricalStockProgress[[#This Row],[No. of Shares]],0)</f>
        <v>132.2059549224459</v>
      </c>
      <c r="H915" s="16" vm="1439">
        <v>144.22999999999999</v>
      </c>
      <c r="I915" s="16">
        <f>IF(HistoricalStockProgress[[#This Row],[No. of Shares]]&lt;&gt;0,HistoricalStockProgress[[#This Row],[Price of Shares]]*HistoricalStockProgress[[#This Row],[No. of Shares]],0)</f>
        <v>1442.3</v>
      </c>
      <c r="J915" s="16">
        <f>IF(HistoricalStockProgress[[#This Row],[No. of Shares]]&lt;&gt;0,HistoricalStockProgress[[#This Row],[Price of Shares]]-HistoricalStockProgress[[#This Row],[Cost of Shares]]/HistoricalStockProgress[[#This Row],[No. of Shares]],0)</f>
        <v>12.024045077554092</v>
      </c>
      <c r="K915" s="17">
        <f>IF(HistoricalStockProgress[[#This Row],[Total Price of Shares]]&lt;&gt;0,HistoricalStockProgress[[#This Row],[Total Price of Shares]]-HistoricalStockProgress[[#This Row],[Cost of Shares]],0)</f>
        <v>120.24045077554092</v>
      </c>
      <c r="L915" s="34" t="b" cm="1">
        <f t="array" ref="L915">IFERROR(IF(HistoricalStockProgress[[#This Row],[Price of Shares]]="",_xlfn.STOCKHISTORY(HistoricalStockProgress[[#This Row],[Full Company Name]],HistoricalStockProgress[[#This Row],[Date]],,2,0,1)),0)</f>
        <v>0</v>
      </c>
      <c r="M915" s="34">
        <f>YEAR(HistoricalStockProgress[[#This Row],[Date]])</f>
        <v>2020</v>
      </c>
      <c r="N915" s="34">
        <f>MONTH(HistoricalStockProgress[[#This Row],[Date]])</f>
        <v>11</v>
      </c>
    </row>
    <row r="916" spans="2:14">
      <c r="B916" s="15">
        <v>44165</v>
      </c>
      <c r="C916" s="34" t="s">
        <v>21</v>
      </c>
      <c r="D916" s="34" t="e" vm="6">
        <f>_xlfn.XLOOKUP(HistoricalStockProgress[[#This Row],[Company Ticker]],CompanyDetailsList[Company Ticker],CompanyDetailsList[Official Name],,0)</f>
        <v>#VALUE!</v>
      </c>
      <c r="E9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9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3654.8914204824332</v>
      </c>
      <c r="G916" s="17">
        <f>IFERROR(HistoricalStockProgress[[#This Row],[Cost of Shares]]/HistoricalStockProgress[[#This Row],[No. of Shares]],0)</f>
        <v>130.53183644580119</v>
      </c>
      <c r="H916" s="16" vm="1440">
        <v>138.87</v>
      </c>
      <c r="I916" s="16">
        <f>IF(HistoricalStockProgress[[#This Row],[No. of Shares]]&lt;&gt;0,HistoricalStockProgress[[#This Row],[Price of Shares]]*HistoricalStockProgress[[#This Row],[No. of Shares]],0)</f>
        <v>3888.36</v>
      </c>
      <c r="J916" s="16">
        <f>IF(HistoricalStockProgress[[#This Row],[No. of Shares]]&lt;&gt;0,HistoricalStockProgress[[#This Row],[Price of Shares]]-HistoricalStockProgress[[#This Row],[Cost of Shares]]/HistoricalStockProgress[[#This Row],[No. of Shares]],0)</f>
        <v>8.3381635541988146</v>
      </c>
      <c r="K916" s="17">
        <f>IF(HistoricalStockProgress[[#This Row],[Total Price of Shares]]&lt;&gt;0,HistoricalStockProgress[[#This Row],[Total Price of Shares]]-HistoricalStockProgress[[#This Row],[Cost of Shares]],0)</f>
        <v>233.46857951756692</v>
      </c>
      <c r="L916" s="34" t="b" cm="1">
        <f t="array" ref="L916">IFERROR(IF(HistoricalStockProgress[[#This Row],[Price of Shares]]="",_xlfn.STOCKHISTORY(HistoricalStockProgress[[#This Row],[Full Company Name]],HistoricalStockProgress[[#This Row],[Date]],,2,0,1)),0)</f>
        <v>0</v>
      </c>
      <c r="M916" s="34">
        <f>YEAR(HistoricalStockProgress[[#This Row],[Date]])</f>
        <v>2020</v>
      </c>
      <c r="N916" s="34">
        <f>MONTH(HistoricalStockProgress[[#This Row],[Date]])</f>
        <v>11</v>
      </c>
    </row>
    <row r="917" spans="2:14">
      <c r="B917" s="15">
        <v>44165</v>
      </c>
      <c r="C917" s="34" t="s">
        <v>84</v>
      </c>
      <c r="D917" s="34" t="e" vm="7">
        <f>_xlfn.XLOOKUP(HistoricalStockProgress[[#This Row],[Company Ticker]],CompanyDetailsList[Company Ticker],CompanyDetailsList[Official Name],,0)</f>
        <v>#VALUE!</v>
      </c>
      <c r="E9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9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917" s="17">
        <f>IFERROR(HistoricalStockProgress[[#This Row],[Cost of Shares]]/HistoricalStockProgress[[#This Row],[No. of Shares]],0)</f>
        <v>104.18087504950869</v>
      </c>
      <c r="H917" s="16" vm="1441">
        <v>144.68</v>
      </c>
      <c r="I917" s="16">
        <f>IF(HistoricalStockProgress[[#This Row],[No. of Shares]]&lt;&gt;0,HistoricalStockProgress[[#This Row],[Price of Shares]]*HistoricalStockProgress[[#This Row],[No. of Shares]],0)</f>
        <v>7378.68</v>
      </c>
      <c r="J917" s="16">
        <f>IF(HistoricalStockProgress[[#This Row],[No. of Shares]]&lt;&gt;0,HistoricalStockProgress[[#This Row],[Price of Shares]]-HistoricalStockProgress[[#This Row],[Cost of Shares]]/HistoricalStockProgress[[#This Row],[No. of Shares]],0)</f>
        <v>40.499124950491321</v>
      </c>
      <c r="K917" s="17">
        <f>IF(HistoricalStockProgress[[#This Row],[Total Price of Shares]]&lt;&gt;0,HistoricalStockProgress[[#This Row],[Total Price of Shares]]-HistoricalStockProgress[[#This Row],[Cost of Shares]],0)</f>
        <v>2065.4553724750576</v>
      </c>
      <c r="L917" s="34" t="b" cm="1">
        <f t="array" ref="L917">IFERROR(IF(HistoricalStockProgress[[#This Row],[Price of Shares]]="",_xlfn.STOCKHISTORY(HistoricalStockProgress[[#This Row],[Full Company Name]],HistoricalStockProgress[[#This Row],[Date]],,2,0,1)),0)</f>
        <v>0</v>
      </c>
      <c r="M917" s="34">
        <f>YEAR(HistoricalStockProgress[[#This Row],[Date]])</f>
        <v>2020</v>
      </c>
      <c r="N917" s="34">
        <f>MONTH(HistoricalStockProgress[[#This Row],[Date]])</f>
        <v>11</v>
      </c>
    </row>
    <row r="918" spans="2:14">
      <c r="B918" s="15">
        <v>44165</v>
      </c>
      <c r="C918" s="34" t="s">
        <v>86</v>
      </c>
      <c r="D918" s="34" t="e" vm="8">
        <f>_xlfn.XLOOKUP(HistoricalStockProgress[[#This Row],[Company Ticker]],CompanyDetailsList[Company Ticker],CompanyDetailsList[Official Name],,0)</f>
        <v>#VALUE!</v>
      </c>
      <c r="E9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80</v>
      </c>
      <c r="F9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6988.5261087655599</v>
      </c>
      <c r="G918" s="17">
        <f>IFERROR(HistoricalStockProgress[[#This Row],[Cost of Shares]]/HistoricalStockProgress[[#This Row],[No. of Shares]],0)</f>
        <v>87.356576359569502</v>
      </c>
      <c r="H918" s="16" vm="1442">
        <v>104.58</v>
      </c>
      <c r="I918" s="16">
        <f>IF(HistoricalStockProgress[[#This Row],[No. of Shares]]&lt;&gt;0,HistoricalStockProgress[[#This Row],[Price of Shares]]*HistoricalStockProgress[[#This Row],[No. of Shares]],0)</f>
        <v>8366.4</v>
      </c>
      <c r="J918" s="16">
        <f>IF(HistoricalStockProgress[[#This Row],[No. of Shares]]&lt;&gt;0,HistoricalStockProgress[[#This Row],[Price of Shares]]-HistoricalStockProgress[[#This Row],[Cost of Shares]]/HistoricalStockProgress[[#This Row],[No. of Shares]],0)</f>
        <v>17.223423640430497</v>
      </c>
      <c r="K918" s="17">
        <f>IF(HistoricalStockProgress[[#This Row],[Total Price of Shares]]&lt;&gt;0,HistoricalStockProgress[[#This Row],[Total Price of Shares]]-HistoricalStockProgress[[#This Row],[Cost of Shares]],0)</f>
        <v>1377.8738912344397</v>
      </c>
      <c r="L918" s="34" t="b" cm="1">
        <f t="array" ref="L918">IFERROR(IF(HistoricalStockProgress[[#This Row],[Price of Shares]]="",_xlfn.STOCKHISTORY(HistoricalStockProgress[[#This Row],[Full Company Name]],HistoricalStockProgress[[#This Row],[Date]],,2,0,1)),0)</f>
        <v>0</v>
      </c>
      <c r="M918" s="34">
        <f>YEAR(HistoricalStockProgress[[#This Row],[Date]])</f>
        <v>2020</v>
      </c>
      <c r="N918" s="34">
        <f>MONTH(HistoricalStockProgress[[#This Row],[Date]])</f>
        <v>11</v>
      </c>
    </row>
    <row r="919" spans="2:14">
      <c r="B919" s="15">
        <v>44165</v>
      </c>
      <c r="C919" s="34" t="s">
        <v>88</v>
      </c>
      <c r="D919" s="34" t="e" vm="9">
        <f>_xlfn.XLOOKUP(HistoricalStockProgress[[#This Row],[Company Ticker]],CompanyDetailsList[Company Ticker],CompanyDetailsList[Official Name],,0)</f>
        <v>#VALUE!</v>
      </c>
      <c r="E9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9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919" s="17">
        <f>IFERROR(HistoricalStockProgress[[#This Row],[Cost of Shares]]/HistoricalStockProgress[[#This Row],[No. of Shares]],0)</f>
        <v>187.727755253422</v>
      </c>
      <c r="H919" s="16" vm="1443">
        <v>217.44</v>
      </c>
      <c r="I919" s="16">
        <f>IF(HistoricalStockProgress[[#This Row],[No. of Shares]]&lt;&gt;0,HistoricalStockProgress[[#This Row],[Price of Shares]]*HistoricalStockProgress[[#This Row],[No. of Shares]],0)</f>
        <v>12828.96</v>
      </c>
      <c r="J919" s="16">
        <f>IF(HistoricalStockProgress[[#This Row],[No. of Shares]]&lt;&gt;0,HistoricalStockProgress[[#This Row],[Price of Shares]]-HistoricalStockProgress[[#This Row],[Cost of Shares]]/HistoricalStockProgress[[#This Row],[No. of Shares]],0)</f>
        <v>29.712244746577994</v>
      </c>
      <c r="K919" s="17">
        <f>IF(HistoricalStockProgress[[#This Row],[Total Price of Shares]]&lt;&gt;0,HistoricalStockProgress[[#This Row],[Total Price of Shares]]-HistoricalStockProgress[[#This Row],[Cost of Shares]],0)</f>
        <v>1753.0224400481002</v>
      </c>
      <c r="L919" s="34" t="b" cm="1">
        <f t="array" ref="L919">IFERROR(IF(HistoricalStockProgress[[#This Row],[Price of Shares]]="",_xlfn.STOCKHISTORY(HistoricalStockProgress[[#This Row],[Full Company Name]],HistoricalStockProgress[[#This Row],[Date]],,2,0,1)),0)</f>
        <v>0</v>
      </c>
      <c r="M919" s="34">
        <f>YEAR(HistoricalStockProgress[[#This Row],[Date]])</f>
        <v>2020</v>
      </c>
      <c r="N919" s="34">
        <f>MONTH(HistoricalStockProgress[[#This Row],[Date]])</f>
        <v>11</v>
      </c>
    </row>
    <row r="920" spans="2:14">
      <c r="B920" s="15">
        <v>44165</v>
      </c>
      <c r="C920" s="34" t="s">
        <v>22</v>
      </c>
      <c r="D920" s="34" t="e" vm="10">
        <f>_xlfn.XLOOKUP(HistoricalStockProgress[[#This Row],[Company Ticker]],CompanyDetailsList[Company Ticker],CompanyDetailsList[Official Name],,0)</f>
        <v>#VALUE!</v>
      </c>
      <c r="E9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9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920" s="17">
        <f>IFERROR(HistoricalStockProgress[[#This Row],[Cost of Shares]]/HistoricalStockProgress[[#This Row],[No. of Shares]],0)</f>
        <v>96.351727068187571</v>
      </c>
      <c r="H920" s="16" vm="1444">
        <v>173.59</v>
      </c>
      <c r="I920" s="16">
        <f>IF(HistoricalStockProgress[[#This Row],[No. of Shares]]&lt;&gt;0,HistoricalStockProgress[[#This Row],[Price of Shares]]*HistoricalStockProgress[[#This Row],[No. of Shares]],0)</f>
        <v>14060.79</v>
      </c>
      <c r="J920" s="16">
        <f>IF(HistoricalStockProgress[[#This Row],[No. of Shares]]&lt;&gt;0,HistoricalStockProgress[[#This Row],[Price of Shares]]-HistoricalStockProgress[[#This Row],[Cost of Shares]]/HistoricalStockProgress[[#This Row],[No. of Shares]],0)</f>
        <v>77.238272931812432</v>
      </c>
      <c r="K920" s="17">
        <f>IF(HistoricalStockProgress[[#This Row],[Total Price of Shares]]&lt;&gt;0,HistoricalStockProgress[[#This Row],[Total Price of Shares]]-HistoricalStockProgress[[#This Row],[Cost of Shares]],0)</f>
        <v>6256.3001074768081</v>
      </c>
      <c r="L920" s="34" t="b" cm="1">
        <f t="array" ref="L920">IFERROR(IF(HistoricalStockProgress[[#This Row],[Price of Shares]]="",_xlfn.STOCKHISTORY(HistoricalStockProgress[[#This Row],[Full Company Name]],HistoricalStockProgress[[#This Row],[Date]],,2,0,1)),0)</f>
        <v>0</v>
      </c>
      <c r="M920" s="34">
        <f>YEAR(HistoricalStockProgress[[#This Row],[Date]])</f>
        <v>2020</v>
      </c>
      <c r="N920" s="34">
        <f>MONTH(HistoricalStockProgress[[#This Row],[Date]])</f>
        <v>11</v>
      </c>
    </row>
    <row r="921" spans="2:14">
      <c r="B921" s="15">
        <v>44165</v>
      </c>
      <c r="C921" s="34" t="s">
        <v>91</v>
      </c>
      <c r="D921" s="34" t="e" vm="11">
        <f>_xlfn.XLOOKUP(HistoricalStockProgress[[#This Row],[Company Ticker]],CompanyDetailsList[Company Ticker],CompanyDetailsList[Official Name],,0)</f>
        <v>#VALUE!</v>
      </c>
      <c r="E9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9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921" s="17">
        <f>IFERROR(HistoricalStockProgress[[#This Row],[Cost of Shares]]/HistoricalStockProgress[[#This Row],[No. of Shares]],0)</f>
        <v>100.94993172657422</v>
      </c>
      <c r="H921" s="16" vm="1445">
        <v>214.07</v>
      </c>
      <c r="I921" s="16">
        <f>IF(HistoricalStockProgress[[#This Row],[No. of Shares]]&lt;&gt;0,HistoricalStockProgress[[#This Row],[Price of Shares]]*HistoricalStockProgress[[#This Row],[No. of Shares]],0)</f>
        <v>31468.289999999997</v>
      </c>
      <c r="J921" s="16">
        <f>IF(HistoricalStockProgress[[#This Row],[No. of Shares]]&lt;&gt;0,HistoricalStockProgress[[#This Row],[Price of Shares]]-HistoricalStockProgress[[#This Row],[Cost of Shares]]/HistoricalStockProgress[[#This Row],[No. of Shares]],0)</f>
        <v>113.12006827342577</v>
      </c>
      <c r="K921" s="17">
        <f>IF(HistoricalStockProgress[[#This Row],[Total Price of Shares]]&lt;&gt;0,HistoricalStockProgress[[#This Row],[Total Price of Shares]]-HistoricalStockProgress[[#This Row],[Cost of Shares]],0)</f>
        <v>16628.650036193587</v>
      </c>
      <c r="L921" s="34" t="b" cm="1">
        <f t="array" ref="L921">IFERROR(IF(HistoricalStockProgress[[#This Row],[Price of Shares]]="",_xlfn.STOCKHISTORY(HistoricalStockProgress[[#This Row],[Full Company Name]],HistoricalStockProgress[[#This Row],[Date]],,2,0,1)),0)</f>
        <v>0</v>
      </c>
      <c r="M921" s="34">
        <f>YEAR(HistoricalStockProgress[[#This Row],[Date]])</f>
        <v>2020</v>
      </c>
      <c r="N921" s="34">
        <f>MONTH(HistoricalStockProgress[[#This Row],[Date]])</f>
        <v>11</v>
      </c>
    </row>
    <row r="922" spans="2:14">
      <c r="B922" s="15">
        <v>44165</v>
      </c>
      <c r="C922" s="34" t="s">
        <v>16</v>
      </c>
      <c r="D922" s="34" t="e" vm="12">
        <f>_xlfn.XLOOKUP(HistoricalStockProgress[[#This Row],[Company Ticker]],CompanyDetailsList[Company Ticker],CompanyDetailsList[Official Name],,0)</f>
        <v>#VALUE!</v>
      </c>
      <c r="E9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175</v>
      </c>
      <c r="F9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13287.78699035665</v>
      </c>
      <c r="G922" s="17">
        <f>IFERROR(HistoricalStockProgress[[#This Row],[Cost of Shares]]/HistoricalStockProgress[[#This Row],[No. of Shares]],0)</f>
        <v>75.930211373466577</v>
      </c>
      <c r="H922" s="16" vm="1446">
        <v>38.130000000000003</v>
      </c>
      <c r="I922" s="16">
        <f>IF(HistoricalStockProgress[[#This Row],[No. of Shares]]&lt;&gt;0,HistoricalStockProgress[[#This Row],[Price of Shares]]*HistoricalStockProgress[[#This Row],[No. of Shares]],0)</f>
        <v>6672.75</v>
      </c>
      <c r="J922" s="16">
        <f>IF(HistoricalStockProgress[[#This Row],[No. of Shares]]&lt;&gt;0,HistoricalStockProgress[[#This Row],[Price of Shares]]-HistoricalStockProgress[[#This Row],[Cost of Shares]]/HistoricalStockProgress[[#This Row],[No. of Shares]],0)</f>
        <v>-37.800211373466574</v>
      </c>
      <c r="K922" s="17">
        <f>IF(HistoricalStockProgress[[#This Row],[Total Price of Shares]]&lt;&gt;0,HistoricalStockProgress[[#This Row],[Total Price of Shares]]-HistoricalStockProgress[[#This Row],[Cost of Shares]],0)</f>
        <v>-6615.0369903566498</v>
      </c>
      <c r="L922" s="34" t="b" cm="1">
        <f t="array" ref="L922">IFERROR(IF(HistoricalStockProgress[[#This Row],[Price of Shares]]="",_xlfn.STOCKHISTORY(HistoricalStockProgress[[#This Row],[Full Company Name]],HistoricalStockProgress[[#This Row],[Date]],,2,0,1)),0)</f>
        <v>0</v>
      </c>
      <c r="M922" s="34">
        <f>YEAR(HistoricalStockProgress[[#This Row],[Date]])</f>
        <v>2020</v>
      </c>
      <c r="N922" s="34">
        <f>MONTH(HistoricalStockProgress[[#This Row],[Date]])</f>
        <v>11</v>
      </c>
    </row>
    <row r="923" spans="2:14">
      <c r="B923" s="15">
        <v>44165</v>
      </c>
      <c r="C923" s="34" t="s">
        <v>95</v>
      </c>
      <c r="D923" s="34" t="e" vm="13">
        <f>_xlfn.XLOOKUP(HistoricalStockProgress[[#This Row],[Company Ticker]],CompanyDetailsList[Company Ticker],CompanyDetailsList[Official Name],,0)</f>
        <v>#VALUE!</v>
      </c>
      <c r="E9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9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923" s="17">
        <f>IFERROR(HistoricalStockProgress[[#This Row],[Cost of Shares]]/HistoricalStockProgress[[#This Row],[No. of Shares]],0)</f>
        <v>143.29758396474452</v>
      </c>
      <c r="H923" s="16" vm="1447">
        <v>277.41000000000003</v>
      </c>
      <c r="I923" s="16">
        <f>IF(HistoricalStockProgress[[#This Row],[No. of Shares]]&lt;&gt;0,HistoricalStockProgress[[#This Row],[Price of Shares]]*HistoricalStockProgress[[#This Row],[No. of Shares]],0)</f>
        <v>11928.630000000001</v>
      </c>
      <c r="J923" s="16">
        <f>IF(HistoricalStockProgress[[#This Row],[No. of Shares]]&lt;&gt;0,HistoricalStockProgress[[#This Row],[Price of Shares]]-HistoricalStockProgress[[#This Row],[Cost of Shares]]/HistoricalStockProgress[[#This Row],[No. of Shares]],0)</f>
        <v>134.11241603525551</v>
      </c>
      <c r="K923" s="17">
        <f>IF(HistoricalStockProgress[[#This Row],[Total Price of Shares]]&lt;&gt;0,HistoricalStockProgress[[#This Row],[Total Price of Shares]]-HistoricalStockProgress[[#This Row],[Cost of Shares]],0)</f>
        <v>5766.8338895159868</v>
      </c>
      <c r="L923" s="34" t="b" cm="1">
        <f t="array" ref="L923">IFERROR(IF(HistoricalStockProgress[[#This Row],[Price of Shares]]="",_xlfn.STOCKHISTORY(HistoricalStockProgress[[#This Row],[Full Company Name]],HistoricalStockProgress[[#This Row],[Date]],,2,0,1)),0)</f>
        <v>0</v>
      </c>
      <c r="M923" s="34">
        <f>YEAR(HistoricalStockProgress[[#This Row],[Date]])</f>
        <v>2020</v>
      </c>
      <c r="N923" s="34">
        <f>MONTH(HistoricalStockProgress[[#This Row],[Date]])</f>
        <v>11</v>
      </c>
    </row>
    <row r="924" spans="2:14">
      <c r="B924" s="15">
        <v>44165</v>
      </c>
      <c r="C924" s="34" t="s">
        <v>17</v>
      </c>
      <c r="D924" s="34" t="e" vm="14">
        <f>_xlfn.XLOOKUP(HistoricalStockProgress[[#This Row],[Company Ticker]],CompanyDetailsList[Company Ticker],CompanyDetailsList[Official Name],,0)</f>
        <v>#VALUE!</v>
      </c>
      <c r="E9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91</v>
      </c>
      <c r="F9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13257.550624316333</v>
      </c>
      <c r="G924" s="17">
        <f>IFERROR(HistoricalStockProgress[[#This Row],[Cost of Shares]]/HistoricalStockProgress[[#This Row],[No. of Shares]],0)</f>
        <v>145.68736949798168</v>
      </c>
      <c r="H924" s="16" vm="1448">
        <v>123.52</v>
      </c>
      <c r="I924" s="16">
        <f>IF(HistoricalStockProgress[[#This Row],[No. of Shares]]&lt;&gt;0,HistoricalStockProgress[[#This Row],[Price of Shares]]*HistoricalStockProgress[[#This Row],[No. of Shares]],0)</f>
        <v>11240.32</v>
      </c>
      <c r="J924" s="16">
        <f>IF(HistoricalStockProgress[[#This Row],[No. of Shares]]&lt;&gt;0,HistoricalStockProgress[[#This Row],[Price of Shares]]-HistoricalStockProgress[[#This Row],[Cost of Shares]]/HistoricalStockProgress[[#This Row],[No. of Shares]],0)</f>
        <v>-22.167369497981682</v>
      </c>
      <c r="K924" s="17">
        <f>IF(HistoricalStockProgress[[#This Row],[Total Price of Shares]]&lt;&gt;0,HistoricalStockProgress[[#This Row],[Total Price of Shares]]-HistoricalStockProgress[[#This Row],[Cost of Shares]],0)</f>
        <v>-2017.230624316333</v>
      </c>
      <c r="L924" s="34" t="b" cm="1">
        <f t="array" ref="L924">IFERROR(IF(HistoricalStockProgress[[#This Row],[Price of Shares]]="",_xlfn.STOCKHISTORY(HistoricalStockProgress[[#This Row],[Full Company Name]],HistoricalStockProgress[[#This Row],[Date]],,2,0,1)),0)</f>
        <v>0</v>
      </c>
      <c r="M924" s="34">
        <f>YEAR(HistoricalStockProgress[[#This Row],[Date]])</f>
        <v>2020</v>
      </c>
      <c r="N924" s="34">
        <f>MONTH(HistoricalStockProgress[[#This Row],[Date]])</f>
        <v>11</v>
      </c>
    </row>
    <row r="925" spans="2:14">
      <c r="B925" s="15">
        <v>44165</v>
      </c>
      <c r="C925" s="34" t="s">
        <v>98</v>
      </c>
      <c r="D925" s="34" t="e" vm="15">
        <f>_xlfn.XLOOKUP(HistoricalStockProgress[[#This Row],[Company Ticker]],CompanyDetailsList[Company Ticker],CompanyDetailsList[Official Name],,0)</f>
        <v>#VALUE!</v>
      </c>
      <c r="E9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9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925" s="17">
        <f>IFERROR(HistoricalStockProgress[[#This Row],[Cost of Shares]]/HistoricalStockProgress[[#This Row],[No. of Shares]],0)</f>
        <v>39.627242008882604</v>
      </c>
      <c r="H925" s="16" vm="1449">
        <v>73.59</v>
      </c>
      <c r="I925" s="16">
        <f>IF(HistoricalStockProgress[[#This Row],[No. of Shares]]&lt;&gt;0,HistoricalStockProgress[[#This Row],[Price of Shares]]*HistoricalStockProgress[[#This Row],[No. of Shares]],0)</f>
        <v>5372.0700000000006</v>
      </c>
      <c r="J925" s="16">
        <f>IF(HistoricalStockProgress[[#This Row],[No. of Shares]]&lt;&gt;0,HistoricalStockProgress[[#This Row],[Price of Shares]]-HistoricalStockProgress[[#This Row],[Cost of Shares]]/HistoricalStockProgress[[#This Row],[No. of Shares]],0)</f>
        <v>33.9627579911174</v>
      </c>
      <c r="K925" s="17">
        <f>IF(HistoricalStockProgress[[#This Row],[Total Price of Shares]]&lt;&gt;0,HistoricalStockProgress[[#This Row],[Total Price of Shares]]-HistoricalStockProgress[[#This Row],[Cost of Shares]],0)</f>
        <v>2479.2813333515705</v>
      </c>
      <c r="L925" s="34" t="b" cm="1">
        <f t="array" ref="L925">IFERROR(IF(HistoricalStockProgress[[#This Row],[Price of Shares]]="",_xlfn.STOCKHISTORY(HistoricalStockProgress[[#This Row],[Full Company Name]],HistoricalStockProgress[[#This Row],[Date]],,2,0,1)),0)</f>
        <v>0</v>
      </c>
      <c r="M925" s="34">
        <f>YEAR(HistoricalStockProgress[[#This Row],[Date]])</f>
        <v>2020</v>
      </c>
      <c r="N925" s="34">
        <f>MONTH(HistoricalStockProgress[[#This Row],[Date]])</f>
        <v>11</v>
      </c>
    </row>
    <row r="926" spans="2:14">
      <c r="B926" s="15">
        <v>44165</v>
      </c>
      <c r="C926" s="34" t="s">
        <v>100</v>
      </c>
      <c r="D926" s="34" t="e" vm="16">
        <f>_xlfn.XLOOKUP(HistoricalStockProgress[[#This Row],[Company Ticker]],CompanyDetailsList[Company Ticker],CompanyDetailsList[Official Name],,0)</f>
        <v>#VALUE!</v>
      </c>
      <c r="E9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109</v>
      </c>
      <c r="F9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9263.9352759443282</v>
      </c>
      <c r="G926" s="17">
        <f>IFERROR(HistoricalStockProgress[[#This Row],[Cost of Shares]]/HistoricalStockProgress[[#This Row],[No. of Shares]],0)</f>
        <v>84.990231889397506</v>
      </c>
      <c r="H926" s="16" vm="1450">
        <v>92.66</v>
      </c>
      <c r="I926" s="16">
        <f>IF(HistoricalStockProgress[[#This Row],[No. of Shares]]&lt;&gt;0,HistoricalStockProgress[[#This Row],[Price of Shares]]*HistoricalStockProgress[[#This Row],[No. of Shares]],0)</f>
        <v>10099.94</v>
      </c>
      <c r="J926" s="16">
        <f>IF(HistoricalStockProgress[[#This Row],[No. of Shares]]&lt;&gt;0,HistoricalStockProgress[[#This Row],[Price of Shares]]-HistoricalStockProgress[[#This Row],[Cost of Shares]]/HistoricalStockProgress[[#This Row],[No. of Shares]],0)</f>
        <v>7.6697681106024902</v>
      </c>
      <c r="K926" s="17">
        <f>IF(HistoricalStockProgress[[#This Row],[Total Price of Shares]]&lt;&gt;0,HistoricalStockProgress[[#This Row],[Total Price of Shares]]-HistoricalStockProgress[[#This Row],[Cost of Shares]],0)</f>
        <v>836.00472405567234</v>
      </c>
      <c r="L926" s="34" t="b" cm="1">
        <f t="array" ref="L926">IFERROR(IF(HistoricalStockProgress[[#This Row],[Price of Shares]]="",_xlfn.STOCKHISTORY(HistoricalStockProgress[[#This Row],[Full Company Name]],HistoricalStockProgress[[#This Row],[Date]],,2,0,1)),0)</f>
        <v>0</v>
      </c>
      <c r="M926" s="34">
        <f>YEAR(HistoricalStockProgress[[#This Row],[Date]])</f>
        <v>2020</v>
      </c>
      <c r="N926" s="34">
        <f>MONTH(HistoricalStockProgress[[#This Row],[Date]])</f>
        <v>11</v>
      </c>
    </row>
    <row r="927" spans="2:14">
      <c r="B927" s="15">
        <v>44165</v>
      </c>
      <c r="C927" s="34" t="s">
        <v>15</v>
      </c>
      <c r="D927" s="34" t="e" vm="17">
        <f>_xlfn.XLOOKUP(HistoricalStockProgress[[#This Row],[Company Ticker]],CompanyDetailsList[Company Ticker],CompanyDetailsList[Official Name],,0)</f>
        <v>#VALUE!</v>
      </c>
      <c r="E9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9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927" s="17">
        <f>IFERROR(HistoricalStockProgress[[#This Row],[Cost of Shares]]/HistoricalStockProgress[[#This Row],[No. of Shares]],0)</f>
        <v>26.081956457072195</v>
      </c>
      <c r="H927" s="16" vm="1451">
        <v>21.711400000000001</v>
      </c>
      <c r="I927" s="16">
        <f>IF(HistoricalStockProgress[[#This Row],[No. of Shares]]&lt;&gt;0,HistoricalStockProgress[[#This Row],[Price of Shares]]*HistoricalStockProgress[[#This Row],[No. of Shares]],0)</f>
        <v>2692.2136</v>
      </c>
      <c r="J927" s="16">
        <f>IF(HistoricalStockProgress[[#This Row],[No. of Shares]]&lt;&gt;0,HistoricalStockProgress[[#This Row],[Price of Shares]]-HistoricalStockProgress[[#This Row],[Cost of Shares]]/HistoricalStockProgress[[#This Row],[No. of Shares]],0)</f>
        <v>-4.370556457072194</v>
      </c>
      <c r="K927" s="17">
        <f>IF(HistoricalStockProgress[[#This Row],[Total Price of Shares]]&lt;&gt;0,HistoricalStockProgress[[#This Row],[Total Price of Shares]]-HistoricalStockProgress[[#This Row],[Cost of Shares]],0)</f>
        <v>-541.94900067695198</v>
      </c>
      <c r="L927" s="34" t="b" cm="1">
        <f t="array" ref="L927">IFERROR(IF(HistoricalStockProgress[[#This Row],[Price of Shares]]="",_xlfn.STOCKHISTORY(HistoricalStockProgress[[#This Row],[Full Company Name]],HistoricalStockProgress[[#This Row],[Date]],,2,0,1)),0)</f>
        <v>0</v>
      </c>
      <c r="M927" s="34">
        <f>YEAR(HistoricalStockProgress[[#This Row],[Date]])</f>
        <v>2020</v>
      </c>
      <c r="N927" s="34">
        <f>MONTH(HistoricalStockProgress[[#This Row],[Date]])</f>
        <v>11</v>
      </c>
    </row>
    <row r="928" spans="2:14">
      <c r="B928" s="15">
        <v>44165</v>
      </c>
      <c r="C928" s="34" t="s">
        <v>13</v>
      </c>
      <c r="D928" s="34" t="e" vm="18">
        <f>_xlfn.XLOOKUP(HistoricalStockProgress[[#This Row],[Company Ticker]],CompanyDetailsList[Company Ticker],CompanyDetailsList[Official Name],,0)</f>
        <v>#VALUE!</v>
      </c>
      <c r="E9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9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928" s="17">
        <f>IFERROR(HistoricalStockProgress[[#This Row],[Cost of Shares]]/HistoricalStockProgress[[#This Row],[No. of Shares]],0)</f>
        <v>35.846938938346874</v>
      </c>
      <c r="H928" s="16" vm="1452">
        <v>38.31</v>
      </c>
      <c r="I928" s="16">
        <f>IF(HistoricalStockProgress[[#This Row],[No. of Shares]]&lt;&gt;0,HistoricalStockProgress[[#This Row],[Price of Shares]]*HistoricalStockProgress[[#This Row],[No. of Shares]],0)</f>
        <v>2107.0500000000002</v>
      </c>
      <c r="J928" s="16">
        <f>IF(HistoricalStockProgress[[#This Row],[No. of Shares]]&lt;&gt;0,HistoricalStockProgress[[#This Row],[Price of Shares]]-HistoricalStockProgress[[#This Row],[Cost of Shares]]/HistoricalStockProgress[[#This Row],[No. of Shares]],0)</f>
        <v>2.4630610616531285</v>
      </c>
      <c r="K928" s="17">
        <f>IF(HistoricalStockProgress[[#This Row],[Total Price of Shares]]&lt;&gt;0,HistoricalStockProgress[[#This Row],[Total Price of Shares]]-HistoricalStockProgress[[#This Row],[Cost of Shares]],0)</f>
        <v>135.46835839092205</v>
      </c>
      <c r="L928" s="34" t="b" cm="1">
        <f t="array" ref="L928">IFERROR(IF(HistoricalStockProgress[[#This Row],[Price of Shares]]="",_xlfn.STOCKHISTORY(HistoricalStockProgress[[#This Row],[Full Company Name]],HistoricalStockProgress[[#This Row],[Date]],,2,0,1)),0)</f>
        <v>0</v>
      </c>
      <c r="M928" s="34">
        <f>YEAR(HistoricalStockProgress[[#This Row],[Date]])</f>
        <v>2020</v>
      </c>
      <c r="N928" s="34">
        <f>MONTH(HistoricalStockProgress[[#This Row],[Date]])</f>
        <v>11</v>
      </c>
    </row>
    <row r="929" spans="2:14">
      <c r="B929" s="15">
        <v>44165</v>
      </c>
      <c r="C929" s="34" t="s">
        <v>20</v>
      </c>
      <c r="D929" s="34" t="e" vm="19">
        <f>_xlfn.XLOOKUP(HistoricalStockProgress[[#This Row],[Company Ticker]],CompanyDetailsList[Company Ticker],CompanyDetailsList[Official Name],,0)</f>
        <v>#VALUE!</v>
      </c>
      <c r="E9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9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929" s="17">
        <f>IFERROR(HistoricalStockProgress[[#This Row],[Cost of Shares]]/HistoricalStockProgress[[#This Row],[No. of Shares]],0)</f>
        <v>93.912242833589502</v>
      </c>
      <c r="H929" s="16" vm="1453">
        <v>117.88</v>
      </c>
      <c r="I929" s="16">
        <f>IF(HistoricalStockProgress[[#This Row],[No. of Shares]]&lt;&gt;0,HistoricalStockProgress[[#This Row],[Price of Shares]]*HistoricalStockProgress[[#This Row],[No. of Shares]],0)</f>
        <v>9194.64</v>
      </c>
      <c r="J929" s="16">
        <f>IF(HistoricalStockProgress[[#This Row],[No. of Shares]]&lt;&gt;0,HistoricalStockProgress[[#This Row],[Price of Shares]]-HistoricalStockProgress[[#This Row],[Cost of Shares]]/HistoricalStockProgress[[#This Row],[No. of Shares]],0)</f>
        <v>23.967757166410493</v>
      </c>
      <c r="K929" s="17">
        <f>IF(HistoricalStockProgress[[#This Row],[Total Price of Shares]]&lt;&gt;0,HistoricalStockProgress[[#This Row],[Total Price of Shares]]-HistoricalStockProgress[[#This Row],[Cost of Shares]],0)</f>
        <v>1869.485058980018</v>
      </c>
      <c r="L929" s="34" t="b" cm="1">
        <f t="array" ref="L929">IFERROR(IF(HistoricalStockProgress[[#This Row],[Price of Shares]]="",_xlfn.STOCKHISTORY(HistoricalStockProgress[[#This Row],[Full Company Name]],HistoricalStockProgress[[#This Row],[Date]],,2,0,1)),0)</f>
        <v>0</v>
      </c>
      <c r="M929" s="34">
        <f>YEAR(HistoricalStockProgress[[#This Row],[Date]])</f>
        <v>2020</v>
      </c>
      <c r="N929" s="34">
        <f>MONTH(HistoricalStockProgress[[#This Row],[Date]])</f>
        <v>11</v>
      </c>
    </row>
    <row r="930" spans="2:14">
      <c r="B930" s="15">
        <v>44165</v>
      </c>
      <c r="C930" s="34" t="s">
        <v>106</v>
      </c>
      <c r="D930" s="34" t="e" vm="20">
        <f>_xlfn.XLOOKUP(HistoricalStockProgress[[#This Row],[Company Ticker]],CompanyDetailsList[Company Ticker],CompanyDetailsList[Official Name],,0)</f>
        <v>#VALUE!</v>
      </c>
      <c r="E9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9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930" s="17">
        <f>IFERROR(HistoricalStockProgress[[#This Row],[Cost of Shares]]/HistoricalStockProgress[[#This Row],[No. of Shares]],0)</f>
        <v>108.54870748680406</v>
      </c>
      <c r="H930" s="16" vm="1454">
        <v>146.77000000000001</v>
      </c>
      <c r="I930" s="16">
        <f>IF(HistoricalStockProgress[[#This Row],[No. of Shares]]&lt;&gt;0,HistoricalStockProgress[[#This Row],[Price of Shares]]*HistoricalStockProgress[[#This Row],[No. of Shares]],0)</f>
        <v>12915.76</v>
      </c>
      <c r="J930" s="16">
        <f>IF(HistoricalStockProgress[[#This Row],[No. of Shares]]&lt;&gt;0,HistoricalStockProgress[[#This Row],[Price of Shares]]-HistoricalStockProgress[[#This Row],[Cost of Shares]]/HistoricalStockProgress[[#This Row],[No. of Shares]],0)</f>
        <v>38.221292513195948</v>
      </c>
      <c r="K930" s="17">
        <f>IF(HistoricalStockProgress[[#This Row],[Total Price of Shares]]&lt;&gt;0,HistoricalStockProgress[[#This Row],[Total Price of Shares]]-HistoricalStockProgress[[#This Row],[Cost of Shares]],0)</f>
        <v>3363.4737411612423</v>
      </c>
      <c r="L930" s="34" t="b" cm="1">
        <f t="array" ref="L930">IFERROR(IF(HistoricalStockProgress[[#This Row],[Price of Shares]]="",_xlfn.STOCKHISTORY(HistoricalStockProgress[[#This Row],[Full Company Name]],HistoricalStockProgress[[#This Row],[Date]],,2,0,1)),0)</f>
        <v>0</v>
      </c>
      <c r="M930" s="34">
        <f>YEAR(HistoricalStockProgress[[#This Row],[Date]])</f>
        <v>2020</v>
      </c>
      <c r="N930" s="34">
        <f>MONTH(HistoricalStockProgress[[#This Row],[Date]])</f>
        <v>11</v>
      </c>
    </row>
    <row r="931" spans="2:14">
      <c r="B931" s="15">
        <v>44196</v>
      </c>
      <c r="C931" s="34" t="s">
        <v>12</v>
      </c>
      <c r="D931" s="34" t="e" vm="1">
        <f>_xlfn.XLOOKUP(HistoricalStockProgress[[#This Row],[Company Ticker]],CompanyDetailsList[Company Ticker],CompanyDetailsList[Official Name],,0)</f>
        <v>#VALUE!</v>
      </c>
      <c r="E9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9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931" s="17">
        <f>IFERROR(HistoricalStockProgress[[#This Row],[Cost of Shares]]/HistoricalStockProgress[[#This Row],[No. of Shares]],0)</f>
        <v>63.845182519411239</v>
      </c>
      <c r="H931" s="16" vm="1455">
        <v>62.17</v>
      </c>
      <c r="I931" s="16">
        <f>IF(HistoricalStockProgress[[#This Row],[No. of Shares]]&lt;&gt;0,HistoricalStockProgress[[#This Row],[Price of Shares]]*HistoricalStockProgress[[#This Row],[No. of Shares]],0)</f>
        <v>3978.88</v>
      </c>
      <c r="J931" s="16">
        <f>IF(HistoricalStockProgress[[#This Row],[No. of Shares]]&lt;&gt;0,HistoricalStockProgress[[#This Row],[Price of Shares]]-HistoricalStockProgress[[#This Row],[Cost of Shares]]/HistoricalStockProgress[[#This Row],[No. of Shares]],0)</f>
        <v>-1.6751825194112371</v>
      </c>
      <c r="K931" s="17">
        <f>IF(HistoricalStockProgress[[#This Row],[Total Price of Shares]]&lt;&gt;0,HistoricalStockProgress[[#This Row],[Total Price of Shares]]-HistoricalStockProgress[[#This Row],[Cost of Shares]],0)</f>
        <v>-107.21168124231917</v>
      </c>
      <c r="L931" s="34" t="b" cm="1">
        <f t="array" ref="L931">IFERROR(IF(HistoricalStockProgress[[#This Row],[Price of Shares]]="",_xlfn.STOCKHISTORY(HistoricalStockProgress[[#This Row],[Full Company Name]],HistoricalStockProgress[[#This Row],[Date]],,2,0,1)),0)</f>
        <v>0</v>
      </c>
      <c r="M931" s="34">
        <f>YEAR(HistoricalStockProgress[[#This Row],[Date]])</f>
        <v>2020</v>
      </c>
      <c r="N931" s="34">
        <f>MONTH(HistoricalStockProgress[[#This Row],[Date]])</f>
        <v>12</v>
      </c>
    </row>
    <row r="932" spans="2:14">
      <c r="B932" s="15">
        <v>44196</v>
      </c>
      <c r="C932" s="34" t="s">
        <v>14</v>
      </c>
      <c r="D932" s="34" t="e" vm="2">
        <f>_xlfn.XLOOKUP(HistoricalStockProgress[[#This Row],[Company Ticker]],CompanyDetailsList[Company Ticker],CompanyDetailsList[Official Name],,0)</f>
        <v>#VALUE!</v>
      </c>
      <c r="E9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9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374.08704394110305</v>
      </c>
      <c r="G932" s="17">
        <f>IFERROR(HistoricalStockProgress[[#This Row],[Cost of Shares]]/HistoricalStockProgress[[#This Row],[No. of Shares]],0)</f>
        <v>31.173920328425254</v>
      </c>
      <c r="H932" s="16" vm="1456">
        <v>31.93</v>
      </c>
      <c r="I932" s="16">
        <f>IF(HistoricalStockProgress[[#This Row],[No. of Shares]]&lt;&gt;0,HistoricalStockProgress[[#This Row],[Price of Shares]]*HistoricalStockProgress[[#This Row],[No. of Shares]],0)</f>
        <v>383.15999999999997</v>
      </c>
      <c r="J932" s="16">
        <f>IF(HistoricalStockProgress[[#This Row],[No. of Shares]]&lt;&gt;0,HistoricalStockProgress[[#This Row],[Price of Shares]]-HistoricalStockProgress[[#This Row],[Cost of Shares]]/HistoricalStockProgress[[#This Row],[No. of Shares]],0)</f>
        <v>0.75607967157474576</v>
      </c>
      <c r="K932" s="17">
        <f>IF(HistoricalStockProgress[[#This Row],[Total Price of Shares]]&lt;&gt;0,HistoricalStockProgress[[#This Row],[Total Price of Shares]]-HistoricalStockProgress[[#This Row],[Cost of Shares]],0)</f>
        <v>9.0729560588969207</v>
      </c>
      <c r="L932" s="34" t="b" cm="1">
        <f t="array" ref="L932">IFERROR(IF(HistoricalStockProgress[[#This Row],[Price of Shares]]="",_xlfn.STOCKHISTORY(HistoricalStockProgress[[#This Row],[Full Company Name]],HistoricalStockProgress[[#This Row],[Date]],,2,0,1)),0)</f>
        <v>0</v>
      </c>
      <c r="M932" s="34">
        <f>YEAR(HistoricalStockProgress[[#This Row],[Date]])</f>
        <v>2020</v>
      </c>
      <c r="N932" s="34">
        <f>MONTH(HistoricalStockProgress[[#This Row],[Date]])</f>
        <v>12</v>
      </c>
    </row>
    <row r="933" spans="2:14">
      <c r="B933" s="15">
        <v>44196</v>
      </c>
      <c r="C933" s="34" t="s">
        <v>19</v>
      </c>
      <c r="D933" s="34" t="e" vm="3">
        <f>_xlfn.XLOOKUP(HistoricalStockProgress[[#This Row],[Company Ticker]],CompanyDetailsList[Company Ticker],CompanyDetailsList[Official Name],,0)</f>
        <v>#VALUE!</v>
      </c>
      <c r="E9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9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933" s="17">
        <f>IFERROR(HistoricalStockProgress[[#This Row],[Cost of Shares]]/HistoricalStockProgress[[#This Row],[No. of Shares]],0)</f>
        <v>158.45739987816083</v>
      </c>
      <c r="H933" s="16" vm="1457">
        <v>201.92</v>
      </c>
      <c r="I933" s="16">
        <f>IF(HistoricalStockProgress[[#This Row],[No. of Shares]]&lt;&gt;0,HistoricalStockProgress[[#This Row],[Price of Shares]]*HistoricalStockProgress[[#This Row],[No. of Shares]],0)</f>
        <v>11509.439999999999</v>
      </c>
      <c r="J933" s="16">
        <f>IF(HistoricalStockProgress[[#This Row],[No. of Shares]]&lt;&gt;0,HistoricalStockProgress[[#This Row],[Price of Shares]]-HistoricalStockProgress[[#This Row],[Cost of Shares]]/HistoricalStockProgress[[#This Row],[No. of Shares]],0)</f>
        <v>43.462600121839159</v>
      </c>
      <c r="K933" s="17">
        <f>IF(HistoricalStockProgress[[#This Row],[Total Price of Shares]]&lt;&gt;0,HistoricalStockProgress[[#This Row],[Total Price of Shares]]-HistoricalStockProgress[[#This Row],[Cost of Shares]],0)</f>
        <v>2477.3682069448314</v>
      </c>
      <c r="L933" s="34" t="b" cm="1">
        <f t="array" ref="L933">IFERROR(IF(HistoricalStockProgress[[#This Row],[Price of Shares]]="",_xlfn.STOCKHISTORY(HistoricalStockProgress[[#This Row],[Full Company Name]],HistoricalStockProgress[[#This Row],[Date]],,2,0,1)),0)</f>
        <v>0</v>
      </c>
      <c r="M933" s="34">
        <f>YEAR(HistoricalStockProgress[[#This Row],[Date]])</f>
        <v>2020</v>
      </c>
      <c r="N933" s="34">
        <f>MONTH(HistoricalStockProgress[[#This Row],[Date]])</f>
        <v>12</v>
      </c>
    </row>
    <row r="934" spans="2:14">
      <c r="B934" s="15">
        <v>44196</v>
      </c>
      <c r="C934" s="34" t="s">
        <v>23</v>
      </c>
      <c r="D934" s="34" t="e" vm="4">
        <f>_xlfn.XLOOKUP(HistoricalStockProgress[[#This Row],[Company Ticker]],CompanyDetailsList[Company Ticker],CompanyDetailsList[Official Name],,0)</f>
        <v>#VALUE!</v>
      </c>
      <c r="E9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9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934" s="17">
        <f>IFERROR(HistoricalStockProgress[[#This Row],[Cost of Shares]]/HistoricalStockProgress[[#This Row],[No. of Shares]],0)</f>
        <v>45.768494888570878</v>
      </c>
      <c r="H934" s="16" vm="1458">
        <v>54.84</v>
      </c>
      <c r="I934" s="16">
        <f>IF(HistoricalStockProgress[[#This Row],[No. of Shares]]&lt;&gt;0,HistoricalStockProgress[[#This Row],[Price of Shares]]*HistoricalStockProgress[[#This Row],[No. of Shares]],0)</f>
        <v>3180.7200000000003</v>
      </c>
      <c r="J934" s="16">
        <f>IF(HistoricalStockProgress[[#This Row],[No. of Shares]]&lt;&gt;0,HistoricalStockProgress[[#This Row],[Price of Shares]]-HistoricalStockProgress[[#This Row],[Cost of Shares]]/HistoricalStockProgress[[#This Row],[No. of Shares]],0)</f>
        <v>9.0715051114291256</v>
      </c>
      <c r="K934" s="17">
        <f>IF(HistoricalStockProgress[[#This Row],[Total Price of Shares]]&lt;&gt;0,HistoricalStockProgress[[#This Row],[Total Price of Shares]]-HistoricalStockProgress[[#This Row],[Cost of Shares]],0)</f>
        <v>526.14729646288924</v>
      </c>
      <c r="L934" s="34" t="b" cm="1">
        <f t="array" ref="L934">IFERROR(IF(HistoricalStockProgress[[#This Row],[Price of Shares]]="",_xlfn.STOCKHISTORY(HistoricalStockProgress[[#This Row],[Full Company Name]],HistoricalStockProgress[[#This Row],[Date]],,2,0,1)),0)</f>
        <v>0</v>
      </c>
      <c r="M934" s="34">
        <f>YEAR(HistoricalStockProgress[[#This Row],[Date]])</f>
        <v>2020</v>
      </c>
      <c r="N934" s="34">
        <f>MONTH(HistoricalStockProgress[[#This Row],[Date]])</f>
        <v>12</v>
      </c>
    </row>
    <row r="935" spans="2:14">
      <c r="B935" s="15">
        <v>44196</v>
      </c>
      <c r="C935" s="34" t="s">
        <v>18</v>
      </c>
      <c r="D935" s="34" t="e" vm="5">
        <f>_xlfn.XLOOKUP(HistoricalStockProgress[[#This Row],[Company Ticker]],CompanyDetailsList[Company Ticker],CompanyDetailsList[Official Name],,0)</f>
        <v>#VALUE!</v>
      </c>
      <c r="E9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v>
      </c>
      <c r="F9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1322.059549224459</v>
      </c>
      <c r="G935" s="17">
        <f>IFERROR(HistoricalStockProgress[[#This Row],[Cost of Shares]]/HistoricalStockProgress[[#This Row],[No. of Shares]],0)</f>
        <v>132.2059549224459</v>
      </c>
      <c r="H935" s="16" vm="1459">
        <v>148.30000000000001</v>
      </c>
      <c r="I935" s="16">
        <f>IF(HistoricalStockProgress[[#This Row],[No. of Shares]]&lt;&gt;0,HistoricalStockProgress[[#This Row],[Price of Shares]]*HistoricalStockProgress[[#This Row],[No. of Shares]],0)</f>
        <v>1483</v>
      </c>
      <c r="J935" s="16">
        <f>IF(HistoricalStockProgress[[#This Row],[No. of Shares]]&lt;&gt;0,HistoricalStockProgress[[#This Row],[Price of Shares]]-HistoricalStockProgress[[#This Row],[Cost of Shares]]/HistoricalStockProgress[[#This Row],[No. of Shares]],0)</f>
        <v>16.094045077554114</v>
      </c>
      <c r="K935" s="17">
        <f>IF(HistoricalStockProgress[[#This Row],[Total Price of Shares]]&lt;&gt;0,HistoricalStockProgress[[#This Row],[Total Price of Shares]]-HistoricalStockProgress[[#This Row],[Cost of Shares]],0)</f>
        <v>160.94045077554097</v>
      </c>
      <c r="L935" s="34" t="b" cm="1">
        <f t="array" ref="L935">IFERROR(IF(HistoricalStockProgress[[#This Row],[Price of Shares]]="",_xlfn.STOCKHISTORY(HistoricalStockProgress[[#This Row],[Full Company Name]],HistoricalStockProgress[[#This Row],[Date]],,2,0,1)),0)</f>
        <v>0</v>
      </c>
      <c r="M935" s="34">
        <f>YEAR(HistoricalStockProgress[[#This Row],[Date]])</f>
        <v>2020</v>
      </c>
      <c r="N935" s="34">
        <f>MONTH(HistoricalStockProgress[[#This Row],[Date]])</f>
        <v>12</v>
      </c>
    </row>
    <row r="936" spans="2:14">
      <c r="B936" s="15">
        <v>44196</v>
      </c>
      <c r="C936" s="34" t="s">
        <v>21</v>
      </c>
      <c r="D936" s="34" t="e" vm="6">
        <f>_xlfn.XLOOKUP(HistoricalStockProgress[[#This Row],[Company Ticker]],CompanyDetailsList[Company Ticker],CompanyDetailsList[Official Name],,0)</f>
        <v>#VALUE!</v>
      </c>
      <c r="E9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9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3654.8914204824332</v>
      </c>
      <c r="G936" s="17">
        <f>IFERROR(HistoricalStockProgress[[#This Row],[Cost of Shares]]/HistoricalStockProgress[[#This Row],[No. of Shares]],0)</f>
        <v>130.53183644580119</v>
      </c>
      <c r="H936" s="16" vm="1460">
        <v>139.13999999999999</v>
      </c>
      <c r="I936" s="16">
        <f>IF(HistoricalStockProgress[[#This Row],[No. of Shares]]&lt;&gt;0,HistoricalStockProgress[[#This Row],[Price of Shares]]*HistoricalStockProgress[[#This Row],[No. of Shares]],0)</f>
        <v>3895.9199999999996</v>
      </c>
      <c r="J936" s="16">
        <f>IF(HistoricalStockProgress[[#This Row],[No. of Shares]]&lt;&gt;0,HistoricalStockProgress[[#This Row],[Price of Shares]]-HistoricalStockProgress[[#This Row],[Cost of Shares]]/HistoricalStockProgress[[#This Row],[No. of Shares]],0)</f>
        <v>8.6081635541987964</v>
      </c>
      <c r="K936" s="17">
        <f>IF(HistoricalStockProgress[[#This Row],[Total Price of Shares]]&lt;&gt;0,HistoricalStockProgress[[#This Row],[Total Price of Shares]]-HistoricalStockProgress[[#This Row],[Cost of Shares]],0)</f>
        <v>241.02857951756641</v>
      </c>
      <c r="L936" s="34" t="b" cm="1">
        <f t="array" ref="L936">IFERROR(IF(HistoricalStockProgress[[#This Row],[Price of Shares]]="",_xlfn.STOCKHISTORY(HistoricalStockProgress[[#This Row],[Full Company Name]],HistoricalStockProgress[[#This Row],[Date]],,2,0,1)),0)</f>
        <v>0</v>
      </c>
      <c r="M936" s="34">
        <f>YEAR(HistoricalStockProgress[[#This Row],[Date]])</f>
        <v>2020</v>
      </c>
      <c r="N936" s="34">
        <f>MONTH(HistoricalStockProgress[[#This Row],[Date]])</f>
        <v>12</v>
      </c>
    </row>
    <row r="937" spans="2:14">
      <c r="B937" s="15">
        <v>44196</v>
      </c>
      <c r="C937" s="34" t="s">
        <v>84</v>
      </c>
      <c r="D937" s="34" t="e" vm="7">
        <f>_xlfn.XLOOKUP(HistoricalStockProgress[[#This Row],[Company Ticker]],CompanyDetailsList[Company Ticker],CompanyDetailsList[Official Name],,0)</f>
        <v>#VALUE!</v>
      </c>
      <c r="E9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9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937" s="17">
        <f>IFERROR(HistoricalStockProgress[[#This Row],[Cost of Shares]]/HistoricalStockProgress[[#This Row],[No. of Shares]],0)</f>
        <v>104.18087504950869</v>
      </c>
      <c r="H937" s="16" vm="1461">
        <v>157.38</v>
      </c>
      <c r="I937" s="16">
        <f>IF(HistoricalStockProgress[[#This Row],[No. of Shares]]&lt;&gt;0,HistoricalStockProgress[[#This Row],[Price of Shares]]*HistoricalStockProgress[[#This Row],[No. of Shares]],0)</f>
        <v>8026.38</v>
      </c>
      <c r="J937" s="16">
        <f>IF(HistoricalStockProgress[[#This Row],[No. of Shares]]&lt;&gt;0,HistoricalStockProgress[[#This Row],[Price of Shares]]-HistoricalStockProgress[[#This Row],[Cost of Shares]]/HistoricalStockProgress[[#This Row],[No. of Shares]],0)</f>
        <v>53.19912495049131</v>
      </c>
      <c r="K937" s="17">
        <f>IF(HistoricalStockProgress[[#This Row],[Total Price of Shares]]&lt;&gt;0,HistoricalStockProgress[[#This Row],[Total Price of Shares]]-HistoricalStockProgress[[#This Row],[Cost of Shares]],0)</f>
        <v>2713.1553724750574</v>
      </c>
      <c r="L937" s="34" t="b" cm="1">
        <f t="array" ref="L937">IFERROR(IF(HistoricalStockProgress[[#This Row],[Price of Shares]]="",_xlfn.STOCKHISTORY(HistoricalStockProgress[[#This Row],[Full Company Name]],HistoricalStockProgress[[#This Row],[Date]],,2,0,1)),0)</f>
        <v>0</v>
      </c>
      <c r="M937" s="34">
        <f>YEAR(HistoricalStockProgress[[#This Row],[Date]])</f>
        <v>2020</v>
      </c>
      <c r="N937" s="34">
        <f>MONTH(HistoricalStockProgress[[#This Row],[Date]])</f>
        <v>12</v>
      </c>
    </row>
    <row r="938" spans="2:14">
      <c r="B938" s="15">
        <v>44196</v>
      </c>
      <c r="C938" s="34" t="s">
        <v>86</v>
      </c>
      <c r="D938" s="34" t="e" vm="8">
        <f>_xlfn.XLOOKUP(HistoricalStockProgress[[#This Row],[Company Ticker]],CompanyDetailsList[Company Ticker],CompanyDetailsList[Official Name],,0)</f>
        <v>#VALUE!</v>
      </c>
      <c r="E9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80</v>
      </c>
      <c r="F9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6988.5261087655599</v>
      </c>
      <c r="G938" s="17">
        <f>IFERROR(HistoricalStockProgress[[#This Row],[Cost of Shares]]/HistoricalStockProgress[[#This Row],[No. of Shares]],0)</f>
        <v>87.356576359569502</v>
      </c>
      <c r="H938" s="16" vm="1462">
        <v>107.15</v>
      </c>
      <c r="I938" s="16">
        <f>IF(HistoricalStockProgress[[#This Row],[No. of Shares]]&lt;&gt;0,HistoricalStockProgress[[#This Row],[Price of Shares]]*HistoricalStockProgress[[#This Row],[No. of Shares]],0)</f>
        <v>8572</v>
      </c>
      <c r="J938" s="16">
        <f>IF(HistoricalStockProgress[[#This Row],[No. of Shares]]&lt;&gt;0,HistoricalStockProgress[[#This Row],[Price of Shares]]-HistoricalStockProgress[[#This Row],[Cost of Shares]]/HistoricalStockProgress[[#This Row],[No. of Shares]],0)</f>
        <v>19.793423640430504</v>
      </c>
      <c r="K938" s="17">
        <f>IF(HistoricalStockProgress[[#This Row],[Total Price of Shares]]&lt;&gt;0,HistoricalStockProgress[[#This Row],[Total Price of Shares]]-HistoricalStockProgress[[#This Row],[Cost of Shares]],0)</f>
        <v>1583.4738912344401</v>
      </c>
      <c r="L938" s="34" t="b" cm="1">
        <f t="array" ref="L938">IFERROR(IF(HistoricalStockProgress[[#This Row],[Price of Shares]]="",_xlfn.STOCKHISTORY(HistoricalStockProgress[[#This Row],[Full Company Name]],HistoricalStockProgress[[#This Row],[Date]],,2,0,1)),0)</f>
        <v>0</v>
      </c>
      <c r="M938" s="34">
        <f>YEAR(HistoricalStockProgress[[#This Row],[Date]])</f>
        <v>2020</v>
      </c>
      <c r="N938" s="34">
        <f>MONTH(HistoricalStockProgress[[#This Row],[Date]])</f>
        <v>12</v>
      </c>
    </row>
    <row r="939" spans="2:14">
      <c r="B939" s="15">
        <v>44196</v>
      </c>
      <c r="C939" s="34" t="s">
        <v>88</v>
      </c>
      <c r="D939" s="34" t="e" vm="9">
        <f>_xlfn.XLOOKUP(HistoricalStockProgress[[#This Row],[Company Ticker]],CompanyDetailsList[Company Ticker],CompanyDetailsList[Official Name],,0)</f>
        <v>#VALUE!</v>
      </c>
      <c r="E9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9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939" s="17">
        <f>IFERROR(HistoricalStockProgress[[#This Row],[Cost of Shares]]/HistoricalStockProgress[[#This Row],[No. of Shares]],0)</f>
        <v>187.727755253422</v>
      </c>
      <c r="H939" s="16" vm="1463">
        <v>214.58</v>
      </c>
      <c r="I939" s="16">
        <f>IF(HistoricalStockProgress[[#This Row],[No. of Shares]]&lt;&gt;0,HistoricalStockProgress[[#This Row],[Price of Shares]]*HistoricalStockProgress[[#This Row],[No. of Shares]],0)</f>
        <v>12660.220000000001</v>
      </c>
      <c r="J939" s="16">
        <f>IF(HistoricalStockProgress[[#This Row],[No. of Shares]]&lt;&gt;0,HistoricalStockProgress[[#This Row],[Price of Shares]]-HistoricalStockProgress[[#This Row],[Cost of Shares]]/HistoricalStockProgress[[#This Row],[No. of Shares]],0)</f>
        <v>26.852244746578009</v>
      </c>
      <c r="K939" s="17">
        <f>IF(HistoricalStockProgress[[#This Row],[Total Price of Shares]]&lt;&gt;0,HistoricalStockProgress[[#This Row],[Total Price of Shares]]-HistoricalStockProgress[[#This Row],[Cost of Shares]],0)</f>
        <v>1584.2824400481022</v>
      </c>
      <c r="L939" s="34" t="b" cm="1">
        <f t="array" ref="L939">IFERROR(IF(HistoricalStockProgress[[#This Row],[Price of Shares]]="",_xlfn.STOCKHISTORY(HistoricalStockProgress[[#This Row],[Full Company Name]],HistoricalStockProgress[[#This Row],[Date]],,2,0,1)),0)</f>
        <v>0</v>
      </c>
      <c r="M939" s="34">
        <f>YEAR(HistoricalStockProgress[[#This Row],[Date]])</f>
        <v>2020</v>
      </c>
      <c r="N939" s="34">
        <f>MONTH(HistoricalStockProgress[[#This Row],[Date]])</f>
        <v>12</v>
      </c>
    </row>
    <row r="940" spans="2:14">
      <c r="B940" s="15">
        <v>44196</v>
      </c>
      <c r="C940" s="34" t="s">
        <v>22</v>
      </c>
      <c r="D940" s="34" t="e" vm="10">
        <f>_xlfn.XLOOKUP(HistoricalStockProgress[[#This Row],[Company Ticker]],CompanyDetailsList[Company Ticker],CompanyDetailsList[Official Name],,0)</f>
        <v>#VALUE!</v>
      </c>
      <c r="E9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9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940" s="17">
        <f>IFERROR(HistoricalStockProgress[[#This Row],[Cost of Shares]]/HistoricalStockProgress[[#This Row],[No. of Shares]],0)</f>
        <v>96.351727068187571</v>
      </c>
      <c r="H940" s="16" vm="1464">
        <v>182.02</v>
      </c>
      <c r="I940" s="16">
        <f>IF(HistoricalStockProgress[[#This Row],[No. of Shares]]&lt;&gt;0,HistoricalStockProgress[[#This Row],[Price of Shares]]*HistoricalStockProgress[[#This Row],[No. of Shares]],0)</f>
        <v>14743.62</v>
      </c>
      <c r="J940" s="16">
        <f>IF(HistoricalStockProgress[[#This Row],[No. of Shares]]&lt;&gt;0,HistoricalStockProgress[[#This Row],[Price of Shares]]-HistoricalStockProgress[[#This Row],[Cost of Shares]]/HistoricalStockProgress[[#This Row],[No. of Shares]],0)</f>
        <v>85.668272931812439</v>
      </c>
      <c r="K940" s="17">
        <f>IF(HistoricalStockProgress[[#This Row],[Total Price of Shares]]&lt;&gt;0,HistoricalStockProgress[[#This Row],[Total Price of Shares]]-HistoricalStockProgress[[#This Row],[Cost of Shares]],0)</f>
        <v>6939.130107476808</v>
      </c>
      <c r="L940" s="34" t="b" cm="1">
        <f t="array" ref="L940">IFERROR(IF(HistoricalStockProgress[[#This Row],[Price of Shares]]="",_xlfn.STOCKHISTORY(HistoricalStockProgress[[#This Row],[Full Company Name]],HistoricalStockProgress[[#This Row],[Date]],,2,0,1)),0)</f>
        <v>0</v>
      </c>
      <c r="M940" s="34">
        <f>YEAR(HistoricalStockProgress[[#This Row],[Date]])</f>
        <v>2020</v>
      </c>
      <c r="N940" s="34">
        <f>MONTH(HistoricalStockProgress[[#This Row],[Date]])</f>
        <v>12</v>
      </c>
    </row>
    <row r="941" spans="2:14">
      <c r="B941" s="15">
        <v>44196</v>
      </c>
      <c r="C941" s="34" t="s">
        <v>91</v>
      </c>
      <c r="D941" s="34" t="e" vm="11">
        <f>_xlfn.XLOOKUP(HistoricalStockProgress[[#This Row],[Company Ticker]],CompanyDetailsList[Company Ticker],CompanyDetailsList[Official Name],,0)</f>
        <v>#VALUE!</v>
      </c>
      <c r="E9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9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941" s="17">
        <f>IFERROR(HistoricalStockProgress[[#This Row],[Cost of Shares]]/HistoricalStockProgress[[#This Row],[No. of Shares]],0)</f>
        <v>100.94993172657422</v>
      </c>
      <c r="H941" s="16" vm="1465">
        <v>222.42</v>
      </c>
      <c r="I941" s="16">
        <f>IF(HistoricalStockProgress[[#This Row],[No. of Shares]]&lt;&gt;0,HistoricalStockProgress[[#This Row],[Price of Shares]]*HistoricalStockProgress[[#This Row],[No. of Shares]],0)</f>
        <v>32695.739999999998</v>
      </c>
      <c r="J941" s="16">
        <f>IF(HistoricalStockProgress[[#This Row],[No. of Shares]]&lt;&gt;0,HistoricalStockProgress[[#This Row],[Price of Shares]]-HistoricalStockProgress[[#This Row],[Cost of Shares]]/HistoricalStockProgress[[#This Row],[No. of Shares]],0)</f>
        <v>121.47006827342577</v>
      </c>
      <c r="K941" s="17">
        <f>IF(HistoricalStockProgress[[#This Row],[Total Price of Shares]]&lt;&gt;0,HistoricalStockProgress[[#This Row],[Total Price of Shares]]-HistoricalStockProgress[[#This Row],[Cost of Shares]],0)</f>
        <v>17856.100036193588</v>
      </c>
      <c r="L941" s="34" t="b" cm="1">
        <f t="array" ref="L941">IFERROR(IF(HistoricalStockProgress[[#This Row],[Price of Shares]]="",_xlfn.STOCKHISTORY(HistoricalStockProgress[[#This Row],[Full Company Name]],HistoricalStockProgress[[#This Row],[Date]],,2,0,1)),0)</f>
        <v>0</v>
      </c>
      <c r="M941" s="34">
        <f>YEAR(HistoricalStockProgress[[#This Row],[Date]])</f>
        <v>2020</v>
      </c>
      <c r="N941" s="34">
        <f>MONTH(HistoricalStockProgress[[#This Row],[Date]])</f>
        <v>12</v>
      </c>
    </row>
    <row r="942" spans="2:14">
      <c r="B942" s="15">
        <v>44196</v>
      </c>
      <c r="C942" s="34" t="s">
        <v>16</v>
      </c>
      <c r="D942" s="34" t="e" vm="12">
        <f>_xlfn.XLOOKUP(HistoricalStockProgress[[#This Row],[Company Ticker]],CompanyDetailsList[Company Ticker],CompanyDetailsList[Official Name],,0)</f>
        <v>#VALUE!</v>
      </c>
      <c r="E9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175</v>
      </c>
      <c r="F9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13287.78699035665</v>
      </c>
      <c r="G942" s="17">
        <f>IFERROR(HistoricalStockProgress[[#This Row],[Cost of Shares]]/HistoricalStockProgress[[#This Row],[No. of Shares]],0)</f>
        <v>75.930211373466577</v>
      </c>
      <c r="H942" s="16" vm="1466">
        <v>41.22</v>
      </c>
      <c r="I942" s="16">
        <f>IF(HistoricalStockProgress[[#This Row],[No. of Shares]]&lt;&gt;0,HistoricalStockProgress[[#This Row],[Price of Shares]]*HistoricalStockProgress[[#This Row],[No. of Shares]],0)</f>
        <v>7213.5</v>
      </c>
      <c r="J942" s="16">
        <f>IF(HistoricalStockProgress[[#This Row],[No. of Shares]]&lt;&gt;0,HistoricalStockProgress[[#This Row],[Price of Shares]]-HistoricalStockProgress[[#This Row],[Cost of Shares]]/HistoricalStockProgress[[#This Row],[No. of Shares]],0)</f>
        <v>-34.710211373466578</v>
      </c>
      <c r="K942" s="17">
        <f>IF(HistoricalStockProgress[[#This Row],[Total Price of Shares]]&lt;&gt;0,HistoricalStockProgress[[#This Row],[Total Price of Shares]]-HistoricalStockProgress[[#This Row],[Cost of Shares]],0)</f>
        <v>-6074.2869903566498</v>
      </c>
      <c r="L942" s="34" t="b" cm="1">
        <f t="array" ref="L942">IFERROR(IF(HistoricalStockProgress[[#This Row],[Price of Shares]]="",_xlfn.STOCKHISTORY(HistoricalStockProgress[[#This Row],[Full Company Name]],HistoricalStockProgress[[#This Row],[Date]],,2,0,1)),0)</f>
        <v>0</v>
      </c>
      <c r="M942" s="34">
        <f>YEAR(HistoricalStockProgress[[#This Row],[Date]])</f>
        <v>2020</v>
      </c>
      <c r="N942" s="34">
        <f>MONTH(HistoricalStockProgress[[#This Row],[Date]])</f>
        <v>12</v>
      </c>
    </row>
    <row r="943" spans="2:14">
      <c r="B943" s="15">
        <v>44196</v>
      </c>
      <c r="C943" s="34" t="s">
        <v>95</v>
      </c>
      <c r="D943" s="34" t="e" vm="13">
        <f>_xlfn.XLOOKUP(HistoricalStockProgress[[#This Row],[Company Ticker]],CompanyDetailsList[Company Ticker],CompanyDetailsList[Official Name],,0)</f>
        <v>#VALUE!</v>
      </c>
      <c r="E9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9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943" s="17">
        <f>IFERROR(HistoricalStockProgress[[#This Row],[Cost of Shares]]/HistoricalStockProgress[[#This Row],[No. of Shares]],0)</f>
        <v>143.29758396474452</v>
      </c>
      <c r="H943" s="16" vm="1467">
        <v>265.62</v>
      </c>
      <c r="I943" s="16">
        <f>IF(HistoricalStockProgress[[#This Row],[No. of Shares]]&lt;&gt;0,HistoricalStockProgress[[#This Row],[Price of Shares]]*HistoricalStockProgress[[#This Row],[No. of Shares]],0)</f>
        <v>11421.66</v>
      </c>
      <c r="J943" s="16">
        <f>IF(HistoricalStockProgress[[#This Row],[No. of Shares]]&lt;&gt;0,HistoricalStockProgress[[#This Row],[Price of Shares]]-HistoricalStockProgress[[#This Row],[Cost of Shares]]/HistoricalStockProgress[[#This Row],[No. of Shares]],0)</f>
        <v>122.32241603525549</v>
      </c>
      <c r="K943" s="17">
        <f>IF(HistoricalStockProgress[[#This Row],[Total Price of Shares]]&lt;&gt;0,HistoricalStockProgress[[#This Row],[Total Price of Shares]]-HistoricalStockProgress[[#This Row],[Cost of Shares]],0)</f>
        <v>5259.8638895159856</v>
      </c>
      <c r="L943" s="34" t="b" cm="1">
        <f t="array" ref="L943">IFERROR(IF(HistoricalStockProgress[[#This Row],[Price of Shares]]="",_xlfn.STOCKHISTORY(HistoricalStockProgress[[#This Row],[Full Company Name]],HistoricalStockProgress[[#This Row],[Date]],,2,0,1)),0)</f>
        <v>0</v>
      </c>
      <c r="M943" s="34">
        <f>YEAR(HistoricalStockProgress[[#This Row],[Date]])</f>
        <v>2020</v>
      </c>
      <c r="N943" s="34">
        <f>MONTH(HistoricalStockProgress[[#This Row],[Date]])</f>
        <v>12</v>
      </c>
    </row>
    <row r="944" spans="2:14">
      <c r="B944" s="15">
        <v>44196</v>
      </c>
      <c r="C944" s="34" t="s">
        <v>17</v>
      </c>
      <c r="D944" s="34" t="e" vm="14">
        <f>_xlfn.XLOOKUP(HistoricalStockProgress[[#This Row],[Company Ticker]],CompanyDetailsList[Company Ticker],CompanyDetailsList[Official Name],,0)</f>
        <v>#VALUE!</v>
      </c>
      <c r="E9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91</v>
      </c>
      <c r="F9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13257.550624316333</v>
      </c>
      <c r="G944" s="17">
        <f>IFERROR(HistoricalStockProgress[[#This Row],[Cost of Shares]]/HistoricalStockProgress[[#This Row],[No. of Shares]],0)</f>
        <v>145.68736949798168</v>
      </c>
      <c r="H944" s="16" vm="1468">
        <v>125.88</v>
      </c>
      <c r="I944" s="16">
        <f>IF(HistoricalStockProgress[[#This Row],[No. of Shares]]&lt;&gt;0,HistoricalStockProgress[[#This Row],[Price of Shares]]*HistoricalStockProgress[[#This Row],[No. of Shares]],0)</f>
        <v>11455.08</v>
      </c>
      <c r="J944" s="16">
        <f>IF(HistoricalStockProgress[[#This Row],[No. of Shares]]&lt;&gt;0,HistoricalStockProgress[[#This Row],[Price of Shares]]-HistoricalStockProgress[[#This Row],[Cost of Shares]]/HistoricalStockProgress[[#This Row],[No. of Shares]],0)</f>
        <v>-19.807369497981682</v>
      </c>
      <c r="K944" s="17">
        <f>IF(HistoricalStockProgress[[#This Row],[Total Price of Shares]]&lt;&gt;0,HistoricalStockProgress[[#This Row],[Total Price of Shares]]-HistoricalStockProgress[[#This Row],[Cost of Shares]],0)</f>
        <v>-1802.4706243163328</v>
      </c>
      <c r="L944" s="34" t="b" cm="1">
        <f t="array" ref="L944">IFERROR(IF(HistoricalStockProgress[[#This Row],[Price of Shares]]="",_xlfn.STOCKHISTORY(HistoricalStockProgress[[#This Row],[Full Company Name]],HistoricalStockProgress[[#This Row],[Date]],,2,0,1)),0)</f>
        <v>0</v>
      </c>
      <c r="M944" s="34">
        <f>YEAR(HistoricalStockProgress[[#This Row],[Date]])</f>
        <v>2020</v>
      </c>
      <c r="N944" s="34">
        <f>MONTH(HistoricalStockProgress[[#This Row],[Date]])</f>
        <v>12</v>
      </c>
    </row>
    <row r="945" spans="2:14">
      <c r="B945" s="15">
        <v>44196</v>
      </c>
      <c r="C945" s="34" t="s">
        <v>98</v>
      </c>
      <c r="D945" s="34" t="e" vm="15">
        <f>_xlfn.XLOOKUP(HistoricalStockProgress[[#This Row],[Company Ticker]],CompanyDetailsList[Company Ticker],CompanyDetailsList[Official Name],,0)</f>
        <v>#VALUE!</v>
      </c>
      <c r="E9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9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945" s="17">
        <f>IFERROR(HistoricalStockProgress[[#This Row],[Cost of Shares]]/HistoricalStockProgress[[#This Row],[No. of Shares]],0)</f>
        <v>39.627242008882604</v>
      </c>
      <c r="H945" s="16" vm="1469">
        <v>77.150000000000006</v>
      </c>
      <c r="I945" s="16">
        <f>IF(HistoricalStockProgress[[#This Row],[No. of Shares]]&lt;&gt;0,HistoricalStockProgress[[#This Row],[Price of Shares]]*HistoricalStockProgress[[#This Row],[No. of Shares]],0)</f>
        <v>5631.9500000000007</v>
      </c>
      <c r="J945" s="16">
        <f>IF(HistoricalStockProgress[[#This Row],[No. of Shares]]&lt;&gt;0,HistoricalStockProgress[[#This Row],[Price of Shares]]-HistoricalStockProgress[[#This Row],[Cost of Shares]]/HistoricalStockProgress[[#This Row],[No. of Shares]],0)</f>
        <v>37.522757991117402</v>
      </c>
      <c r="K945" s="17">
        <f>IF(HistoricalStockProgress[[#This Row],[Total Price of Shares]]&lt;&gt;0,HistoricalStockProgress[[#This Row],[Total Price of Shares]]-HistoricalStockProgress[[#This Row],[Cost of Shares]],0)</f>
        <v>2739.1613333515706</v>
      </c>
      <c r="L945" s="34" t="b" cm="1">
        <f t="array" ref="L945">IFERROR(IF(HistoricalStockProgress[[#This Row],[Price of Shares]]="",_xlfn.STOCKHISTORY(HistoricalStockProgress[[#This Row],[Full Company Name]],HistoricalStockProgress[[#This Row],[Date]],,2,0,1)),0)</f>
        <v>0</v>
      </c>
      <c r="M945" s="34">
        <f>YEAR(HistoricalStockProgress[[#This Row],[Date]])</f>
        <v>2020</v>
      </c>
      <c r="N945" s="34">
        <f>MONTH(HistoricalStockProgress[[#This Row],[Date]])</f>
        <v>12</v>
      </c>
    </row>
    <row r="946" spans="2:14">
      <c r="B946" s="15">
        <v>44196</v>
      </c>
      <c r="C946" s="34" t="s">
        <v>100</v>
      </c>
      <c r="D946" s="34" t="e" vm="16">
        <f>_xlfn.XLOOKUP(HistoricalStockProgress[[#This Row],[Company Ticker]],CompanyDetailsList[Company Ticker],CompanyDetailsList[Official Name],,0)</f>
        <v>#VALUE!</v>
      </c>
      <c r="E9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109</v>
      </c>
      <c r="F9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9263.9352759443282</v>
      </c>
      <c r="G946" s="17">
        <f>IFERROR(HistoricalStockProgress[[#This Row],[Cost of Shares]]/HistoricalStockProgress[[#This Row],[No. of Shares]],0)</f>
        <v>84.990231889397506</v>
      </c>
      <c r="H946" s="16" vm="1470">
        <v>91.56</v>
      </c>
      <c r="I946" s="16">
        <f>IF(HistoricalStockProgress[[#This Row],[No. of Shares]]&lt;&gt;0,HistoricalStockProgress[[#This Row],[Price of Shares]]*HistoricalStockProgress[[#This Row],[No. of Shares]],0)</f>
        <v>9980.0400000000009</v>
      </c>
      <c r="J946" s="16">
        <f>IF(HistoricalStockProgress[[#This Row],[No. of Shares]]&lt;&gt;0,HistoricalStockProgress[[#This Row],[Price of Shares]]-HistoricalStockProgress[[#This Row],[Cost of Shares]]/HistoricalStockProgress[[#This Row],[No. of Shares]],0)</f>
        <v>6.5697681106024959</v>
      </c>
      <c r="K946" s="17">
        <f>IF(HistoricalStockProgress[[#This Row],[Total Price of Shares]]&lt;&gt;0,HistoricalStockProgress[[#This Row],[Total Price of Shares]]-HistoricalStockProgress[[#This Row],[Cost of Shares]],0)</f>
        <v>716.1047240556727</v>
      </c>
      <c r="L946" s="34" t="b" cm="1">
        <f t="array" ref="L946">IFERROR(IF(HistoricalStockProgress[[#This Row],[Price of Shares]]="",_xlfn.STOCKHISTORY(HistoricalStockProgress[[#This Row],[Full Company Name]],HistoricalStockProgress[[#This Row],[Date]],,2,0,1)),0)</f>
        <v>0</v>
      </c>
      <c r="M946" s="34">
        <f>YEAR(HistoricalStockProgress[[#This Row],[Date]])</f>
        <v>2020</v>
      </c>
      <c r="N946" s="34">
        <f>MONTH(HistoricalStockProgress[[#This Row],[Date]])</f>
        <v>12</v>
      </c>
    </row>
    <row r="947" spans="2:14">
      <c r="B947" s="15">
        <v>44196</v>
      </c>
      <c r="C947" s="34" t="s">
        <v>15</v>
      </c>
      <c r="D947" s="34" t="e" vm="17">
        <f>_xlfn.XLOOKUP(HistoricalStockProgress[[#This Row],[Company Ticker]],CompanyDetailsList[Company Ticker],CompanyDetailsList[Official Name],,0)</f>
        <v>#VALUE!</v>
      </c>
      <c r="E9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9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947" s="17">
        <f>IFERROR(HistoricalStockProgress[[#This Row],[Cost of Shares]]/HistoricalStockProgress[[#This Row],[No. of Shares]],0)</f>
        <v>26.081956457072195</v>
      </c>
      <c r="H947" s="16" vm="1471">
        <v>21.719000000000001</v>
      </c>
      <c r="I947" s="16">
        <f>IF(HistoricalStockProgress[[#This Row],[No. of Shares]]&lt;&gt;0,HistoricalStockProgress[[#This Row],[Price of Shares]]*HistoricalStockProgress[[#This Row],[No. of Shares]],0)</f>
        <v>2693.1559999999999</v>
      </c>
      <c r="J947" s="16">
        <f>IF(HistoricalStockProgress[[#This Row],[No. of Shares]]&lt;&gt;0,HistoricalStockProgress[[#This Row],[Price of Shares]]-HistoricalStockProgress[[#This Row],[Cost of Shares]]/HistoricalStockProgress[[#This Row],[No. of Shares]],0)</f>
        <v>-4.3629564570721939</v>
      </c>
      <c r="K947" s="17">
        <f>IF(HistoricalStockProgress[[#This Row],[Total Price of Shares]]&lt;&gt;0,HistoricalStockProgress[[#This Row],[Total Price of Shares]]-HistoricalStockProgress[[#This Row],[Cost of Shares]],0)</f>
        <v>-541.00660067695208</v>
      </c>
      <c r="L947" s="34" t="b" cm="1">
        <f t="array" ref="L947">IFERROR(IF(HistoricalStockProgress[[#This Row],[Price of Shares]]="",_xlfn.STOCKHISTORY(HistoricalStockProgress[[#This Row],[Full Company Name]],HistoricalStockProgress[[#This Row],[Date]],,2,0,1)),0)</f>
        <v>0</v>
      </c>
      <c r="M947" s="34">
        <f>YEAR(HistoricalStockProgress[[#This Row],[Date]])</f>
        <v>2020</v>
      </c>
      <c r="N947" s="34">
        <f>MONTH(HistoricalStockProgress[[#This Row],[Date]])</f>
        <v>12</v>
      </c>
    </row>
    <row r="948" spans="2:14">
      <c r="B948" s="15">
        <v>44196</v>
      </c>
      <c r="C948" s="34" t="s">
        <v>13</v>
      </c>
      <c r="D948" s="34" t="e" vm="18">
        <f>_xlfn.XLOOKUP(HistoricalStockProgress[[#This Row],[Company Ticker]],CompanyDetailsList[Company Ticker],CompanyDetailsList[Official Name],,0)</f>
        <v>#VALUE!</v>
      </c>
      <c r="E9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9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948" s="17">
        <f>IFERROR(HistoricalStockProgress[[#This Row],[Cost of Shares]]/HistoricalStockProgress[[#This Row],[No. of Shares]],0)</f>
        <v>35.846938938346874</v>
      </c>
      <c r="H948" s="16" vm="1472">
        <v>36.81</v>
      </c>
      <c r="I948" s="16">
        <f>IF(HistoricalStockProgress[[#This Row],[No. of Shares]]&lt;&gt;0,HistoricalStockProgress[[#This Row],[Price of Shares]]*HistoricalStockProgress[[#This Row],[No. of Shares]],0)</f>
        <v>2024.5500000000002</v>
      </c>
      <c r="J948" s="16">
        <f>IF(HistoricalStockProgress[[#This Row],[No. of Shares]]&lt;&gt;0,HistoricalStockProgress[[#This Row],[Price of Shares]]-HistoricalStockProgress[[#This Row],[Cost of Shares]]/HistoricalStockProgress[[#This Row],[No. of Shares]],0)</f>
        <v>0.96306106165312855</v>
      </c>
      <c r="K948" s="17">
        <f>IF(HistoricalStockProgress[[#This Row],[Total Price of Shares]]&lt;&gt;0,HistoricalStockProgress[[#This Row],[Total Price of Shares]]-HistoricalStockProgress[[#This Row],[Cost of Shares]],0)</f>
        <v>52.968358390922049</v>
      </c>
      <c r="L948" s="34" t="b" cm="1">
        <f t="array" ref="L948">IFERROR(IF(HistoricalStockProgress[[#This Row],[Price of Shares]]="",_xlfn.STOCKHISTORY(HistoricalStockProgress[[#This Row],[Full Company Name]],HistoricalStockProgress[[#This Row],[Date]],,2,0,1)),0)</f>
        <v>0</v>
      </c>
      <c r="M948" s="34">
        <f>YEAR(HistoricalStockProgress[[#This Row],[Date]])</f>
        <v>2020</v>
      </c>
      <c r="N948" s="34">
        <f>MONTH(HistoricalStockProgress[[#This Row],[Date]])</f>
        <v>12</v>
      </c>
    </row>
    <row r="949" spans="2:14">
      <c r="B949" s="15">
        <v>44196</v>
      </c>
      <c r="C949" s="34" t="s">
        <v>20</v>
      </c>
      <c r="D949" s="34" t="e" vm="19">
        <f>_xlfn.XLOOKUP(HistoricalStockProgress[[#This Row],[Company Ticker]],CompanyDetailsList[Company Ticker],CompanyDetailsList[Official Name],,0)</f>
        <v>#VALUE!</v>
      </c>
      <c r="E9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9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949" s="17">
        <f>IFERROR(HistoricalStockProgress[[#This Row],[Cost of Shares]]/HistoricalStockProgress[[#This Row],[No. of Shares]],0)</f>
        <v>93.912242833589502</v>
      </c>
      <c r="H949" s="16" vm="1053">
        <v>127.07</v>
      </c>
      <c r="I949" s="16">
        <f>IF(HistoricalStockProgress[[#This Row],[No. of Shares]]&lt;&gt;0,HistoricalStockProgress[[#This Row],[Price of Shares]]*HistoricalStockProgress[[#This Row],[No. of Shares]],0)</f>
        <v>9911.4599999999991</v>
      </c>
      <c r="J949" s="16">
        <f>IF(HistoricalStockProgress[[#This Row],[No. of Shares]]&lt;&gt;0,HistoricalStockProgress[[#This Row],[Price of Shares]]-HistoricalStockProgress[[#This Row],[Cost of Shares]]/HistoricalStockProgress[[#This Row],[No. of Shares]],0)</f>
        <v>33.157757166410491</v>
      </c>
      <c r="K949" s="17">
        <f>IF(HistoricalStockProgress[[#This Row],[Total Price of Shares]]&lt;&gt;0,HistoricalStockProgress[[#This Row],[Total Price of Shares]]-HistoricalStockProgress[[#This Row],[Cost of Shares]],0)</f>
        <v>2586.3050589800177</v>
      </c>
      <c r="L949" s="34" t="b" cm="1">
        <f t="array" ref="L949">IFERROR(IF(HistoricalStockProgress[[#This Row],[Price of Shares]]="",_xlfn.STOCKHISTORY(HistoricalStockProgress[[#This Row],[Full Company Name]],HistoricalStockProgress[[#This Row],[Date]],,2,0,1)),0)</f>
        <v>0</v>
      </c>
      <c r="M949" s="34">
        <f>YEAR(HistoricalStockProgress[[#This Row],[Date]])</f>
        <v>2020</v>
      </c>
      <c r="N949" s="34">
        <f>MONTH(HistoricalStockProgress[[#This Row],[Date]])</f>
        <v>12</v>
      </c>
    </row>
    <row r="950" spans="2:14">
      <c r="B950" s="15">
        <v>44196</v>
      </c>
      <c r="C950" s="34" t="s">
        <v>106</v>
      </c>
      <c r="D950" s="34" t="e" vm="20">
        <f>_xlfn.XLOOKUP(HistoricalStockProgress[[#This Row],[Company Ticker]],CompanyDetailsList[Company Ticker],CompanyDetailsList[Official Name],,0)</f>
        <v>#VALUE!</v>
      </c>
      <c r="E9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9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950" s="17">
        <f>IFERROR(HistoricalStockProgress[[#This Row],[Cost of Shares]]/HistoricalStockProgress[[#This Row],[No. of Shares]],0)</f>
        <v>108.54870748680406</v>
      </c>
      <c r="H950" s="16" vm="1473">
        <v>144.22</v>
      </c>
      <c r="I950" s="16">
        <f>IF(HistoricalStockProgress[[#This Row],[No. of Shares]]&lt;&gt;0,HistoricalStockProgress[[#This Row],[Price of Shares]]*HistoricalStockProgress[[#This Row],[No. of Shares]],0)</f>
        <v>12691.36</v>
      </c>
      <c r="J950" s="16">
        <f>IF(HistoricalStockProgress[[#This Row],[No. of Shares]]&lt;&gt;0,HistoricalStockProgress[[#This Row],[Price of Shares]]-HistoricalStockProgress[[#This Row],[Cost of Shares]]/HistoricalStockProgress[[#This Row],[No. of Shares]],0)</f>
        <v>35.671292513195937</v>
      </c>
      <c r="K950" s="17">
        <f>IF(HistoricalStockProgress[[#This Row],[Total Price of Shares]]&lt;&gt;0,HistoricalStockProgress[[#This Row],[Total Price of Shares]]-HistoricalStockProgress[[#This Row],[Cost of Shares]],0)</f>
        <v>3139.0737411612427</v>
      </c>
      <c r="L950" s="34" t="b" cm="1">
        <f t="array" ref="L950">IFERROR(IF(HistoricalStockProgress[[#This Row],[Price of Shares]]="",_xlfn.STOCKHISTORY(HistoricalStockProgress[[#This Row],[Full Company Name]],HistoricalStockProgress[[#This Row],[Date]],,2,0,1)),0)</f>
        <v>0</v>
      </c>
      <c r="M950" s="34">
        <f>YEAR(HistoricalStockProgress[[#This Row],[Date]])</f>
        <v>2020</v>
      </c>
      <c r="N950" s="34">
        <f>MONTH(HistoricalStockProgress[[#This Row],[Date]])</f>
        <v>12</v>
      </c>
    </row>
    <row r="951" spans="2:14">
      <c r="B951" s="15">
        <v>44227</v>
      </c>
      <c r="C951" s="34" t="s">
        <v>12</v>
      </c>
      <c r="D951" s="34" t="e" vm="1">
        <f>_xlfn.XLOOKUP(HistoricalStockProgress[[#This Row],[Company Ticker]],CompanyDetailsList[Company Ticker],CompanyDetailsList[Official Name],,0)</f>
        <v>#VALUE!</v>
      </c>
      <c r="E9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9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951" s="17">
        <f>IFERROR(HistoricalStockProgress[[#This Row],[Cost of Shares]]/HistoricalStockProgress[[#This Row],[No. of Shares]],0)</f>
        <v>63.845182519411239</v>
      </c>
      <c r="H951" s="16" vm="1474">
        <v>59.06</v>
      </c>
      <c r="I951" s="16">
        <f>IF(HistoricalStockProgress[[#This Row],[No. of Shares]]&lt;&gt;0,HistoricalStockProgress[[#This Row],[Price of Shares]]*HistoricalStockProgress[[#This Row],[No. of Shares]],0)</f>
        <v>3779.84</v>
      </c>
      <c r="J951" s="16">
        <f>IF(HistoricalStockProgress[[#This Row],[No. of Shares]]&lt;&gt;0,HistoricalStockProgress[[#This Row],[Price of Shares]]-HistoricalStockProgress[[#This Row],[Cost of Shares]]/HistoricalStockProgress[[#This Row],[No. of Shares]],0)</f>
        <v>-4.7851825194112365</v>
      </c>
      <c r="K951" s="17">
        <f>IF(HistoricalStockProgress[[#This Row],[Total Price of Shares]]&lt;&gt;0,HistoricalStockProgress[[#This Row],[Total Price of Shares]]-HistoricalStockProgress[[#This Row],[Cost of Shares]],0)</f>
        <v>-306.25168124231914</v>
      </c>
      <c r="L951" s="34" t="b" cm="1">
        <f t="array" ref="L951">IFERROR(IF(HistoricalStockProgress[[#This Row],[Price of Shares]]="",_xlfn.STOCKHISTORY(HistoricalStockProgress[[#This Row],[Full Company Name]],HistoricalStockProgress[[#This Row],[Date]],,2,0,1)),0)</f>
        <v>0</v>
      </c>
      <c r="M951" s="34">
        <f>YEAR(HistoricalStockProgress[[#This Row],[Date]])</f>
        <v>2021</v>
      </c>
      <c r="N951" s="34">
        <f>MONTH(HistoricalStockProgress[[#This Row],[Date]])</f>
        <v>1</v>
      </c>
    </row>
    <row r="952" spans="2:14">
      <c r="B952" s="15">
        <v>44227</v>
      </c>
      <c r="C952" s="34" t="s">
        <v>14</v>
      </c>
      <c r="D952" s="34" t="e" vm="2">
        <f>_xlfn.XLOOKUP(HistoricalStockProgress[[#This Row],[Company Ticker]],CompanyDetailsList[Company Ticker],CompanyDetailsList[Official Name],,0)</f>
        <v>#VALUE!</v>
      </c>
      <c r="E9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9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374.08704394110305</v>
      </c>
      <c r="G952" s="17">
        <f>IFERROR(HistoricalStockProgress[[#This Row],[Cost of Shares]]/HistoricalStockProgress[[#This Row],[No. of Shares]],0)</f>
        <v>31.173920328425254</v>
      </c>
      <c r="H952" s="16" vm="1475">
        <v>30.98</v>
      </c>
      <c r="I952" s="16">
        <f>IF(HistoricalStockProgress[[#This Row],[No. of Shares]]&lt;&gt;0,HistoricalStockProgress[[#This Row],[Price of Shares]]*HistoricalStockProgress[[#This Row],[No. of Shares]],0)</f>
        <v>371.76</v>
      </c>
      <c r="J952" s="16">
        <f>IF(HistoricalStockProgress[[#This Row],[No. of Shares]]&lt;&gt;0,HistoricalStockProgress[[#This Row],[Price of Shares]]-HistoricalStockProgress[[#This Row],[Cost of Shares]]/HistoricalStockProgress[[#This Row],[No. of Shares]],0)</f>
        <v>-0.19392032842525353</v>
      </c>
      <c r="K952" s="17">
        <f>IF(HistoricalStockProgress[[#This Row],[Total Price of Shares]]&lt;&gt;0,HistoricalStockProgress[[#This Row],[Total Price of Shares]]-HistoricalStockProgress[[#This Row],[Cost of Shares]],0)</f>
        <v>-2.3270439411030566</v>
      </c>
      <c r="L952" s="34" t="b" cm="1">
        <f t="array" ref="L952">IFERROR(IF(HistoricalStockProgress[[#This Row],[Price of Shares]]="",_xlfn.STOCKHISTORY(HistoricalStockProgress[[#This Row],[Full Company Name]],HistoricalStockProgress[[#This Row],[Date]],,2,0,1)),0)</f>
        <v>0</v>
      </c>
      <c r="M952" s="34">
        <f>YEAR(HistoricalStockProgress[[#This Row],[Date]])</f>
        <v>2021</v>
      </c>
      <c r="N952" s="34">
        <f>MONTH(HistoricalStockProgress[[#This Row],[Date]])</f>
        <v>1</v>
      </c>
    </row>
    <row r="953" spans="2:14">
      <c r="B953" s="15">
        <v>44227</v>
      </c>
      <c r="C953" s="34" t="s">
        <v>19</v>
      </c>
      <c r="D953" s="34" t="e" vm="3">
        <f>_xlfn.XLOOKUP(HistoricalStockProgress[[#This Row],[Company Ticker]],CompanyDetailsList[Company Ticker],CompanyDetailsList[Official Name],,0)</f>
        <v>#VALUE!</v>
      </c>
      <c r="E9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9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953" s="17">
        <f>IFERROR(HistoricalStockProgress[[#This Row],[Cost of Shares]]/HistoricalStockProgress[[#This Row],[No. of Shares]],0)</f>
        <v>158.45739987816083</v>
      </c>
      <c r="H953" s="16" vm="1476">
        <v>209.46</v>
      </c>
      <c r="I953" s="16">
        <f>IF(HistoricalStockProgress[[#This Row],[No. of Shares]]&lt;&gt;0,HistoricalStockProgress[[#This Row],[Price of Shares]]*HistoricalStockProgress[[#This Row],[No. of Shares]],0)</f>
        <v>11939.220000000001</v>
      </c>
      <c r="J953" s="16">
        <f>IF(HistoricalStockProgress[[#This Row],[No. of Shares]]&lt;&gt;0,HistoricalStockProgress[[#This Row],[Price of Shares]]-HistoricalStockProgress[[#This Row],[Cost of Shares]]/HistoricalStockProgress[[#This Row],[No. of Shares]],0)</f>
        <v>51.00260012183918</v>
      </c>
      <c r="K953" s="17">
        <f>IF(HistoricalStockProgress[[#This Row],[Total Price of Shares]]&lt;&gt;0,HistoricalStockProgress[[#This Row],[Total Price of Shares]]-HistoricalStockProgress[[#This Row],[Cost of Shares]],0)</f>
        <v>2907.1482069448339</v>
      </c>
      <c r="L953" s="34" t="b" cm="1">
        <f t="array" ref="L953">IFERROR(IF(HistoricalStockProgress[[#This Row],[Price of Shares]]="",_xlfn.STOCKHISTORY(HistoricalStockProgress[[#This Row],[Full Company Name]],HistoricalStockProgress[[#This Row],[Date]],,2,0,1)),0)</f>
        <v>0</v>
      </c>
      <c r="M953" s="34">
        <f>YEAR(HistoricalStockProgress[[#This Row],[Date]])</f>
        <v>2021</v>
      </c>
      <c r="N953" s="34">
        <f>MONTH(HistoricalStockProgress[[#This Row],[Date]])</f>
        <v>1</v>
      </c>
    </row>
    <row r="954" spans="2:14">
      <c r="B954" s="15">
        <v>44227</v>
      </c>
      <c r="C954" s="34" t="s">
        <v>23</v>
      </c>
      <c r="D954" s="34" t="e" vm="4">
        <f>_xlfn.XLOOKUP(HistoricalStockProgress[[#This Row],[Company Ticker]],CompanyDetailsList[Company Ticker],CompanyDetailsList[Official Name],,0)</f>
        <v>#VALUE!</v>
      </c>
      <c r="E9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9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954" s="17">
        <f>IFERROR(HistoricalStockProgress[[#This Row],[Cost of Shares]]/HistoricalStockProgress[[#This Row],[No. of Shares]],0)</f>
        <v>45.768494888570878</v>
      </c>
      <c r="H954" s="16" vm="1477">
        <v>48.15</v>
      </c>
      <c r="I954" s="16">
        <f>IF(HistoricalStockProgress[[#This Row],[No. of Shares]]&lt;&gt;0,HistoricalStockProgress[[#This Row],[Price of Shares]]*HistoricalStockProgress[[#This Row],[No. of Shares]],0)</f>
        <v>2792.7</v>
      </c>
      <c r="J954" s="16">
        <f>IF(HistoricalStockProgress[[#This Row],[No. of Shares]]&lt;&gt;0,HistoricalStockProgress[[#This Row],[Price of Shares]]-HistoricalStockProgress[[#This Row],[Cost of Shares]]/HistoricalStockProgress[[#This Row],[No. of Shares]],0)</f>
        <v>2.3815051114291208</v>
      </c>
      <c r="K954" s="17">
        <f>IF(HistoricalStockProgress[[#This Row],[Total Price of Shares]]&lt;&gt;0,HistoricalStockProgress[[#This Row],[Total Price of Shares]]-HistoricalStockProgress[[#This Row],[Cost of Shares]],0)</f>
        <v>138.12729646288881</v>
      </c>
      <c r="L954" s="34" t="b" cm="1">
        <f t="array" ref="L954">IFERROR(IF(HistoricalStockProgress[[#This Row],[Price of Shares]]="",_xlfn.STOCKHISTORY(HistoricalStockProgress[[#This Row],[Full Company Name]],HistoricalStockProgress[[#This Row],[Date]],,2,0,1)),0)</f>
        <v>0</v>
      </c>
      <c r="M954" s="34">
        <f>YEAR(HistoricalStockProgress[[#This Row],[Date]])</f>
        <v>2021</v>
      </c>
      <c r="N954" s="34">
        <f>MONTH(HistoricalStockProgress[[#This Row],[Date]])</f>
        <v>1</v>
      </c>
    </row>
    <row r="955" spans="2:14">
      <c r="B955" s="15">
        <v>44227</v>
      </c>
      <c r="C955" s="34" t="s">
        <v>18</v>
      </c>
      <c r="D955" s="34" t="e" vm="5">
        <f>_xlfn.XLOOKUP(HistoricalStockProgress[[#This Row],[Company Ticker]],CompanyDetailsList[Company Ticker],CompanyDetailsList[Official Name],,0)</f>
        <v>#VALUE!</v>
      </c>
      <c r="E9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v>
      </c>
      <c r="F9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1322.059549224459</v>
      </c>
      <c r="G955" s="17">
        <f>IFERROR(HistoricalStockProgress[[#This Row],[Cost of Shares]]/HistoricalStockProgress[[#This Row],[No. of Shares]],0)</f>
        <v>132.2059549224459</v>
      </c>
      <c r="H955" s="16" vm="1478">
        <v>136.57</v>
      </c>
      <c r="I955" s="16">
        <f>IF(HistoricalStockProgress[[#This Row],[No. of Shares]]&lt;&gt;0,HistoricalStockProgress[[#This Row],[Price of Shares]]*HistoricalStockProgress[[#This Row],[No. of Shares]],0)</f>
        <v>1365.6999999999998</v>
      </c>
      <c r="J955" s="16">
        <f>IF(HistoricalStockProgress[[#This Row],[No. of Shares]]&lt;&gt;0,HistoricalStockProgress[[#This Row],[Price of Shares]]-HistoricalStockProgress[[#This Row],[Cost of Shares]]/HistoricalStockProgress[[#This Row],[No. of Shares]],0)</f>
        <v>4.3640450775540955</v>
      </c>
      <c r="K955" s="17">
        <f>IF(HistoricalStockProgress[[#This Row],[Total Price of Shares]]&lt;&gt;0,HistoricalStockProgress[[#This Row],[Total Price of Shares]]-HistoricalStockProgress[[#This Row],[Cost of Shares]],0)</f>
        <v>43.640450775540785</v>
      </c>
      <c r="L955" s="34" t="b" cm="1">
        <f t="array" ref="L955">IFERROR(IF(HistoricalStockProgress[[#This Row],[Price of Shares]]="",_xlfn.STOCKHISTORY(HistoricalStockProgress[[#This Row],[Full Company Name]],HistoricalStockProgress[[#This Row],[Date]],,2,0,1)),0)</f>
        <v>0</v>
      </c>
      <c r="M955" s="34">
        <f>YEAR(HistoricalStockProgress[[#This Row],[Date]])</f>
        <v>2021</v>
      </c>
      <c r="N955" s="34">
        <f>MONTH(HistoricalStockProgress[[#This Row],[Date]])</f>
        <v>1</v>
      </c>
    </row>
    <row r="956" spans="2:14">
      <c r="B956" s="15">
        <v>44227</v>
      </c>
      <c r="C956" s="34" t="s">
        <v>21</v>
      </c>
      <c r="D956" s="34" t="e" vm="6">
        <f>_xlfn.XLOOKUP(HistoricalStockProgress[[#This Row],[Company Ticker]],CompanyDetailsList[Company Ticker],CompanyDetailsList[Official Name],,0)</f>
        <v>#VALUE!</v>
      </c>
      <c r="E9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9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3654.8914204824332</v>
      </c>
      <c r="G956" s="17">
        <f>IFERROR(HistoricalStockProgress[[#This Row],[Cost of Shares]]/HistoricalStockProgress[[#This Row],[No. of Shares]],0)</f>
        <v>130.53183644580119</v>
      </c>
      <c r="H956" s="16" vm="1479">
        <v>128.21</v>
      </c>
      <c r="I956" s="16">
        <f>IF(HistoricalStockProgress[[#This Row],[No. of Shares]]&lt;&gt;0,HistoricalStockProgress[[#This Row],[Price of Shares]]*HistoricalStockProgress[[#This Row],[No. of Shares]],0)</f>
        <v>3589.88</v>
      </c>
      <c r="J956" s="16">
        <f>IF(HistoricalStockProgress[[#This Row],[No. of Shares]]&lt;&gt;0,HistoricalStockProgress[[#This Row],[Price of Shares]]-HistoricalStockProgress[[#This Row],[Cost of Shares]]/HistoricalStockProgress[[#This Row],[No. of Shares]],0)</f>
        <v>-2.321836445801182</v>
      </c>
      <c r="K956" s="17">
        <f>IF(HistoricalStockProgress[[#This Row],[Total Price of Shares]]&lt;&gt;0,HistoricalStockProgress[[#This Row],[Total Price of Shares]]-HistoricalStockProgress[[#This Row],[Cost of Shares]],0)</f>
        <v>-65.011420482433095</v>
      </c>
      <c r="L956" s="34" t="b" cm="1">
        <f t="array" ref="L956">IFERROR(IF(HistoricalStockProgress[[#This Row],[Price of Shares]]="",_xlfn.STOCKHISTORY(HistoricalStockProgress[[#This Row],[Full Company Name]],HistoricalStockProgress[[#This Row],[Date]],,2,0,1)),0)</f>
        <v>0</v>
      </c>
      <c r="M956" s="34">
        <f>YEAR(HistoricalStockProgress[[#This Row],[Date]])</f>
        <v>2021</v>
      </c>
      <c r="N956" s="34">
        <f>MONTH(HistoricalStockProgress[[#This Row],[Date]])</f>
        <v>1</v>
      </c>
    </row>
    <row r="957" spans="2:14">
      <c r="B957" s="15">
        <v>44227</v>
      </c>
      <c r="C957" s="34" t="s">
        <v>84</v>
      </c>
      <c r="D957" s="34" t="e" vm="7">
        <f>_xlfn.XLOOKUP(HistoricalStockProgress[[#This Row],[Company Ticker]],CompanyDetailsList[Company Ticker],CompanyDetailsList[Official Name],,0)</f>
        <v>#VALUE!</v>
      </c>
      <c r="E9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9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957" s="17">
        <f>IFERROR(HistoricalStockProgress[[#This Row],[Cost of Shares]]/HistoricalStockProgress[[#This Row],[No. of Shares]],0)</f>
        <v>104.18087504950869</v>
      </c>
      <c r="H957" s="16" vm="1480">
        <v>163.13</v>
      </c>
      <c r="I957" s="16">
        <f>IF(HistoricalStockProgress[[#This Row],[No. of Shares]]&lt;&gt;0,HistoricalStockProgress[[#This Row],[Price of Shares]]*HistoricalStockProgress[[#This Row],[No. of Shares]],0)</f>
        <v>8319.6299999999992</v>
      </c>
      <c r="J957" s="16">
        <f>IF(HistoricalStockProgress[[#This Row],[No. of Shares]]&lt;&gt;0,HistoricalStockProgress[[#This Row],[Price of Shares]]-HistoricalStockProgress[[#This Row],[Cost of Shares]]/HistoricalStockProgress[[#This Row],[No. of Shares]],0)</f>
        <v>58.94912495049131</v>
      </c>
      <c r="K957" s="17">
        <f>IF(HistoricalStockProgress[[#This Row],[Total Price of Shares]]&lt;&gt;0,HistoricalStockProgress[[#This Row],[Total Price of Shares]]-HistoricalStockProgress[[#This Row],[Cost of Shares]],0)</f>
        <v>3006.4053724750565</v>
      </c>
      <c r="L957" s="34" t="b" cm="1">
        <f t="array" ref="L957">IFERROR(IF(HistoricalStockProgress[[#This Row],[Price of Shares]]="",_xlfn.STOCKHISTORY(HistoricalStockProgress[[#This Row],[Full Company Name]],HistoricalStockProgress[[#This Row],[Date]],,2,0,1)),0)</f>
        <v>0</v>
      </c>
      <c r="M957" s="34">
        <f>YEAR(HistoricalStockProgress[[#This Row],[Date]])</f>
        <v>2021</v>
      </c>
      <c r="N957" s="34">
        <f>MONTH(HistoricalStockProgress[[#This Row],[Date]])</f>
        <v>1</v>
      </c>
    </row>
    <row r="958" spans="2:14">
      <c r="B958" s="15">
        <v>44227</v>
      </c>
      <c r="C958" s="34" t="s">
        <v>86</v>
      </c>
      <c r="D958" s="34" t="e" vm="8">
        <f>_xlfn.XLOOKUP(HistoricalStockProgress[[#This Row],[Company Ticker]],CompanyDetailsList[Company Ticker],CompanyDetailsList[Official Name],,0)</f>
        <v>#VALUE!</v>
      </c>
      <c r="E9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80</v>
      </c>
      <c r="F9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6988.5261087655599</v>
      </c>
      <c r="G958" s="17">
        <f>IFERROR(HistoricalStockProgress[[#This Row],[Cost of Shares]]/HistoricalStockProgress[[#This Row],[No. of Shares]],0)</f>
        <v>87.356576359569502</v>
      </c>
      <c r="H958" s="16" vm="1481">
        <v>102.48</v>
      </c>
      <c r="I958" s="16">
        <f>IF(HistoricalStockProgress[[#This Row],[No. of Shares]]&lt;&gt;0,HistoricalStockProgress[[#This Row],[Price of Shares]]*HistoricalStockProgress[[#This Row],[No. of Shares]],0)</f>
        <v>8198.4</v>
      </c>
      <c r="J958" s="16">
        <f>IF(HistoricalStockProgress[[#This Row],[No. of Shares]]&lt;&gt;0,HistoricalStockProgress[[#This Row],[Price of Shares]]-HistoricalStockProgress[[#This Row],[Cost of Shares]]/HistoricalStockProgress[[#This Row],[No. of Shares]],0)</f>
        <v>15.123423640430502</v>
      </c>
      <c r="K958" s="17">
        <f>IF(HistoricalStockProgress[[#This Row],[Total Price of Shares]]&lt;&gt;0,HistoricalStockProgress[[#This Row],[Total Price of Shares]]-HistoricalStockProgress[[#This Row],[Cost of Shares]],0)</f>
        <v>1209.8738912344397</v>
      </c>
      <c r="L958" s="34" t="b" cm="1">
        <f t="array" ref="L958">IFERROR(IF(HistoricalStockProgress[[#This Row],[Price of Shares]]="",_xlfn.STOCKHISTORY(HistoricalStockProgress[[#This Row],[Full Company Name]],HistoricalStockProgress[[#This Row],[Date]],,2,0,1)),0)</f>
        <v>0</v>
      </c>
      <c r="M958" s="34">
        <f>YEAR(HistoricalStockProgress[[#This Row],[Date]])</f>
        <v>2021</v>
      </c>
      <c r="N958" s="34">
        <f>MONTH(HistoricalStockProgress[[#This Row],[Date]])</f>
        <v>1</v>
      </c>
    </row>
    <row r="959" spans="2:14">
      <c r="B959" s="15">
        <v>44227</v>
      </c>
      <c r="C959" s="34" t="s">
        <v>88</v>
      </c>
      <c r="D959" s="34" t="e" vm="9">
        <f>_xlfn.XLOOKUP(HistoricalStockProgress[[#This Row],[Company Ticker]],CompanyDetailsList[Company Ticker],CompanyDetailsList[Official Name],,0)</f>
        <v>#VALUE!</v>
      </c>
      <c r="E9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9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959" s="17">
        <f>IFERROR(HistoricalStockProgress[[#This Row],[Cost of Shares]]/HistoricalStockProgress[[#This Row],[No. of Shares]],0)</f>
        <v>187.727755253422</v>
      </c>
      <c r="H959" s="16" vm="1482">
        <v>207.84</v>
      </c>
      <c r="I959" s="16">
        <f>IF(HistoricalStockProgress[[#This Row],[No. of Shares]]&lt;&gt;0,HistoricalStockProgress[[#This Row],[Price of Shares]]*HistoricalStockProgress[[#This Row],[No. of Shares]],0)</f>
        <v>12262.56</v>
      </c>
      <c r="J959" s="16">
        <f>IF(HistoricalStockProgress[[#This Row],[No. of Shares]]&lt;&gt;0,HistoricalStockProgress[[#This Row],[Price of Shares]]-HistoricalStockProgress[[#This Row],[Cost of Shares]]/HistoricalStockProgress[[#This Row],[No. of Shares]],0)</f>
        <v>20.112244746578</v>
      </c>
      <c r="K959" s="17">
        <f>IF(HistoricalStockProgress[[#This Row],[Total Price of Shares]]&lt;&gt;0,HistoricalStockProgress[[#This Row],[Total Price of Shares]]-HistoricalStockProgress[[#This Row],[Cost of Shares]],0)</f>
        <v>1186.6224400481005</v>
      </c>
      <c r="L959" s="34" t="b" cm="1">
        <f t="array" ref="L959">IFERROR(IF(HistoricalStockProgress[[#This Row],[Price of Shares]]="",_xlfn.STOCKHISTORY(HistoricalStockProgress[[#This Row],[Full Company Name]],HistoricalStockProgress[[#This Row],[Date]],,2,0,1)),0)</f>
        <v>0</v>
      </c>
      <c r="M959" s="34">
        <f>YEAR(HistoricalStockProgress[[#This Row],[Date]])</f>
        <v>2021</v>
      </c>
      <c r="N959" s="34">
        <f>MONTH(HistoricalStockProgress[[#This Row],[Date]])</f>
        <v>1</v>
      </c>
    </row>
    <row r="960" spans="2:14">
      <c r="B960" s="15">
        <v>44227</v>
      </c>
      <c r="C960" s="34" t="s">
        <v>22</v>
      </c>
      <c r="D960" s="34" t="e" vm="10">
        <f>_xlfn.XLOOKUP(HistoricalStockProgress[[#This Row],[Company Ticker]],CompanyDetailsList[Company Ticker],CompanyDetailsList[Official Name],,0)</f>
        <v>#VALUE!</v>
      </c>
      <c r="E9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9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960" s="17">
        <f>IFERROR(HistoricalStockProgress[[#This Row],[Cost of Shares]]/HistoricalStockProgress[[#This Row],[No. of Shares]],0)</f>
        <v>96.351727068187571</v>
      </c>
      <c r="H960" s="16" vm="1483">
        <v>182.84</v>
      </c>
      <c r="I960" s="16">
        <f>IF(HistoricalStockProgress[[#This Row],[No. of Shares]]&lt;&gt;0,HistoricalStockProgress[[#This Row],[Price of Shares]]*HistoricalStockProgress[[#This Row],[No. of Shares]],0)</f>
        <v>14810.04</v>
      </c>
      <c r="J960" s="16">
        <f>IF(HistoricalStockProgress[[#This Row],[No. of Shares]]&lt;&gt;0,HistoricalStockProgress[[#This Row],[Price of Shares]]-HistoricalStockProgress[[#This Row],[Cost of Shares]]/HistoricalStockProgress[[#This Row],[No. of Shares]],0)</f>
        <v>86.488272931812432</v>
      </c>
      <c r="K960" s="17">
        <f>IF(HistoricalStockProgress[[#This Row],[Total Price of Shares]]&lt;&gt;0,HistoricalStockProgress[[#This Row],[Total Price of Shares]]-HistoricalStockProgress[[#This Row],[Cost of Shares]],0)</f>
        <v>7005.5501074768081</v>
      </c>
      <c r="L960" s="34" t="b" cm="1">
        <f t="array" ref="L960">IFERROR(IF(HistoricalStockProgress[[#This Row],[Price of Shares]]="",_xlfn.STOCKHISTORY(HistoricalStockProgress[[#This Row],[Full Company Name]],HistoricalStockProgress[[#This Row],[Date]],,2,0,1)),0)</f>
        <v>0</v>
      </c>
      <c r="M960" s="34">
        <f>YEAR(HistoricalStockProgress[[#This Row],[Date]])</f>
        <v>2021</v>
      </c>
      <c r="N960" s="34">
        <f>MONTH(HistoricalStockProgress[[#This Row],[Date]])</f>
        <v>1</v>
      </c>
    </row>
    <row r="961" spans="2:14">
      <c r="B961" s="15">
        <v>44227</v>
      </c>
      <c r="C961" s="34" t="s">
        <v>91</v>
      </c>
      <c r="D961" s="34" t="e" vm="11">
        <f>_xlfn.XLOOKUP(HistoricalStockProgress[[#This Row],[Company Ticker]],CompanyDetailsList[Company Ticker],CompanyDetailsList[Official Name],,0)</f>
        <v>#VALUE!</v>
      </c>
      <c r="E9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9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961" s="17">
        <f>IFERROR(HistoricalStockProgress[[#This Row],[Cost of Shares]]/HistoricalStockProgress[[#This Row],[No. of Shares]],0)</f>
        <v>100.94993172657422</v>
      </c>
      <c r="H961" s="16" vm="1484">
        <v>231.96</v>
      </c>
      <c r="I961" s="16">
        <f>IF(HistoricalStockProgress[[#This Row],[No. of Shares]]&lt;&gt;0,HistoricalStockProgress[[#This Row],[Price of Shares]]*HistoricalStockProgress[[#This Row],[No. of Shares]],0)</f>
        <v>34098.120000000003</v>
      </c>
      <c r="J961" s="16">
        <f>IF(HistoricalStockProgress[[#This Row],[No. of Shares]]&lt;&gt;0,HistoricalStockProgress[[#This Row],[Price of Shares]]-HistoricalStockProgress[[#This Row],[Cost of Shares]]/HistoricalStockProgress[[#This Row],[No. of Shares]],0)</f>
        <v>131.01006827342579</v>
      </c>
      <c r="K961" s="17">
        <f>IF(HistoricalStockProgress[[#This Row],[Total Price of Shares]]&lt;&gt;0,HistoricalStockProgress[[#This Row],[Total Price of Shares]]-HistoricalStockProgress[[#This Row],[Cost of Shares]],0)</f>
        <v>19258.480036193592</v>
      </c>
      <c r="L961" s="34" t="b" cm="1">
        <f t="array" ref="L961">IFERROR(IF(HistoricalStockProgress[[#This Row],[Price of Shares]]="",_xlfn.STOCKHISTORY(HistoricalStockProgress[[#This Row],[Full Company Name]],HistoricalStockProgress[[#This Row],[Date]],,2,0,1)),0)</f>
        <v>0</v>
      </c>
      <c r="M961" s="34">
        <f>YEAR(HistoricalStockProgress[[#This Row],[Date]])</f>
        <v>2021</v>
      </c>
      <c r="N961" s="34">
        <f>MONTH(HistoricalStockProgress[[#This Row],[Date]])</f>
        <v>1</v>
      </c>
    </row>
    <row r="962" spans="2:14">
      <c r="B962" s="15">
        <v>44227</v>
      </c>
      <c r="C962" s="34" t="s">
        <v>16</v>
      </c>
      <c r="D962" s="34" t="e" vm="12">
        <f>_xlfn.XLOOKUP(HistoricalStockProgress[[#This Row],[Company Ticker]],CompanyDetailsList[Company Ticker],CompanyDetailsList[Official Name],,0)</f>
        <v>#VALUE!</v>
      </c>
      <c r="E9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175</v>
      </c>
      <c r="F9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13287.78699035665</v>
      </c>
      <c r="G962" s="17">
        <f>IFERROR(HistoricalStockProgress[[#This Row],[Cost of Shares]]/HistoricalStockProgress[[#This Row],[No. of Shares]],0)</f>
        <v>75.930211373466577</v>
      </c>
      <c r="H962" s="16" vm="1485">
        <v>44.84</v>
      </c>
      <c r="I962" s="16">
        <f>IF(HistoricalStockProgress[[#This Row],[No. of Shares]]&lt;&gt;0,HistoricalStockProgress[[#This Row],[Price of Shares]]*HistoricalStockProgress[[#This Row],[No. of Shares]],0)</f>
        <v>7847.0000000000009</v>
      </c>
      <c r="J962" s="16">
        <f>IF(HistoricalStockProgress[[#This Row],[No. of Shares]]&lt;&gt;0,HistoricalStockProgress[[#This Row],[Price of Shares]]-HistoricalStockProgress[[#This Row],[Cost of Shares]]/HistoricalStockProgress[[#This Row],[No. of Shares]],0)</f>
        <v>-31.090211373466573</v>
      </c>
      <c r="K962" s="17">
        <f>IF(HistoricalStockProgress[[#This Row],[Total Price of Shares]]&lt;&gt;0,HistoricalStockProgress[[#This Row],[Total Price of Shares]]-HistoricalStockProgress[[#This Row],[Cost of Shares]],0)</f>
        <v>-5440.7869903566489</v>
      </c>
      <c r="L962" s="34" t="b" cm="1">
        <f t="array" ref="L962">IFERROR(IF(HistoricalStockProgress[[#This Row],[Price of Shares]]="",_xlfn.STOCKHISTORY(HistoricalStockProgress[[#This Row],[Full Company Name]],HistoricalStockProgress[[#This Row],[Date]],,2,0,1)),0)</f>
        <v>0</v>
      </c>
      <c r="M962" s="34">
        <f>YEAR(HistoricalStockProgress[[#This Row],[Date]])</f>
        <v>2021</v>
      </c>
      <c r="N962" s="34">
        <f>MONTH(HistoricalStockProgress[[#This Row],[Date]])</f>
        <v>1</v>
      </c>
    </row>
    <row r="963" spans="2:14">
      <c r="B963" s="15">
        <v>44227</v>
      </c>
      <c r="C963" s="34" t="s">
        <v>95</v>
      </c>
      <c r="D963" s="34" t="e" vm="13">
        <f>_xlfn.XLOOKUP(HistoricalStockProgress[[#This Row],[Company Ticker]],CompanyDetailsList[Company Ticker],CompanyDetailsList[Official Name],,0)</f>
        <v>#VALUE!</v>
      </c>
      <c r="E9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9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963" s="17">
        <f>IFERROR(HistoricalStockProgress[[#This Row],[Cost of Shares]]/HistoricalStockProgress[[#This Row],[No. of Shares]],0)</f>
        <v>143.29758396474452</v>
      </c>
      <c r="H963" s="16" vm="1486">
        <v>270.82</v>
      </c>
      <c r="I963" s="16">
        <f>IF(HistoricalStockProgress[[#This Row],[No. of Shares]]&lt;&gt;0,HistoricalStockProgress[[#This Row],[Price of Shares]]*HistoricalStockProgress[[#This Row],[No. of Shares]],0)</f>
        <v>11645.26</v>
      </c>
      <c r="J963" s="16">
        <f>IF(HistoricalStockProgress[[#This Row],[No. of Shares]]&lt;&gt;0,HistoricalStockProgress[[#This Row],[Price of Shares]]-HistoricalStockProgress[[#This Row],[Cost of Shares]]/HistoricalStockProgress[[#This Row],[No. of Shares]],0)</f>
        <v>127.52241603525547</v>
      </c>
      <c r="K963" s="17">
        <f>IF(HistoricalStockProgress[[#This Row],[Total Price of Shares]]&lt;&gt;0,HistoricalStockProgress[[#This Row],[Total Price of Shares]]-HistoricalStockProgress[[#This Row],[Cost of Shares]],0)</f>
        <v>5483.463889515986</v>
      </c>
      <c r="L963" s="34" t="b" cm="1">
        <f t="array" ref="L963">IFERROR(IF(HistoricalStockProgress[[#This Row],[Price of Shares]]="",_xlfn.STOCKHISTORY(HistoricalStockProgress[[#This Row],[Full Company Name]],HistoricalStockProgress[[#This Row],[Date]],,2,0,1)),0)</f>
        <v>0</v>
      </c>
      <c r="M963" s="34">
        <f>YEAR(HistoricalStockProgress[[#This Row],[Date]])</f>
        <v>2021</v>
      </c>
      <c r="N963" s="34">
        <f>MONTH(HistoricalStockProgress[[#This Row],[Date]])</f>
        <v>1</v>
      </c>
    </row>
    <row r="964" spans="2:14">
      <c r="B964" s="15">
        <v>44227</v>
      </c>
      <c r="C964" s="34" t="s">
        <v>17</v>
      </c>
      <c r="D964" s="34" t="e" vm="14">
        <f>_xlfn.XLOOKUP(HistoricalStockProgress[[#This Row],[Company Ticker]],CompanyDetailsList[Company Ticker],CompanyDetailsList[Official Name],,0)</f>
        <v>#VALUE!</v>
      </c>
      <c r="E9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104</v>
      </c>
      <c r="F9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14850.63547418445</v>
      </c>
      <c r="G964" s="17">
        <f>IFERROR(HistoricalStockProgress[[#This Row],[Cost of Shares]]/HistoricalStockProgress[[#This Row],[No. of Shares]],0)</f>
        <v>142.79457186715817</v>
      </c>
      <c r="H964" s="16" vm="1487">
        <v>119.11</v>
      </c>
      <c r="I964" s="16">
        <f>IF(HistoricalStockProgress[[#This Row],[No. of Shares]]&lt;&gt;0,HistoricalStockProgress[[#This Row],[Price of Shares]]*HistoricalStockProgress[[#This Row],[No. of Shares]],0)</f>
        <v>12387.44</v>
      </c>
      <c r="J964" s="16">
        <f>IF(HistoricalStockProgress[[#This Row],[No. of Shares]]&lt;&gt;0,HistoricalStockProgress[[#This Row],[Price of Shares]]-HistoricalStockProgress[[#This Row],[Cost of Shares]]/HistoricalStockProgress[[#This Row],[No. of Shares]],0)</f>
        <v>-23.684571867158169</v>
      </c>
      <c r="K964" s="17">
        <f>IF(HistoricalStockProgress[[#This Row],[Total Price of Shares]]&lt;&gt;0,HistoricalStockProgress[[#This Row],[Total Price of Shares]]-HistoricalStockProgress[[#This Row],[Cost of Shares]],0)</f>
        <v>-2463.1954741844493</v>
      </c>
      <c r="L964" s="34" t="b" cm="1">
        <f t="array" ref="L964">IFERROR(IF(HistoricalStockProgress[[#This Row],[Price of Shares]]="",_xlfn.STOCKHISTORY(HistoricalStockProgress[[#This Row],[Full Company Name]],HistoricalStockProgress[[#This Row],[Date]],,2,0,1)),0)</f>
        <v>0</v>
      </c>
      <c r="M964" s="34">
        <f>YEAR(HistoricalStockProgress[[#This Row],[Date]])</f>
        <v>2021</v>
      </c>
      <c r="N964" s="34">
        <f>MONTH(HistoricalStockProgress[[#This Row],[Date]])</f>
        <v>1</v>
      </c>
    </row>
    <row r="965" spans="2:14">
      <c r="B965" s="15">
        <v>44227</v>
      </c>
      <c r="C965" s="34" t="s">
        <v>98</v>
      </c>
      <c r="D965" s="34" t="e" vm="15">
        <f>_xlfn.XLOOKUP(HistoricalStockProgress[[#This Row],[Company Ticker]],CompanyDetailsList[Company Ticker],CompanyDetailsList[Official Name],,0)</f>
        <v>#VALUE!</v>
      </c>
      <c r="E9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9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965" s="17">
        <f>IFERROR(HistoricalStockProgress[[#This Row],[Cost of Shares]]/HistoricalStockProgress[[#This Row],[No. of Shares]],0)</f>
        <v>39.627242008882604</v>
      </c>
      <c r="H965" s="16" vm="1488">
        <v>80.87</v>
      </c>
      <c r="I965" s="16">
        <f>IF(HistoricalStockProgress[[#This Row],[No. of Shares]]&lt;&gt;0,HistoricalStockProgress[[#This Row],[Price of Shares]]*HistoricalStockProgress[[#This Row],[No. of Shares]],0)</f>
        <v>5903.51</v>
      </c>
      <c r="J965" s="16">
        <f>IF(HistoricalStockProgress[[#This Row],[No. of Shares]]&lt;&gt;0,HistoricalStockProgress[[#This Row],[Price of Shares]]-HistoricalStockProgress[[#This Row],[Cost of Shares]]/HistoricalStockProgress[[#This Row],[No. of Shares]],0)</f>
        <v>41.242757991117401</v>
      </c>
      <c r="K965" s="17">
        <f>IF(HistoricalStockProgress[[#This Row],[Total Price of Shares]]&lt;&gt;0,HistoricalStockProgress[[#This Row],[Total Price of Shares]]-HistoricalStockProgress[[#This Row],[Cost of Shares]],0)</f>
        <v>3010.7213333515701</v>
      </c>
      <c r="L965" s="34" t="b" cm="1">
        <f t="array" ref="L965">IFERROR(IF(HistoricalStockProgress[[#This Row],[Price of Shares]]="",_xlfn.STOCKHISTORY(HistoricalStockProgress[[#This Row],[Full Company Name]],HistoricalStockProgress[[#This Row],[Date]],,2,0,1)),0)</f>
        <v>0</v>
      </c>
      <c r="M965" s="34">
        <f>YEAR(HistoricalStockProgress[[#This Row],[Date]])</f>
        <v>2021</v>
      </c>
      <c r="N965" s="34">
        <f>MONTH(HistoricalStockProgress[[#This Row],[Date]])</f>
        <v>1</v>
      </c>
    </row>
    <row r="966" spans="2:14">
      <c r="B966" s="15">
        <v>44227</v>
      </c>
      <c r="C966" s="34" t="s">
        <v>100</v>
      </c>
      <c r="D966" s="34" t="e" vm="16">
        <f>_xlfn.XLOOKUP(HistoricalStockProgress[[#This Row],[Company Ticker]],CompanyDetailsList[Company Ticker],CompanyDetailsList[Official Name],,0)</f>
        <v>#VALUE!</v>
      </c>
      <c r="E9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109</v>
      </c>
      <c r="F9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9263.9352759443282</v>
      </c>
      <c r="G966" s="17">
        <f>IFERROR(HistoricalStockProgress[[#This Row],[Cost of Shares]]/HistoricalStockProgress[[#This Row],[No. of Shares]],0)</f>
        <v>84.990231889397506</v>
      </c>
      <c r="H966" s="16" vm="1489">
        <v>94</v>
      </c>
      <c r="I966" s="16">
        <f>IF(HistoricalStockProgress[[#This Row],[No. of Shares]]&lt;&gt;0,HistoricalStockProgress[[#This Row],[Price of Shares]]*HistoricalStockProgress[[#This Row],[No. of Shares]],0)</f>
        <v>10246</v>
      </c>
      <c r="J966" s="16">
        <f>IF(HistoricalStockProgress[[#This Row],[No. of Shares]]&lt;&gt;0,HistoricalStockProgress[[#This Row],[Price of Shares]]-HistoricalStockProgress[[#This Row],[Cost of Shares]]/HistoricalStockProgress[[#This Row],[No. of Shares]],0)</f>
        <v>9.0097681106024936</v>
      </c>
      <c r="K966" s="17">
        <f>IF(HistoricalStockProgress[[#This Row],[Total Price of Shares]]&lt;&gt;0,HistoricalStockProgress[[#This Row],[Total Price of Shares]]-HistoricalStockProgress[[#This Row],[Cost of Shares]],0)</f>
        <v>982.06472405567183</v>
      </c>
      <c r="L966" s="34" t="b" cm="1">
        <f t="array" ref="L966">IFERROR(IF(HistoricalStockProgress[[#This Row],[Price of Shares]]="",_xlfn.STOCKHISTORY(HistoricalStockProgress[[#This Row],[Full Company Name]],HistoricalStockProgress[[#This Row],[Date]],,2,0,1)),0)</f>
        <v>0</v>
      </c>
      <c r="M966" s="34">
        <f>YEAR(HistoricalStockProgress[[#This Row],[Date]])</f>
        <v>2021</v>
      </c>
      <c r="N966" s="34">
        <f>MONTH(HistoricalStockProgress[[#This Row],[Date]])</f>
        <v>1</v>
      </c>
    </row>
    <row r="967" spans="2:14">
      <c r="B967" s="15">
        <v>44227</v>
      </c>
      <c r="C967" s="34" t="s">
        <v>15</v>
      </c>
      <c r="D967" s="34" t="e" vm="17">
        <f>_xlfn.XLOOKUP(HistoricalStockProgress[[#This Row],[Company Ticker]],CompanyDetailsList[Company Ticker],CompanyDetailsList[Official Name],,0)</f>
        <v>#VALUE!</v>
      </c>
      <c r="E9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9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967" s="17">
        <f>IFERROR(HistoricalStockProgress[[#This Row],[Cost of Shares]]/HistoricalStockProgress[[#This Row],[No. of Shares]],0)</f>
        <v>26.081956457072195</v>
      </c>
      <c r="H967" s="16" vm="1490">
        <v>21.620799999999999</v>
      </c>
      <c r="I967" s="16">
        <f>IF(HistoricalStockProgress[[#This Row],[No. of Shares]]&lt;&gt;0,HistoricalStockProgress[[#This Row],[Price of Shares]]*HistoricalStockProgress[[#This Row],[No. of Shares]],0)</f>
        <v>2680.9791999999998</v>
      </c>
      <c r="J967" s="16">
        <f>IF(HistoricalStockProgress[[#This Row],[No. of Shares]]&lt;&gt;0,HistoricalStockProgress[[#This Row],[Price of Shares]]-HistoricalStockProgress[[#This Row],[Cost of Shares]]/HistoricalStockProgress[[#This Row],[No. of Shares]],0)</f>
        <v>-4.461156457072196</v>
      </c>
      <c r="K967" s="17">
        <f>IF(HistoricalStockProgress[[#This Row],[Total Price of Shares]]&lt;&gt;0,HistoricalStockProgress[[#This Row],[Total Price of Shares]]-HistoricalStockProgress[[#This Row],[Cost of Shares]],0)</f>
        <v>-553.18340067695226</v>
      </c>
      <c r="L967" s="34" t="b" cm="1">
        <f t="array" ref="L967">IFERROR(IF(HistoricalStockProgress[[#This Row],[Price of Shares]]="",_xlfn.STOCKHISTORY(HistoricalStockProgress[[#This Row],[Full Company Name]],HistoricalStockProgress[[#This Row],[Date]],,2,0,1)),0)</f>
        <v>0</v>
      </c>
      <c r="M967" s="34">
        <f>YEAR(HistoricalStockProgress[[#This Row],[Date]])</f>
        <v>2021</v>
      </c>
      <c r="N967" s="34">
        <f>MONTH(HistoricalStockProgress[[#This Row],[Date]])</f>
        <v>1</v>
      </c>
    </row>
    <row r="968" spans="2:14">
      <c r="B968" s="15">
        <v>44227</v>
      </c>
      <c r="C968" s="34" t="s">
        <v>13</v>
      </c>
      <c r="D968" s="34" t="e" vm="18">
        <f>_xlfn.XLOOKUP(HistoricalStockProgress[[#This Row],[Company Ticker]],CompanyDetailsList[Company Ticker],CompanyDetailsList[Official Name],,0)</f>
        <v>#VALUE!</v>
      </c>
      <c r="E9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9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968" s="17">
        <f>IFERROR(HistoricalStockProgress[[#This Row],[Cost of Shares]]/HistoricalStockProgress[[#This Row],[No. of Shares]],0)</f>
        <v>35.846938938346874</v>
      </c>
      <c r="H968" s="16" vm="1491">
        <v>35.9</v>
      </c>
      <c r="I968" s="16">
        <f>IF(HistoricalStockProgress[[#This Row],[No. of Shares]]&lt;&gt;0,HistoricalStockProgress[[#This Row],[Price of Shares]]*HistoricalStockProgress[[#This Row],[No. of Shares]],0)</f>
        <v>1974.5</v>
      </c>
      <c r="J968" s="16">
        <f>IF(HistoricalStockProgress[[#This Row],[No. of Shares]]&lt;&gt;0,HistoricalStockProgress[[#This Row],[Price of Shares]]-HistoricalStockProgress[[#This Row],[Cost of Shares]]/HistoricalStockProgress[[#This Row],[No. of Shares]],0)</f>
        <v>5.3061061653124852E-2</v>
      </c>
      <c r="K968" s="17">
        <f>IF(HistoricalStockProgress[[#This Row],[Total Price of Shares]]&lt;&gt;0,HistoricalStockProgress[[#This Row],[Total Price of Shares]]-HistoricalStockProgress[[#This Row],[Cost of Shares]],0)</f>
        <v>2.9183583909218669</v>
      </c>
      <c r="L968" s="34" t="b" cm="1">
        <f t="array" ref="L968">IFERROR(IF(HistoricalStockProgress[[#This Row],[Price of Shares]]="",_xlfn.STOCKHISTORY(HistoricalStockProgress[[#This Row],[Full Company Name]],HistoricalStockProgress[[#This Row],[Date]],,2,0,1)),0)</f>
        <v>0</v>
      </c>
      <c r="M968" s="34">
        <f>YEAR(HistoricalStockProgress[[#This Row],[Date]])</f>
        <v>2021</v>
      </c>
      <c r="N968" s="34">
        <f>MONTH(HistoricalStockProgress[[#This Row],[Date]])</f>
        <v>1</v>
      </c>
    </row>
    <row r="969" spans="2:14">
      <c r="B969" s="15">
        <v>44227</v>
      </c>
      <c r="C969" s="34" t="s">
        <v>20</v>
      </c>
      <c r="D969" s="34" t="e" vm="19">
        <f>_xlfn.XLOOKUP(HistoricalStockProgress[[#This Row],[Company Ticker]],CompanyDetailsList[Company Ticker],CompanyDetailsList[Official Name],,0)</f>
        <v>#VALUE!</v>
      </c>
      <c r="E9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9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969" s="17">
        <f>IFERROR(HistoricalStockProgress[[#This Row],[Cost of Shares]]/HistoricalStockProgress[[#This Row],[No. of Shares]],0)</f>
        <v>93.912242833589502</v>
      </c>
      <c r="H969" s="16" vm="1492">
        <v>128.66999999999999</v>
      </c>
      <c r="I969" s="16">
        <f>IF(HistoricalStockProgress[[#This Row],[No. of Shares]]&lt;&gt;0,HistoricalStockProgress[[#This Row],[Price of Shares]]*HistoricalStockProgress[[#This Row],[No. of Shares]],0)</f>
        <v>10036.259999999998</v>
      </c>
      <c r="J969" s="16">
        <f>IF(HistoricalStockProgress[[#This Row],[No. of Shares]]&lt;&gt;0,HistoricalStockProgress[[#This Row],[Price of Shares]]-HistoricalStockProgress[[#This Row],[Cost of Shares]]/HistoricalStockProgress[[#This Row],[No. of Shares]],0)</f>
        <v>34.757757166410485</v>
      </c>
      <c r="K969" s="17">
        <f>IF(HistoricalStockProgress[[#This Row],[Total Price of Shares]]&lt;&gt;0,HistoricalStockProgress[[#This Row],[Total Price of Shares]]-HistoricalStockProgress[[#This Row],[Cost of Shares]],0)</f>
        <v>2711.105058980017</v>
      </c>
      <c r="L969" s="34" t="b" cm="1">
        <f t="array" ref="L969">IFERROR(IF(HistoricalStockProgress[[#This Row],[Price of Shares]]="",_xlfn.STOCKHISTORY(HistoricalStockProgress[[#This Row],[Full Company Name]],HistoricalStockProgress[[#This Row],[Date]],,2,0,1)),0)</f>
        <v>0</v>
      </c>
      <c r="M969" s="34">
        <f>YEAR(HistoricalStockProgress[[#This Row],[Date]])</f>
        <v>2021</v>
      </c>
      <c r="N969" s="34">
        <f>MONTH(HistoricalStockProgress[[#This Row],[Date]])</f>
        <v>1</v>
      </c>
    </row>
    <row r="970" spans="2:14">
      <c r="B970" s="15">
        <v>44227</v>
      </c>
      <c r="C970" s="34" t="s">
        <v>106</v>
      </c>
      <c r="D970" s="34" t="e" vm="20">
        <f>_xlfn.XLOOKUP(HistoricalStockProgress[[#This Row],[Company Ticker]],CompanyDetailsList[Company Ticker],CompanyDetailsList[Official Name],,0)</f>
        <v>#VALUE!</v>
      </c>
      <c r="E9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9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970" s="17">
        <f>IFERROR(HistoricalStockProgress[[#This Row],[Cost of Shares]]/HistoricalStockProgress[[#This Row],[No. of Shares]],0)</f>
        <v>108.54870748680406</v>
      </c>
      <c r="H970" s="16" vm="1493">
        <v>134.71</v>
      </c>
      <c r="I970" s="16">
        <f>IF(HistoricalStockProgress[[#This Row],[No. of Shares]]&lt;&gt;0,HistoricalStockProgress[[#This Row],[Price of Shares]]*HistoricalStockProgress[[#This Row],[No. of Shares]],0)</f>
        <v>11854.480000000001</v>
      </c>
      <c r="J970" s="16">
        <f>IF(HistoricalStockProgress[[#This Row],[No. of Shares]]&lt;&gt;0,HistoricalStockProgress[[#This Row],[Price of Shares]]-HistoricalStockProgress[[#This Row],[Cost of Shares]]/HistoricalStockProgress[[#This Row],[No. of Shares]],0)</f>
        <v>26.161292513195946</v>
      </c>
      <c r="K970" s="17">
        <f>IF(HistoricalStockProgress[[#This Row],[Total Price of Shares]]&lt;&gt;0,HistoricalStockProgress[[#This Row],[Total Price of Shares]]-HistoricalStockProgress[[#This Row],[Cost of Shares]],0)</f>
        <v>2302.1937411612435</v>
      </c>
      <c r="L970" s="34" t="b" cm="1">
        <f t="array" ref="L970">IFERROR(IF(HistoricalStockProgress[[#This Row],[Price of Shares]]="",_xlfn.STOCKHISTORY(HistoricalStockProgress[[#This Row],[Full Company Name]],HistoricalStockProgress[[#This Row],[Date]],,2,0,1)),0)</f>
        <v>0</v>
      </c>
      <c r="M970" s="34">
        <f>YEAR(HistoricalStockProgress[[#This Row],[Date]])</f>
        <v>2021</v>
      </c>
      <c r="N970" s="34">
        <f>MONTH(HistoricalStockProgress[[#This Row],[Date]])</f>
        <v>1</v>
      </c>
    </row>
    <row r="971" spans="2:14">
      <c r="B971" s="15">
        <v>44255</v>
      </c>
      <c r="C971" s="34" t="s">
        <v>12</v>
      </c>
      <c r="D971" s="34" t="e" vm="1">
        <f>_xlfn.XLOOKUP(HistoricalStockProgress[[#This Row],[Company Ticker]],CompanyDetailsList[Company Ticker],CompanyDetailsList[Official Name],,0)</f>
        <v>#VALUE!</v>
      </c>
      <c r="E9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9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971" s="17">
        <f>IFERROR(HistoricalStockProgress[[#This Row],[Cost of Shares]]/HistoricalStockProgress[[#This Row],[No. of Shares]],0)</f>
        <v>63.845182519411239</v>
      </c>
      <c r="H971" s="16" vm="728">
        <v>60.26</v>
      </c>
      <c r="I971" s="16">
        <f>IF(HistoricalStockProgress[[#This Row],[No. of Shares]]&lt;&gt;0,HistoricalStockProgress[[#This Row],[Price of Shares]]*HistoricalStockProgress[[#This Row],[No. of Shares]],0)</f>
        <v>3856.64</v>
      </c>
      <c r="J971" s="16">
        <f>IF(HistoricalStockProgress[[#This Row],[No. of Shares]]&lt;&gt;0,HistoricalStockProgress[[#This Row],[Price of Shares]]-HistoricalStockProgress[[#This Row],[Cost of Shares]]/HistoricalStockProgress[[#This Row],[No. of Shares]],0)</f>
        <v>-3.5851825194112408</v>
      </c>
      <c r="K971" s="17">
        <f>IF(HistoricalStockProgress[[#This Row],[Total Price of Shares]]&lt;&gt;0,HistoricalStockProgress[[#This Row],[Total Price of Shares]]-HistoricalStockProgress[[#This Row],[Cost of Shares]],0)</f>
        <v>-229.45168124231941</v>
      </c>
      <c r="L971" s="34" t="b" cm="1">
        <f t="array" ref="L971">IFERROR(IF(HistoricalStockProgress[[#This Row],[Price of Shares]]="",_xlfn.STOCKHISTORY(HistoricalStockProgress[[#This Row],[Full Company Name]],HistoricalStockProgress[[#This Row],[Date]],,2,0,1)),0)</f>
        <v>0</v>
      </c>
      <c r="M971" s="34">
        <f>YEAR(HistoricalStockProgress[[#This Row],[Date]])</f>
        <v>2021</v>
      </c>
      <c r="N971" s="34">
        <f>MONTH(HistoricalStockProgress[[#This Row],[Date]])</f>
        <v>2</v>
      </c>
    </row>
    <row r="972" spans="2:14">
      <c r="B972" s="15">
        <v>44255</v>
      </c>
      <c r="C972" s="34" t="s">
        <v>14</v>
      </c>
      <c r="D972" s="34" t="e" vm="2">
        <f>_xlfn.XLOOKUP(HistoricalStockProgress[[#This Row],[Company Ticker]],CompanyDetailsList[Company Ticker],CompanyDetailsList[Official Name],,0)</f>
        <v>#VALUE!</v>
      </c>
      <c r="E9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9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374.08704394110305</v>
      </c>
      <c r="G972" s="17">
        <f>IFERROR(HistoricalStockProgress[[#This Row],[Cost of Shares]]/HistoricalStockProgress[[#This Row],[No. of Shares]],0)</f>
        <v>31.173920328425254</v>
      </c>
      <c r="H972" s="16" vm="1494">
        <v>27.46</v>
      </c>
      <c r="I972" s="16">
        <f>IF(HistoricalStockProgress[[#This Row],[No. of Shares]]&lt;&gt;0,HistoricalStockProgress[[#This Row],[Price of Shares]]*HistoricalStockProgress[[#This Row],[No. of Shares]],0)</f>
        <v>329.52</v>
      </c>
      <c r="J972" s="16">
        <f>IF(HistoricalStockProgress[[#This Row],[No. of Shares]]&lt;&gt;0,HistoricalStockProgress[[#This Row],[Price of Shares]]-HistoricalStockProgress[[#This Row],[Cost of Shares]]/HistoricalStockProgress[[#This Row],[No. of Shares]],0)</f>
        <v>-3.7139203284252531</v>
      </c>
      <c r="K972" s="17">
        <f>IF(HistoricalStockProgress[[#This Row],[Total Price of Shares]]&lt;&gt;0,HistoricalStockProgress[[#This Row],[Total Price of Shares]]-HistoricalStockProgress[[#This Row],[Cost of Shares]],0)</f>
        <v>-44.567043941103066</v>
      </c>
      <c r="L972" s="34" t="b" cm="1">
        <f t="array" ref="L972">IFERROR(IF(HistoricalStockProgress[[#This Row],[Price of Shares]]="",_xlfn.STOCKHISTORY(HistoricalStockProgress[[#This Row],[Full Company Name]],HistoricalStockProgress[[#This Row],[Date]],,2,0,1)),0)</f>
        <v>0</v>
      </c>
      <c r="M972" s="34">
        <f>YEAR(HistoricalStockProgress[[#This Row],[Date]])</f>
        <v>2021</v>
      </c>
      <c r="N972" s="34">
        <f>MONTH(HistoricalStockProgress[[#This Row],[Date]])</f>
        <v>2</v>
      </c>
    </row>
    <row r="973" spans="2:14">
      <c r="B973" s="15">
        <v>44255</v>
      </c>
      <c r="C973" s="34" t="s">
        <v>19</v>
      </c>
      <c r="D973" s="34" t="e" vm="3">
        <f>_xlfn.XLOOKUP(HistoricalStockProgress[[#This Row],[Company Ticker]],CompanyDetailsList[Company Ticker],CompanyDetailsList[Official Name],,0)</f>
        <v>#VALUE!</v>
      </c>
      <c r="E9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9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973" s="17">
        <f>IFERROR(HistoricalStockProgress[[#This Row],[Cost of Shares]]/HistoricalStockProgress[[#This Row],[No. of Shares]],0)</f>
        <v>158.45739987816083</v>
      </c>
      <c r="H973" s="16" vm="1495">
        <v>181.05</v>
      </c>
      <c r="I973" s="16">
        <f>IF(HistoricalStockProgress[[#This Row],[No. of Shares]]&lt;&gt;0,HistoricalStockProgress[[#This Row],[Price of Shares]]*HistoricalStockProgress[[#This Row],[No. of Shares]],0)</f>
        <v>10319.85</v>
      </c>
      <c r="J973" s="16">
        <f>IF(HistoricalStockProgress[[#This Row],[No. of Shares]]&lt;&gt;0,HistoricalStockProgress[[#This Row],[Price of Shares]]-HistoricalStockProgress[[#This Row],[Cost of Shares]]/HistoricalStockProgress[[#This Row],[No. of Shares]],0)</f>
        <v>22.592600121839183</v>
      </c>
      <c r="K973" s="17">
        <f>IF(HistoricalStockProgress[[#This Row],[Total Price of Shares]]&lt;&gt;0,HistoricalStockProgress[[#This Row],[Total Price of Shares]]-HistoricalStockProgress[[#This Row],[Cost of Shares]],0)</f>
        <v>1287.7782069448331</v>
      </c>
      <c r="L973" s="34" t="b" cm="1">
        <f t="array" ref="L973">IFERROR(IF(HistoricalStockProgress[[#This Row],[Price of Shares]]="",_xlfn.STOCKHISTORY(HistoricalStockProgress[[#This Row],[Full Company Name]],HistoricalStockProgress[[#This Row],[Date]],,2,0,1)),0)</f>
        <v>0</v>
      </c>
      <c r="M973" s="34">
        <f>YEAR(HistoricalStockProgress[[#This Row],[Date]])</f>
        <v>2021</v>
      </c>
      <c r="N973" s="34">
        <f>MONTH(HistoricalStockProgress[[#This Row],[Date]])</f>
        <v>2</v>
      </c>
    </row>
    <row r="974" spans="2:14">
      <c r="B974" s="15">
        <v>44255</v>
      </c>
      <c r="C974" s="34" t="s">
        <v>23</v>
      </c>
      <c r="D974" s="34" t="e" vm="4">
        <f>_xlfn.XLOOKUP(HistoricalStockProgress[[#This Row],[Company Ticker]],CompanyDetailsList[Company Ticker],CompanyDetailsList[Official Name],,0)</f>
        <v>#VALUE!</v>
      </c>
      <c r="E9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9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974" s="17">
        <f>IFERROR(HistoricalStockProgress[[#This Row],[Cost of Shares]]/HistoricalStockProgress[[#This Row],[No. of Shares]],0)</f>
        <v>45.768494888570878</v>
      </c>
      <c r="H974" s="16" vm="1496">
        <v>48.99</v>
      </c>
      <c r="I974" s="16">
        <f>IF(HistoricalStockProgress[[#This Row],[No. of Shares]]&lt;&gt;0,HistoricalStockProgress[[#This Row],[Price of Shares]]*HistoricalStockProgress[[#This Row],[No. of Shares]],0)</f>
        <v>2841.42</v>
      </c>
      <c r="J974" s="16">
        <f>IF(HistoricalStockProgress[[#This Row],[No. of Shares]]&lt;&gt;0,HistoricalStockProgress[[#This Row],[Price of Shares]]-HistoricalStockProgress[[#This Row],[Cost of Shares]]/HistoricalStockProgress[[#This Row],[No. of Shares]],0)</f>
        <v>3.2215051114291242</v>
      </c>
      <c r="K974" s="17">
        <f>IF(HistoricalStockProgress[[#This Row],[Total Price of Shares]]&lt;&gt;0,HistoricalStockProgress[[#This Row],[Total Price of Shares]]-HistoricalStockProgress[[#This Row],[Cost of Shares]],0)</f>
        <v>186.84729646288906</v>
      </c>
      <c r="L974" s="34" t="b" cm="1">
        <f t="array" ref="L974">IFERROR(IF(HistoricalStockProgress[[#This Row],[Price of Shares]]="",_xlfn.STOCKHISTORY(HistoricalStockProgress[[#This Row],[Full Company Name]],HistoricalStockProgress[[#This Row],[Date]],,2,0,1)),0)</f>
        <v>0</v>
      </c>
      <c r="M974" s="34">
        <f>YEAR(HistoricalStockProgress[[#This Row],[Date]])</f>
        <v>2021</v>
      </c>
      <c r="N974" s="34">
        <f>MONTH(HistoricalStockProgress[[#This Row],[Date]])</f>
        <v>2</v>
      </c>
    </row>
    <row r="975" spans="2:14">
      <c r="B975" s="15">
        <v>44255</v>
      </c>
      <c r="C975" s="34" t="s">
        <v>18</v>
      </c>
      <c r="D975" s="34" t="e" vm="5">
        <f>_xlfn.XLOOKUP(HistoricalStockProgress[[#This Row],[Company Ticker]],CompanyDetailsList[Company Ticker],CompanyDetailsList[Official Name],,0)</f>
        <v>#VALUE!</v>
      </c>
      <c r="E9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v>
      </c>
      <c r="F9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1322.059549224459</v>
      </c>
      <c r="G975" s="17">
        <f>IFERROR(HistoricalStockProgress[[#This Row],[Cost of Shares]]/HistoricalStockProgress[[#This Row],[No. of Shares]],0)</f>
        <v>132.2059549224459</v>
      </c>
      <c r="H975" s="16" vm="1497">
        <v>129.19</v>
      </c>
      <c r="I975" s="16">
        <f>IF(HistoricalStockProgress[[#This Row],[No. of Shares]]&lt;&gt;0,HistoricalStockProgress[[#This Row],[Price of Shares]]*HistoricalStockProgress[[#This Row],[No. of Shares]],0)</f>
        <v>1291.9000000000001</v>
      </c>
      <c r="J975" s="16">
        <f>IF(HistoricalStockProgress[[#This Row],[No. of Shares]]&lt;&gt;0,HistoricalStockProgress[[#This Row],[Price of Shares]]-HistoricalStockProgress[[#This Row],[Cost of Shares]]/HistoricalStockProgress[[#This Row],[No. of Shares]],0)</f>
        <v>-3.0159549224458999</v>
      </c>
      <c r="K975" s="17">
        <f>IF(HistoricalStockProgress[[#This Row],[Total Price of Shares]]&lt;&gt;0,HistoricalStockProgress[[#This Row],[Total Price of Shares]]-HistoricalStockProgress[[#This Row],[Cost of Shares]],0)</f>
        <v>-30.159549224458942</v>
      </c>
      <c r="L975" s="34" t="b" cm="1">
        <f t="array" ref="L975">IFERROR(IF(HistoricalStockProgress[[#This Row],[Price of Shares]]="",_xlfn.STOCKHISTORY(HistoricalStockProgress[[#This Row],[Full Company Name]],HistoricalStockProgress[[#This Row],[Date]],,2,0,1)),0)</f>
        <v>0</v>
      </c>
      <c r="M975" s="34">
        <f>YEAR(HistoricalStockProgress[[#This Row],[Date]])</f>
        <v>2021</v>
      </c>
      <c r="N975" s="34">
        <f>MONTH(HistoricalStockProgress[[#This Row],[Date]])</f>
        <v>2</v>
      </c>
    </row>
    <row r="976" spans="2:14">
      <c r="B976" s="15">
        <v>44255</v>
      </c>
      <c r="C976" s="34" t="s">
        <v>21</v>
      </c>
      <c r="D976" s="34" t="e" vm="6">
        <f>_xlfn.XLOOKUP(HistoricalStockProgress[[#This Row],[Company Ticker]],CompanyDetailsList[Company Ticker],CompanyDetailsList[Official Name],,0)</f>
        <v>#VALUE!</v>
      </c>
      <c r="E9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9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3654.8914204824332</v>
      </c>
      <c r="G976" s="17">
        <f>IFERROR(HistoricalStockProgress[[#This Row],[Cost of Shares]]/HistoricalStockProgress[[#This Row],[No. of Shares]],0)</f>
        <v>130.53183644580119</v>
      </c>
      <c r="H976" s="16" vm="1498">
        <v>123.53</v>
      </c>
      <c r="I976" s="16">
        <f>IF(HistoricalStockProgress[[#This Row],[No. of Shares]]&lt;&gt;0,HistoricalStockProgress[[#This Row],[Price of Shares]]*HistoricalStockProgress[[#This Row],[No. of Shares]],0)</f>
        <v>3458.84</v>
      </c>
      <c r="J976" s="16">
        <f>IF(HistoricalStockProgress[[#This Row],[No. of Shares]]&lt;&gt;0,HistoricalStockProgress[[#This Row],[Price of Shares]]-HistoricalStockProgress[[#This Row],[Cost of Shares]]/HistoricalStockProgress[[#This Row],[No. of Shares]],0)</f>
        <v>-7.0018364458011888</v>
      </c>
      <c r="K976" s="17">
        <f>IF(HistoricalStockProgress[[#This Row],[Total Price of Shares]]&lt;&gt;0,HistoricalStockProgress[[#This Row],[Total Price of Shares]]-HistoricalStockProgress[[#This Row],[Cost of Shares]],0)</f>
        <v>-196.05142048243306</v>
      </c>
      <c r="L976" s="34" t="b" cm="1">
        <f t="array" ref="L976">IFERROR(IF(HistoricalStockProgress[[#This Row],[Price of Shares]]="",_xlfn.STOCKHISTORY(HistoricalStockProgress[[#This Row],[Full Company Name]],HistoricalStockProgress[[#This Row],[Date]],,2,0,1)),0)</f>
        <v>0</v>
      </c>
      <c r="M976" s="34">
        <f>YEAR(HistoricalStockProgress[[#This Row],[Date]])</f>
        <v>2021</v>
      </c>
      <c r="N976" s="34">
        <f>MONTH(HistoricalStockProgress[[#This Row],[Date]])</f>
        <v>2</v>
      </c>
    </row>
    <row r="977" spans="2:14">
      <c r="B977" s="15">
        <v>44255</v>
      </c>
      <c r="C977" s="34" t="s">
        <v>84</v>
      </c>
      <c r="D977" s="34" t="e" vm="7">
        <f>_xlfn.XLOOKUP(HistoricalStockProgress[[#This Row],[Company Ticker]],CompanyDetailsList[Company Ticker],CompanyDetailsList[Official Name],,0)</f>
        <v>#VALUE!</v>
      </c>
      <c r="E9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9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977" s="17">
        <f>IFERROR(HistoricalStockProgress[[#This Row],[Cost of Shares]]/HistoricalStockProgress[[#This Row],[No. of Shares]],0)</f>
        <v>104.18087504950869</v>
      </c>
      <c r="H977" s="16" vm="1499">
        <v>158.46</v>
      </c>
      <c r="I977" s="16">
        <f>IF(HistoricalStockProgress[[#This Row],[No. of Shares]]&lt;&gt;0,HistoricalStockProgress[[#This Row],[Price of Shares]]*HistoricalStockProgress[[#This Row],[No. of Shares]],0)</f>
        <v>8081.46</v>
      </c>
      <c r="J977" s="16">
        <f>IF(HistoricalStockProgress[[#This Row],[No. of Shares]]&lt;&gt;0,HistoricalStockProgress[[#This Row],[Price of Shares]]-HistoricalStockProgress[[#This Row],[Cost of Shares]]/HistoricalStockProgress[[#This Row],[No. of Shares]],0)</f>
        <v>54.279124950491322</v>
      </c>
      <c r="K977" s="17">
        <f>IF(HistoricalStockProgress[[#This Row],[Total Price of Shares]]&lt;&gt;0,HistoricalStockProgress[[#This Row],[Total Price of Shares]]-HistoricalStockProgress[[#This Row],[Cost of Shares]],0)</f>
        <v>2768.2353724750574</v>
      </c>
      <c r="L977" s="34" t="b" cm="1">
        <f t="array" ref="L977">IFERROR(IF(HistoricalStockProgress[[#This Row],[Price of Shares]]="",_xlfn.STOCKHISTORY(HistoricalStockProgress[[#This Row],[Full Company Name]],HistoricalStockProgress[[#This Row],[Date]],,2,0,1)),0)</f>
        <v>0</v>
      </c>
      <c r="M977" s="34">
        <f>YEAR(HistoricalStockProgress[[#This Row],[Date]])</f>
        <v>2021</v>
      </c>
      <c r="N977" s="34">
        <f>MONTH(HistoricalStockProgress[[#This Row],[Date]])</f>
        <v>2</v>
      </c>
    </row>
    <row r="978" spans="2:14">
      <c r="B978" s="15">
        <v>44255</v>
      </c>
      <c r="C978" s="34" t="s">
        <v>86</v>
      </c>
      <c r="D978" s="34" t="e" vm="8">
        <f>_xlfn.XLOOKUP(HistoricalStockProgress[[#This Row],[Company Ticker]],CompanyDetailsList[Company Ticker],CompanyDetailsList[Official Name],,0)</f>
        <v>#VALUE!</v>
      </c>
      <c r="E9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9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978" s="17">
        <f>IFERROR(HistoricalStockProgress[[#This Row],[Cost of Shares]]/HistoricalStockProgress[[#This Row],[No. of Shares]],0)</f>
        <v>92.636161128673535</v>
      </c>
      <c r="H978" s="16" vm="1500">
        <v>107.74</v>
      </c>
      <c r="I978" s="16">
        <f>IF(HistoricalStockProgress[[#This Row],[No. of Shares]]&lt;&gt;0,HistoricalStockProgress[[#This Row],[Price of Shares]]*HistoricalStockProgress[[#This Row],[No. of Shares]],0)</f>
        <v>12282.359999999999</v>
      </c>
      <c r="J978" s="16">
        <f>IF(HistoricalStockProgress[[#This Row],[No. of Shares]]&lt;&gt;0,HistoricalStockProgress[[#This Row],[Price of Shares]]-HistoricalStockProgress[[#This Row],[Cost of Shares]]/HistoricalStockProgress[[#This Row],[No. of Shares]],0)</f>
        <v>15.10383887132646</v>
      </c>
      <c r="K978" s="17">
        <f>IF(HistoricalStockProgress[[#This Row],[Total Price of Shares]]&lt;&gt;0,HistoricalStockProgress[[#This Row],[Total Price of Shares]]-HistoricalStockProgress[[#This Row],[Cost of Shares]],0)</f>
        <v>1721.8376313312165</v>
      </c>
      <c r="L978" s="34" t="b" cm="1">
        <f t="array" ref="L978">IFERROR(IF(HistoricalStockProgress[[#This Row],[Price of Shares]]="",_xlfn.STOCKHISTORY(HistoricalStockProgress[[#This Row],[Full Company Name]],HistoricalStockProgress[[#This Row],[Date]],,2,0,1)),0)</f>
        <v>0</v>
      </c>
      <c r="M978" s="34">
        <f>YEAR(HistoricalStockProgress[[#This Row],[Date]])</f>
        <v>2021</v>
      </c>
      <c r="N978" s="34">
        <f>MONTH(HistoricalStockProgress[[#This Row],[Date]])</f>
        <v>2</v>
      </c>
    </row>
    <row r="979" spans="2:14">
      <c r="B979" s="15">
        <v>44255</v>
      </c>
      <c r="C979" s="34" t="s">
        <v>88</v>
      </c>
      <c r="D979" s="34" t="e" vm="9">
        <f>_xlfn.XLOOKUP(HistoricalStockProgress[[#This Row],[Company Ticker]],CompanyDetailsList[Company Ticker],CompanyDetailsList[Official Name],,0)</f>
        <v>#VALUE!</v>
      </c>
      <c r="E9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9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979" s="17">
        <f>IFERROR(HistoricalStockProgress[[#This Row],[Cost of Shares]]/HistoricalStockProgress[[#This Row],[No. of Shares]],0)</f>
        <v>187.727755253422</v>
      </c>
      <c r="H979" s="16" vm="1501">
        <v>206.14</v>
      </c>
      <c r="I979" s="16">
        <f>IF(HistoricalStockProgress[[#This Row],[No. of Shares]]&lt;&gt;0,HistoricalStockProgress[[#This Row],[Price of Shares]]*HistoricalStockProgress[[#This Row],[No. of Shares]],0)</f>
        <v>12162.259999999998</v>
      </c>
      <c r="J979" s="16">
        <f>IF(HistoricalStockProgress[[#This Row],[No. of Shares]]&lt;&gt;0,HistoricalStockProgress[[#This Row],[Price of Shares]]-HistoricalStockProgress[[#This Row],[Cost of Shares]]/HistoricalStockProgress[[#This Row],[No. of Shares]],0)</f>
        <v>18.412244746577983</v>
      </c>
      <c r="K979" s="17">
        <f>IF(HistoricalStockProgress[[#This Row],[Total Price of Shares]]&lt;&gt;0,HistoricalStockProgress[[#This Row],[Total Price of Shares]]-HistoricalStockProgress[[#This Row],[Cost of Shares]],0)</f>
        <v>1086.3224400480995</v>
      </c>
      <c r="L979" s="34" t="b" cm="1">
        <f t="array" ref="L979">IFERROR(IF(HistoricalStockProgress[[#This Row],[Price of Shares]]="",_xlfn.STOCKHISTORY(HistoricalStockProgress[[#This Row],[Full Company Name]],HistoricalStockProgress[[#This Row],[Date]],,2,0,1)),0)</f>
        <v>0</v>
      </c>
      <c r="M979" s="34">
        <f>YEAR(HistoricalStockProgress[[#This Row],[Date]])</f>
        <v>2021</v>
      </c>
      <c r="N979" s="34">
        <f>MONTH(HistoricalStockProgress[[#This Row],[Date]])</f>
        <v>2</v>
      </c>
    </row>
    <row r="980" spans="2:14">
      <c r="B980" s="15">
        <v>44255</v>
      </c>
      <c r="C980" s="34" t="s">
        <v>22</v>
      </c>
      <c r="D980" s="34" t="e" vm="10">
        <f>_xlfn.XLOOKUP(HistoricalStockProgress[[#This Row],[Company Ticker]],CompanyDetailsList[Company Ticker],CompanyDetailsList[Official Name],,0)</f>
        <v>#VALUE!</v>
      </c>
      <c r="E9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9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980" s="17">
        <f>IFERROR(HistoricalStockProgress[[#This Row],[Cost of Shares]]/HistoricalStockProgress[[#This Row],[No. of Shares]],0)</f>
        <v>96.351727068187571</v>
      </c>
      <c r="H980" s="16" vm="1502">
        <v>215.88</v>
      </c>
      <c r="I980" s="16">
        <f>IF(HistoricalStockProgress[[#This Row],[No. of Shares]]&lt;&gt;0,HistoricalStockProgress[[#This Row],[Price of Shares]]*HistoricalStockProgress[[#This Row],[No. of Shares]],0)</f>
        <v>17486.28</v>
      </c>
      <c r="J980" s="16">
        <f>IF(HistoricalStockProgress[[#This Row],[No. of Shares]]&lt;&gt;0,HistoricalStockProgress[[#This Row],[Price of Shares]]-HistoricalStockProgress[[#This Row],[Cost of Shares]]/HistoricalStockProgress[[#This Row],[No. of Shares]],0)</f>
        <v>119.52827293181242</v>
      </c>
      <c r="K980" s="17">
        <f>IF(HistoricalStockProgress[[#This Row],[Total Price of Shares]]&lt;&gt;0,HistoricalStockProgress[[#This Row],[Total Price of Shares]]-HistoricalStockProgress[[#This Row],[Cost of Shares]],0)</f>
        <v>9681.7901074768051</v>
      </c>
      <c r="L980" s="34" t="b" cm="1">
        <f t="array" ref="L980">IFERROR(IF(HistoricalStockProgress[[#This Row],[Price of Shares]]="",_xlfn.STOCKHISTORY(HistoricalStockProgress[[#This Row],[Full Company Name]],HistoricalStockProgress[[#This Row],[Date]],,2,0,1)),0)</f>
        <v>0</v>
      </c>
      <c r="M980" s="34">
        <f>YEAR(HistoricalStockProgress[[#This Row],[Date]])</f>
        <v>2021</v>
      </c>
      <c r="N980" s="34">
        <f>MONTH(HistoricalStockProgress[[#This Row],[Date]])</f>
        <v>2</v>
      </c>
    </row>
    <row r="981" spans="2:14">
      <c r="B981" s="15">
        <v>44255</v>
      </c>
      <c r="C981" s="34" t="s">
        <v>91</v>
      </c>
      <c r="D981" s="34" t="e" vm="11">
        <f>_xlfn.XLOOKUP(HistoricalStockProgress[[#This Row],[Company Ticker]],CompanyDetailsList[Company Ticker],CompanyDetailsList[Official Name],,0)</f>
        <v>#VALUE!</v>
      </c>
      <c r="E9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9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981" s="17">
        <f>IFERROR(HistoricalStockProgress[[#This Row],[Cost of Shares]]/HistoricalStockProgress[[#This Row],[No. of Shares]],0)</f>
        <v>100.94993172657422</v>
      </c>
      <c r="H981" s="16" vm="1503">
        <v>232.38</v>
      </c>
      <c r="I981" s="16">
        <f>IF(HistoricalStockProgress[[#This Row],[No. of Shares]]&lt;&gt;0,HistoricalStockProgress[[#This Row],[Price of Shares]]*HistoricalStockProgress[[#This Row],[No. of Shares]],0)</f>
        <v>34159.86</v>
      </c>
      <c r="J981" s="16">
        <f>IF(HistoricalStockProgress[[#This Row],[No. of Shares]]&lt;&gt;0,HistoricalStockProgress[[#This Row],[Price of Shares]]-HistoricalStockProgress[[#This Row],[Cost of Shares]]/HistoricalStockProgress[[#This Row],[No. of Shares]],0)</f>
        <v>131.43006827342577</v>
      </c>
      <c r="K981" s="17">
        <f>IF(HistoricalStockProgress[[#This Row],[Total Price of Shares]]&lt;&gt;0,HistoricalStockProgress[[#This Row],[Total Price of Shares]]-HistoricalStockProgress[[#This Row],[Cost of Shares]],0)</f>
        <v>19320.22003619359</v>
      </c>
      <c r="L981" s="34" t="b" cm="1">
        <f t="array" ref="L981">IFERROR(IF(HistoricalStockProgress[[#This Row],[Price of Shares]]="",_xlfn.STOCKHISTORY(HistoricalStockProgress[[#This Row],[Full Company Name]],HistoricalStockProgress[[#This Row],[Date]],,2,0,1)),0)</f>
        <v>0</v>
      </c>
      <c r="M981" s="34">
        <f>YEAR(HistoricalStockProgress[[#This Row],[Date]])</f>
        <v>2021</v>
      </c>
      <c r="N981" s="34">
        <f>MONTH(HistoricalStockProgress[[#This Row],[Date]])</f>
        <v>2</v>
      </c>
    </row>
    <row r="982" spans="2:14">
      <c r="B982" s="15">
        <v>44255</v>
      </c>
      <c r="C982" s="34" t="s">
        <v>16</v>
      </c>
      <c r="D982" s="34" t="e" vm="12">
        <f>_xlfn.XLOOKUP(HistoricalStockProgress[[#This Row],[Company Ticker]],CompanyDetailsList[Company Ticker],CompanyDetailsList[Official Name],,0)</f>
        <v>#VALUE!</v>
      </c>
      <c r="E9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175</v>
      </c>
      <c r="F9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13287.78699035665</v>
      </c>
      <c r="G982" s="17">
        <f>IFERROR(HistoricalStockProgress[[#This Row],[Cost of Shares]]/HistoricalStockProgress[[#This Row],[No. of Shares]],0)</f>
        <v>75.930211373466577</v>
      </c>
      <c r="H982" s="16" vm="1504">
        <v>54.37</v>
      </c>
      <c r="I982" s="16">
        <f>IF(HistoricalStockProgress[[#This Row],[No. of Shares]]&lt;&gt;0,HistoricalStockProgress[[#This Row],[Price of Shares]]*HistoricalStockProgress[[#This Row],[No. of Shares]],0)</f>
        <v>9514.75</v>
      </c>
      <c r="J982" s="16">
        <f>IF(HistoricalStockProgress[[#This Row],[No. of Shares]]&lt;&gt;0,HistoricalStockProgress[[#This Row],[Price of Shares]]-HistoricalStockProgress[[#This Row],[Cost of Shares]]/HistoricalStockProgress[[#This Row],[No. of Shares]],0)</f>
        <v>-21.560211373466579</v>
      </c>
      <c r="K982" s="17">
        <f>IF(HistoricalStockProgress[[#This Row],[Total Price of Shares]]&lt;&gt;0,HistoricalStockProgress[[#This Row],[Total Price of Shares]]-HistoricalStockProgress[[#This Row],[Cost of Shares]],0)</f>
        <v>-3773.0369903566498</v>
      </c>
      <c r="L982" s="34" t="b" cm="1">
        <f t="array" ref="L982">IFERROR(IF(HistoricalStockProgress[[#This Row],[Price of Shares]]="",_xlfn.STOCKHISTORY(HistoricalStockProgress[[#This Row],[Full Company Name]],HistoricalStockProgress[[#This Row],[Date]],,2,0,1)),0)</f>
        <v>0</v>
      </c>
      <c r="M982" s="34">
        <f>YEAR(HistoricalStockProgress[[#This Row],[Date]])</f>
        <v>2021</v>
      </c>
      <c r="N982" s="34">
        <f>MONTH(HistoricalStockProgress[[#This Row],[Date]])</f>
        <v>2</v>
      </c>
    </row>
    <row r="983" spans="2:14">
      <c r="B983" s="15">
        <v>44255</v>
      </c>
      <c r="C983" s="34" t="s">
        <v>95</v>
      </c>
      <c r="D983" s="34" t="e" vm="13">
        <f>_xlfn.XLOOKUP(HistoricalStockProgress[[#This Row],[Company Ticker]],CompanyDetailsList[Company Ticker],CompanyDetailsList[Official Name],,0)</f>
        <v>#VALUE!</v>
      </c>
      <c r="E9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9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983" s="17">
        <f>IFERROR(HistoricalStockProgress[[#This Row],[Cost of Shares]]/HistoricalStockProgress[[#This Row],[No. of Shares]],0)</f>
        <v>143.29758396474452</v>
      </c>
      <c r="H983" s="16" vm="1505">
        <v>258.33999999999997</v>
      </c>
      <c r="I983" s="16">
        <f>IF(HistoricalStockProgress[[#This Row],[No. of Shares]]&lt;&gt;0,HistoricalStockProgress[[#This Row],[Price of Shares]]*HistoricalStockProgress[[#This Row],[No. of Shares]],0)</f>
        <v>11108.619999999999</v>
      </c>
      <c r="J983" s="16">
        <f>IF(HistoricalStockProgress[[#This Row],[No. of Shares]]&lt;&gt;0,HistoricalStockProgress[[#This Row],[Price of Shares]]-HistoricalStockProgress[[#This Row],[Cost of Shares]]/HistoricalStockProgress[[#This Row],[No. of Shares]],0)</f>
        <v>115.04241603525546</v>
      </c>
      <c r="K983" s="17">
        <f>IF(HistoricalStockProgress[[#This Row],[Total Price of Shares]]&lt;&gt;0,HistoricalStockProgress[[#This Row],[Total Price of Shares]]-HistoricalStockProgress[[#This Row],[Cost of Shares]],0)</f>
        <v>4946.8238895159848</v>
      </c>
      <c r="L983" s="34" t="b" cm="1">
        <f t="array" ref="L983">IFERROR(IF(HistoricalStockProgress[[#This Row],[Price of Shares]]="",_xlfn.STOCKHISTORY(HistoricalStockProgress[[#This Row],[Full Company Name]],HistoricalStockProgress[[#This Row],[Date]],,2,0,1)),0)</f>
        <v>0</v>
      </c>
      <c r="M983" s="34">
        <f>YEAR(HistoricalStockProgress[[#This Row],[Date]])</f>
        <v>2021</v>
      </c>
      <c r="N983" s="34">
        <f>MONTH(HistoricalStockProgress[[#This Row],[Date]])</f>
        <v>2</v>
      </c>
    </row>
    <row r="984" spans="2:14">
      <c r="B984" s="15">
        <v>44255</v>
      </c>
      <c r="C984" s="34" t="s">
        <v>17</v>
      </c>
      <c r="D984" s="34" t="e" vm="14">
        <f>_xlfn.XLOOKUP(HistoricalStockProgress[[#This Row],[Company Ticker]],CompanyDetailsList[Company Ticker],CompanyDetailsList[Official Name],,0)</f>
        <v>#VALUE!</v>
      </c>
      <c r="E9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104</v>
      </c>
      <c r="F9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14850.63547418445</v>
      </c>
      <c r="G984" s="17">
        <f>IFERROR(HistoricalStockProgress[[#This Row],[Cost of Shares]]/HistoricalStockProgress[[#This Row],[No. of Shares]],0)</f>
        <v>142.79457186715817</v>
      </c>
      <c r="H984" s="16" vm="1506">
        <v>118.93</v>
      </c>
      <c r="I984" s="16">
        <f>IF(HistoricalStockProgress[[#This Row],[No. of Shares]]&lt;&gt;0,HistoricalStockProgress[[#This Row],[Price of Shares]]*HistoricalStockProgress[[#This Row],[No. of Shares]],0)</f>
        <v>12368.720000000001</v>
      </c>
      <c r="J984" s="16">
        <f>IF(HistoricalStockProgress[[#This Row],[No. of Shares]]&lt;&gt;0,HistoricalStockProgress[[#This Row],[Price of Shares]]-HistoricalStockProgress[[#This Row],[Cost of Shares]]/HistoricalStockProgress[[#This Row],[No. of Shares]],0)</f>
        <v>-23.864571867158162</v>
      </c>
      <c r="K984" s="17">
        <f>IF(HistoricalStockProgress[[#This Row],[Total Price of Shares]]&lt;&gt;0,HistoricalStockProgress[[#This Row],[Total Price of Shares]]-HistoricalStockProgress[[#This Row],[Cost of Shares]],0)</f>
        <v>-2481.9154741844486</v>
      </c>
      <c r="L984" s="34" t="b" cm="1">
        <f t="array" ref="L984">IFERROR(IF(HistoricalStockProgress[[#This Row],[Price of Shares]]="",_xlfn.STOCKHISTORY(HistoricalStockProgress[[#This Row],[Full Company Name]],HistoricalStockProgress[[#This Row],[Date]],,2,0,1)),0)</f>
        <v>0</v>
      </c>
      <c r="M984" s="34">
        <f>YEAR(HistoricalStockProgress[[#This Row],[Date]])</f>
        <v>2021</v>
      </c>
      <c r="N984" s="34">
        <f>MONTH(HistoricalStockProgress[[#This Row],[Date]])</f>
        <v>2</v>
      </c>
    </row>
    <row r="985" spans="2:14">
      <c r="B985" s="15">
        <v>44255</v>
      </c>
      <c r="C985" s="34" t="s">
        <v>98</v>
      </c>
      <c r="D985" s="34" t="e" vm="15">
        <f>_xlfn.XLOOKUP(HistoricalStockProgress[[#This Row],[Company Ticker]],CompanyDetailsList[Company Ticker],CompanyDetailsList[Official Name],,0)</f>
        <v>#VALUE!</v>
      </c>
      <c r="E9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9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985" s="17">
        <f>IFERROR(HistoricalStockProgress[[#This Row],[Cost of Shares]]/HistoricalStockProgress[[#This Row],[No. of Shares]],0)</f>
        <v>39.627242008882604</v>
      </c>
      <c r="H985" s="16" vm="1507">
        <v>73.48</v>
      </c>
      <c r="I985" s="16">
        <f>IF(HistoricalStockProgress[[#This Row],[No. of Shares]]&lt;&gt;0,HistoricalStockProgress[[#This Row],[Price of Shares]]*HistoricalStockProgress[[#This Row],[No. of Shares]],0)</f>
        <v>5364.04</v>
      </c>
      <c r="J985" s="16">
        <f>IF(HistoricalStockProgress[[#This Row],[No. of Shares]]&lt;&gt;0,HistoricalStockProgress[[#This Row],[Price of Shares]]-HistoricalStockProgress[[#This Row],[Cost of Shares]]/HistoricalStockProgress[[#This Row],[No. of Shares]],0)</f>
        <v>33.8527579911174</v>
      </c>
      <c r="K985" s="17">
        <f>IF(HistoricalStockProgress[[#This Row],[Total Price of Shares]]&lt;&gt;0,HistoricalStockProgress[[#This Row],[Total Price of Shares]]-HistoricalStockProgress[[#This Row],[Cost of Shares]],0)</f>
        <v>2471.2513333515699</v>
      </c>
      <c r="L985" s="34" t="b" cm="1">
        <f t="array" ref="L985">IFERROR(IF(HistoricalStockProgress[[#This Row],[Price of Shares]]="",_xlfn.STOCKHISTORY(HistoricalStockProgress[[#This Row],[Full Company Name]],HistoricalStockProgress[[#This Row],[Date]],,2,0,1)),0)</f>
        <v>0</v>
      </c>
      <c r="M985" s="34">
        <f>YEAR(HistoricalStockProgress[[#This Row],[Date]])</f>
        <v>2021</v>
      </c>
      <c r="N985" s="34">
        <f>MONTH(HistoricalStockProgress[[#This Row],[Date]])</f>
        <v>2</v>
      </c>
    </row>
    <row r="986" spans="2:14">
      <c r="B986" s="15">
        <v>44255</v>
      </c>
      <c r="C986" s="34" t="s">
        <v>100</v>
      </c>
      <c r="D986" s="34" t="e" vm="16">
        <f>_xlfn.XLOOKUP(HistoricalStockProgress[[#This Row],[Company Ticker]],CompanyDetailsList[Company Ticker],CompanyDetailsList[Official Name],,0)</f>
        <v>#VALUE!</v>
      </c>
      <c r="E9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109</v>
      </c>
      <c r="F9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9263.9352759443282</v>
      </c>
      <c r="G986" s="17">
        <f>IFERROR(HistoricalStockProgress[[#This Row],[Cost of Shares]]/HistoricalStockProgress[[#This Row],[No. of Shares]],0)</f>
        <v>84.990231889397506</v>
      </c>
      <c r="H986" s="16" vm="686">
        <v>85.59</v>
      </c>
      <c r="I986" s="16">
        <f>IF(HistoricalStockProgress[[#This Row],[No. of Shares]]&lt;&gt;0,HistoricalStockProgress[[#This Row],[Price of Shares]]*HistoricalStockProgress[[#This Row],[No. of Shares]],0)</f>
        <v>9329.31</v>
      </c>
      <c r="J986" s="16">
        <f>IF(HistoricalStockProgress[[#This Row],[No. of Shares]]&lt;&gt;0,HistoricalStockProgress[[#This Row],[Price of Shares]]-HistoricalStockProgress[[#This Row],[Cost of Shares]]/HistoricalStockProgress[[#This Row],[No. of Shares]],0)</f>
        <v>0.59976811060249702</v>
      </c>
      <c r="K986" s="17">
        <f>IF(HistoricalStockProgress[[#This Row],[Total Price of Shares]]&lt;&gt;0,HistoricalStockProgress[[#This Row],[Total Price of Shares]]-HistoricalStockProgress[[#This Row],[Cost of Shares]],0)</f>
        <v>65.374724055671322</v>
      </c>
      <c r="L986" s="34" t="b" cm="1">
        <f t="array" ref="L986">IFERROR(IF(HistoricalStockProgress[[#This Row],[Price of Shares]]="",_xlfn.STOCKHISTORY(HistoricalStockProgress[[#This Row],[Full Company Name]],HistoricalStockProgress[[#This Row],[Date]],,2,0,1)),0)</f>
        <v>0</v>
      </c>
      <c r="M986" s="34">
        <f>YEAR(HistoricalStockProgress[[#This Row],[Date]])</f>
        <v>2021</v>
      </c>
      <c r="N986" s="34">
        <f>MONTH(HistoricalStockProgress[[#This Row],[Date]])</f>
        <v>2</v>
      </c>
    </row>
    <row r="987" spans="2:14">
      <c r="B987" s="15">
        <v>44255</v>
      </c>
      <c r="C987" s="34" t="s">
        <v>15</v>
      </c>
      <c r="D987" s="34" t="e" vm="17">
        <f>_xlfn.XLOOKUP(HistoricalStockProgress[[#This Row],[Company Ticker]],CompanyDetailsList[Company Ticker],CompanyDetailsList[Official Name],,0)</f>
        <v>#VALUE!</v>
      </c>
      <c r="E9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9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987" s="17">
        <f>IFERROR(HistoricalStockProgress[[#This Row],[Cost of Shares]]/HistoricalStockProgress[[#This Row],[No. of Shares]],0)</f>
        <v>26.081956457072195</v>
      </c>
      <c r="H987" s="16" vm="1508">
        <v>21.062000000000001</v>
      </c>
      <c r="I987" s="16">
        <f>IF(HistoricalStockProgress[[#This Row],[No. of Shares]]&lt;&gt;0,HistoricalStockProgress[[#This Row],[Price of Shares]]*HistoricalStockProgress[[#This Row],[No. of Shares]],0)</f>
        <v>2611.6880000000001</v>
      </c>
      <c r="J987" s="16">
        <f>IF(HistoricalStockProgress[[#This Row],[No. of Shares]]&lt;&gt;0,HistoricalStockProgress[[#This Row],[Price of Shares]]-HistoricalStockProgress[[#This Row],[Cost of Shares]]/HistoricalStockProgress[[#This Row],[No. of Shares]],0)</f>
        <v>-5.019956457072194</v>
      </c>
      <c r="K987" s="17">
        <f>IF(HistoricalStockProgress[[#This Row],[Total Price of Shares]]&lt;&gt;0,HistoricalStockProgress[[#This Row],[Total Price of Shares]]-HistoricalStockProgress[[#This Row],[Cost of Shares]],0)</f>
        <v>-622.47460067695192</v>
      </c>
      <c r="L987" s="34" t="b" cm="1">
        <f t="array" ref="L987">IFERROR(IF(HistoricalStockProgress[[#This Row],[Price of Shares]]="",_xlfn.STOCKHISTORY(HistoricalStockProgress[[#This Row],[Full Company Name]],HistoricalStockProgress[[#This Row],[Date]],,2,0,1)),0)</f>
        <v>0</v>
      </c>
      <c r="M987" s="34">
        <f>YEAR(HistoricalStockProgress[[#This Row],[Date]])</f>
        <v>2021</v>
      </c>
      <c r="N987" s="34">
        <f>MONTH(HistoricalStockProgress[[#This Row],[Date]])</f>
        <v>2</v>
      </c>
    </row>
    <row r="988" spans="2:14">
      <c r="B988" s="15">
        <v>44255</v>
      </c>
      <c r="C988" s="34" t="s">
        <v>13</v>
      </c>
      <c r="D988" s="34" t="e" vm="18">
        <f>_xlfn.XLOOKUP(HistoricalStockProgress[[#This Row],[Company Ticker]],CompanyDetailsList[Company Ticker],CompanyDetailsList[Official Name],,0)</f>
        <v>#VALUE!</v>
      </c>
      <c r="E9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9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988" s="17">
        <f>IFERROR(HistoricalStockProgress[[#This Row],[Cost of Shares]]/HistoricalStockProgress[[#This Row],[No. of Shares]],0)</f>
        <v>35.846938938346874</v>
      </c>
      <c r="H988" s="16" vm="1509">
        <v>33.49</v>
      </c>
      <c r="I988" s="16">
        <f>IF(HistoricalStockProgress[[#This Row],[No. of Shares]]&lt;&gt;0,HistoricalStockProgress[[#This Row],[Price of Shares]]*HistoricalStockProgress[[#This Row],[No. of Shares]],0)</f>
        <v>1841.95</v>
      </c>
      <c r="J988" s="16">
        <f>IF(HistoricalStockProgress[[#This Row],[No. of Shares]]&lt;&gt;0,HistoricalStockProgress[[#This Row],[Price of Shares]]-HistoricalStockProgress[[#This Row],[Cost of Shares]]/HistoricalStockProgress[[#This Row],[No. of Shares]],0)</f>
        <v>-2.3569389383468717</v>
      </c>
      <c r="K988" s="17">
        <f>IF(HistoricalStockProgress[[#This Row],[Total Price of Shares]]&lt;&gt;0,HistoricalStockProgress[[#This Row],[Total Price of Shares]]-HistoricalStockProgress[[#This Row],[Cost of Shares]],0)</f>
        <v>-129.63164160907809</v>
      </c>
      <c r="L988" s="34" t="b" cm="1">
        <f t="array" ref="L988">IFERROR(IF(HistoricalStockProgress[[#This Row],[Price of Shares]]="",_xlfn.STOCKHISTORY(HistoricalStockProgress[[#This Row],[Full Company Name]],HistoricalStockProgress[[#This Row],[Date]],,2,0,1)),0)</f>
        <v>0</v>
      </c>
      <c r="M988" s="34">
        <f>YEAR(HistoricalStockProgress[[#This Row],[Date]])</f>
        <v>2021</v>
      </c>
      <c r="N988" s="34">
        <f>MONTH(HistoricalStockProgress[[#This Row],[Date]])</f>
        <v>2</v>
      </c>
    </row>
    <row r="989" spans="2:14">
      <c r="B989" s="15">
        <v>44255</v>
      </c>
      <c r="C989" s="34" t="s">
        <v>20</v>
      </c>
      <c r="D989" s="34" t="e" vm="19">
        <f>_xlfn.XLOOKUP(HistoricalStockProgress[[#This Row],[Company Ticker]],CompanyDetailsList[Company Ticker],CompanyDetailsList[Official Name],,0)</f>
        <v>#VALUE!</v>
      </c>
      <c r="E9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9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989" s="17">
        <f>IFERROR(HistoricalStockProgress[[#This Row],[Cost of Shares]]/HistoricalStockProgress[[#This Row],[No. of Shares]],0)</f>
        <v>93.912242833589502</v>
      </c>
      <c r="H989" s="16" vm="1510">
        <v>147.16999999999999</v>
      </c>
      <c r="I989" s="16">
        <f>IF(HistoricalStockProgress[[#This Row],[No. of Shares]]&lt;&gt;0,HistoricalStockProgress[[#This Row],[Price of Shares]]*HistoricalStockProgress[[#This Row],[No. of Shares]],0)</f>
        <v>11479.259999999998</v>
      </c>
      <c r="J989" s="16">
        <f>IF(HistoricalStockProgress[[#This Row],[No. of Shares]]&lt;&gt;0,HistoricalStockProgress[[#This Row],[Price of Shares]]-HistoricalStockProgress[[#This Row],[Cost of Shares]]/HistoricalStockProgress[[#This Row],[No. of Shares]],0)</f>
        <v>53.257757166410485</v>
      </c>
      <c r="K989" s="17">
        <f>IF(HistoricalStockProgress[[#This Row],[Total Price of Shares]]&lt;&gt;0,HistoricalStockProgress[[#This Row],[Total Price of Shares]]-HistoricalStockProgress[[#This Row],[Cost of Shares]],0)</f>
        <v>4154.105058980017</v>
      </c>
      <c r="L989" s="34" t="b" cm="1">
        <f t="array" ref="L989">IFERROR(IF(HistoricalStockProgress[[#This Row],[Price of Shares]]="",_xlfn.STOCKHISTORY(HistoricalStockProgress[[#This Row],[Full Company Name]],HistoricalStockProgress[[#This Row],[Date]],,2,0,1)),0)</f>
        <v>0</v>
      </c>
      <c r="M989" s="34">
        <f>YEAR(HistoricalStockProgress[[#This Row],[Date]])</f>
        <v>2021</v>
      </c>
      <c r="N989" s="34">
        <f>MONTH(HistoricalStockProgress[[#This Row],[Date]])</f>
        <v>2</v>
      </c>
    </row>
    <row r="990" spans="2:14">
      <c r="B990" s="15">
        <v>44255</v>
      </c>
      <c r="C990" s="34" t="s">
        <v>106</v>
      </c>
      <c r="D990" s="34" t="e" vm="20">
        <f>_xlfn.XLOOKUP(HistoricalStockProgress[[#This Row],[Company Ticker]],CompanyDetailsList[Company Ticker],CompanyDetailsList[Official Name],,0)</f>
        <v>#VALUE!</v>
      </c>
      <c r="E9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9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990" s="17">
        <f>IFERROR(HistoricalStockProgress[[#This Row],[Cost of Shares]]/HistoricalStockProgress[[#This Row],[No. of Shares]],0)</f>
        <v>108.54870748680406</v>
      </c>
      <c r="H990" s="16" vm="1511">
        <v>134.82</v>
      </c>
      <c r="I990" s="16">
        <f>IF(HistoricalStockProgress[[#This Row],[No. of Shares]]&lt;&gt;0,HistoricalStockProgress[[#This Row],[Price of Shares]]*HistoricalStockProgress[[#This Row],[No. of Shares]],0)</f>
        <v>11864.16</v>
      </c>
      <c r="J990" s="16">
        <f>IF(HistoricalStockProgress[[#This Row],[No. of Shares]]&lt;&gt;0,HistoricalStockProgress[[#This Row],[Price of Shares]]-HistoricalStockProgress[[#This Row],[Cost of Shares]]/HistoricalStockProgress[[#This Row],[No. of Shares]],0)</f>
        <v>26.271292513195931</v>
      </c>
      <c r="K990" s="17">
        <f>IF(HistoricalStockProgress[[#This Row],[Total Price of Shares]]&lt;&gt;0,HistoricalStockProgress[[#This Row],[Total Price of Shares]]-HistoricalStockProgress[[#This Row],[Cost of Shares]],0)</f>
        <v>2311.8737411612419</v>
      </c>
      <c r="L990" s="34" t="b" cm="1">
        <f t="array" ref="L990">IFERROR(IF(HistoricalStockProgress[[#This Row],[Price of Shares]]="",_xlfn.STOCKHISTORY(HistoricalStockProgress[[#This Row],[Full Company Name]],HistoricalStockProgress[[#This Row],[Date]],,2,0,1)),0)</f>
        <v>0</v>
      </c>
      <c r="M990" s="34">
        <f>YEAR(HistoricalStockProgress[[#This Row],[Date]])</f>
        <v>2021</v>
      </c>
      <c r="N990" s="34">
        <f>MONTH(HistoricalStockProgress[[#This Row],[Date]])</f>
        <v>2</v>
      </c>
    </row>
    <row r="991" spans="2:14">
      <c r="B991" s="15">
        <v>44286</v>
      </c>
      <c r="C991" s="34" t="s">
        <v>12</v>
      </c>
      <c r="D991" s="34" t="e" vm="1">
        <f>_xlfn.XLOOKUP(HistoricalStockProgress[[#This Row],[Company Ticker]],CompanyDetailsList[Company Ticker],CompanyDetailsList[Official Name],,0)</f>
        <v>#VALUE!</v>
      </c>
      <c r="E9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9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991" s="17">
        <f>IFERROR(HistoricalStockProgress[[#This Row],[Cost of Shares]]/HistoricalStockProgress[[#This Row],[No. of Shares]],0)</f>
        <v>63.845182519411239</v>
      </c>
      <c r="H991" s="16" vm="1512">
        <v>63.5</v>
      </c>
      <c r="I991" s="16">
        <f>IF(HistoricalStockProgress[[#This Row],[No. of Shares]]&lt;&gt;0,HistoricalStockProgress[[#This Row],[Price of Shares]]*HistoricalStockProgress[[#This Row],[No. of Shares]],0)</f>
        <v>4064</v>
      </c>
      <c r="J991" s="16">
        <f>IF(HistoricalStockProgress[[#This Row],[No. of Shares]]&lt;&gt;0,HistoricalStockProgress[[#This Row],[Price of Shares]]-HistoricalStockProgress[[#This Row],[Cost of Shares]]/HistoricalStockProgress[[#This Row],[No. of Shares]],0)</f>
        <v>-0.34518251941123879</v>
      </c>
      <c r="K991" s="17">
        <f>IF(HistoricalStockProgress[[#This Row],[Total Price of Shares]]&lt;&gt;0,HistoricalStockProgress[[#This Row],[Total Price of Shares]]-HistoricalStockProgress[[#This Row],[Cost of Shares]],0)</f>
        <v>-22.091681242319282</v>
      </c>
      <c r="L991" s="34" t="b" cm="1">
        <f t="array" ref="L991">IFERROR(IF(HistoricalStockProgress[[#This Row],[Price of Shares]]="",_xlfn.STOCKHISTORY(HistoricalStockProgress[[#This Row],[Full Company Name]],HistoricalStockProgress[[#This Row],[Date]],,2,0,1)),0)</f>
        <v>0</v>
      </c>
      <c r="M991" s="34">
        <f>YEAR(HistoricalStockProgress[[#This Row],[Date]])</f>
        <v>2021</v>
      </c>
      <c r="N991" s="34">
        <f>MONTH(HistoricalStockProgress[[#This Row],[Date]])</f>
        <v>3</v>
      </c>
    </row>
    <row r="992" spans="2:14">
      <c r="B992" s="15">
        <v>44286</v>
      </c>
      <c r="C992" s="34" t="s">
        <v>14</v>
      </c>
      <c r="D992" s="34" t="e" vm="2">
        <f>_xlfn.XLOOKUP(HistoricalStockProgress[[#This Row],[Company Ticker]],CompanyDetailsList[Company Ticker],CompanyDetailsList[Official Name],,0)</f>
        <v>#VALUE!</v>
      </c>
      <c r="E9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9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374.08704394110305</v>
      </c>
      <c r="G992" s="17">
        <f>IFERROR(HistoricalStockProgress[[#This Row],[Cost of Shares]]/HistoricalStockProgress[[#This Row],[No. of Shares]],0)</f>
        <v>31.173920328425254</v>
      </c>
      <c r="H992" s="16" vm="1513">
        <v>28.14</v>
      </c>
      <c r="I992" s="16">
        <f>IF(HistoricalStockProgress[[#This Row],[No. of Shares]]&lt;&gt;0,HistoricalStockProgress[[#This Row],[Price of Shares]]*HistoricalStockProgress[[#This Row],[No. of Shares]],0)</f>
        <v>337.68</v>
      </c>
      <c r="J992" s="16">
        <f>IF(HistoricalStockProgress[[#This Row],[No. of Shares]]&lt;&gt;0,HistoricalStockProgress[[#This Row],[Price of Shares]]-HistoricalStockProgress[[#This Row],[Cost of Shares]]/HistoricalStockProgress[[#This Row],[No. of Shares]],0)</f>
        <v>-3.0339203284252534</v>
      </c>
      <c r="K992" s="17">
        <f>IF(HistoricalStockProgress[[#This Row],[Total Price of Shares]]&lt;&gt;0,HistoricalStockProgress[[#This Row],[Total Price of Shares]]-HistoricalStockProgress[[#This Row],[Cost of Shares]],0)</f>
        <v>-36.407043941103041</v>
      </c>
      <c r="L992" s="34" t="b" cm="1">
        <f t="array" ref="L992">IFERROR(IF(HistoricalStockProgress[[#This Row],[Price of Shares]]="",_xlfn.STOCKHISTORY(HistoricalStockProgress[[#This Row],[Full Company Name]],HistoricalStockProgress[[#This Row],[Date]],,2,0,1)),0)</f>
        <v>0</v>
      </c>
      <c r="M992" s="34">
        <f>YEAR(HistoricalStockProgress[[#This Row],[Date]])</f>
        <v>2021</v>
      </c>
      <c r="N992" s="34">
        <f>MONTH(HistoricalStockProgress[[#This Row],[Date]])</f>
        <v>3</v>
      </c>
    </row>
    <row r="993" spans="2:14">
      <c r="B993" s="15">
        <v>44286</v>
      </c>
      <c r="C993" s="34" t="s">
        <v>19</v>
      </c>
      <c r="D993" s="34" t="e" vm="3">
        <f>_xlfn.XLOOKUP(HistoricalStockProgress[[#This Row],[Company Ticker]],CompanyDetailsList[Company Ticker],CompanyDetailsList[Official Name],,0)</f>
        <v>#VALUE!</v>
      </c>
      <c r="E9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9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993" s="17">
        <f>IFERROR(HistoricalStockProgress[[#This Row],[Cost of Shares]]/HistoricalStockProgress[[#This Row],[No. of Shares]],0)</f>
        <v>158.45739987816083</v>
      </c>
      <c r="H993" s="16" vm="1514">
        <v>192.88</v>
      </c>
      <c r="I993" s="16">
        <f>IF(HistoricalStockProgress[[#This Row],[No. of Shares]]&lt;&gt;0,HistoricalStockProgress[[#This Row],[Price of Shares]]*HistoricalStockProgress[[#This Row],[No. of Shares]],0)</f>
        <v>10994.16</v>
      </c>
      <c r="J993" s="16">
        <f>IF(HistoricalStockProgress[[#This Row],[No. of Shares]]&lt;&gt;0,HistoricalStockProgress[[#This Row],[Price of Shares]]-HistoricalStockProgress[[#This Row],[Cost of Shares]]/HistoricalStockProgress[[#This Row],[No. of Shares]],0)</f>
        <v>34.422600121839167</v>
      </c>
      <c r="K993" s="17">
        <f>IF(HistoricalStockProgress[[#This Row],[Total Price of Shares]]&lt;&gt;0,HistoricalStockProgress[[#This Row],[Total Price of Shares]]-HistoricalStockProgress[[#This Row],[Cost of Shares]],0)</f>
        <v>1962.0882069448326</v>
      </c>
      <c r="L993" s="34" t="b" cm="1">
        <f t="array" ref="L993">IFERROR(IF(HistoricalStockProgress[[#This Row],[Price of Shares]]="",_xlfn.STOCKHISTORY(HistoricalStockProgress[[#This Row],[Full Company Name]],HistoricalStockProgress[[#This Row],[Date]],,2,0,1)),0)</f>
        <v>0</v>
      </c>
      <c r="M993" s="34">
        <f>YEAR(HistoricalStockProgress[[#This Row],[Date]])</f>
        <v>2021</v>
      </c>
      <c r="N993" s="34">
        <f>MONTH(HistoricalStockProgress[[#This Row],[Date]])</f>
        <v>3</v>
      </c>
    </row>
    <row r="994" spans="2:14">
      <c r="B994" s="15">
        <v>44286</v>
      </c>
      <c r="C994" s="34" t="s">
        <v>23</v>
      </c>
      <c r="D994" s="34" t="e" vm="4">
        <f>_xlfn.XLOOKUP(HistoricalStockProgress[[#This Row],[Company Ticker]],CompanyDetailsList[Company Ticker],CompanyDetailsList[Official Name],,0)</f>
        <v>#VALUE!</v>
      </c>
      <c r="E9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9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994" s="17">
        <f>IFERROR(HistoricalStockProgress[[#This Row],[Cost of Shares]]/HistoricalStockProgress[[#This Row],[No. of Shares]],0)</f>
        <v>45.768494888570878</v>
      </c>
      <c r="H994" s="16" vm="1515">
        <v>52.71</v>
      </c>
      <c r="I994" s="16">
        <f>IF(HistoricalStockProgress[[#This Row],[No. of Shares]]&lt;&gt;0,HistoricalStockProgress[[#This Row],[Price of Shares]]*HistoricalStockProgress[[#This Row],[No. of Shares]],0)</f>
        <v>3057.18</v>
      </c>
      <c r="J994" s="16">
        <f>IF(HistoricalStockProgress[[#This Row],[No. of Shares]]&lt;&gt;0,HistoricalStockProgress[[#This Row],[Price of Shares]]-HistoricalStockProgress[[#This Row],[Cost of Shares]]/HistoricalStockProgress[[#This Row],[No. of Shares]],0)</f>
        <v>6.9415051114291231</v>
      </c>
      <c r="K994" s="17">
        <f>IF(HistoricalStockProgress[[#This Row],[Total Price of Shares]]&lt;&gt;0,HistoricalStockProgress[[#This Row],[Total Price of Shares]]-HistoricalStockProgress[[#This Row],[Cost of Shares]],0)</f>
        <v>402.60729646288883</v>
      </c>
      <c r="L994" s="34" t="b" cm="1">
        <f t="array" ref="L994">IFERROR(IF(HistoricalStockProgress[[#This Row],[Price of Shares]]="",_xlfn.STOCKHISTORY(HistoricalStockProgress[[#This Row],[Full Company Name]],HistoricalStockProgress[[#This Row],[Date]],,2,0,1)),0)</f>
        <v>0</v>
      </c>
      <c r="M994" s="34">
        <f>YEAR(HistoricalStockProgress[[#This Row],[Date]])</f>
        <v>2021</v>
      </c>
      <c r="N994" s="34">
        <f>MONTH(HistoricalStockProgress[[#This Row],[Date]])</f>
        <v>3</v>
      </c>
    </row>
    <row r="995" spans="2:14">
      <c r="B995" s="15">
        <v>44286</v>
      </c>
      <c r="C995" s="34" t="s">
        <v>18</v>
      </c>
      <c r="D995" s="34" t="e" vm="5">
        <f>_xlfn.XLOOKUP(HistoricalStockProgress[[#This Row],[Company Ticker]],CompanyDetailsList[Company Ticker],CompanyDetailsList[Official Name],,0)</f>
        <v>#VALUE!</v>
      </c>
      <c r="E9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v>
      </c>
      <c r="F9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1322.059549224459</v>
      </c>
      <c r="G995" s="17">
        <f>IFERROR(HistoricalStockProgress[[#This Row],[Cost of Shares]]/HistoricalStockProgress[[#This Row],[No. of Shares]],0)</f>
        <v>132.2059549224459</v>
      </c>
      <c r="H995" s="16" vm="1516">
        <v>141.44999999999999</v>
      </c>
      <c r="I995" s="16">
        <f>IF(HistoricalStockProgress[[#This Row],[No. of Shares]]&lt;&gt;0,HistoricalStockProgress[[#This Row],[Price of Shares]]*HistoricalStockProgress[[#This Row],[No. of Shares]],0)</f>
        <v>1414.5</v>
      </c>
      <c r="J995" s="16">
        <f>IF(HistoricalStockProgress[[#This Row],[No. of Shares]]&lt;&gt;0,HistoricalStockProgress[[#This Row],[Price of Shares]]-HistoricalStockProgress[[#This Row],[Cost of Shares]]/HistoricalStockProgress[[#This Row],[No. of Shares]],0)</f>
        <v>9.244045077554091</v>
      </c>
      <c r="K995" s="17">
        <f>IF(HistoricalStockProgress[[#This Row],[Total Price of Shares]]&lt;&gt;0,HistoricalStockProgress[[#This Row],[Total Price of Shares]]-HistoricalStockProgress[[#This Row],[Cost of Shares]],0)</f>
        <v>92.440450775540967</v>
      </c>
      <c r="L995" s="34" t="b" cm="1">
        <f t="array" ref="L995">IFERROR(IF(HistoricalStockProgress[[#This Row],[Price of Shares]]="",_xlfn.STOCKHISTORY(HistoricalStockProgress[[#This Row],[Full Company Name]],HistoricalStockProgress[[#This Row],[Date]],,2,0,1)),0)</f>
        <v>0</v>
      </c>
      <c r="M995" s="34">
        <f>YEAR(HistoricalStockProgress[[#This Row],[Date]])</f>
        <v>2021</v>
      </c>
      <c r="N995" s="34">
        <f>MONTH(HistoricalStockProgress[[#This Row],[Date]])</f>
        <v>3</v>
      </c>
    </row>
    <row r="996" spans="2:14">
      <c r="B996" s="15">
        <v>44286</v>
      </c>
      <c r="C996" s="34" t="s">
        <v>21</v>
      </c>
      <c r="D996" s="34" t="e" vm="6">
        <f>_xlfn.XLOOKUP(HistoricalStockProgress[[#This Row],[Company Ticker]],CompanyDetailsList[Company Ticker],CompanyDetailsList[Official Name],,0)</f>
        <v>#VALUE!</v>
      </c>
      <c r="E9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9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3654.8914204824332</v>
      </c>
      <c r="G996" s="17">
        <f>IFERROR(HistoricalStockProgress[[#This Row],[Cost of Shares]]/HistoricalStockProgress[[#This Row],[No. of Shares]],0)</f>
        <v>130.53183644580119</v>
      </c>
      <c r="H996" s="16" vm="1517">
        <v>135.43</v>
      </c>
      <c r="I996" s="16">
        <f>IF(HistoricalStockProgress[[#This Row],[No. of Shares]]&lt;&gt;0,HistoricalStockProgress[[#This Row],[Price of Shares]]*HistoricalStockProgress[[#This Row],[No. of Shares]],0)</f>
        <v>3792.04</v>
      </c>
      <c r="J996" s="16">
        <f>IF(HistoricalStockProgress[[#This Row],[No. of Shares]]&lt;&gt;0,HistoricalStockProgress[[#This Row],[Price of Shares]]-HistoricalStockProgress[[#This Row],[Cost of Shares]]/HistoricalStockProgress[[#This Row],[No. of Shares]],0)</f>
        <v>4.8981635541988169</v>
      </c>
      <c r="K996" s="17">
        <f>IF(HistoricalStockProgress[[#This Row],[Total Price of Shares]]&lt;&gt;0,HistoricalStockProgress[[#This Row],[Total Price of Shares]]-HistoricalStockProgress[[#This Row],[Cost of Shares]],0)</f>
        <v>137.14857951756676</v>
      </c>
      <c r="L996" s="34" t="b" cm="1">
        <f t="array" ref="L996">IFERROR(IF(HistoricalStockProgress[[#This Row],[Price of Shares]]="",_xlfn.STOCKHISTORY(HistoricalStockProgress[[#This Row],[Full Company Name]],HistoricalStockProgress[[#This Row],[Date]],,2,0,1)),0)</f>
        <v>0</v>
      </c>
      <c r="M996" s="34">
        <f>YEAR(HistoricalStockProgress[[#This Row],[Date]])</f>
        <v>2021</v>
      </c>
      <c r="N996" s="34">
        <f>MONTH(HistoricalStockProgress[[#This Row],[Date]])</f>
        <v>3</v>
      </c>
    </row>
    <row r="997" spans="2:14">
      <c r="B997" s="15">
        <v>44286</v>
      </c>
      <c r="C997" s="34" t="s">
        <v>84</v>
      </c>
      <c r="D997" s="34" t="e" vm="7">
        <f>_xlfn.XLOOKUP(HistoricalStockProgress[[#This Row],[Company Ticker]],CompanyDetailsList[Company Ticker],CompanyDetailsList[Official Name],,0)</f>
        <v>#VALUE!</v>
      </c>
      <c r="E9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9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997" s="17">
        <f>IFERROR(HistoricalStockProgress[[#This Row],[Cost of Shares]]/HistoricalStockProgress[[#This Row],[No. of Shares]],0)</f>
        <v>104.18087504950869</v>
      </c>
      <c r="H997" s="16" vm="1518">
        <v>164.35</v>
      </c>
      <c r="I997" s="16">
        <f>IF(HistoricalStockProgress[[#This Row],[No. of Shares]]&lt;&gt;0,HistoricalStockProgress[[#This Row],[Price of Shares]]*HistoricalStockProgress[[#This Row],[No. of Shares]],0)</f>
        <v>8381.85</v>
      </c>
      <c r="J997" s="16">
        <f>IF(HistoricalStockProgress[[#This Row],[No. of Shares]]&lt;&gt;0,HistoricalStockProgress[[#This Row],[Price of Shares]]-HistoricalStockProgress[[#This Row],[Cost of Shares]]/HistoricalStockProgress[[#This Row],[No. of Shares]],0)</f>
        <v>60.169124950491309</v>
      </c>
      <c r="K997" s="17">
        <f>IF(HistoricalStockProgress[[#This Row],[Total Price of Shares]]&lt;&gt;0,HistoricalStockProgress[[#This Row],[Total Price of Shares]]-HistoricalStockProgress[[#This Row],[Cost of Shares]],0)</f>
        <v>3068.6253724750577</v>
      </c>
      <c r="L997" s="34" t="b" cm="1">
        <f t="array" ref="L997">IFERROR(IF(HistoricalStockProgress[[#This Row],[Price of Shares]]="",_xlfn.STOCKHISTORY(HistoricalStockProgress[[#This Row],[Full Company Name]],HistoricalStockProgress[[#This Row],[Date]],,2,0,1)),0)</f>
        <v>0</v>
      </c>
      <c r="M997" s="34">
        <f>YEAR(HistoricalStockProgress[[#This Row],[Date]])</f>
        <v>2021</v>
      </c>
      <c r="N997" s="34">
        <f>MONTH(HistoricalStockProgress[[#This Row],[Date]])</f>
        <v>3</v>
      </c>
    </row>
    <row r="998" spans="2:14">
      <c r="B998" s="15">
        <v>44286</v>
      </c>
      <c r="C998" s="34" t="s">
        <v>86</v>
      </c>
      <c r="D998" s="34" t="e" vm="8">
        <f>_xlfn.XLOOKUP(HistoricalStockProgress[[#This Row],[Company Ticker]],CompanyDetailsList[Company Ticker],CompanyDetailsList[Official Name],,0)</f>
        <v>#VALUE!</v>
      </c>
      <c r="E9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9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998" s="17">
        <f>IFERROR(HistoricalStockProgress[[#This Row],[Cost of Shares]]/HistoricalStockProgress[[#This Row],[No. of Shares]],0)</f>
        <v>92.636161128673535</v>
      </c>
      <c r="H998" s="16" vm="1519">
        <v>108.22</v>
      </c>
      <c r="I998" s="16">
        <f>IF(HistoricalStockProgress[[#This Row],[No. of Shares]]&lt;&gt;0,HistoricalStockProgress[[#This Row],[Price of Shares]]*HistoricalStockProgress[[#This Row],[No. of Shares]],0)</f>
        <v>12337.08</v>
      </c>
      <c r="J998" s="16">
        <f>IF(HistoricalStockProgress[[#This Row],[No. of Shares]]&lt;&gt;0,HistoricalStockProgress[[#This Row],[Price of Shares]]-HistoricalStockProgress[[#This Row],[Cost of Shares]]/HistoricalStockProgress[[#This Row],[No. of Shares]],0)</f>
        <v>15.583838871326464</v>
      </c>
      <c r="K998" s="17">
        <f>IF(HistoricalStockProgress[[#This Row],[Total Price of Shares]]&lt;&gt;0,HistoricalStockProgress[[#This Row],[Total Price of Shares]]-HistoricalStockProgress[[#This Row],[Cost of Shares]],0)</f>
        <v>1776.5576313312176</v>
      </c>
      <c r="L998" s="34" t="b" cm="1">
        <f t="array" ref="L998">IFERROR(IF(HistoricalStockProgress[[#This Row],[Price of Shares]]="",_xlfn.STOCKHISTORY(HistoricalStockProgress[[#This Row],[Full Company Name]],HistoricalStockProgress[[#This Row],[Date]],,2,0,1)),0)</f>
        <v>0</v>
      </c>
      <c r="M998" s="34">
        <f>YEAR(HistoricalStockProgress[[#This Row],[Date]])</f>
        <v>2021</v>
      </c>
      <c r="N998" s="34">
        <f>MONTH(HistoricalStockProgress[[#This Row],[Date]])</f>
        <v>3</v>
      </c>
    </row>
    <row r="999" spans="2:14">
      <c r="B999" s="15">
        <v>44286</v>
      </c>
      <c r="C999" s="34" t="s">
        <v>88</v>
      </c>
      <c r="D999" s="34" t="e" vm="9">
        <f>_xlfn.XLOOKUP(HistoricalStockProgress[[#This Row],[Company Ticker]],CompanyDetailsList[Company Ticker],CompanyDetailsList[Official Name],,0)</f>
        <v>#VALUE!</v>
      </c>
      <c r="E9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9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999" s="17">
        <f>IFERROR(HistoricalStockProgress[[#This Row],[Cost of Shares]]/HistoricalStockProgress[[#This Row],[No. of Shares]],0)</f>
        <v>187.727755253422</v>
      </c>
      <c r="H999" s="16" vm="1520">
        <v>224.14</v>
      </c>
      <c r="I999" s="16">
        <f>IF(HistoricalStockProgress[[#This Row],[No. of Shares]]&lt;&gt;0,HistoricalStockProgress[[#This Row],[Price of Shares]]*HistoricalStockProgress[[#This Row],[No. of Shares]],0)</f>
        <v>13224.259999999998</v>
      </c>
      <c r="J999" s="16">
        <f>IF(HistoricalStockProgress[[#This Row],[No. of Shares]]&lt;&gt;0,HistoricalStockProgress[[#This Row],[Price of Shares]]-HistoricalStockProgress[[#This Row],[Cost of Shares]]/HistoricalStockProgress[[#This Row],[No. of Shares]],0)</f>
        <v>36.412244746577983</v>
      </c>
      <c r="K999" s="17">
        <f>IF(HistoricalStockProgress[[#This Row],[Total Price of Shares]]&lt;&gt;0,HistoricalStockProgress[[#This Row],[Total Price of Shares]]-HistoricalStockProgress[[#This Row],[Cost of Shares]],0)</f>
        <v>2148.3224400480995</v>
      </c>
      <c r="L999" s="34" t="b" cm="1">
        <f t="array" ref="L999">IFERROR(IF(HistoricalStockProgress[[#This Row],[Price of Shares]]="",_xlfn.STOCKHISTORY(HistoricalStockProgress[[#This Row],[Full Company Name]],HistoricalStockProgress[[#This Row],[Date]],,2,0,1)),0)</f>
        <v>0</v>
      </c>
      <c r="M999" s="34">
        <f>YEAR(HistoricalStockProgress[[#This Row],[Date]])</f>
        <v>2021</v>
      </c>
      <c r="N999" s="34">
        <f>MONTH(HistoricalStockProgress[[#This Row],[Date]])</f>
        <v>3</v>
      </c>
    </row>
    <row r="1000" spans="2:14">
      <c r="B1000" s="15">
        <v>44286</v>
      </c>
      <c r="C1000" s="34" t="s">
        <v>22</v>
      </c>
      <c r="D1000" s="34" t="e" vm="10">
        <f>_xlfn.XLOOKUP(HistoricalStockProgress[[#This Row],[Company Ticker]],CompanyDetailsList[Company Ticker],CompanyDetailsList[Official Name],,0)</f>
        <v>#VALUE!</v>
      </c>
      <c r="E10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10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1000" s="17">
        <f>IFERROR(HistoricalStockProgress[[#This Row],[Cost of Shares]]/HistoricalStockProgress[[#This Row],[No. of Shares]],0)</f>
        <v>96.351727068187571</v>
      </c>
      <c r="H1000" s="16" vm="1521">
        <v>231.87</v>
      </c>
      <c r="I1000" s="16">
        <f>IF(HistoricalStockProgress[[#This Row],[No. of Shares]]&lt;&gt;0,HistoricalStockProgress[[#This Row],[Price of Shares]]*HistoricalStockProgress[[#This Row],[No. of Shares]],0)</f>
        <v>18781.47</v>
      </c>
      <c r="J1000" s="16">
        <f>IF(HistoricalStockProgress[[#This Row],[No. of Shares]]&lt;&gt;0,HistoricalStockProgress[[#This Row],[Price of Shares]]-HistoricalStockProgress[[#This Row],[Cost of Shares]]/HistoricalStockProgress[[#This Row],[No. of Shares]],0)</f>
        <v>135.51827293181242</v>
      </c>
      <c r="K1000" s="17">
        <f>IF(HistoricalStockProgress[[#This Row],[Total Price of Shares]]&lt;&gt;0,HistoricalStockProgress[[#This Row],[Total Price of Shares]]-HistoricalStockProgress[[#This Row],[Cost of Shares]],0)</f>
        <v>10976.980107476807</v>
      </c>
      <c r="L1000" s="34" t="b" cm="1">
        <f t="array" ref="L1000">IFERROR(IF(HistoricalStockProgress[[#This Row],[Price of Shares]]="",_xlfn.STOCKHISTORY(HistoricalStockProgress[[#This Row],[Full Company Name]],HistoricalStockProgress[[#This Row],[Date]],,2,0,1)),0)</f>
        <v>0</v>
      </c>
      <c r="M1000" s="34">
        <f>YEAR(HistoricalStockProgress[[#This Row],[Date]])</f>
        <v>2021</v>
      </c>
      <c r="N1000" s="34">
        <f>MONTH(HistoricalStockProgress[[#This Row],[Date]])</f>
        <v>3</v>
      </c>
    </row>
    <row r="1001" spans="2:14">
      <c r="B1001" s="15">
        <v>44286</v>
      </c>
      <c r="C1001" s="34" t="s">
        <v>91</v>
      </c>
      <c r="D1001" s="34" t="e" vm="11">
        <f>_xlfn.XLOOKUP(HistoricalStockProgress[[#This Row],[Company Ticker]],CompanyDetailsList[Company Ticker],CompanyDetailsList[Official Name],,0)</f>
        <v>#VALUE!</v>
      </c>
      <c r="E10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10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1001" s="17">
        <f>IFERROR(HistoricalStockProgress[[#This Row],[Cost of Shares]]/HistoricalStockProgress[[#This Row],[No. of Shares]],0)</f>
        <v>100.94993172657422</v>
      </c>
      <c r="H1001" s="16" vm="1522">
        <v>235.77</v>
      </c>
      <c r="I1001" s="16">
        <f>IF(HistoricalStockProgress[[#This Row],[No. of Shares]]&lt;&gt;0,HistoricalStockProgress[[#This Row],[Price of Shares]]*HistoricalStockProgress[[#This Row],[No. of Shares]],0)</f>
        <v>34658.19</v>
      </c>
      <c r="J1001" s="16">
        <f>IF(HistoricalStockProgress[[#This Row],[No. of Shares]]&lt;&gt;0,HistoricalStockProgress[[#This Row],[Price of Shares]]-HistoricalStockProgress[[#This Row],[Cost of Shares]]/HistoricalStockProgress[[#This Row],[No. of Shares]],0)</f>
        <v>134.82006827342579</v>
      </c>
      <c r="K1001" s="17">
        <f>IF(HistoricalStockProgress[[#This Row],[Total Price of Shares]]&lt;&gt;0,HistoricalStockProgress[[#This Row],[Total Price of Shares]]-HistoricalStockProgress[[#This Row],[Cost of Shares]],0)</f>
        <v>19818.550036193592</v>
      </c>
      <c r="L1001" s="34" t="b" cm="1">
        <f t="array" ref="L1001">IFERROR(IF(HistoricalStockProgress[[#This Row],[Price of Shares]]="",_xlfn.STOCKHISTORY(HistoricalStockProgress[[#This Row],[Full Company Name]],HistoricalStockProgress[[#This Row],[Date]],,2,0,1)),0)</f>
        <v>0</v>
      </c>
      <c r="M1001" s="34">
        <f>YEAR(HistoricalStockProgress[[#This Row],[Date]])</f>
        <v>2021</v>
      </c>
      <c r="N1001" s="34">
        <f>MONTH(HistoricalStockProgress[[#This Row],[Date]])</f>
        <v>3</v>
      </c>
    </row>
    <row r="1002" spans="2:14">
      <c r="B1002" s="15">
        <v>44286</v>
      </c>
      <c r="C1002" s="34" t="s">
        <v>16</v>
      </c>
      <c r="D1002" s="34" t="e" vm="12">
        <f>_xlfn.XLOOKUP(HistoricalStockProgress[[#This Row],[Company Ticker]],CompanyDetailsList[Company Ticker],CompanyDetailsList[Official Name],,0)</f>
        <v>#VALUE!</v>
      </c>
      <c r="E10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0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002" s="17">
        <f>IFERROR(HistoricalStockProgress[[#This Row],[Cost of Shares]]/HistoricalStockProgress[[#This Row],[No. of Shares]],0)</f>
        <v>75.117698177311837</v>
      </c>
      <c r="H1002" s="16" vm="1523">
        <v>55.83</v>
      </c>
      <c r="I1002" s="16">
        <f>IF(HistoricalStockProgress[[#This Row],[No. of Shares]]&lt;&gt;0,HistoricalStockProgress[[#This Row],[Price of Shares]]*HistoricalStockProgress[[#This Row],[No. of Shares]],0)</f>
        <v>10328.549999999999</v>
      </c>
      <c r="J1002" s="16">
        <f>IF(HistoricalStockProgress[[#This Row],[No. of Shares]]&lt;&gt;0,HistoricalStockProgress[[#This Row],[Price of Shares]]-HistoricalStockProgress[[#This Row],[Cost of Shares]]/HistoricalStockProgress[[#This Row],[No. of Shares]],0)</f>
        <v>-19.287698177311839</v>
      </c>
      <c r="K1002" s="17">
        <f>IF(HistoricalStockProgress[[#This Row],[Total Price of Shares]]&lt;&gt;0,HistoricalStockProgress[[#This Row],[Total Price of Shares]]-HistoricalStockProgress[[#This Row],[Cost of Shares]],0)</f>
        <v>-3568.2241628026895</v>
      </c>
      <c r="L1002" s="34" t="b" cm="1">
        <f t="array" ref="L1002">IFERROR(IF(HistoricalStockProgress[[#This Row],[Price of Shares]]="",_xlfn.STOCKHISTORY(HistoricalStockProgress[[#This Row],[Full Company Name]],HistoricalStockProgress[[#This Row],[Date]],,2,0,1)),0)</f>
        <v>0</v>
      </c>
      <c r="M1002" s="34">
        <f>YEAR(HistoricalStockProgress[[#This Row],[Date]])</f>
        <v>2021</v>
      </c>
      <c r="N1002" s="34">
        <f>MONTH(HistoricalStockProgress[[#This Row],[Date]])</f>
        <v>3</v>
      </c>
    </row>
    <row r="1003" spans="2:14">
      <c r="B1003" s="15">
        <v>44286</v>
      </c>
      <c r="C1003" s="34" t="s">
        <v>95</v>
      </c>
      <c r="D1003" s="34" t="e" vm="13">
        <f>_xlfn.XLOOKUP(HistoricalStockProgress[[#This Row],[Company Ticker]],CompanyDetailsList[Company Ticker],CompanyDetailsList[Official Name],,0)</f>
        <v>#VALUE!</v>
      </c>
      <c r="E10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0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6161.7961104840142</v>
      </c>
      <c r="G1003" s="17">
        <f>IFERROR(HistoricalStockProgress[[#This Row],[Cost of Shares]]/HistoricalStockProgress[[#This Row],[No. of Shares]],0)</f>
        <v>143.29758396474452</v>
      </c>
      <c r="H1003" s="16" vm="1524">
        <v>305.25</v>
      </c>
      <c r="I1003" s="16">
        <f>IF(HistoricalStockProgress[[#This Row],[No. of Shares]]&lt;&gt;0,HistoricalStockProgress[[#This Row],[Price of Shares]]*HistoricalStockProgress[[#This Row],[No. of Shares]],0)</f>
        <v>13125.75</v>
      </c>
      <c r="J1003" s="16">
        <f>IF(HistoricalStockProgress[[#This Row],[No. of Shares]]&lt;&gt;0,HistoricalStockProgress[[#This Row],[Price of Shares]]-HistoricalStockProgress[[#This Row],[Cost of Shares]]/HistoricalStockProgress[[#This Row],[No. of Shares]],0)</f>
        <v>161.95241603525548</v>
      </c>
      <c r="K1003" s="17">
        <f>IF(HistoricalStockProgress[[#This Row],[Total Price of Shares]]&lt;&gt;0,HistoricalStockProgress[[#This Row],[Total Price of Shares]]-HistoricalStockProgress[[#This Row],[Cost of Shares]],0)</f>
        <v>6963.9538895159858</v>
      </c>
      <c r="L1003" s="34" t="b" cm="1">
        <f t="array" ref="L1003">IFERROR(IF(HistoricalStockProgress[[#This Row],[Price of Shares]]="",_xlfn.STOCKHISTORY(HistoricalStockProgress[[#This Row],[Full Company Name]],HistoricalStockProgress[[#This Row],[Date]],,2,0,1)),0)</f>
        <v>0</v>
      </c>
      <c r="M1003" s="34">
        <f>YEAR(HistoricalStockProgress[[#This Row],[Date]])</f>
        <v>2021</v>
      </c>
      <c r="N1003" s="34">
        <f>MONTH(HistoricalStockProgress[[#This Row],[Date]])</f>
        <v>3</v>
      </c>
    </row>
    <row r="1004" spans="2:14">
      <c r="B1004" s="15">
        <v>44286</v>
      </c>
      <c r="C1004" s="34" t="s">
        <v>17</v>
      </c>
      <c r="D1004" s="34" t="e" vm="14">
        <f>_xlfn.XLOOKUP(HistoricalStockProgress[[#This Row],[Company Ticker]],CompanyDetailsList[Company Ticker],CompanyDetailsList[Official Name],,0)</f>
        <v>#VALUE!</v>
      </c>
      <c r="E10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104</v>
      </c>
      <c r="F10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14850.63547418445</v>
      </c>
      <c r="G1004" s="17">
        <f>IFERROR(HistoricalStockProgress[[#This Row],[Cost of Shares]]/HistoricalStockProgress[[#This Row],[No. of Shares]],0)</f>
        <v>142.79457186715817</v>
      </c>
      <c r="H1004" s="16" vm="1525">
        <v>133.26</v>
      </c>
      <c r="I1004" s="16">
        <f>IF(HistoricalStockProgress[[#This Row],[No. of Shares]]&lt;&gt;0,HistoricalStockProgress[[#This Row],[Price of Shares]]*HistoricalStockProgress[[#This Row],[No. of Shares]],0)</f>
        <v>13859.039999999999</v>
      </c>
      <c r="J1004" s="16">
        <f>IF(HistoricalStockProgress[[#This Row],[No. of Shares]]&lt;&gt;0,HistoricalStockProgress[[#This Row],[Price of Shares]]-HistoricalStockProgress[[#This Row],[Cost of Shares]]/HistoricalStockProgress[[#This Row],[No. of Shares]],0)</f>
        <v>-9.5345718671581778</v>
      </c>
      <c r="K1004" s="17">
        <f>IF(HistoricalStockProgress[[#This Row],[Total Price of Shares]]&lt;&gt;0,HistoricalStockProgress[[#This Row],[Total Price of Shares]]-HistoricalStockProgress[[#This Row],[Cost of Shares]],0)</f>
        <v>-991.59547418445072</v>
      </c>
      <c r="L1004" s="34" t="b" cm="1">
        <f t="array" ref="L1004">IFERROR(IF(HistoricalStockProgress[[#This Row],[Price of Shares]]="",_xlfn.STOCKHISTORY(HistoricalStockProgress[[#This Row],[Full Company Name]],HistoricalStockProgress[[#This Row],[Date]],,2,0,1)),0)</f>
        <v>0</v>
      </c>
      <c r="M1004" s="34">
        <f>YEAR(HistoricalStockProgress[[#This Row],[Date]])</f>
        <v>2021</v>
      </c>
      <c r="N1004" s="34">
        <f>MONTH(HistoricalStockProgress[[#This Row],[Date]])</f>
        <v>3</v>
      </c>
    </row>
    <row r="1005" spans="2:14">
      <c r="B1005" s="15">
        <v>44286</v>
      </c>
      <c r="C1005" s="34" t="s">
        <v>98</v>
      </c>
      <c r="D1005" s="34" t="e" vm="15">
        <f>_xlfn.XLOOKUP(HistoricalStockProgress[[#This Row],[Company Ticker]],CompanyDetailsList[Company Ticker],CompanyDetailsList[Official Name],,0)</f>
        <v>#VALUE!</v>
      </c>
      <c r="E10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10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1005" s="17">
        <f>IFERROR(HistoricalStockProgress[[#This Row],[Cost of Shares]]/HistoricalStockProgress[[#This Row],[No. of Shares]],0)</f>
        <v>39.627242008882604</v>
      </c>
      <c r="H1005" s="16" vm="1526">
        <v>75.61</v>
      </c>
      <c r="I1005" s="16">
        <f>IF(HistoricalStockProgress[[#This Row],[No. of Shares]]&lt;&gt;0,HistoricalStockProgress[[#This Row],[Price of Shares]]*HistoricalStockProgress[[#This Row],[No. of Shares]],0)</f>
        <v>5519.53</v>
      </c>
      <c r="J1005" s="16">
        <f>IF(HistoricalStockProgress[[#This Row],[No. of Shares]]&lt;&gt;0,HistoricalStockProgress[[#This Row],[Price of Shares]]-HistoricalStockProgress[[#This Row],[Cost of Shares]]/HistoricalStockProgress[[#This Row],[No. of Shares]],0)</f>
        <v>35.982757991117396</v>
      </c>
      <c r="K1005" s="17">
        <f>IF(HistoricalStockProgress[[#This Row],[Total Price of Shares]]&lt;&gt;0,HistoricalStockProgress[[#This Row],[Total Price of Shares]]-HistoricalStockProgress[[#This Row],[Cost of Shares]],0)</f>
        <v>2626.7413333515697</v>
      </c>
      <c r="L1005" s="34" t="b" cm="1">
        <f t="array" ref="L1005">IFERROR(IF(HistoricalStockProgress[[#This Row],[Price of Shares]]="",_xlfn.STOCKHISTORY(HistoricalStockProgress[[#This Row],[Full Company Name]],HistoricalStockProgress[[#This Row],[Date]],,2,0,1)),0)</f>
        <v>0</v>
      </c>
      <c r="M1005" s="34">
        <f>YEAR(HistoricalStockProgress[[#This Row],[Date]])</f>
        <v>2021</v>
      </c>
      <c r="N1005" s="34">
        <f>MONTH(HistoricalStockProgress[[#This Row],[Date]])</f>
        <v>3</v>
      </c>
    </row>
    <row r="1006" spans="2:14">
      <c r="B1006" s="15">
        <v>44286</v>
      </c>
      <c r="C1006" s="34" t="s">
        <v>100</v>
      </c>
      <c r="D1006" s="34" t="e" vm="16">
        <f>_xlfn.XLOOKUP(HistoricalStockProgress[[#This Row],[Company Ticker]],CompanyDetailsList[Company Ticker],CompanyDetailsList[Official Name],,0)</f>
        <v>#VALUE!</v>
      </c>
      <c r="E10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10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12257.793853370842</v>
      </c>
      <c r="G1006" s="17">
        <f>IFERROR(HistoricalStockProgress[[#This Row],[Cost of Shares]]/HistoricalStockProgress[[#This Row],[No. of Shares]],0)</f>
        <v>87.555670381220295</v>
      </c>
      <c r="H1006" s="16" vm="493">
        <v>96.53</v>
      </c>
      <c r="I1006" s="16">
        <f>IF(HistoricalStockProgress[[#This Row],[No. of Shares]]&lt;&gt;0,HistoricalStockProgress[[#This Row],[Price of Shares]]*HistoricalStockProgress[[#This Row],[No. of Shares]],0)</f>
        <v>13514.2</v>
      </c>
      <c r="J1006" s="16">
        <f>IF(HistoricalStockProgress[[#This Row],[No. of Shares]]&lt;&gt;0,HistoricalStockProgress[[#This Row],[Price of Shares]]-HistoricalStockProgress[[#This Row],[Cost of Shares]]/HistoricalStockProgress[[#This Row],[No. of Shares]],0)</f>
        <v>8.9743296187797057</v>
      </c>
      <c r="K1006" s="17">
        <f>IF(HistoricalStockProgress[[#This Row],[Total Price of Shares]]&lt;&gt;0,HistoricalStockProgress[[#This Row],[Total Price of Shares]]-HistoricalStockProgress[[#This Row],[Cost of Shares]],0)</f>
        <v>1256.4061466291587</v>
      </c>
      <c r="L1006" s="34" t="b" cm="1">
        <f t="array" ref="L1006">IFERROR(IF(HistoricalStockProgress[[#This Row],[Price of Shares]]="",_xlfn.STOCKHISTORY(HistoricalStockProgress[[#This Row],[Full Company Name]],HistoricalStockProgress[[#This Row],[Date]],,2,0,1)),0)</f>
        <v>0</v>
      </c>
      <c r="M1006" s="34">
        <f>YEAR(HistoricalStockProgress[[#This Row],[Date]])</f>
        <v>2021</v>
      </c>
      <c r="N1006" s="34">
        <f>MONTH(HistoricalStockProgress[[#This Row],[Date]])</f>
        <v>3</v>
      </c>
    </row>
    <row r="1007" spans="2:14">
      <c r="B1007" s="15">
        <v>44286</v>
      </c>
      <c r="C1007" s="34" t="s">
        <v>15</v>
      </c>
      <c r="D1007" s="34" t="e" vm="17">
        <f>_xlfn.XLOOKUP(HistoricalStockProgress[[#This Row],[Company Ticker]],CompanyDetailsList[Company Ticker],CompanyDetailsList[Official Name],,0)</f>
        <v>#VALUE!</v>
      </c>
      <c r="E10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0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007" s="17">
        <f>IFERROR(HistoricalStockProgress[[#This Row],[Cost of Shares]]/HistoricalStockProgress[[#This Row],[No. of Shares]],0)</f>
        <v>26.081956457072195</v>
      </c>
      <c r="H1007" s="16" vm="1527">
        <v>22.859300000000001</v>
      </c>
      <c r="I1007" s="16">
        <f>IF(HistoricalStockProgress[[#This Row],[No. of Shares]]&lt;&gt;0,HistoricalStockProgress[[#This Row],[Price of Shares]]*HistoricalStockProgress[[#This Row],[No. of Shares]],0)</f>
        <v>2834.5532000000003</v>
      </c>
      <c r="J1007" s="16">
        <f>IF(HistoricalStockProgress[[#This Row],[No. of Shares]]&lt;&gt;0,HistoricalStockProgress[[#This Row],[Price of Shares]]-HistoricalStockProgress[[#This Row],[Cost of Shares]]/HistoricalStockProgress[[#This Row],[No. of Shares]],0)</f>
        <v>-3.2226564570721941</v>
      </c>
      <c r="K1007" s="17">
        <f>IF(HistoricalStockProgress[[#This Row],[Total Price of Shares]]&lt;&gt;0,HistoricalStockProgress[[#This Row],[Total Price of Shares]]-HistoricalStockProgress[[#This Row],[Cost of Shares]],0)</f>
        <v>-399.60940067695174</v>
      </c>
      <c r="L1007" s="34" t="b" cm="1">
        <f t="array" ref="L1007">IFERROR(IF(HistoricalStockProgress[[#This Row],[Price of Shares]]="",_xlfn.STOCKHISTORY(HistoricalStockProgress[[#This Row],[Full Company Name]],HistoricalStockProgress[[#This Row],[Date]],,2,0,1)),0)</f>
        <v>0</v>
      </c>
      <c r="M1007" s="34">
        <f>YEAR(HistoricalStockProgress[[#This Row],[Date]])</f>
        <v>2021</v>
      </c>
      <c r="N1007" s="34">
        <f>MONTH(HistoricalStockProgress[[#This Row],[Date]])</f>
        <v>3</v>
      </c>
    </row>
    <row r="1008" spans="2:14">
      <c r="B1008" s="15">
        <v>44286</v>
      </c>
      <c r="C1008" s="34" t="s">
        <v>13</v>
      </c>
      <c r="D1008" s="34" t="e" vm="18">
        <f>_xlfn.XLOOKUP(HistoricalStockProgress[[#This Row],[Company Ticker]],CompanyDetailsList[Company Ticker],CompanyDetailsList[Official Name],,0)</f>
        <v>#VALUE!</v>
      </c>
      <c r="E10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0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008" s="17">
        <f>IFERROR(HistoricalStockProgress[[#This Row],[Cost of Shares]]/HistoricalStockProgress[[#This Row],[No. of Shares]],0)</f>
        <v>35.846938938346874</v>
      </c>
      <c r="H1008" s="16" vm="1528">
        <v>36.229999999999997</v>
      </c>
      <c r="I1008" s="16">
        <f>IF(HistoricalStockProgress[[#This Row],[No. of Shares]]&lt;&gt;0,HistoricalStockProgress[[#This Row],[Price of Shares]]*HistoricalStockProgress[[#This Row],[No. of Shares]],0)</f>
        <v>1992.6499999999999</v>
      </c>
      <c r="J1008" s="16">
        <f>IF(HistoricalStockProgress[[#This Row],[No. of Shares]]&lt;&gt;0,HistoricalStockProgress[[#This Row],[Price of Shares]]-HistoricalStockProgress[[#This Row],[Cost of Shares]]/HistoricalStockProgress[[#This Row],[No. of Shares]],0)</f>
        <v>0.38306106165312315</v>
      </c>
      <c r="K1008" s="17">
        <f>IF(HistoricalStockProgress[[#This Row],[Total Price of Shares]]&lt;&gt;0,HistoricalStockProgress[[#This Row],[Total Price of Shares]]-HistoricalStockProgress[[#This Row],[Cost of Shares]],0)</f>
        <v>21.06835839092173</v>
      </c>
      <c r="L1008" s="34" t="b" cm="1">
        <f t="array" ref="L1008">IFERROR(IF(HistoricalStockProgress[[#This Row],[Price of Shares]]="",_xlfn.STOCKHISTORY(HistoricalStockProgress[[#This Row],[Full Company Name]],HistoricalStockProgress[[#This Row],[Date]],,2,0,1)),0)</f>
        <v>0</v>
      </c>
      <c r="M1008" s="34">
        <f>YEAR(HistoricalStockProgress[[#This Row],[Date]])</f>
        <v>2021</v>
      </c>
      <c r="N1008" s="34">
        <f>MONTH(HistoricalStockProgress[[#This Row],[Date]])</f>
        <v>3</v>
      </c>
    </row>
    <row r="1009" spans="2:14">
      <c r="B1009" s="15">
        <v>44286</v>
      </c>
      <c r="C1009" s="34" t="s">
        <v>20</v>
      </c>
      <c r="D1009" s="34" t="e" vm="19">
        <f>_xlfn.XLOOKUP(HistoricalStockProgress[[#This Row],[Company Ticker]],CompanyDetailsList[Company Ticker],CompanyDetailsList[Official Name],,0)</f>
        <v>#VALUE!</v>
      </c>
      <c r="E10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10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1009" s="17">
        <f>IFERROR(HistoricalStockProgress[[#This Row],[Cost of Shares]]/HistoricalStockProgress[[#This Row],[No. of Shares]],0)</f>
        <v>93.912242833589502</v>
      </c>
      <c r="H1009" s="16" vm="1529">
        <v>152.22999999999999</v>
      </c>
      <c r="I1009" s="16">
        <f>IF(HistoricalStockProgress[[#This Row],[No. of Shares]]&lt;&gt;0,HistoricalStockProgress[[#This Row],[Price of Shares]]*HistoricalStockProgress[[#This Row],[No. of Shares]],0)</f>
        <v>11873.939999999999</v>
      </c>
      <c r="J1009" s="16">
        <f>IF(HistoricalStockProgress[[#This Row],[No. of Shares]]&lt;&gt;0,HistoricalStockProgress[[#This Row],[Price of Shares]]-HistoricalStockProgress[[#This Row],[Cost of Shares]]/HistoricalStockProgress[[#This Row],[No. of Shares]],0)</f>
        <v>58.317757166410487</v>
      </c>
      <c r="K1009" s="17">
        <f>IF(HistoricalStockProgress[[#This Row],[Total Price of Shares]]&lt;&gt;0,HistoricalStockProgress[[#This Row],[Total Price of Shares]]-HistoricalStockProgress[[#This Row],[Cost of Shares]],0)</f>
        <v>4548.7850589800173</v>
      </c>
      <c r="L1009" s="34" t="b" cm="1">
        <f t="array" ref="L1009">IFERROR(IF(HistoricalStockProgress[[#This Row],[Price of Shares]]="",_xlfn.STOCKHISTORY(HistoricalStockProgress[[#This Row],[Full Company Name]],HistoricalStockProgress[[#This Row],[Date]],,2,0,1)),0)</f>
        <v>0</v>
      </c>
      <c r="M1009" s="34">
        <f>YEAR(HistoricalStockProgress[[#This Row],[Date]])</f>
        <v>2021</v>
      </c>
      <c r="N1009" s="34">
        <f>MONTH(HistoricalStockProgress[[#This Row],[Date]])</f>
        <v>3</v>
      </c>
    </row>
    <row r="1010" spans="2:14">
      <c r="B1010" s="15">
        <v>44286</v>
      </c>
      <c r="C1010" s="34" t="s">
        <v>106</v>
      </c>
      <c r="D1010" s="34" t="e" vm="20">
        <f>_xlfn.XLOOKUP(HistoricalStockProgress[[#This Row],[Company Ticker]],CompanyDetailsList[Company Ticker],CompanyDetailsList[Official Name],,0)</f>
        <v>#VALUE!</v>
      </c>
      <c r="E10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0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010" s="17">
        <f>IFERROR(HistoricalStockProgress[[#This Row],[Cost of Shares]]/HistoricalStockProgress[[#This Row],[No. of Shares]],0)</f>
        <v>108.54870748680406</v>
      </c>
      <c r="H1010" s="16" vm="1530">
        <v>150.26</v>
      </c>
      <c r="I1010" s="16">
        <f>IF(HistoricalStockProgress[[#This Row],[No. of Shares]]&lt;&gt;0,HistoricalStockProgress[[#This Row],[Price of Shares]]*HistoricalStockProgress[[#This Row],[No. of Shares]],0)</f>
        <v>13222.88</v>
      </c>
      <c r="J1010" s="16">
        <f>IF(HistoricalStockProgress[[#This Row],[No. of Shares]]&lt;&gt;0,HistoricalStockProgress[[#This Row],[Price of Shares]]-HistoricalStockProgress[[#This Row],[Cost of Shares]]/HistoricalStockProgress[[#This Row],[No. of Shares]],0)</f>
        <v>41.711292513195929</v>
      </c>
      <c r="K1010" s="17">
        <f>IF(HistoricalStockProgress[[#This Row],[Total Price of Shares]]&lt;&gt;0,HistoricalStockProgress[[#This Row],[Total Price of Shares]]-HistoricalStockProgress[[#This Row],[Cost of Shares]],0)</f>
        <v>3670.5937411612413</v>
      </c>
      <c r="L1010" s="34" t="b" cm="1">
        <f t="array" ref="L1010">IFERROR(IF(HistoricalStockProgress[[#This Row],[Price of Shares]]="",_xlfn.STOCKHISTORY(HistoricalStockProgress[[#This Row],[Full Company Name]],HistoricalStockProgress[[#This Row],[Date]],,2,0,1)),0)</f>
        <v>0</v>
      </c>
      <c r="M1010" s="34">
        <f>YEAR(HistoricalStockProgress[[#This Row],[Date]])</f>
        <v>2021</v>
      </c>
      <c r="N1010" s="34">
        <f>MONTH(HistoricalStockProgress[[#This Row],[Date]])</f>
        <v>3</v>
      </c>
    </row>
    <row r="1011" spans="2:14">
      <c r="B1011" s="15">
        <v>44316</v>
      </c>
      <c r="C1011" s="34" t="s">
        <v>12</v>
      </c>
      <c r="D1011" s="34" t="e" vm="1">
        <f>_xlfn.XLOOKUP(HistoricalStockProgress[[#This Row],[Company Ticker]],CompanyDetailsList[Company Ticker],CompanyDetailsList[Official Name],,0)</f>
        <v>#VALUE!</v>
      </c>
      <c r="E10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10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1011" s="17">
        <f>IFERROR(HistoricalStockProgress[[#This Row],[Cost of Shares]]/HistoricalStockProgress[[#This Row],[No. of Shares]],0)</f>
        <v>63.845182519411239</v>
      </c>
      <c r="H1011" s="16" vm="1531">
        <v>69.150000000000006</v>
      </c>
      <c r="I1011" s="16">
        <f>IF(HistoricalStockProgress[[#This Row],[No. of Shares]]&lt;&gt;0,HistoricalStockProgress[[#This Row],[Price of Shares]]*HistoricalStockProgress[[#This Row],[No. of Shares]],0)</f>
        <v>4425.6000000000004</v>
      </c>
      <c r="J1011" s="16">
        <f>IF(HistoricalStockProgress[[#This Row],[No. of Shares]]&lt;&gt;0,HistoricalStockProgress[[#This Row],[Price of Shares]]-HistoricalStockProgress[[#This Row],[Cost of Shares]]/HistoricalStockProgress[[#This Row],[No. of Shares]],0)</f>
        <v>5.3048174805887669</v>
      </c>
      <c r="K1011" s="17">
        <f>IF(HistoricalStockProgress[[#This Row],[Total Price of Shares]]&lt;&gt;0,HistoricalStockProgress[[#This Row],[Total Price of Shares]]-HistoricalStockProgress[[#This Row],[Cost of Shares]],0)</f>
        <v>339.50831875768108</v>
      </c>
      <c r="L1011" s="34" t="b" cm="1">
        <f t="array" ref="L1011">IFERROR(IF(HistoricalStockProgress[[#This Row],[Price of Shares]]="",_xlfn.STOCKHISTORY(HistoricalStockProgress[[#This Row],[Full Company Name]],HistoricalStockProgress[[#This Row],[Date]],,2,0,1)),0)</f>
        <v>0</v>
      </c>
      <c r="M1011" s="34">
        <f>YEAR(HistoricalStockProgress[[#This Row],[Date]])</f>
        <v>2021</v>
      </c>
      <c r="N1011" s="34">
        <f>MONTH(HistoricalStockProgress[[#This Row],[Date]])</f>
        <v>4</v>
      </c>
    </row>
    <row r="1012" spans="2:14">
      <c r="B1012" s="15">
        <v>44316</v>
      </c>
      <c r="C1012" s="34" t="s">
        <v>14</v>
      </c>
      <c r="D1012" s="34" t="e" vm="2">
        <f>_xlfn.XLOOKUP(HistoricalStockProgress[[#This Row],[Company Ticker]],CompanyDetailsList[Company Ticker],CompanyDetailsList[Official Name],,0)</f>
        <v>#VALUE!</v>
      </c>
      <c r="E10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10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374.08704394110305</v>
      </c>
      <c r="G1012" s="17">
        <f>IFERROR(HistoricalStockProgress[[#This Row],[Cost of Shares]]/HistoricalStockProgress[[#This Row],[No. of Shares]],0)</f>
        <v>31.173920328425254</v>
      </c>
      <c r="H1012" s="16" vm="1532">
        <v>28.69</v>
      </c>
      <c r="I1012" s="16">
        <f>IF(HistoricalStockProgress[[#This Row],[No. of Shares]]&lt;&gt;0,HistoricalStockProgress[[#This Row],[Price of Shares]]*HistoricalStockProgress[[#This Row],[No. of Shares]],0)</f>
        <v>344.28000000000003</v>
      </c>
      <c r="J1012" s="16">
        <f>IF(HistoricalStockProgress[[#This Row],[No. of Shares]]&lt;&gt;0,HistoricalStockProgress[[#This Row],[Price of Shares]]-HistoricalStockProgress[[#This Row],[Cost of Shares]]/HistoricalStockProgress[[#This Row],[No. of Shares]],0)</f>
        <v>-2.4839203284252527</v>
      </c>
      <c r="K1012" s="17">
        <f>IF(HistoricalStockProgress[[#This Row],[Total Price of Shares]]&lt;&gt;0,HistoricalStockProgress[[#This Row],[Total Price of Shares]]-HistoricalStockProgress[[#This Row],[Cost of Shares]],0)</f>
        <v>-29.807043941103018</v>
      </c>
      <c r="L1012" s="34" t="b" cm="1">
        <f t="array" ref="L1012">IFERROR(IF(HistoricalStockProgress[[#This Row],[Price of Shares]]="",_xlfn.STOCKHISTORY(HistoricalStockProgress[[#This Row],[Full Company Name]],HistoricalStockProgress[[#This Row],[Date]],,2,0,1)),0)</f>
        <v>0</v>
      </c>
      <c r="M1012" s="34">
        <f>YEAR(HistoricalStockProgress[[#This Row],[Date]])</f>
        <v>2021</v>
      </c>
      <c r="N1012" s="34">
        <f>MONTH(HistoricalStockProgress[[#This Row],[Date]])</f>
        <v>4</v>
      </c>
    </row>
    <row r="1013" spans="2:14">
      <c r="B1013" s="15">
        <v>44316</v>
      </c>
      <c r="C1013" s="34" t="s">
        <v>19</v>
      </c>
      <c r="D1013" s="34" t="e" vm="3">
        <f>_xlfn.XLOOKUP(HistoricalStockProgress[[#This Row],[Company Ticker]],CompanyDetailsList[Company Ticker],CompanyDetailsList[Official Name],,0)</f>
        <v>#VALUE!</v>
      </c>
      <c r="E10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0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013" s="17">
        <f>IFERROR(HistoricalStockProgress[[#This Row],[Cost of Shares]]/HistoricalStockProgress[[#This Row],[No. of Shares]],0)</f>
        <v>158.45739987816083</v>
      </c>
      <c r="H1013" s="16" vm="1533">
        <v>182.5</v>
      </c>
      <c r="I1013" s="16">
        <f>IF(HistoricalStockProgress[[#This Row],[No. of Shares]]&lt;&gt;0,HistoricalStockProgress[[#This Row],[Price of Shares]]*HistoricalStockProgress[[#This Row],[No. of Shares]],0)</f>
        <v>10402.5</v>
      </c>
      <c r="J1013" s="16">
        <f>IF(HistoricalStockProgress[[#This Row],[No. of Shares]]&lt;&gt;0,HistoricalStockProgress[[#This Row],[Price of Shares]]-HistoricalStockProgress[[#This Row],[Cost of Shares]]/HistoricalStockProgress[[#This Row],[No. of Shares]],0)</f>
        <v>24.042600121839172</v>
      </c>
      <c r="K1013" s="17">
        <f>IF(HistoricalStockProgress[[#This Row],[Total Price of Shares]]&lt;&gt;0,HistoricalStockProgress[[#This Row],[Total Price of Shares]]-HistoricalStockProgress[[#This Row],[Cost of Shares]],0)</f>
        <v>1370.4282069448327</v>
      </c>
      <c r="L1013" s="34" t="b" cm="1">
        <f t="array" ref="L1013">IFERROR(IF(HistoricalStockProgress[[#This Row],[Price of Shares]]="",_xlfn.STOCKHISTORY(HistoricalStockProgress[[#This Row],[Full Company Name]],HistoricalStockProgress[[#This Row],[Date]],,2,0,1)),0)</f>
        <v>0</v>
      </c>
      <c r="M1013" s="34">
        <f>YEAR(HistoricalStockProgress[[#This Row],[Date]])</f>
        <v>2021</v>
      </c>
      <c r="N1013" s="34">
        <f>MONTH(HistoricalStockProgress[[#This Row],[Date]])</f>
        <v>4</v>
      </c>
    </row>
    <row r="1014" spans="2:14">
      <c r="B1014" s="15">
        <v>44316</v>
      </c>
      <c r="C1014" s="34" t="s">
        <v>23</v>
      </c>
      <c r="D1014" s="34" t="e" vm="4">
        <f>_xlfn.XLOOKUP(HistoricalStockProgress[[#This Row],[Company Ticker]],CompanyDetailsList[Company Ticker],CompanyDetailsList[Official Name],,0)</f>
        <v>#VALUE!</v>
      </c>
      <c r="E10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10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1014" s="17">
        <f>IFERROR(HistoricalStockProgress[[#This Row],[Cost of Shares]]/HistoricalStockProgress[[#This Row],[No. of Shares]],0)</f>
        <v>45.768494888570878</v>
      </c>
      <c r="H1014" s="16" vm="1534">
        <v>53.98</v>
      </c>
      <c r="I1014" s="16">
        <f>IF(HistoricalStockProgress[[#This Row],[No. of Shares]]&lt;&gt;0,HistoricalStockProgress[[#This Row],[Price of Shares]]*HistoricalStockProgress[[#This Row],[No. of Shares]],0)</f>
        <v>3130.8399999999997</v>
      </c>
      <c r="J1014" s="16">
        <f>IF(HistoricalStockProgress[[#This Row],[No. of Shares]]&lt;&gt;0,HistoricalStockProgress[[#This Row],[Price of Shares]]-HistoricalStockProgress[[#This Row],[Cost of Shares]]/HistoricalStockProgress[[#This Row],[No. of Shares]],0)</f>
        <v>8.2115051114291191</v>
      </c>
      <c r="K1014" s="17">
        <f>IF(HistoricalStockProgress[[#This Row],[Total Price of Shares]]&lt;&gt;0,HistoricalStockProgress[[#This Row],[Total Price of Shares]]-HistoricalStockProgress[[#This Row],[Cost of Shares]],0)</f>
        <v>476.26729646288868</v>
      </c>
      <c r="L1014" s="34" t="b" cm="1">
        <f t="array" ref="L1014">IFERROR(IF(HistoricalStockProgress[[#This Row],[Price of Shares]]="",_xlfn.STOCKHISTORY(HistoricalStockProgress[[#This Row],[Full Company Name]],HistoricalStockProgress[[#This Row],[Date]],,2,0,1)),0)</f>
        <v>0</v>
      </c>
      <c r="M1014" s="34">
        <f>YEAR(HistoricalStockProgress[[#This Row],[Date]])</f>
        <v>2021</v>
      </c>
      <c r="N1014" s="34">
        <f>MONTH(HistoricalStockProgress[[#This Row],[Date]])</f>
        <v>4</v>
      </c>
    </row>
    <row r="1015" spans="2:14">
      <c r="B1015" s="15">
        <v>44316</v>
      </c>
      <c r="C1015" s="34" t="s">
        <v>18</v>
      </c>
      <c r="D1015" s="34" t="e" vm="5">
        <f>_xlfn.XLOOKUP(HistoricalStockProgress[[#This Row],[Company Ticker]],CompanyDetailsList[Company Ticker],CompanyDetailsList[Official Name],,0)</f>
        <v>#VALUE!</v>
      </c>
      <c r="E10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v>
      </c>
      <c r="F10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1322.059549224459</v>
      </c>
      <c r="G1015" s="17">
        <f>IFERROR(HistoricalStockProgress[[#This Row],[Cost of Shares]]/HistoricalStockProgress[[#This Row],[No. of Shares]],0)</f>
        <v>132.2059549224459</v>
      </c>
      <c r="H1015" s="16" vm="1535">
        <v>144.16</v>
      </c>
      <c r="I1015" s="16">
        <f>IF(HistoricalStockProgress[[#This Row],[No. of Shares]]&lt;&gt;0,HistoricalStockProgress[[#This Row],[Price of Shares]]*HistoricalStockProgress[[#This Row],[No. of Shares]],0)</f>
        <v>1441.6</v>
      </c>
      <c r="J1015" s="16">
        <f>IF(HistoricalStockProgress[[#This Row],[No. of Shares]]&lt;&gt;0,HistoricalStockProgress[[#This Row],[Price of Shares]]-HistoricalStockProgress[[#This Row],[Cost of Shares]]/HistoricalStockProgress[[#This Row],[No. of Shares]],0)</f>
        <v>11.954045077554099</v>
      </c>
      <c r="K1015" s="17">
        <f>IF(HistoricalStockProgress[[#This Row],[Total Price of Shares]]&lt;&gt;0,HistoricalStockProgress[[#This Row],[Total Price of Shares]]-HistoricalStockProgress[[#This Row],[Cost of Shares]],0)</f>
        <v>119.54045077554088</v>
      </c>
      <c r="L1015" s="34" t="b" cm="1">
        <f t="array" ref="L1015">IFERROR(IF(HistoricalStockProgress[[#This Row],[Price of Shares]]="",_xlfn.STOCKHISTORY(HistoricalStockProgress[[#This Row],[Full Company Name]],HistoricalStockProgress[[#This Row],[Date]],,2,0,1)),0)</f>
        <v>0</v>
      </c>
      <c r="M1015" s="34">
        <f>YEAR(HistoricalStockProgress[[#This Row],[Date]])</f>
        <v>2021</v>
      </c>
      <c r="N1015" s="34">
        <f>MONTH(HistoricalStockProgress[[#This Row],[Date]])</f>
        <v>4</v>
      </c>
    </row>
    <row r="1016" spans="2:14">
      <c r="B1016" s="15">
        <v>44316</v>
      </c>
      <c r="C1016" s="34" t="s">
        <v>21</v>
      </c>
      <c r="D1016" s="34" t="e" vm="6">
        <f>_xlfn.XLOOKUP(HistoricalStockProgress[[#This Row],[Company Ticker]],CompanyDetailsList[Company Ticker],CompanyDetailsList[Official Name],,0)</f>
        <v>#VALUE!</v>
      </c>
      <c r="E10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0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3654.8914204824332</v>
      </c>
      <c r="G1016" s="17">
        <f>IFERROR(HistoricalStockProgress[[#This Row],[Cost of Shares]]/HistoricalStockProgress[[#This Row],[No. of Shares]],0)</f>
        <v>130.53183644580119</v>
      </c>
      <c r="H1016" s="16" vm="1536">
        <v>133.41999999999999</v>
      </c>
      <c r="I1016" s="16">
        <f>IF(HistoricalStockProgress[[#This Row],[No. of Shares]]&lt;&gt;0,HistoricalStockProgress[[#This Row],[Price of Shares]]*HistoricalStockProgress[[#This Row],[No. of Shares]],0)</f>
        <v>3735.7599999999998</v>
      </c>
      <c r="J1016" s="16">
        <f>IF(HistoricalStockProgress[[#This Row],[No. of Shares]]&lt;&gt;0,HistoricalStockProgress[[#This Row],[Price of Shares]]-HistoricalStockProgress[[#This Row],[Cost of Shares]]/HistoricalStockProgress[[#This Row],[No. of Shares]],0)</f>
        <v>2.8881635541987976</v>
      </c>
      <c r="K1016" s="17">
        <f>IF(HistoricalStockProgress[[#This Row],[Total Price of Shares]]&lt;&gt;0,HistoricalStockProgress[[#This Row],[Total Price of Shares]]-HistoricalStockProgress[[#This Row],[Cost of Shares]],0)</f>
        <v>80.868579517566559</v>
      </c>
      <c r="L1016" s="34" t="b" cm="1">
        <f t="array" ref="L1016">IFERROR(IF(HistoricalStockProgress[[#This Row],[Price of Shares]]="",_xlfn.STOCKHISTORY(HistoricalStockProgress[[#This Row],[Full Company Name]],HistoricalStockProgress[[#This Row],[Date]],,2,0,1)),0)</f>
        <v>0</v>
      </c>
      <c r="M1016" s="34">
        <f>YEAR(HistoricalStockProgress[[#This Row],[Date]])</f>
        <v>2021</v>
      </c>
      <c r="N1016" s="34">
        <f>MONTH(HistoricalStockProgress[[#This Row],[Date]])</f>
        <v>4</v>
      </c>
    </row>
    <row r="1017" spans="2:14">
      <c r="B1017" s="15">
        <v>44316</v>
      </c>
      <c r="C1017" s="34" t="s">
        <v>84</v>
      </c>
      <c r="D1017" s="34" t="e" vm="7">
        <f>_xlfn.XLOOKUP(HistoricalStockProgress[[#This Row],[Company Ticker]],CompanyDetailsList[Company Ticker],CompanyDetailsList[Official Name],,0)</f>
        <v>#VALUE!</v>
      </c>
      <c r="E10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0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017" s="17">
        <f>IFERROR(HistoricalStockProgress[[#This Row],[Cost of Shares]]/HistoricalStockProgress[[#This Row],[No. of Shares]],0)</f>
        <v>104.18087504950869</v>
      </c>
      <c r="H1017" s="16" vm="1537">
        <v>162.72999999999999</v>
      </c>
      <c r="I1017" s="16">
        <f>IF(HistoricalStockProgress[[#This Row],[No. of Shares]]&lt;&gt;0,HistoricalStockProgress[[#This Row],[Price of Shares]]*HistoricalStockProgress[[#This Row],[No. of Shares]],0)</f>
        <v>8299.23</v>
      </c>
      <c r="J1017" s="16">
        <f>IF(HistoricalStockProgress[[#This Row],[No. of Shares]]&lt;&gt;0,HistoricalStockProgress[[#This Row],[Price of Shares]]-HistoricalStockProgress[[#This Row],[Cost of Shares]]/HistoricalStockProgress[[#This Row],[No. of Shares]],0)</f>
        <v>58.549124950491304</v>
      </c>
      <c r="K1017" s="17">
        <f>IF(HistoricalStockProgress[[#This Row],[Total Price of Shares]]&lt;&gt;0,HistoricalStockProgress[[#This Row],[Total Price of Shares]]-HistoricalStockProgress[[#This Row],[Cost of Shares]],0)</f>
        <v>2986.0053724750569</v>
      </c>
      <c r="L1017" s="34" t="b" cm="1">
        <f t="array" ref="L1017">IFERROR(IF(HistoricalStockProgress[[#This Row],[Price of Shares]]="",_xlfn.STOCKHISTORY(HistoricalStockProgress[[#This Row],[Full Company Name]],HistoricalStockProgress[[#This Row],[Date]],,2,0,1)),0)</f>
        <v>0</v>
      </c>
      <c r="M1017" s="34">
        <f>YEAR(HistoricalStockProgress[[#This Row],[Date]])</f>
        <v>2021</v>
      </c>
      <c r="N1017" s="34">
        <f>MONTH(HistoricalStockProgress[[#This Row],[Date]])</f>
        <v>4</v>
      </c>
    </row>
    <row r="1018" spans="2:14">
      <c r="B1018" s="15">
        <v>44316</v>
      </c>
      <c r="C1018" s="34" t="s">
        <v>86</v>
      </c>
      <c r="D1018" s="34" t="e" vm="8">
        <f>_xlfn.XLOOKUP(HistoricalStockProgress[[#This Row],[Company Ticker]],CompanyDetailsList[Company Ticker],CompanyDetailsList[Official Name],,0)</f>
        <v>#VALUE!</v>
      </c>
      <c r="E10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0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018" s="17">
        <f>IFERROR(HistoricalStockProgress[[#This Row],[Cost of Shares]]/HistoricalStockProgress[[#This Row],[No. of Shares]],0)</f>
        <v>92.636161128673535</v>
      </c>
      <c r="H1018" s="16" vm="1538">
        <v>111.5</v>
      </c>
      <c r="I1018" s="16">
        <f>IF(HistoricalStockProgress[[#This Row],[No. of Shares]]&lt;&gt;0,HistoricalStockProgress[[#This Row],[Price of Shares]]*HistoricalStockProgress[[#This Row],[No. of Shares]],0)</f>
        <v>12711</v>
      </c>
      <c r="J1018" s="16">
        <f>IF(HistoricalStockProgress[[#This Row],[No. of Shares]]&lt;&gt;0,HistoricalStockProgress[[#This Row],[Price of Shares]]-HistoricalStockProgress[[#This Row],[Cost of Shares]]/HistoricalStockProgress[[#This Row],[No. of Shares]],0)</f>
        <v>18.863838871326465</v>
      </c>
      <c r="K1018" s="17">
        <f>IF(HistoricalStockProgress[[#This Row],[Total Price of Shares]]&lt;&gt;0,HistoricalStockProgress[[#This Row],[Total Price of Shares]]-HistoricalStockProgress[[#This Row],[Cost of Shares]],0)</f>
        <v>2150.4776313312177</v>
      </c>
      <c r="L1018" s="34" t="b" cm="1">
        <f t="array" ref="L1018">IFERROR(IF(HistoricalStockProgress[[#This Row],[Price of Shares]]="",_xlfn.STOCKHISTORY(HistoricalStockProgress[[#This Row],[Full Company Name]],HistoricalStockProgress[[#This Row],[Date]],,2,0,1)),0)</f>
        <v>0</v>
      </c>
      <c r="M1018" s="34">
        <f>YEAR(HistoricalStockProgress[[#This Row],[Date]])</f>
        <v>2021</v>
      </c>
      <c r="N1018" s="34">
        <f>MONTH(HistoricalStockProgress[[#This Row],[Date]])</f>
        <v>4</v>
      </c>
    </row>
    <row r="1019" spans="2:14">
      <c r="B1019" s="15">
        <v>44316</v>
      </c>
      <c r="C1019" s="34" t="s">
        <v>88</v>
      </c>
      <c r="D1019" s="34" t="e" vm="9">
        <f>_xlfn.XLOOKUP(HistoricalStockProgress[[#This Row],[Company Ticker]],CompanyDetailsList[Company Ticker],CompanyDetailsList[Official Name],,0)</f>
        <v>#VALUE!</v>
      </c>
      <c r="E10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0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019" s="17">
        <f>IFERROR(HistoricalStockProgress[[#This Row],[Cost of Shares]]/HistoricalStockProgress[[#This Row],[No. of Shares]],0)</f>
        <v>187.727755253422</v>
      </c>
      <c r="H1019" s="16" vm="1539">
        <v>236.08</v>
      </c>
      <c r="I1019" s="16">
        <f>IF(HistoricalStockProgress[[#This Row],[No. of Shares]]&lt;&gt;0,HistoricalStockProgress[[#This Row],[Price of Shares]]*HistoricalStockProgress[[#This Row],[No. of Shares]],0)</f>
        <v>13928.720000000001</v>
      </c>
      <c r="J1019" s="16">
        <f>IF(HistoricalStockProgress[[#This Row],[No. of Shares]]&lt;&gt;0,HistoricalStockProgress[[#This Row],[Price of Shares]]-HistoricalStockProgress[[#This Row],[Cost of Shares]]/HistoricalStockProgress[[#This Row],[No. of Shares]],0)</f>
        <v>48.352244746578009</v>
      </c>
      <c r="K1019" s="17">
        <f>IF(HistoricalStockProgress[[#This Row],[Total Price of Shares]]&lt;&gt;0,HistoricalStockProgress[[#This Row],[Total Price of Shares]]-HistoricalStockProgress[[#This Row],[Cost of Shares]],0)</f>
        <v>2852.7824400481022</v>
      </c>
      <c r="L1019" s="34" t="b" cm="1">
        <f t="array" ref="L1019">IFERROR(IF(HistoricalStockProgress[[#This Row],[Price of Shares]]="",_xlfn.STOCKHISTORY(HistoricalStockProgress[[#This Row],[Full Company Name]],HistoricalStockProgress[[#This Row],[Date]],,2,0,1)),0)</f>
        <v>0</v>
      </c>
      <c r="M1019" s="34">
        <f>YEAR(HistoricalStockProgress[[#This Row],[Date]])</f>
        <v>2021</v>
      </c>
      <c r="N1019" s="34">
        <f>MONTH(HistoricalStockProgress[[#This Row],[Date]])</f>
        <v>4</v>
      </c>
    </row>
    <row r="1020" spans="2:14">
      <c r="B1020" s="15">
        <v>44316</v>
      </c>
      <c r="C1020" s="34" t="s">
        <v>22</v>
      </c>
      <c r="D1020" s="34" t="e" vm="10">
        <f>_xlfn.XLOOKUP(HistoricalStockProgress[[#This Row],[Company Ticker]],CompanyDetailsList[Company Ticker],CompanyDetailsList[Official Name],,0)</f>
        <v>#VALUE!</v>
      </c>
      <c r="E10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10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1020" s="17">
        <f>IFERROR(HistoricalStockProgress[[#This Row],[Cost of Shares]]/HistoricalStockProgress[[#This Row],[No. of Shares]],0)</f>
        <v>96.351727068187571</v>
      </c>
      <c r="H1020" s="16" vm="1540">
        <v>228.11</v>
      </c>
      <c r="I1020" s="16">
        <f>IF(HistoricalStockProgress[[#This Row],[No. of Shares]]&lt;&gt;0,HistoricalStockProgress[[#This Row],[Price of Shares]]*HistoricalStockProgress[[#This Row],[No. of Shares]],0)</f>
        <v>18476.91</v>
      </c>
      <c r="J1020" s="16">
        <f>IF(HistoricalStockProgress[[#This Row],[No. of Shares]]&lt;&gt;0,HistoricalStockProgress[[#This Row],[Price of Shares]]-HistoricalStockProgress[[#This Row],[Cost of Shares]]/HistoricalStockProgress[[#This Row],[No. of Shares]],0)</f>
        <v>131.75827293181243</v>
      </c>
      <c r="K1020" s="17">
        <f>IF(HistoricalStockProgress[[#This Row],[Total Price of Shares]]&lt;&gt;0,HistoricalStockProgress[[#This Row],[Total Price of Shares]]-HistoricalStockProgress[[#This Row],[Cost of Shares]],0)</f>
        <v>10672.420107476806</v>
      </c>
      <c r="L1020" s="34" t="b" cm="1">
        <f t="array" ref="L1020">IFERROR(IF(HistoricalStockProgress[[#This Row],[Price of Shares]]="",_xlfn.STOCKHISTORY(HistoricalStockProgress[[#This Row],[Full Company Name]],HistoricalStockProgress[[#This Row],[Date]],,2,0,1)),0)</f>
        <v>0</v>
      </c>
      <c r="M1020" s="34">
        <f>YEAR(HistoricalStockProgress[[#This Row],[Date]])</f>
        <v>2021</v>
      </c>
      <c r="N1020" s="34">
        <f>MONTH(HistoricalStockProgress[[#This Row],[Date]])</f>
        <v>4</v>
      </c>
    </row>
    <row r="1021" spans="2:14">
      <c r="B1021" s="15">
        <v>44316</v>
      </c>
      <c r="C1021" s="34" t="s">
        <v>91</v>
      </c>
      <c r="D1021" s="34" t="e" vm="11">
        <f>_xlfn.XLOOKUP(HistoricalStockProgress[[#This Row],[Company Ticker]],CompanyDetailsList[Company Ticker],CompanyDetailsList[Official Name],,0)</f>
        <v>#VALUE!</v>
      </c>
      <c r="E10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10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1021" s="17">
        <f>IFERROR(HistoricalStockProgress[[#This Row],[Cost of Shares]]/HistoricalStockProgress[[#This Row],[No. of Shares]],0)</f>
        <v>100.94993172657422</v>
      </c>
      <c r="H1021" s="16" vm="1541">
        <v>252.18</v>
      </c>
      <c r="I1021" s="16">
        <f>IF(HistoricalStockProgress[[#This Row],[No. of Shares]]&lt;&gt;0,HistoricalStockProgress[[#This Row],[Price of Shares]]*HistoricalStockProgress[[#This Row],[No. of Shares]],0)</f>
        <v>37070.46</v>
      </c>
      <c r="J1021" s="16">
        <f>IF(HistoricalStockProgress[[#This Row],[No. of Shares]]&lt;&gt;0,HistoricalStockProgress[[#This Row],[Price of Shares]]-HistoricalStockProgress[[#This Row],[Cost of Shares]]/HistoricalStockProgress[[#This Row],[No. of Shares]],0)</f>
        <v>151.23006827342579</v>
      </c>
      <c r="K1021" s="17">
        <f>IF(HistoricalStockProgress[[#This Row],[Total Price of Shares]]&lt;&gt;0,HistoricalStockProgress[[#This Row],[Total Price of Shares]]-HistoricalStockProgress[[#This Row],[Cost of Shares]],0)</f>
        <v>22230.820036193589</v>
      </c>
      <c r="L1021" s="34" t="b" cm="1">
        <f t="array" ref="L1021">IFERROR(IF(HistoricalStockProgress[[#This Row],[Price of Shares]]="",_xlfn.STOCKHISTORY(HistoricalStockProgress[[#This Row],[Full Company Name]],HistoricalStockProgress[[#This Row],[Date]],,2,0,1)),0)</f>
        <v>0</v>
      </c>
      <c r="M1021" s="34">
        <f>YEAR(HistoricalStockProgress[[#This Row],[Date]])</f>
        <v>2021</v>
      </c>
      <c r="N1021" s="34">
        <f>MONTH(HistoricalStockProgress[[#This Row],[Date]])</f>
        <v>4</v>
      </c>
    </row>
    <row r="1022" spans="2:14">
      <c r="B1022" s="15">
        <v>44316</v>
      </c>
      <c r="C1022" s="34" t="s">
        <v>16</v>
      </c>
      <c r="D1022" s="34" t="e" vm="12">
        <f>_xlfn.XLOOKUP(HistoricalStockProgress[[#This Row],[Company Ticker]],CompanyDetailsList[Company Ticker],CompanyDetailsList[Official Name],,0)</f>
        <v>#VALUE!</v>
      </c>
      <c r="E10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0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022" s="17">
        <f>IFERROR(HistoricalStockProgress[[#This Row],[Cost of Shares]]/HistoricalStockProgress[[#This Row],[No. of Shares]],0)</f>
        <v>75.117698177311837</v>
      </c>
      <c r="H1022" s="16" vm="1542">
        <v>57.24</v>
      </c>
      <c r="I1022" s="16">
        <f>IF(HistoricalStockProgress[[#This Row],[No. of Shares]]&lt;&gt;0,HistoricalStockProgress[[#This Row],[Price of Shares]]*HistoricalStockProgress[[#This Row],[No. of Shares]],0)</f>
        <v>10589.4</v>
      </c>
      <c r="J1022" s="16">
        <f>IF(HistoricalStockProgress[[#This Row],[No. of Shares]]&lt;&gt;0,HistoricalStockProgress[[#This Row],[Price of Shares]]-HistoricalStockProgress[[#This Row],[Cost of Shares]]/HistoricalStockProgress[[#This Row],[No. of Shares]],0)</f>
        <v>-17.877698177311835</v>
      </c>
      <c r="K1022" s="17">
        <f>IF(HistoricalStockProgress[[#This Row],[Total Price of Shares]]&lt;&gt;0,HistoricalStockProgress[[#This Row],[Total Price of Shares]]-HistoricalStockProgress[[#This Row],[Cost of Shares]],0)</f>
        <v>-3307.3741628026892</v>
      </c>
      <c r="L1022" s="34" t="b" cm="1">
        <f t="array" ref="L1022">IFERROR(IF(HistoricalStockProgress[[#This Row],[Price of Shares]]="",_xlfn.STOCKHISTORY(HistoricalStockProgress[[#This Row],[Full Company Name]],HistoricalStockProgress[[#This Row],[Date]],,2,0,1)),0)</f>
        <v>0</v>
      </c>
      <c r="M1022" s="34">
        <f>YEAR(HistoricalStockProgress[[#This Row],[Date]])</f>
        <v>2021</v>
      </c>
      <c r="N1022" s="34">
        <f>MONTH(HistoricalStockProgress[[#This Row],[Date]])</f>
        <v>4</v>
      </c>
    </row>
    <row r="1023" spans="2:14">
      <c r="B1023" s="15">
        <v>44316</v>
      </c>
      <c r="C1023" s="34" t="s">
        <v>95</v>
      </c>
      <c r="D1023" s="34" t="e" vm="13">
        <f>_xlfn.XLOOKUP(HistoricalStockProgress[[#This Row],[Company Ticker]],CompanyDetailsList[Company Ticker],CompanyDetailsList[Official Name],,0)</f>
        <v>#VALUE!</v>
      </c>
      <c r="E10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0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10324.055787336294</v>
      </c>
      <c r="G1023" s="17">
        <f>IFERROR(HistoricalStockProgress[[#This Row],[Cost of Shares]]/HistoricalStockProgress[[#This Row],[No. of Shares]],0)</f>
        <v>184.35813905957667</v>
      </c>
      <c r="H1023" s="16" vm="1543">
        <v>323.67</v>
      </c>
      <c r="I1023" s="16">
        <f>IF(HistoricalStockProgress[[#This Row],[No. of Shares]]&lt;&gt;0,HistoricalStockProgress[[#This Row],[Price of Shares]]*HistoricalStockProgress[[#This Row],[No. of Shares]],0)</f>
        <v>18125.52</v>
      </c>
      <c r="J1023" s="16">
        <f>IF(HistoricalStockProgress[[#This Row],[No. of Shares]]&lt;&gt;0,HistoricalStockProgress[[#This Row],[Price of Shares]]-HistoricalStockProgress[[#This Row],[Cost of Shares]]/HistoricalStockProgress[[#This Row],[No. of Shares]],0)</f>
        <v>139.31186094042334</v>
      </c>
      <c r="K1023" s="17">
        <f>IF(HistoricalStockProgress[[#This Row],[Total Price of Shares]]&lt;&gt;0,HistoricalStockProgress[[#This Row],[Total Price of Shares]]-HistoricalStockProgress[[#This Row],[Cost of Shares]],0)</f>
        <v>7801.4642126637063</v>
      </c>
      <c r="L1023" s="34" t="b" cm="1">
        <f t="array" ref="L1023">IFERROR(IF(HistoricalStockProgress[[#This Row],[Price of Shares]]="",_xlfn.STOCKHISTORY(HistoricalStockProgress[[#This Row],[Full Company Name]],HistoricalStockProgress[[#This Row],[Date]],,2,0,1)),0)</f>
        <v>0</v>
      </c>
      <c r="M1023" s="34">
        <f>YEAR(HistoricalStockProgress[[#This Row],[Date]])</f>
        <v>2021</v>
      </c>
      <c r="N1023" s="34">
        <f>MONTH(HistoricalStockProgress[[#This Row],[Date]])</f>
        <v>4</v>
      </c>
    </row>
    <row r="1024" spans="2:14">
      <c r="B1024" s="15">
        <v>44316</v>
      </c>
      <c r="C1024" s="34" t="s">
        <v>17</v>
      </c>
      <c r="D1024" s="34" t="e" vm="14">
        <f>_xlfn.XLOOKUP(HistoricalStockProgress[[#This Row],[Company Ticker]],CompanyDetailsList[Company Ticker],CompanyDetailsList[Official Name],,0)</f>
        <v>#VALUE!</v>
      </c>
      <c r="E10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104</v>
      </c>
      <c r="F10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14850.63547418445</v>
      </c>
      <c r="G1024" s="17">
        <f>IFERROR(HistoricalStockProgress[[#This Row],[Cost of Shares]]/HistoricalStockProgress[[#This Row],[No. of Shares]],0)</f>
        <v>142.79457186715817</v>
      </c>
      <c r="H1024" s="16" vm="1544">
        <v>141.88</v>
      </c>
      <c r="I1024" s="16">
        <f>IF(HistoricalStockProgress[[#This Row],[No. of Shares]]&lt;&gt;0,HistoricalStockProgress[[#This Row],[Price of Shares]]*HistoricalStockProgress[[#This Row],[No. of Shares]],0)</f>
        <v>14755.52</v>
      </c>
      <c r="J1024" s="16">
        <f>IF(HistoricalStockProgress[[#This Row],[No. of Shares]]&lt;&gt;0,HistoricalStockProgress[[#This Row],[Price of Shares]]-HistoricalStockProgress[[#This Row],[Cost of Shares]]/HistoricalStockProgress[[#This Row],[No. of Shares]],0)</f>
        <v>-0.91457186715817329</v>
      </c>
      <c r="K1024" s="17">
        <f>IF(HistoricalStockProgress[[#This Row],[Total Price of Shares]]&lt;&gt;0,HistoricalStockProgress[[#This Row],[Total Price of Shares]]-HistoricalStockProgress[[#This Row],[Cost of Shares]],0)</f>
        <v>-95.11547418444934</v>
      </c>
      <c r="L1024" s="34" t="b" cm="1">
        <f t="array" ref="L1024">IFERROR(IF(HistoricalStockProgress[[#This Row],[Price of Shares]]="",_xlfn.STOCKHISTORY(HistoricalStockProgress[[#This Row],[Full Company Name]],HistoricalStockProgress[[#This Row],[Date]],,2,0,1)),0)</f>
        <v>0</v>
      </c>
      <c r="M1024" s="34">
        <f>YEAR(HistoricalStockProgress[[#This Row],[Date]])</f>
        <v>2021</v>
      </c>
      <c r="N1024" s="34">
        <f>MONTH(HistoricalStockProgress[[#This Row],[Date]])</f>
        <v>4</v>
      </c>
    </row>
    <row r="1025" spans="2:14">
      <c r="B1025" s="15">
        <v>44316</v>
      </c>
      <c r="C1025" s="34" t="s">
        <v>98</v>
      </c>
      <c r="D1025" s="34" t="e" vm="15">
        <f>_xlfn.XLOOKUP(HistoricalStockProgress[[#This Row],[Company Ticker]],CompanyDetailsList[Company Ticker],CompanyDetailsList[Official Name],,0)</f>
        <v>#VALUE!</v>
      </c>
      <c r="E10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73</v>
      </c>
      <c r="F10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2892.7886666484301</v>
      </c>
      <c r="G1025" s="17">
        <f>IFERROR(HistoricalStockProgress[[#This Row],[Cost of Shares]]/HistoricalStockProgress[[#This Row],[No. of Shares]],0)</f>
        <v>39.627242008882604</v>
      </c>
      <c r="H1025" s="16" vm="1545">
        <v>77.510000000000005</v>
      </c>
      <c r="I1025" s="16">
        <f>IF(HistoricalStockProgress[[#This Row],[No. of Shares]]&lt;&gt;0,HistoricalStockProgress[[#This Row],[Price of Shares]]*HistoricalStockProgress[[#This Row],[No. of Shares]],0)</f>
        <v>5658.2300000000005</v>
      </c>
      <c r="J1025" s="16">
        <f>IF(HistoricalStockProgress[[#This Row],[No. of Shares]]&lt;&gt;0,HistoricalStockProgress[[#This Row],[Price of Shares]]-HistoricalStockProgress[[#This Row],[Cost of Shares]]/HistoricalStockProgress[[#This Row],[No. of Shares]],0)</f>
        <v>37.882757991117401</v>
      </c>
      <c r="K1025" s="17">
        <f>IF(HistoricalStockProgress[[#This Row],[Total Price of Shares]]&lt;&gt;0,HistoricalStockProgress[[#This Row],[Total Price of Shares]]-HistoricalStockProgress[[#This Row],[Cost of Shares]],0)</f>
        <v>2765.4413333515704</v>
      </c>
      <c r="L1025" s="34" t="b" cm="1">
        <f t="array" ref="L1025">IFERROR(IF(HistoricalStockProgress[[#This Row],[Price of Shares]]="",_xlfn.STOCKHISTORY(HistoricalStockProgress[[#This Row],[Full Company Name]],HistoricalStockProgress[[#This Row],[Date]],,2,0,1)),0)</f>
        <v>0</v>
      </c>
      <c r="M1025" s="34">
        <f>YEAR(HistoricalStockProgress[[#This Row],[Date]])</f>
        <v>2021</v>
      </c>
      <c r="N1025" s="34">
        <f>MONTH(HistoricalStockProgress[[#This Row],[Date]])</f>
        <v>4</v>
      </c>
    </row>
    <row r="1026" spans="2:14">
      <c r="B1026" s="15">
        <v>44316</v>
      </c>
      <c r="C1026" s="34" t="s">
        <v>100</v>
      </c>
      <c r="D1026" s="34" t="e" vm="16">
        <f>_xlfn.XLOOKUP(HistoricalStockProgress[[#This Row],[Company Ticker]],CompanyDetailsList[Company Ticker],CompanyDetailsList[Official Name],,0)</f>
        <v>#VALUE!</v>
      </c>
      <c r="E10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10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12257.793853370842</v>
      </c>
      <c r="G1026" s="17">
        <f>IFERROR(HistoricalStockProgress[[#This Row],[Cost of Shares]]/HistoricalStockProgress[[#This Row],[No. of Shares]],0)</f>
        <v>87.555670381220295</v>
      </c>
      <c r="H1026" s="16" vm="1546">
        <v>100.69</v>
      </c>
      <c r="I1026" s="16">
        <f>IF(HistoricalStockProgress[[#This Row],[No. of Shares]]&lt;&gt;0,HistoricalStockProgress[[#This Row],[Price of Shares]]*HistoricalStockProgress[[#This Row],[No. of Shares]],0)</f>
        <v>14096.6</v>
      </c>
      <c r="J1026" s="16">
        <f>IF(HistoricalStockProgress[[#This Row],[No. of Shares]]&lt;&gt;0,HistoricalStockProgress[[#This Row],[Price of Shares]]-HistoricalStockProgress[[#This Row],[Cost of Shares]]/HistoricalStockProgress[[#This Row],[No. of Shares]],0)</f>
        <v>13.134329618779702</v>
      </c>
      <c r="K1026" s="17">
        <f>IF(HistoricalStockProgress[[#This Row],[Total Price of Shares]]&lt;&gt;0,HistoricalStockProgress[[#This Row],[Total Price of Shares]]-HistoricalStockProgress[[#This Row],[Cost of Shares]],0)</f>
        <v>1838.8061466291583</v>
      </c>
      <c r="L1026" s="34" t="b" cm="1">
        <f t="array" ref="L1026">IFERROR(IF(HistoricalStockProgress[[#This Row],[Price of Shares]]="",_xlfn.STOCKHISTORY(HistoricalStockProgress[[#This Row],[Full Company Name]],HistoricalStockProgress[[#This Row],[Date]],,2,0,1)),0)</f>
        <v>0</v>
      </c>
      <c r="M1026" s="34">
        <f>YEAR(HistoricalStockProgress[[#This Row],[Date]])</f>
        <v>2021</v>
      </c>
      <c r="N1026" s="34">
        <f>MONTH(HistoricalStockProgress[[#This Row],[Date]])</f>
        <v>4</v>
      </c>
    </row>
    <row r="1027" spans="2:14">
      <c r="B1027" s="15">
        <v>44316</v>
      </c>
      <c r="C1027" s="34" t="s">
        <v>15</v>
      </c>
      <c r="D1027" s="34" t="e" vm="17">
        <f>_xlfn.XLOOKUP(HistoricalStockProgress[[#This Row],[Company Ticker]],CompanyDetailsList[Company Ticker],CompanyDetailsList[Official Name],,0)</f>
        <v>#VALUE!</v>
      </c>
      <c r="E10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0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027" s="17">
        <f>IFERROR(HistoricalStockProgress[[#This Row],[Cost of Shares]]/HistoricalStockProgress[[#This Row],[No. of Shares]],0)</f>
        <v>26.081956457072195</v>
      </c>
      <c r="H1027" s="16" vm="1547">
        <v>23.720199999999998</v>
      </c>
      <c r="I1027" s="16">
        <f>IF(HistoricalStockProgress[[#This Row],[No. of Shares]]&lt;&gt;0,HistoricalStockProgress[[#This Row],[Price of Shares]]*HistoricalStockProgress[[#This Row],[No. of Shares]],0)</f>
        <v>2941.3047999999999</v>
      </c>
      <c r="J1027" s="16">
        <f>IF(HistoricalStockProgress[[#This Row],[No. of Shares]]&lt;&gt;0,HistoricalStockProgress[[#This Row],[Price of Shares]]-HistoricalStockProgress[[#This Row],[Cost of Shares]]/HistoricalStockProgress[[#This Row],[No. of Shares]],0)</f>
        <v>-2.3617564570721967</v>
      </c>
      <c r="K1027" s="17">
        <f>IF(HistoricalStockProgress[[#This Row],[Total Price of Shares]]&lt;&gt;0,HistoricalStockProgress[[#This Row],[Total Price of Shares]]-HistoricalStockProgress[[#This Row],[Cost of Shares]],0)</f>
        <v>-292.85780067695214</v>
      </c>
      <c r="L1027" s="34" t="b" cm="1">
        <f t="array" ref="L1027">IFERROR(IF(HistoricalStockProgress[[#This Row],[Price of Shares]]="",_xlfn.STOCKHISTORY(HistoricalStockProgress[[#This Row],[Full Company Name]],HistoricalStockProgress[[#This Row],[Date]],,2,0,1)),0)</f>
        <v>0</v>
      </c>
      <c r="M1027" s="34">
        <f>YEAR(HistoricalStockProgress[[#This Row],[Date]])</f>
        <v>2021</v>
      </c>
      <c r="N1027" s="34">
        <f>MONTH(HistoricalStockProgress[[#This Row],[Date]])</f>
        <v>4</v>
      </c>
    </row>
    <row r="1028" spans="2:14">
      <c r="B1028" s="15">
        <v>44316</v>
      </c>
      <c r="C1028" s="34" t="s">
        <v>13</v>
      </c>
      <c r="D1028" s="34" t="e" vm="18">
        <f>_xlfn.XLOOKUP(HistoricalStockProgress[[#This Row],[Company Ticker]],CompanyDetailsList[Company Ticker],CompanyDetailsList[Official Name],,0)</f>
        <v>#VALUE!</v>
      </c>
      <c r="E10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0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028" s="17">
        <f>IFERROR(HistoricalStockProgress[[#This Row],[Cost of Shares]]/HistoricalStockProgress[[#This Row],[No. of Shares]],0)</f>
        <v>35.846938938346874</v>
      </c>
      <c r="H1028" s="16" vm="1548">
        <v>38.65</v>
      </c>
      <c r="I1028" s="16">
        <f>IF(HistoricalStockProgress[[#This Row],[No. of Shares]]&lt;&gt;0,HistoricalStockProgress[[#This Row],[Price of Shares]]*HistoricalStockProgress[[#This Row],[No. of Shares]],0)</f>
        <v>2125.75</v>
      </c>
      <c r="J1028" s="16">
        <f>IF(HistoricalStockProgress[[#This Row],[No. of Shares]]&lt;&gt;0,HistoricalStockProgress[[#This Row],[Price of Shares]]-HistoricalStockProgress[[#This Row],[Cost of Shares]]/HistoricalStockProgress[[#This Row],[No. of Shares]],0)</f>
        <v>2.8030610616531249</v>
      </c>
      <c r="K1028" s="17">
        <f>IF(HistoricalStockProgress[[#This Row],[Total Price of Shares]]&lt;&gt;0,HistoricalStockProgress[[#This Row],[Total Price of Shares]]-HistoricalStockProgress[[#This Row],[Cost of Shares]],0)</f>
        <v>154.16835839092187</v>
      </c>
      <c r="L1028" s="34" t="b" cm="1">
        <f t="array" ref="L1028">IFERROR(IF(HistoricalStockProgress[[#This Row],[Price of Shares]]="",_xlfn.STOCKHISTORY(HistoricalStockProgress[[#This Row],[Full Company Name]],HistoricalStockProgress[[#This Row],[Date]],,2,0,1)),0)</f>
        <v>0</v>
      </c>
      <c r="M1028" s="34">
        <f>YEAR(HistoricalStockProgress[[#This Row],[Date]])</f>
        <v>2021</v>
      </c>
      <c r="N1028" s="34">
        <f>MONTH(HistoricalStockProgress[[#This Row],[Date]])</f>
        <v>4</v>
      </c>
    </row>
    <row r="1029" spans="2:14">
      <c r="B1029" s="15">
        <v>44316</v>
      </c>
      <c r="C1029" s="34" t="s">
        <v>20</v>
      </c>
      <c r="D1029" s="34" t="e" vm="19">
        <f>_xlfn.XLOOKUP(HistoricalStockProgress[[#This Row],[Company Ticker]],CompanyDetailsList[Company Ticker],CompanyDetailsList[Official Name],,0)</f>
        <v>#VALUE!</v>
      </c>
      <c r="E10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10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1029" s="17">
        <f>IFERROR(HistoricalStockProgress[[#This Row],[Cost of Shares]]/HistoricalStockProgress[[#This Row],[No. of Shares]],0)</f>
        <v>93.912242833589502</v>
      </c>
      <c r="H1029" s="16" vm="1549">
        <v>153.81</v>
      </c>
      <c r="I1029" s="16">
        <f>IF(HistoricalStockProgress[[#This Row],[No. of Shares]]&lt;&gt;0,HistoricalStockProgress[[#This Row],[Price of Shares]]*HistoricalStockProgress[[#This Row],[No. of Shares]],0)</f>
        <v>11997.18</v>
      </c>
      <c r="J1029" s="16">
        <f>IF(HistoricalStockProgress[[#This Row],[No. of Shares]]&lt;&gt;0,HistoricalStockProgress[[#This Row],[Price of Shares]]-HistoricalStockProgress[[#This Row],[Cost of Shares]]/HistoricalStockProgress[[#This Row],[No. of Shares]],0)</f>
        <v>59.8977571664105</v>
      </c>
      <c r="K1029" s="17">
        <f>IF(HistoricalStockProgress[[#This Row],[Total Price of Shares]]&lt;&gt;0,HistoricalStockProgress[[#This Row],[Total Price of Shares]]-HistoricalStockProgress[[#This Row],[Cost of Shares]],0)</f>
        <v>4672.0250589800189</v>
      </c>
      <c r="L1029" s="34" t="b" cm="1">
        <f t="array" ref="L1029">IFERROR(IF(HistoricalStockProgress[[#This Row],[Price of Shares]]="",_xlfn.STOCKHISTORY(HistoricalStockProgress[[#This Row],[Full Company Name]],HistoricalStockProgress[[#This Row],[Date]],,2,0,1)),0)</f>
        <v>0</v>
      </c>
      <c r="M1029" s="34">
        <f>YEAR(HistoricalStockProgress[[#This Row],[Date]])</f>
        <v>2021</v>
      </c>
      <c r="N1029" s="34">
        <f>MONTH(HistoricalStockProgress[[#This Row],[Date]])</f>
        <v>4</v>
      </c>
    </row>
    <row r="1030" spans="2:14">
      <c r="B1030" s="15">
        <v>44316</v>
      </c>
      <c r="C1030" s="34" t="s">
        <v>106</v>
      </c>
      <c r="D1030" s="34" t="e" vm="20">
        <f>_xlfn.XLOOKUP(HistoricalStockProgress[[#This Row],[Company Ticker]],CompanyDetailsList[Company Ticker],CompanyDetailsList[Official Name],,0)</f>
        <v>#VALUE!</v>
      </c>
      <c r="E10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0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030" s="17">
        <f>IFERROR(HistoricalStockProgress[[#This Row],[Cost of Shares]]/HistoricalStockProgress[[#This Row],[No. of Shares]],0)</f>
        <v>108.54870748680406</v>
      </c>
      <c r="H1030" s="16" vm="1550">
        <v>171.24</v>
      </c>
      <c r="I1030" s="16">
        <f>IF(HistoricalStockProgress[[#This Row],[No. of Shares]]&lt;&gt;0,HistoricalStockProgress[[#This Row],[Price of Shares]]*HistoricalStockProgress[[#This Row],[No. of Shares]],0)</f>
        <v>15069.12</v>
      </c>
      <c r="J1030" s="16">
        <f>IF(HistoricalStockProgress[[#This Row],[No. of Shares]]&lt;&gt;0,HistoricalStockProgress[[#This Row],[Price of Shares]]-HistoricalStockProgress[[#This Row],[Cost of Shares]]/HistoricalStockProgress[[#This Row],[No. of Shares]],0)</f>
        <v>62.691292513195947</v>
      </c>
      <c r="K1030" s="17">
        <f>IF(HistoricalStockProgress[[#This Row],[Total Price of Shares]]&lt;&gt;0,HistoricalStockProgress[[#This Row],[Total Price of Shares]]-HistoricalStockProgress[[#This Row],[Cost of Shares]],0)</f>
        <v>5516.8337411612429</v>
      </c>
      <c r="L1030" s="34" t="b" cm="1">
        <f t="array" ref="L1030">IFERROR(IF(HistoricalStockProgress[[#This Row],[Price of Shares]]="",_xlfn.STOCKHISTORY(HistoricalStockProgress[[#This Row],[Full Company Name]],HistoricalStockProgress[[#This Row],[Date]],,2,0,1)),0)</f>
        <v>0</v>
      </c>
      <c r="M1030" s="34">
        <f>YEAR(HistoricalStockProgress[[#This Row],[Date]])</f>
        <v>2021</v>
      </c>
      <c r="N1030" s="34">
        <f>MONTH(HistoricalStockProgress[[#This Row],[Date]])</f>
        <v>4</v>
      </c>
    </row>
    <row r="1031" spans="2:14">
      <c r="B1031" s="15">
        <v>44347</v>
      </c>
      <c r="C1031" s="34" t="s">
        <v>12</v>
      </c>
      <c r="D1031" s="34" t="e" vm="1">
        <f>_xlfn.XLOOKUP(HistoricalStockProgress[[#This Row],[Company Ticker]],CompanyDetailsList[Company Ticker],CompanyDetailsList[Official Name],,0)</f>
        <v>#VALUE!</v>
      </c>
      <c r="E10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10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1031" s="17">
        <f>IFERROR(HistoricalStockProgress[[#This Row],[Cost of Shares]]/HistoricalStockProgress[[#This Row],[No. of Shares]],0)</f>
        <v>63.845182519411239</v>
      </c>
      <c r="H1031" s="16" vm="1551">
        <v>68.400000000000006</v>
      </c>
      <c r="I1031" s="16">
        <f>IF(HistoricalStockProgress[[#This Row],[No. of Shares]]&lt;&gt;0,HistoricalStockProgress[[#This Row],[Price of Shares]]*HistoricalStockProgress[[#This Row],[No. of Shares]],0)</f>
        <v>4377.6000000000004</v>
      </c>
      <c r="J1031" s="16">
        <f>IF(HistoricalStockProgress[[#This Row],[No. of Shares]]&lt;&gt;0,HistoricalStockProgress[[#This Row],[Price of Shares]]-HistoricalStockProgress[[#This Row],[Cost of Shares]]/HistoricalStockProgress[[#This Row],[No. of Shares]],0)</f>
        <v>4.5548174805887669</v>
      </c>
      <c r="K1031" s="17">
        <f>IF(HistoricalStockProgress[[#This Row],[Total Price of Shares]]&lt;&gt;0,HistoricalStockProgress[[#This Row],[Total Price of Shares]]-HistoricalStockProgress[[#This Row],[Cost of Shares]],0)</f>
        <v>291.50831875768108</v>
      </c>
      <c r="L1031" s="34" t="b" cm="1">
        <f t="array" ref="L1031">IFERROR(IF(HistoricalStockProgress[[#This Row],[Price of Shares]]="",_xlfn.STOCKHISTORY(HistoricalStockProgress[[#This Row],[Full Company Name]],HistoricalStockProgress[[#This Row],[Date]],,2,0,1)),0)</f>
        <v>0</v>
      </c>
      <c r="M1031" s="34">
        <f>YEAR(HistoricalStockProgress[[#This Row],[Date]])</f>
        <v>2021</v>
      </c>
      <c r="N1031" s="34">
        <f>MONTH(HistoricalStockProgress[[#This Row],[Date]])</f>
        <v>5</v>
      </c>
    </row>
    <row r="1032" spans="2:14">
      <c r="B1032" s="15">
        <v>44347</v>
      </c>
      <c r="C1032" s="34" t="s">
        <v>14</v>
      </c>
      <c r="D1032" s="34" t="e" vm="2">
        <f>_xlfn.XLOOKUP(HistoricalStockProgress[[#This Row],[Company Ticker]],CompanyDetailsList[Company Ticker],CompanyDetailsList[Official Name],,0)</f>
        <v>#VALUE!</v>
      </c>
      <c r="E10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10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374.08704394110305</v>
      </c>
      <c r="G1032" s="17">
        <f>IFERROR(HistoricalStockProgress[[#This Row],[Cost of Shares]]/HistoricalStockProgress[[#This Row],[No. of Shares]],0)</f>
        <v>31.173920328425254</v>
      </c>
      <c r="H1032" s="16" vm="1552">
        <v>26.83</v>
      </c>
      <c r="I1032" s="16">
        <f>IF(HistoricalStockProgress[[#This Row],[No. of Shares]]&lt;&gt;0,HistoricalStockProgress[[#This Row],[Price of Shares]]*HistoricalStockProgress[[#This Row],[No. of Shares]],0)</f>
        <v>321.95999999999998</v>
      </c>
      <c r="J1032" s="16">
        <f>IF(HistoricalStockProgress[[#This Row],[No. of Shares]]&lt;&gt;0,HistoricalStockProgress[[#This Row],[Price of Shares]]-HistoricalStockProgress[[#This Row],[Cost of Shares]]/HistoricalStockProgress[[#This Row],[No. of Shares]],0)</f>
        <v>-4.3439203284252557</v>
      </c>
      <c r="K1032" s="17">
        <f>IF(HistoricalStockProgress[[#This Row],[Total Price of Shares]]&lt;&gt;0,HistoricalStockProgress[[#This Row],[Total Price of Shares]]-HistoricalStockProgress[[#This Row],[Cost of Shares]],0)</f>
        <v>-52.127043941103068</v>
      </c>
      <c r="L1032" s="34" t="b" cm="1">
        <f t="array" ref="L1032">IFERROR(IF(HistoricalStockProgress[[#This Row],[Price of Shares]]="",_xlfn.STOCKHISTORY(HistoricalStockProgress[[#This Row],[Full Company Name]],HistoricalStockProgress[[#This Row],[Date]],,2,0,1)),0)</f>
        <v>0</v>
      </c>
      <c r="M1032" s="34">
        <f>YEAR(HistoricalStockProgress[[#This Row],[Date]])</f>
        <v>2021</v>
      </c>
      <c r="N1032" s="34">
        <f>MONTH(HistoricalStockProgress[[#This Row],[Date]])</f>
        <v>5</v>
      </c>
    </row>
    <row r="1033" spans="2:14">
      <c r="B1033" s="15">
        <v>44347</v>
      </c>
      <c r="C1033" s="34" t="s">
        <v>19</v>
      </c>
      <c r="D1033" s="34" t="e" vm="3">
        <f>_xlfn.XLOOKUP(HistoricalStockProgress[[#This Row],[Company Ticker]],CompanyDetailsList[Company Ticker],CompanyDetailsList[Official Name],,0)</f>
        <v>#VALUE!</v>
      </c>
      <c r="E10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0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033" s="17">
        <f>IFERROR(HistoricalStockProgress[[#This Row],[Cost of Shares]]/HistoricalStockProgress[[#This Row],[No. of Shares]],0)</f>
        <v>158.45739987816083</v>
      </c>
      <c r="H1033" s="16" vm="1553">
        <v>176.73</v>
      </c>
      <c r="I1033" s="16">
        <f>IF(HistoricalStockProgress[[#This Row],[No. of Shares]]&lt;&gt;0,HistoricalStockProgress[[#This Row],[Price of Shares]]*HistoricalStockProgress[[#This Row],[No. of Shares]],0)</f>
        <v>10073.609999999999</v>
      </c>
      <c r="J1033" s="16">
        <f>IF(HistoricalStockProgress[[#This Row],[No. of Shares]]&lt;&gt;0,HistoricalStockProgress[[#This Row],[Price of Shares]]-HistoricalStockProgress[[#This Row],[Cost of Shares]]/HistoricalStockProgress[[#This Row],[No. of Shares]],0)</f>
        <v>18.272600121839162</v>
      </c>
      <c r="K1033" s="17">
        <f>IF(HistoricalStockProgress[[#This Row],[Total Price of Shares]]&lt;&gt;0,HistoricalStockProgress[[#This Row],[Total Price of Shares]]-HistoricalStockProgress[[#This Row],[Cost of Shares]],0)</f>
        <v>1041.5382069448315</v>
      </c>
      <c r="L1033" s="34" t="b" cm="1">
        <f t="array" ref="L1033">IFERROR(IF(HistoricalStockProgress[[#This Row],[Price of Shares]]="",_xlfn.STOCKHISTORY(HistoricalStockProgress[[#This Row],[Full Company Name]],HistoricalStockProgress[[#This Row],[Date]],,2,0,1)),0)</f>
        <v>0</v>
      </c>
      <c r="M1033" s="34">
        <f>YEAR(HistoricalStockProgress[[#This Row],[Date]])</f>
        <v>2021</v>
      </c>
      <c r="N1033" s="34">
        <f>MONTH(HistoricalStockProgress[[#This Row],[Date]])</f>
        <v>5</v>
      </c>
    </row>
    <row r="1034" spans="2:14">
      <c r="B1034" s="15">
        <v>44347</v>
      </c>
      <c r="C1034" s="34" t="s">
        <v>23</v>
      </c>
      <c r="D1034" s="34" t="e" vm="4">
        <f>_xlfn.XLOOKUP(HistoricalStockProgress[[#This Row],[Company Ticker]],CompanyDetailsList[Company Ticker],CompanyDetailsList[Official Name],,0)</f>
        <v>#VALUE!</v>
      </c>
      <c r="E10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10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1034" s="17">
        <f>IFERROR(HistoricalStockProgress[[#This Row],[Cost of Shares]]/HistoricalStockProgress[[#This Row],[No. of Shares]],0)</f>
        <v>45.768494888570878</v>
      </c>
      <c r="H1034" s="16" vm="1554">
        <v>55.29</v>
      </c>
      <c r="I1034" s="16">
        <f>IF(HistoricalStockProgress[[#This Row],[No. of Shares]]&lt;&gt;0,HistoricalStockProgress[[#This Row],[Price of Shares]]*HistoricalStockProgress[[#This Row],[No. of Shares]],0)</f>
        <v>3206.82</v>
      </c>
      <c r="J1034" s="16">
        <f>IF(HistoricalStockProgress[[#This Row],[No. of Shares]]&lt;&gt;0,HistoricalStockProgress[[#This Row],[Price of Shares]]-HistoricalStockProgress[[#This Row],[Cost of Shares]]/HistoricalStockProgress[[#This Row],[No. of Shares]],0)</f>
        <v>9.5215051114291214</v>
      </c>
      <c r="K1034" s="17">
        <f>IF(HistoricalStockProgress[[#This Row],[Total Price of Shares]]&lt;&gt;0,HistoricalStockProgress[[#This Row],[Total Price of Shares]]-HistoricalStockProgress[[#This Row],[Cost of Shares]],0)</f>
        <v>552.24729646288915</v>
      </c>
      <c r="L1034" s="34" t="b" cm="1">
        <f t="array" ref="L1034">IFERROR(IF(HistoricalStockProgress[[#This Row],[Price of Shares]]="",_xlfn.STOCKHISTORY(HistoricalStockProgress[[#This Row],[Full Company Name]],HistoricalStockProgress[[#This Row],[Date]],,2,0,1)),0)</f>
        <v>0</v>
      </c>
      <c r="M1034" s="34">
        <f>YEAR(HistoricalStockProgress[[#This Row],[Date]])</f>
        <v>2021</v>
      </c>
      <c r="N1034" s="34">
        <f>MONTH(HistoricalStockProgress[[#This Row],[Date]])</f>
        <v>5</v>
      </c>
    </row>
    <row r="1035" spans="2:14">
      <c r="B1035" s="15">
        <v>44347</v>
      </c>
      <c r="C1035" s="34" t="s">
        <v>18</v>
      </c>
      <c r="D1035" s="34" t="e" vm="5">
        <f>_xlfn.XLOOKUP(HistoricalStockProgress[[#This Row],[Company Ticker]],CompanyDetailsList[Company Ticker],CompanyDetailsList[Official Name],,0)</f>
        <v>#VALUE!</v>
      </c>
      <c r="E10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v>
      </c>
      <c r="F10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1322.059549224459</v>
      </c>
      <c r="G1035" s="17">
        <f>IFERROR(HistoricalStockProgress[[#This Row],[Cost of Shares]]/HistoricalStockProgress[[#This Row],[No. of Shares]],0)</f>
        <v>132.2059549224459</v>
      </c>
      <c r="H1035" s="16" vm="1555">
        <v>147.94</v>
      </c>
      <c r="I1035" s="16">
        <f>IF(HistoricalStockProgress[[#This Row],[No. of Shares]]&lt;&gt;0,HistoricalStockProgress[[#This Row],[Price of Shares]]*HistoricalStockProgress[[#This Row],[No. of Shares]],0)</f>
        <v>1479.4</v>
      </c>
      <c r="J1035" s="16">
        <f>IF(HistoricalStockProgress[[#This Row],[No. of Shares]]&lt;&gt;0,HistoricalStockProgress[[#This Row],[Price of Shares]]-HistoricalStockProgress[[#This Row],[Cost of Shares]]/HistoricalStockProgress[[#This Row],[No. of Shares]],0)</f>
        <v>15.7340450775541</v>
      </c>
      <c r="K1035" s="17">
        <f>IF(HistoricalStockProgress[[#This Row],[Total Price of Shares]]&lt;&gt;0,HistoricalStockProgress[[#This Row],[Total Price of Shares]]-HistoricalStockProgress[[#This Row],[Cost of Shares]],0)</f>
        <v>157.34045077554106</v>
      </c>
      <c r="L1035" s="34" t="b" cm="1">
        <f t="array" ref="L1035">IFERROR(IF(HistoricalStockProgress[[#This Row],[Price of Shares]]="",_xlfn.STOCKHISTORY(HistoricalStockProgress[[#This Row],[Full Company Name]],HistoricalStockProgress[[#This Row],[Date]],,2,0,1)),0)</f>
        <v>0</v>
      </c>
      <c r="M1035" s="34">
        <f>YEAR(HistoricalStockProgress[[#This Row],[Date]])</f>
        <v>2021</v>
      </c>
      <c r="N1035" s="34">
        <f>MONTH(HistoricalStockProgress[[#This Row],[Date]])</f>
        <v>5</v>
      </c>
    </row>
    <row r="1036" spans="2:14">
      <c r="B1036" s="15">
        <v>44347</v>
      </c>
      <c r="C1036" s="34" t="s">
        <v>21</v>
      </c>
      <c r="D1036" s="34" t="e" vm="6">
        <f>_xlfn.XLOOKUP(HistoricalStockProgress[[#This Row],[Company Ticker]],CompanyDetailsList[Company Ticker],CompanyDetailsList[Official Name],,0)</f>
        <v>#VALUE!</v>
      </c>
      <c r="E10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0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3654.8914204824332</v>
      </c>
      <c r="G1036" s="17">
        <f>IFERROR(HistoricalStockProgress[[#This Row],[Cost of Shares]]/HistoricalStockProgress[[#This Row],[No. of Shares]],0)</f>
        <v>130.53183644580119</v>
      </c>
      <c r="H1036" s="16" vm="1556">
        <v>134.85</v>
      </c>
      <c r="I1036" s="16">
        <f>IF(HistoricalStockProgress[[#This Row],[No. of Shares]]&lt;&gt;0,HistoricalStockProgress[[#This Row],[Price of Shares]]*HistoricalStockProgress[[#This Row],[No. of Shares]],0)</f>
        <v>3775.7999999999997</v>
      </c>
      <c r="J1036" s="16">
        <f>IF(HistoricalStockProgress[[#This Row],[No. of Shares]]&lt;&gt;0,HistoricalStockProgress[[#This Row],[Price of Shares]]-HistoricalStockProgress[[#This Row],[Cost of Shares]]/HistoricalStockProgress[[#This Row],[No. of Shares]],0)</f>
        <v>4.3181635541988044</v>
      </c>
      <c r="K1036" s="17">
        <f>IF(HistoricalStockProgress[[#This Row],[Total Price of Shares]]&lt;&gt;0,HistoricalStockProgress[[#This Row],[Total Price of Shares]]-HistoricalStockProgress[[#This Row],[Cost of Shares]],0)</f>
        <v>120.90857951756652</v>
      </c>
      <c r="L1036" s="34" t="b" cm="1">
        <f t="array" ref="L1036">IFERROR(IF(HistoricalStockProgress[[#This Row],[Price of Shares]]="",_xlfn.STOCKHISTORY(HistoricalStockProgress[[#This Row],[Full Company Name]],HistoricalStockProgress[[#This Row],[Date]],,2,0,1)),0)</f>
        <v>0</v>
      </c>
      <c r="M1036" s="34">
        <f>YEAR(HistoricalStockProgress[[#This Row],[Date]])</f>
        <v>2021</v>
      </c>
      <c r="N1036" s="34">
        <f>MONTH(HistoricalStockProgress[[#This Row],[Date]])</f>
        <v>5</v>
      </c>
    </row>
    <row r="1037" spans="2:14">
      <c r="B1037" s="15">
        <v>44347</v>
      </c>
      <c r="C1037" s="34" t="s">
        <v>84</v>
      </c>
      <c r="D1037" s="34" t="e" vm="7">
        <f>_xlfn.XLOOKUP(HistoricalStockProgress[[#This Row],[Company Ticker]],CompanyDetailsList[Company Ticker],CompanyDetailsList[Official Name],,0)</f>
        <v>#VALUE!</v>
      </c>
      <c r="E10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0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037" s="17">
        <f>IFERROR(HistoricalStockProgress[[#This Row],[Cost of Shares]]/HistoricalStockProgress[[#This Row],[No. of Shares]],0)</f>
        <v>104.18087504950869</v>
      </c>
      <c r="H1037" s="16" vm="1557">
        <v>169.25</v>
      </c>
      <c r="I1037" s="16">
        <f>IF(HistoricalStockProgress[[#This Row],[No. of Shares]]&lt;&gt;0,HistoricalStockProgress[[#This Row],[Price of Shares]]*HistoricalStockProgress[[#This Row],[No. of Shares]],0)</f>
        <v>8631.75</v>
      </c>
      <c r="J1037" s="16">
        <f>IF(HistoricalStockProgress[[#This Row],[No. of Shares]]&lt;&gt;0,HistoricalStockProgress[[#This Row],[Price of Shares]]-HistoricalStockProgress[[#This Row],[Cost of Shares]]/HistoricalStockProgress[[#This Row],[No. of Shares]],0)</f>
        <v>65.069124950491315</v>
      </c>
      <c r="K1037" s="17">
        <f>IF(HistoricalStockProgress[[#This Row],[Total Price of Shares]]&lt;&gt;0,HistoricalStockProgress[[#This Row],[Total Price of Shares]]-HistoricalStockProgress[[#This Row],[Cost of Shares]],0)</f>
        <v>3318.5253724750573</v>
      </c>
      <c r="L1037" s="34" t="b" cm="1">
        <f t="array" ref="L1037">IFERROR(IF(HistoricalStockProgress[[#This Row],[Price of Shares]]="",_xlfn.STOCKHISTORY(HistoricalStockProgress[[#This Row],[Full Company Name]],HistoricalStockProgress[[#This Row],[Date]],,2,0,1)),0)</f>
        <v>0</v>
      </c>
      <c r="M1037" s="34">
        <f>YEAR(HistoricalStockProgress[[#This Row],[Date]])</f>
        <v>2021</v>
      </c>
      <c r="N1037" s="34">
        <f>MONTH(HistoricalStockProgress[[#This Row],[Date]])</f>
        <v>5</v>
      </c>
    </row>
    <row r="1038" spans="2:14">
      <c r="B1038" s="15">
        <v>44347</v>
      </c>
      <c r="C1038" s="34" t="s">
        <v>86</v>
      </c>
      <c r="D1038" s="34" t="e" vm="8">
        <f>_xlfn.XLOOKUP(HistoricalStockProgress[[#This Row],[Company Ticker]],CompanyDetailsList[Company Ticker],CompanyDetailsList[Official Name],,0)</f>
        <v>#VALUE!</v>
      </c>
      <c r="E10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0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038" s="17">
        <f>IFERROR(HistoricalStockProgress[[#This Row],[Cost of Shares]]/HistoricalStockProgress[[#This Row],[No. of Shares]],0)</f>
        <v>92.636161128673535</v>
      </c>
      <c r="H1038" s="16" vm="1558">
        <v>113.2</v>
      </c>
      <c r="I1038" s="16">
        <f>IF(HistoricalStockProgress[[#This Row],[No. of Shares]]&lt;&gt;0,HistoricalStockProgress[[#This Row],[Price of Shares]]*HistoricalStockProgress[[#This Row],[No. of Shares]],0)</f>
        <v>12904.800000000001</v>
      </c>
      <c r="J1038" s="16">
        <f>IF(HistoricalStockProgress[[#This Row],[No. of Shares]]&lt;&gt;0,HistoricalStockProgress[[#This Row],[Price of Shares]]-HistoricalStockProgress[[#This Row],[Cost of Shares]]/HistoricalStockProgress[[#This Row],[No. of Shares]],0)</f>
        <v>20.563838871326467</v>
      </c>
      <c r="K1038" s="17">
        <f>IF(HistoricalStockProgress[[#This Row],[Total Price of Shares]]&lt;&gt;0,HistoricalStockProgress[[#This Row],[Total Price of Shares]]-HistoricalStockProgress[[#This Row],[Cost of Shares]],0)</f>
        <v>2344.2776313312188</v>
      </c>
      <c r="L1038" s="34" t="b" cm="1">
        <f t="array" ref="L1038">IFERROR(IF(HistoricalStockProgress[[#This Row],[Price of Shares]]="",_xlfn.STOCKHISTORY(HistoricalStockProgress[[#This Row],[Full Company Name]],HistoricalStockProgress[[#This Row],[Date]],,2,0,1)),0)</f>
        <v>0</v>
      </c>
      <c r="M1038" s="34">
        <f>YEAR(HistoricalStockProgress[[#This Row],[Date]])</f>
        <v>2021</v>
      </c>
      <c r="N1038" s="34">
        <f>MONTH(HistoricalStockProgress[[#This Row],[Date]])</f>
        <v>5</v>
      </c>
    </row>
    <row r="1039" spans="2:14">
      <c r="B1039" s="15">
        <v>44347</v>
      </c>
      <c r="C1039" s="34" t="s">
        <v>88</v>
      </c>
      <c r="D1039" s="34" t="e" vm="9">
        <f>_xlfn.XLOOKUP(HistoricalStockProgress[[#This Row],[Company Ticker]],CompanyDetailsList[Company Ticker],CompanyDetailsList[Official Name],,0)</f>
        <v>#VALUE!</v>
      </c>
      <c r="E10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0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039" s="17">
        <f>IFERROR(HistoricalStockProgress[[#This Row],[Cost of Shares]]/HistoricalStockProgress[[#This Row],[No. of Shares]],0)</f>
        <v>187.727755253422</v>
      </c>
      <c r="H1039" s="16" vm="1559">
        <v>233.89</v>
      </c>
      <c r="I1039" s="16">
        <f>IF(HistoricalStockProgress[[#This Row],[No. of Shares]]&lt;&gt;0,HistoricalStockProgress[[#This Row],[Price of Shares]]*HistoricalStockProgress[[#This Row],[No. of Shares]],0)</f>
        <v>13799.509999999998</v>
      </c>
      <c r="J1039" s="16">
        <f>IF(HistoricalStockProgress[[#This Row],[No. of Shares]]&lt;&gt;0,HistoricalStockProgress[[#This Row],[Price of Shares]]-HistoricalStockProgress[[#This Row],[Cost of Shares]]/HistoricalStockProgress[[#This Row],[No. of Shares]],0)</f>
        <v>46.162244746577983</v>
      </c>
      <c r="K1039" s="17">
        <f>IF(HistoricalStockProgress[[#This Row],[Total Price of Shares]]&lt;&gt;0,HistoricalStockProgress[[#This Row],[Total Price of Shares]]-HistoricalStockProgress[[#This Row],[Cost of Shares]],0)</f>
        <v>2723.5724400480995</v>
      </c>
      <c r="L1039" s="34" t="b" cm="1">
        <f t="array" ref="L1039">IFERROR(IF(HistoricalStockProgress[[#This Row],[Price of Shares]]="",_xlfn.STOCKHISTORY(HistoricalStockProgress[[#This Row],[Full Company Name]],HistoricalStockProgress[[#This Row],[Date]],,2,0,1)),0)</f>
        <v>0</v>
      </c>
      <c r="M1039" s="34">
        <f>YEAR(HistoricalStockProgress[[#This Row],[Date]])</f>
        <v>2021</v>
      </c>
      <c r="N1039" s="34">
        <f>MONTH(HistoricalStockProgress[[#This Row],[Date]])</f>
        <v>5</v>
      </c>
    </row>
    <row r="1040" spans="2:14">
      <c r="B1040" s="15">
        <v>44347</v>
      </c>
      <c r="C1040" s="34" t="s">
        <v>22</v>
      </c>
      <c r="D1040" s="34" t="e" vm="10">
        <f>_xlfn.XLOOKUP(HistoricalStockProgress[[#This Row],[Company Ticker]],CompanyDetailsList[Company Ticker],CompanyDetailsList[Official Name],,0)</f>
        <v>#VALUE!</v>
      </c>
      <c r="E10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10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1040" s="17">
        <f>IFERROR(HistoricalStockProgress[[#This Row],[Cost of Shares]]/HistoricalStockProgress[[#This Row],[No. of Shares]],0)</f>
        <v>96.351727068187571</v>
      </c>
      <c r="H1040" s="16" vm="1560">
        <v>241.08</v>
      </c>
      <c r="I1040" s="16">
        <f>IF(HistoricalStockProgress[[#This Row],[No. of Shares]]&lt;&gt;0,HistoricalStockProgress[[#This Row],[Price of Shares]]*HistoricalStockProgress[[#This Row],[No. of Shares]],0)</f>
        <v>19527.48</v>
      </c>
      <c r="J1040" s="16">
        <f>IF(HistoricalStockProgress[[#This Row],[No. of Shares]]&lt;&gt;0,HistoricalStockProgress[[#This Row],[Price of Shares]]-HistoricalStockProgress[[#This Row],[Cost of Shares]]/HistoricalStockProgress[[#This Row],[No. of Shares]],0)</f>
        <v>144.72827293181246</v>
      </c>
      <c r="K1040" s="17">
        <f>IF(HistoricalStockProgress[[#This Row],[Total Price of Shares]]&lt;&gt;0,HistoricalStockProgress[[#This Row],[Total Price of Shares]]-HistoricalStockProgress[[#This Row],[Cost of Shares]],0)</f>
        <v>11722.990107476806</v>
      </c>
      <c r="L1040" s="34" t="b" cm="1">
        <f t="array" ref="L1040">IFERROR(IF(HistoricalStockProgress[[#This Row],[Price of Shares]]="",_xlfn.STOCKHISTORY(HistoricalStockProgress[[#This Row],[Full Company Name]],HistoricalStockProgress[[#This Row],[Date]],,2,0,1)),0)</f>
        <v>0</v>
      </c>
      <c r="M1040" s="34">
        <f>YEAR(HistoricalStockProgress[[#This Row],[Date]])</f>
        <v>2021</v>
      </c>
      <c r="N1040" s="34">
        <f>MONTH(HistoricalStockProgress[[#This Row],[Date]])</f>
        <v>5</v>
      </c>
    </row>
    <row r="1041" spans="2:14">
      <c r="B1041" s="15">
        <v>44347</v>
      </c>
      <c r="C1041" s="34" t="s">
        <v>91</v>
      </c>
      <c r="D1041" s="34" t="e" vm="11">
        <f>_xlfn.XLOOKUP(HistoricalStockProgress[[#This Row],[Company Ticker]],CompanyDetailsList[Company Ticker],CompanyDetailsList[Official Name],,0)</f>
        <v>#VALUE!</v>
      </c>
      <c r="E10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10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1041" s="17">
        <f>IFERROR(HistoricalStockProgress[[#This Row],[Cost of Shares]]/HistoricalStockProgress[[#This Row],[No. of Shares]],0)</f>
        <v>100.94993172657422</v>
      </c>
      <c r="H1041" s="16" vm="1561">
        <v>249.68</v>
      </c>
      <c r="I1041" s="16">
        <f>IF(HistoricalStockProgress[[#This Row],[No. of Shares]]&lt;&gt;0,HistoricalStockProgress[[#This Row],[Price of Shares]]*HistoricalStockProgress[[#This Row],[No. of Shares]],0)</f>
        <v>36702.959999999999</v>
      </c>
      <c r="J1041" s="16">
        <f>IF(HistoricalStockProgress[[#This Row],[No. of Shares]]&lt;&gt;0,HistoricalStockProgress[[#This Row],[Price of Shares]]-HistoricalStockProgress[[#This Row],[Cost of Shares]]/HistoricalStockProgress[[#This Row],[No. of Shares]],0)</f>
        <v>148.73006827342579</v>
      </c>
      <c r="K1041" s="17">
        <f>IF(HistoricalStockProgress[[#This Row],[Total Price of Shares]]&lt;&gt;0,HistoricalStockProgress[[#This Row],[Total Price of Shares]]-HistoricalStockProgress[[#This Row],[Cost of Shares]],0)</f>
        <v>21863.320036193589</v>
      </c>
      <c r="L1041" s="34" t="b" cm="1">
        <f t="array" ref="L1041">IFERROR(IF(HistoricalStockProgress[[#This Row],[Price of Shares]]="",_xlfn.STOCKHISTORY(HistoricalStockProgress[[#This Row],[Full Company Name]],HistoricalStockProgress[[#This Row],[Date]],,2,0,1)),0)</f>
        <v>0</v>
      </c>
      <c r="M1041" s="34">
        <f>YEAR(HistoricalStockProgress[[#This Row],[Date]])</f>
        <v>2021</v>
      </c>
      <c r="N1041" s="34">
        <f>MONTH(HistoricalStockProgress[[#This Row],[Date]])</f>
        <v>5</v>
      </c>
    </row>
    <row r="1042" spans="2:14">
      <c r="B1042" s="15">
        <v>44347</v>
      </c>
      <c r="C1042" s="34" t="s">
        <v>16</v>
      </c>
      <c r="D1042" s="34" t="e" vm="12">
        <f>_xlfn.XLOOKUP(HistoricalStockProgress[[#This Row],[Company Ticker]],CompanyDetailsList[Company Ticker],CompanyDetailsList[Official Name],,0)</f>
        <v>#VALUE!</v>
      </c>
      <c r="E10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0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042" s="17">
        <f>IFERROR(HistoricalStockProgress[[#This Row],[Cost of Shares]]/HistoricalStockProgress[[#This Row],[No. of Shares]],0)</f>
        <v>75.117698177311837</v>
      </c>
      <c r="H1042" s="16" vm="1562">
        <v>58.37</v>
      </c>
      <c r="I1042" s="16">
        <f>IF(HistoricalStockProgress[[#This Row],[No. of Shares]]&lt;&gt;0,HistoricalStockProgress[[#This Row],[Price of Shares]]*HistoricalStockProgress[[#This Row],[No. of Shares]],0)</f>
        <v>10798.449999999999</v>
      </c>
      <c r="J1042" s="16">
        <f>IF(HistoricalStockProgress[[#This Row],[No. of Shares]]&lt;&gt;0,HistoricalStockProgress[[#This Row],[Price of Shares]]-HistoricalStockProgress[[#This Row],[Cost of Shares]]/HistoricalStockProgress[[#This Row],[No. of Shares]],0)</f>
        <v>-16.74769817731184</v>
      </c>
      <c r="K1042" s="17">
        <f>IF(HistoricalStockProgress[[#This Row],[Total Price of Shares]]&lt;&gt;0,HistoricalStockProgress[[#This Row],[Total Price of Shares]]-HistoricalStockProgress[[#This Row],[Cost of Shares]],0)</f>
        <v>-3098.3241628026899</v>
      </c>
      <c r="L1042" s="34" t="b" cm="1">
        <f t="array" ref="L1042">IFERROR(IF(HistoricalStockProgress[[#This Row],[Price of Shares]]="",_xlfn.STOCKHISTORY(HistoricalStockProgress[[#This Row],[Full Company Name]],HistoricalStockProgress[[#This Row],[Date]],,2,0,1)),0)</f>
        <v>0</v>
      </c>
      <c r="M1042" s="34">
        <f>YEAR(HistoricalStockProgress[[#This Row],[Date]])</f>
        <v>2021</v>
      </c>
      <c r="N1042" s="34">
        <f>MONTH(HistoricalStockProgress[[#This Row],[Date]])</f>
        <v>5</v>
      </c>
    </row>
    <row r="1043" spans="2:14">
      <c r="B1043" s="15">
        <v>44347</v>
      </c>
      <c r="C1043" s="34" t="s">
        <v>95</v>
      </c>
      <c r="D1043" s="34" t="e" vm="13">
        <f>_xlfn.XLOOKUP(HistoricalStockProgress[[#This Row],[Company Ticker]],CompanyDetailsList[Company Ticker],CompanyDetailsList[Official Name],,0)</f>
        <v>#VALUE!</v>
      </c>
      <c r="E10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0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10324.055787336294</v>
      </c>
      <c r="G1043" s="17">
        <f>IFERROR(HistoricalStockProgress[[#This Row],[Cost of Shares]]/HistoricalStockProgress[[#This Row],[No. of Shares]],0)</f>
        <v>184.35813905957667</v>
      </c>
      <c r="H1043" s="16" vm="1563">
        <v>318.91000000000003</v>
      </c>
      <c r="I1043" s="16">
        <f>IF(HistoricalStockProgress[[#This Row],[No. of Shares]]&lt;&gt;0,HistoricalStockProgress[[#This Row],[Price of Shares]]*HistoricalStockProgress[[#This Row],[No. of Shares]],0)</f>
        <v>17858.960000000003</v>
      </c>
      <c r="J1043" s="16">
        <f>IF(HistoricalStockProgress[[#This Row],[No. of Shares]]&lt;&gt;0,HistoricalStockProgress[[#This Row],[Price of Shares]]-HistoricalStockProgress[[#This Row],[Cost of Shares]]/HistoricalStockProgress[[#This Row],[No. of Shares]],0)</f>
        <v>134.55186094042335</v>
      </c>
      <c r="K1043" s="17">
        <f>IF(HistoricalStockProgress[[#This Row],[Total Price of Shares]]&lt;&gt;0,HistoricalStockProgress[[#This Row],[Total Price of Shares]]-HistoricalStockProgress[[#This Row],[Cost of Shares]],0)</f>
        <v>7534.9042126637087</v>
      </c>
      <c r="L1043" s="34" t="b" cm="1">
        <f t="array" ref="L1043">IFERROR(IF(HistoricalStockProgress[[#This Row],[Price of Shares]]="",_xlfn.STOCKHISTORY(HistoricalStockProgress[[#This Row],[Full Company Name]],HistoricalStockProgress[[#This Row],[Date]],,2,0,1)),0)</f>
        <v>0</v>
      </c>
      <c r="M1043" s="34">
        <f>YEAR(HistoricalStockProgress[[#This Row],[Date]])</f>
        <v>2021</v>
      </c>
      <c r="N1043" s="34">
        <f>MONTH(HistoricalStockProgress[[#This Row],[Date]])</f>
        <v>5</v>
      </c>
    </row>
    <row r="1044" spans="2:14">
      <c r="B1044" s="15">
        <v>44347</v>
      </c>
      <c r="C1044" s="34" t="s">
        <v>17</v>
      </c>
      <c r="D1044" s="34" t="e" vm="14">
        <f>_xlfn.XLOOKUP(HistoricalStockProgress[[#This Row],[Company Ticker]],CompanyDetailsList[Company Ticker],CompanyDetailsList[Official Name],,0)</f>
        <v>#VALUE!</v>
      </c>
      <c r="E10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104</v>
      </c>
      <c r="F10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14850.63547418445</v>
      </c>
      <c r="G1044" s="17">
        <f>IFERROR(HistoricalStockProgress[[#This Row],[Cost of Shares]]/HistoricalStockProgress[[#This Row],[No. of Shares]],0)</f>
        <v>142.79457186715817</v>
      </c>
      <c r="H1044" s="16" vm="1564">
        <v>143.74</v>
      </c>
      <c r="I1044" s="16">
        <f>IF(HistoricalStockProgress[[#This Row],[No. of Shares]]&lt;&gt;0,HistoricalStockProgress[[#This Row],[Price of Shares]]*HistoricalStockProgress[[#This Row],[No. of Shares]],0)</f>
        <v>14948.960000000001</v>
      </c>
      <c r="J1044" s="16">
        <f>IF(HistoricalStockProgress[[#This Row],[No. of Shares]]&lt;&gt;0,HistoricalStockProgress[[#This Row],[Price of Shares]]-HistoricalStockProgress[[#This Row],[Cost of Shares]]/HistoricalStockProgress[[#This Row],[No. of Shares]],0)</f>
        <v>0.94542813284184035</v>
      </c>
      <c r="K1044" s="17">
        <f>IF(HistoricalStockProgress[[#This Row],[Total Price of Shares]]&lt;&gt;0,HistoricalStockProgress[[#This Row],[Total Price of Shares]]-HistoricalStockProgress[[#This Row],[Cost of Shares]],0)</f>
        <v>98.324525815551169</v>
      </c>
      <c r="L1044" s="34" t="b" cm="1">
        <f t="array" ref="L1044">IFERROR(IF(HistoricalStockProgress[[#This Row],[Price of Shares]]="",_xlfn.STOCKHISTORY(HistoricalStockProgress[[#This Row],[Full Company Name]],HistoricalStockProgress[[#This Row],[Date]],,2,0,1)),0)</f>
        <v>0</v>
      </c>
      <c r="M1044" s="34">
        <f>YEAR(HistoricalStockProgress[[#This Row],[Date]])</f>
        <v>2021</v>
      </c>
      <c r="N1044" s="34">
        <f>MONTH(HistoricalStockProgress[[#This Row],[Date]])</f>
        <v>5</v>
      </c>
    </row>
    <row r="1045" spans="2:14">
      <c r="B1045" s="15">
        <v>44347</v>
      </c>
      <c r="C1045" s="34" t="s">
        <v>98</v>
      </c>
      <c r="D1045" s="34" t="e" vm="15">
        <f>_xlfn.XLOOKUP(HistoricalStockProgress[[#This Row],[Company Ticker]],CompanyDetailsList[Company Ticker],CompanyDetailsList[Official Name],,0)</f>
        <v>#VALUE!</v>
      </c>
      <c r="E10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108</v>
      </c>
      <c r="F10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5486.2959177385774</v>
      </c>
      <c r="G1045" s="17">
        <f>IFERROR(HistoricalStockProgress[[#This Row],[Cost of Shares]]/HistoricalStockProgress[[#This Row],[No. of Shares]],0)</f>
        <v>50.799036275357196</v>
      </c>
      <c r="H1045" s="16" vm="1565">
        <v>73.22</v>
      </c>
      <c r="I1045" s="16">
        <f>IF(HistoricalStockProgress[[#This Row],[No. of Shares]]&lt;&gt;0,HistoricalStockProgress[[#This Row],[Price of Shares]]*HistoricalStockProgress[[#This Row],[No. of Shares]],0)</f>
        <v>7907.76</v>
      </c>
      <c r="J1045" s="16">
        <f>IF(HistoricalStockProgress[[#This Row],[No. of Shares]]&lt;&gt;0,HistoricalStockProgress[[#This Row],[Price of Shares]]-HistoricalStockProgress[[#This Row],[Cost of Shares]]/HistoricalStockProgress[[#This Row],[No. of Shares]],0)</f>
        <v>22.420963724642803</v>
      </c>
      <c r="K1045" s="17">
        <f>IF(HistoricalStockProgress[[#This Row],[Total Price of Shares]]&lt;&gt;0,HistoricalStockProgress[[#This Row],[Total Price of Shares]]-HistoricalStockProgress[[#This Row],[Cost of Shares]],0)</f>
        <v>2421.4640822614228</v>
      </c>
      <c r="L1045" s="34" t="b" cm="1">
        <f t="array" ref="L1045">IFERROR(IF(HistoricalStockProgress[[#This Row],[Price of Shares]]="",_xlfn.STOCKHISTORY(HistoricalStockProgress[[#This Row],[Full Company Name]],HistoricalStockProgress[[#This Row],[Date]],,2,0,1)),0)</f>
        <v>0</v>
      </c>
      <c r="M1045" s="34">
        <f>YEAR(HistoricalStockProgress[[#This Row],[Date]])</f>
        <v>2021</v>
      </c>
      <c r="N1045" s="34">
        <f>MONTH(HistoricalStockProgress[[#This Row],[Date]])</f>
        <v>5</v>
      </c>
    </row>
    <row r="1046" spans="2:14">
      <c r="B1046" s="15">
        <v>44347</v>
      </c>
      <c r="C1046" s="34" t="s">
        <v>100</v>
      </c>
      <c r="D1046" s="34" t="e" vm="16">
        <f>_xlfn.XLOOKUP(HistoricalStockProgress[[#This Row],[Company Ticker]],CompanyDetailsList[Company Ticker],CompanyDetailsList[Official Name],,0)</f>
        <v>#VALUE!</v>
      </c>
      <c r="E10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10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12257.793853370842</v>
      </c>
      <c r="G1046" s="17">
        <f>IFERROR(HistoricalStockProgress[[#This Row],[Cost of Shares]]/HistoricalStockProgress[[#This Row],[No. of Shares]],0)</f>
        <v>87.555670381220295</v>
      </c>
      <c r="H1046" s="16" vm="1566">
        <v>100.22</v>
      </c>
      <c r="I1046" s="16">
        <f>IF(HistoricalStockProgress[[#This Row],[No. of Shares]]&lt;&gt;0,HistoricalStockProgress[[#This Row],[Price of Shares]]*HistoricalStockProgress[[#This Row],[No. of Shares]],0)</f>
        <v>14030.8</v>
      </c>
      <c r="J1046" s="16">
        <f>IF(HistoricalStockProgress[[#This Row],[No. of Shares]]&lt;&gt;0,HistoricalStockProgress[[#This Row],[Price of Shares]]-HistoricalStockProgress[[#This Row],[Cost of Shares]]/HistoricalStockProgress[[#This Row],[No. of Shares]],0)</f>
        <v>12.664329618779703</v>
      </c>
      <c r="K1046" s="17">
        <f>IF(HistoricalStockProgress[[#This Row],[Total Price of Shares]]&lt;&gt;0,HistoricalStockProgress[[#This Row],[Total Price of Shares]]-HistoricalStockProgress[[#This Row],[Cost of Shares]],0)</f>
        <v>1773.0061466291572</v>
      </c>
      <c r="L1046" s="34" t="b" cm="1">
        <f t="array" ref="L1046">IFERROR(IF(HistoricalStockProgress[[#This Row],[Price of Shares]]="",_xlfn.STOCKHISTORY(HistoricalStockProgress[[#This Row],[Full Company Name]],HistoricalStockProgress[[#This Row],[Date]],,2,0,1)),0)</f>
        <v>0</v>
      </c>
      <c r="M1046" s="34">
        <f>YEAR(HistoricalStockProgress[[#This Row],[Date]])</f>
        <v>2021</v>
      </c>
      <c r="N1046" s="34">
        <f>MONTH(HistoricalStockProgress[[#This Row],[Date]])</f>
        <v>5</v>
      </c>
    </row>
    <row r="1047" spans="2:14">
      <c r="B1047" s="15">
        <v>44347</v>
      </c>
      <c r="C1047" s="34" t="s">
        <v>15</v>
      </c>
      <c r="D1047" s="34" t="e" vm="17">
        <f>_xlfn.XLOOKUP(HistoricalStockProgress[[#This Row],[Company Ticker]],CompanyDetailsList[Company Ticker],CompanyDetailsList[Official Name],,0)</f>
        <v>#VALUE!</v>
      </c>
      <c r="E10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0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047" s="17">
        <f>IFERROR(HistoricalStockProgress[[#This Row],[Cost of Shares]]/HistoricalStockProgress[[#This Row],[No. of Shares]],0)</f>
        <v>26.081956457072195</v>
      </c>
      <c r="H1047" s="16" vm="1567">
        <v>22.224900000000002</v>
      </c>
      <c r="I1047" s="16">
        <f>IF(HistoricalStockProgress[[#This Row],[No. of Shares]]&lt;&gt;0,HistoricalStockProgress[[#This Row],[Price of Shares]]*HistoricalStockProgress[[#This Row],[No. of Shares]],0)</f>
        <v>2755.8876</v>
      </c>
      <c r="J1047" s="16">
        <f>IF(HistoricalStockProgress[[#This Row],[No. of Shares]]&lt;&gt;0,HistoricalStockProgress[[#This Row],[Price of Shares]]-HistoricalStockProgress[[#This Row],[Cost of Shares]]/HistoricalStockProgress[[#This Row],[No. of Shares]],0)</f>
        <v>-3.8570564570721935</v>
      </c>
      <c r="K1047" s="17">
        <f>IF(HistoricalStockProgress[[#This Row],[Total Price of Shares]]&lt;&gt;0,HistoricalStockProgress[[#This Row],[Total Price of Shares]]-HistoricalStockProgress[[#This Row],[Cost of Shares]],0)</f>
        <v>-478.275000676952</v>
      </c>
      <c r="L1047" s="34" t="b" cm="1">
        <f t="array" ref="L1047">IFERROR(IF(HistoricalStockProgress[[#This Row],[Price of Shares]]="",_xlfn.STOCKHISTORY(HistoricalStockProgress[[#This Row],[Full Company Name]],HistoricalStockProgress[[#This Row],[Date]],,2,0,1)),0)</f>
        <v>0</v>
      </c>
      <c r="M1047" s="34">
        <f>YEAR(HistoricalStockProgress[[#This Row],[Date]])</f>
        <v>2021</v>
      </c>
      <c r="N1047" s="34">
        <f>MONTH(HistoricalStockProgress[[#This Row],[Date]])</f>
        <v>5</v>
      </c>
    </row>
    <row r="1048" spans="2:14">
      <c r="B1048" s="15">
        <v>44347</v>
      </c>
      <c r="C1048" s="34" t="s">
        <v>13</v>
      </c>
      <c r="D1048" s="34" t="e" vm="18">
        <f>_xlfn.XLOOKUP(HistoricalStockProgress[[#This Row],[Company Ticker]],CompanyDetailsList[Company Ticker],CompanyDetailsList[Official Name],,0)</f>
        <v>#VALUE!</v>
      </c>
      <c r="E10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0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048" s="17">
        <f>IFERROR(HistoricalStockProgress[[#This Row],[Cost of Shares]]/HistoricalStockProgress[[#This Row],[No. of Shares]],0)</f>
        <v>35.846938938346874</v>
      </c>
      <c r="H1048" s="16" vm="1568">
        <v>38.729999999999997</v>
      </c>
      <c r="I1048" s="16">
        <f>IF(HistoricalStockProgress[[#This Row],[No. of Shares]]&lt;&gt;0,HistoricalStockProgress[[#This Row],[Price of Shares]]*HistoricalStockProgress[[#This Row],[No. of Shares]],0)</f>
        <v>2130.1499999999996</v>
      </c>
      <c r="J1048" s="16">
        <f>IF(HistoricalStockProgress[[#This Row],[No. of Shares]]&lt;&gt;0,HistoricalStockProgress[[#This Row],[Price of Shares]]-HistoricalStockProgress[[#This Row],[Cost of Shares]]/HistoricalStockProgress[[#This Row],[No. of Shares]],0)</f>
        <v>2.8830610616531231</v>
      </c>
      <c r="K1048" s="17">
        <f>IF(HistoricalStockProgress[[#This Row],[Total Price of Shares]]&lt;&gt;0,HistoricalStockProgress[[#This Row],[Total Price of Shares]]-HistoricalStockProgress[[#This Row],[Cost of Shares]],0)</f>
        <v>158.5683583909215</v>
      </c>
      <c r="L1048" s="34" t="b" cm="1">
        <f t="array" ref="L1048">IFERROR(IF(HistoricalStockProgress[[#This Row],[Price of Shares]]="",_xlfn.STOCKHISTORY(HistoricalStockProgress[[#This Row],[Full Company Name]],HistoricalStockProgress[[#This Row],[Date]],,2,0,1)),0)</f>
        <v>0</v>
      </c>
      <c r="M1048" s="34">
        <f>YEAR(HistoricalStockProgress[[#This Row],[Date]])</f>
        <v>2021</v>
      </c>
      <c r="N1048" s="34">
        <f>MONTH(HistoricalStockProgress[[#This Row],[Date]])</f>
        <v>5</v>
      </c>
    </row>
    <row r="1049" spans="2:14">
      <c r="B1049" s="15">
        <v>44347</v>
      </c>
      <c r="C1049" s="34" t="s">
        <v>20</v>
      </c>
      <c r="D1049" s="34" t="e" vm="19">
        <f>_xlfn.XLOOKUP(HistoricalStockProgress[[#This Row],[Company Ticker]],CompanyDetailsList[Company Ticker],CompanyDetailsList[Official Name],,0)</f>
        <v>#VALUE!</v>
      </c>
      <c r="E10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10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1049" s="17">
        <f>IFERROR(HistoricalStockProgress[[#This Row],[Cost of Shares]]/HistoricalStockProgress[[#This Row],[No. of Shares]],0)</f>
        <v>93.912242833589502</v>
      </c>
      <c r="H1049" s="16" vm="1569">
        <v>164.24</v>
      </c>
      <c r="I1049" s="16">
        <f>IF(HistoricalStockProgress[[#This Row],[No. of Shares]]&lt;&gt;0,HistoricalStockProgress[[#This Row],[Price of Shares]]*HistoricalStockProgress[[#This Row],[No. of Shares]],0)</f>
        <v>12810.720000000001</v>
      </c>
      <c r="J1049" s="16">
        <f>IF(HistoricalStockProgress[[#This Row],[No. of Shares]]&lt;&gt;0,HistoricalStockProgress[[#This Row],[Price of Shares]]-HistoricalStockProgress[[#This Row],[Cost of Shares]]/HistoricalStockProgress[[#This Row],[No. of Shares]],0)</f>
        <v>70.327757166410507</v>
      </c>
      <c r="K1049" s="17">
        <f>IF(HistoricalStockProgress[[#This Row],[Total Price of Shares]]&lt;&gt;0,HistoricalStockProgress[[#This Row],[Total Price of Shares]]-HistoricalStockProgress[[#This Row],[Cost of Shares]],0)</f>
        <v>5485.5650589800198</v>
      </c>
      <c r="L1049" s="34" t="b" cm="1">
        <f t="array" ref="L1049">IFERROR(IF(HistoricalStockProgress[[#This Row],[Price of Shares]]="",_xlfn.STOCKHISTORY(HistoricalStockProgress[[#This Row],[Full Company Name]],HistoricalStockProgress[[#This Row],[Date]],,2,0,1)),0)</f>
        <v>0</v>
      </c>
      <c r="M1049" s="34">
        <f>YEAR(HistoricalStockProgress[[#This Row],[Date]])</f>
        <v>2021</v>
      </c>
      <c r="N1049" s="34">
        <f>MONTH(HistoricalStockProgress[[#This Row],[Date]])</f>
        <v>5</v>
      </c>
    </row>
    <row r="1050" spans="2:14">
      <c r="B1050" s="15">
        <v>44347</v>
      </c>
      <c r="C1050" s="34" t="s">
        <v>106</v>
      </c>
      <c r="D1050" s="34" t="e" vm="20">
        <f>_xlfn.XLOOKUP(HistoricalStockProgress[[#This Row],[Company Ticker]],CompanyDetailsList[Company Ticker],CompanyDetailsList[Official Name],,0)</f>
        <v>#VALUE!</v>
      </c>
      <c r="E10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0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050" s="17">
        <f>IFERROR(HistoricalStockProgress[[#This Row],[Cost of Shares]]/HistoricalStockProgress[[#This Row],[No. of Shares]],0)</f>
        <v>108.54870748680406</v>
      </c>
      <c r="H1050" s="16" vm="1570">
        <v>179.72</v>
      </c>
      <c r="I1050" s="16">
        <f>IF(HistoricalStockProgress[[#This Row],[No. of Shares]]&lt;&gt;0,HistoricalStockProgress[[#This Row],[Price of Shares]]*HistoricalStockProgress[[#This Row],[No. of Shares]],0)</f>
        <v>15815.36</v>
      </c>
      <c r="J1050" s="16">
        <f>IF(HistoricalStockProgress[[#This Row],[No. of Shares]]&lt;&gt;0,HistoricalStockProgress[[#This Row],[Price of Shares]]-HistoricalStockProgress[[#This Row],[Cost of Shares]]/HistoricalStockProgress[[#This Row],[No. of Shares]],0)</f>
        <v>71.171292513195937</v>
      </c>
      <c r="K1050" s="17">
        <f>IF(HistoricalStockProgress[[#This Row],[Total Price of Shares]]&lt;&gt;0,HistoricalStockProgress[[#This Row],[Total Price of Shares]]-HistoricalStockProgress[[#This Row],[Cost of Shares]],0)</f>
        <v>6263.0737411612427</v>
      </c>
      <c r="L1050" s="34" t="b" cm="1">
        <f t="array" ref="L1050">IFERROR(IF(HistoricalStockProgress[[#This Row],[Price of Shares]]="",_xlfn.STOCKHISTORY(HistoricalStockProgress[[#This Row],[Full Company Name]],HistoricalStockProgress[[#This Row],[Date]],,2,0,1)),0)</f>
        <v>0</v>
      </c>
      <c r="M1050" s="34">
        <f>YEAR(HistoricalStockProgress[[#This Row],[Date]])</f>
        <v>2021</v>
      </c>
      <c r="N1050" s="34">
        <f>MONTH(HistoricalStockProgress[[#This Row],[Date]])</f>
        <v>5</v>
      </c>
    </row>
    <row r="1051" spans="2:14">
      <c r="B1051" s="15">
        <v>44377</v>
      </c>
      <c r="C1051" s="34" t="s">
        <v>12</v>
      </c>
      <c r="D1051" s="34" t="e" vm="1">
        <f>_xlfn.XLOOKUP(HistoricalStockProgress[[#This Row],[Company Ticker]],CompanyDetailsList[Company Ticker],CompanyDetailsList[Official Name],,0)</f>
        <v>#VALUE!</v>
      </c>
      <c r="E10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10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1051" s="17">
        <f>IFERROR(HistoricalStockProgress[[#This Row],[Cost of Shares]]/HistoricalStockProgress[[#This Row],[No. of Shares]],0)</f>
        <v>63.845182519411239</v>
      </c>
      <c r="H1051" s="16" vm="1571">
        <v>66.739999999999995</v>
      </c>
      <c r="I1051" s="16">
        <f>IF(HistoricalStockProgress[[#This Row],[No. of Shares]]&lt;&gt;0,HistoricalStockProgress[[#This Row],[Price of Shares]]*HistoricalStockProgress[[#This Row],[No. of Shares]],0)</f>
        <v>4271.3599999999997</v>
      </c>
      <c r="J1051" s="16">
        <f>IF(HistoricalStockProgress[[#This Row],[No. of Shares]]&lt;&gt;0,HistoricalStockProgress[[#This Row],[Price of Shares]]-HistoricalStockProgress[[#This Row],[Cost of Shares]]/HistoricalStockProgress[[#This Row],[No. of Shares]],0)</f>
        <v>2.8948174805887561</v>
      </c>
      <c r="K1051" s="17">
        <f>IF(HistoricalStockProgress[[#This Row],[Total Price of Shares]]&lt;&gt;0,HistoricalStockProgress[[#This Row],[Total Price of Shares]]-HistoricalStockProgress[[#This Row],[Cost of Shares]],0)</f>
        <v>185.26831875768039</v>
      </c>
      <c r="L1051" s="34" t="b" cm="1">
        <f t="array" ref="L1051">IFERROR(IF(HistoricalStockProgress[[#This Row],[Price of Shares]]="",_xlfn.STOCKHISTORY(HistoricalStockProgress[[#This Row],[Full Company Name]],HistoricalStockProgress[[#This Row],[Date]],,2,0,1)),0)</f>
        <v>0</v>
      </c>
      <c r="M1051" s="34">
        <f>YEAR(HistoricalStockProgress[[#This Row],[Date]])</f>
        <v>2021</v>
      </c>
      <c r="N1051" s="34">
        <f>MONTH(HistoricalStockProgress[[#This Row],[Date]])</f>
        <v>6</v>
      </c>
    </row>
    <row r="1052" spans="2:14">
      <c r="B1052" s="15">
        <v>44377</v>
      </c>
      <c r="C1052" s="34" t="s">
        <v>14</v>
      </c>
      <c r="D1052" s="34" t="e" vm="2">
        <f>_xlfn.XLOOKUP(HistoricalStockProgress[[#This Row],[Company Ticker]],CompanyDetailsList[Company Ticker],CompanyDetailsList[Official Name],,0)</f>
        <v>#VALUE!</v>
      </c>
      <c r="E10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10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374.08704394110305</v>
      </c>
      <c r="G1052" s="17">
        <f>IFERROR(HistoricalStockProgress[[#This Row],[Cost of Shares]]/HistoricalStockProgress[[#This Row],[No. of Shares]],0)</f>
        <v>31.173920328425254</v>
      </c>
      <c r="H1052" s="16" vm="1572">
        <v>26.48</v>
      </c>
      <c r="I1052" s="16">
        <f>IF(HistoricalStockProgress[[#This Row],[No. of Shares]]&lt;&gt;0,HistoricalStockProgress[[#This Row],[Price of Shares]]*HistoricalStockProgress[[#This Row],[No. of Shares]],0)</f>
        <v>317.76</v>
      </c>
      <c r="J1052" s="16">
        <f>IF(HistoricalStockProgress[[#This Row],[No. of Shares]]&lt;&gt;0,HistoricalStockProgress[[#This Row],[Price of Shares]]-HistoricalStockProgress[[#This Row],[Cost of Shares]]/HistoricalStockProgress[[#This Row],[No. of Shares]],0)</f>
        <v>-4.6939203284252535</v>
      </c>
      <c r="K1052" s="17">
        <f>IF(HistoricalStockProgress[[#This Row],[Total Price of Shares]]&lt;&gt;0,HistoricalStockProgress[[#This Row],[Total Price of Shares]]-HistoricalStockProgress[[#This Row],[Cost of Shares]],0)</f>
        <v>-56.327043941103057</v>
      </c>
      <c r="L1052" s="34" t="b" cm="1">
        <f t="array" ref="L1052">IFERROR(IF(HistoricalStockProgress[[#This Row],[Price of Shares]]="",_xlfn.STOCKHISTORY(HistoricalStockProgress[[#This Row],[Full Company Name]],HistoricalStockProgress[[#This Row],[Date]],,2,0,1)),0)</f>
        <v>0</v>
      </c>
      <c r="M1052" s="34">
        <f>YEAR(HistoricalStockProgress[[#This Row],[Date]])</f>
        <v>2021</v>
      </c>
      <c r="N1052" s="34">
        <f>MONTH(HistoricalStockProgress[[#This Row],[Date]])</f>
        <v>6</v>
      </c>
    </row>
    <row r="1053" spans="2:14">
      <c r="B1053" s="15">
        <v>44377</v>
      </c>
      <c r="C1053" s="34" t="s">
        <v>19</v>
      </c>
      <c r="D1053" s="34" t="e" vm="3">
        <f>_xlfn.XLOOKUP(HistoricalStockProgress[[#This Row],[Company Ticker]],CompanyDetailsList[Company Ticker],CompanyDetailsList[Official Name],,0)</f>
        <v>#VALUE!</v>
      </c>
      <c r="E10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0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053" s="17">
        <f>IFERROR(HistoricalStockProgress[[#This Row],[Cost of Shares]]/HistoricalStockProgress[[#This Row],[No. of Shares]],0)</f>
        <v>158.45739987816083</v>
      </c>
      <c r="H1053" s="16" vm="1573">
        <v>179.91</v>
      </c>
      <c r="I1053" s="16">
        <f>IF(HistoricalStockProgress[[#This Row],[No. of Shares]]&lt;&gt;0,HistoricalStockProgress[[#This Row],[Price of Shares]]*HistoricalStockProgress[[#This Row],[No. of Shares]],0)</f>
        <v>10254.869999999999</v>
      </c>
      <c r="J1053" s="16">
        <f>IF(HistoricalStockProgress[[#This Row],[No. of Shares]]&lt;&gt;0,HistoricalStockProgress[[#This Row],[Price of Shares]]-HistoricalStockProgress[[#This Row],[Cost of Shares]]/HistoricalStockProgress[[#This Row],[No. of Shares]],0)</f>
        <v>21.452600121839168</v>
      </c>
      <c r="K1053" s="17">
        <f>IF(HistoricalStockProgress[[#This Row],[Total Price of Shares]]&lt;&gt;0,HistoricalStockProgress[[#This Row],[Total Price of Shares]]-HistoricalStockProgress[[#This Row],[Cost of Shares]],0)</f>
        <v>1222.7982069448317</v>
      </c>
      <c r="L1053" s="34" t="b" cm="1">
        <f t="array" ref="L1053">IFERROR(IF(HistoricalStockProgress[[#This Row],[Price of Shares]]="",_xlfn.STOCKHISTORY(HistoricalStockProgress[[#This Row],[Full Company Name]],HistoricalStockProgress[[#This Row],[Date]],,2,0,1)),0)</f>
        <v>0</v>
      </c>
      <c r="M1053" s="34">
        <f>YEAR(HistoricalStockProgress[[#This Row],[Date]])</f>
        <v>2021</v>
      </c>
      <c r="N1053" s="34">
        <f>MONTH(HistoricalStockProgress[[#This Row],[Date]])</f>
        <v>6</v>
      </c>
    </row>
    <row r="1054" spans="2:14">
      <c r="B1054" s="15">
        <v>44377</v>
      </c>
      <c r="C1054" s="34" t="s">
        <v>23</v>
      </c>
      <c r="D1054" s="34" t="e" vm="4">
        <f>_xlfn.XLOOKUP(HistoricalStockProgress[[#This Row],[Company Ticker]],CompanyDetailsList[Company Ticker],CompanyDetailsList[Official Name],,0)</f>
        <v>#VALUE!</v>
      </c>
      <c r="E10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10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1054" s="17">
        <f>IFERROR(HistoricalStockProgress[[#This Row],[Cost of Shares]]/HistoricalStockProgress[[#This Row],[No. of Shares]],0)</f>
        <v>45.768494888570878</v>
      </c>
      <c r="H1054" s="16" vm="1574">
        <v>54.11</v>
      </c>
      <c r="I1054" s="16">
        <f>IF(HistoricalStockProgress[[#This Row],[No. of Shares]]&lt;&gt;0,HistoricalStockProgress[[#This Row],[Price of Shares]]*HistoricalStockProgress[[#This Row],[No. of Shares]],0)</f>
        <v>3138.38</v>
      </c>
      <c r="J1054" s="16">
        <f>IF(HistoricalStockProgress[[#This Row],[No. of Shares]]&lt;&gt;0,HistoricalStockProgress[[#This Row],[Price of Shares]]-HistoricalStockProgress[[#This Row],[Cost of Shares]]/HistoricalStockProgress[[#This Row],[No. of Shares]],0)</f>
        <v>8.3415051114291217</v>
      </c>
      <c r="K1054" s="17">
        <f>IF(HistoricalStockProgress[[#This Row],[Total Price of Shares]]&lt;&gt;0,HistoricalStockProgress[[#This Row],[Total Price of Shares]]-HistoricalStockProgress[[#This Row],[Cost of Shares]],0)</f>
        <v>483.8072964628891</v>
      </c>
      <c r="L1054" s="34" t="b" cm="1">
        <f t="array" ref="L1054">IFERROR(IF(HistoricalStockProgress[[#This Row],[Price of Shares]]="",_xlfn.STOCKHISTORY(HistoricalStockProgress[[#This Row],[Full Company Name]],HistoricalStockProgress[[#This Row],[Date]],,2,0,1)),0)</f>
        <v>0</v>
      </c>
      <c r="M1054" s="34">
        <f>YEAR(HistoricalStockProgress[[#This Row],[Date]])</f>
        <v>2021</v>
      </c>
      <c r="N1054" s="34">
        <f>MONTH(HistoricalStockProgress[[#This Row],[Date]])</f>
        <v>6</v>
      </c>
    </row>
    <row r="1055" spans="2:14">
      <c r="B1055" s="15">
        <v>44377</v>
      </c>
      <c r="C1055" s="34" t="s">
        <v>18</v>
      </c>
      <c r="D1055" s="34" t="e" vm="5">
        <f>_xlfn.XLOOKUP(HistoricalStockProgress[[#This Row],[Company Ticker]],CompanyDetailsList[Company Ticker],CompanyDetailsList[Official Name],,0)</f>
        <v>#VALUE!</v>
      </c>
      <c r="E10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v>
      </c>
      <c r="F10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1322.059549224459</v>
      </c>
      <c r="G1055" s="17">
        <f>IFERROR(HistoricalStockProgress[[#This Row],[Cost of Shares]]/HistoricalStockProgress[[#This Row],[No. of Shares]],0)</f>
        <v>132.2059549224459</v>
      </c>
      <c r="H1055" s="16" vm="1575">
        <v>148.16999999999999</v>
      </c>
      <c r="I1055" s="16">
        <f>IF(HistoricalStockProgress[[#This Row],[No. of Shares]]&lt;&gt;0,HistoricalStockProgress[[#This Row],[Price of Shares]]*HistoricalStockProgress[[#This Row],[No. of Shares]],0)</f>
        <v>1481.6999999999998</v>
      </c>
      <c r="J1055" s="16">
        <f>IF(HistoricalStockProgress[[#This Row],[No. of Shares]]&lt;&gt;0,HistoricalStockProgress[[#This Row],[Price of Shares]]-HistoricalStockProgress[[#This Row],[Cost of Shares]]/HistoricalStockProgress[[#This Row],[No. of Shares]],0)</f>
        <v>15.96404507755409</v>
      </c>
      <c r="K1055" s="17">
        <f>IF(HistoricalStockProgress[[#This Row],[Total Price of Shares]]&lt;&gt;0,HistoricalStockProgress[[#This Row],[Total Price of Shares]]-HistoricalStockProgress[[#This Row],[Cost of Shares]],0)</f>
        <v>159.64045077554078</v>
      </c>
      <c r="L1055" s="34" t="b" cm="1">
        <f t="array" ref="L1055">IFERROR(IF(HistoricalStockProgress[[#This Row],[Price of Shares]]="",_xlfn.STOCKHISTORY(HistoricalStockProgress[[#This Row],[Full Company Name]],HistoricalStockProgress[[#This Row],[Date]],,2,0,1)),0)</f>
        <v>0</v>
      </c>
      <c r="M1055" s="34">
        <f>YEAR(HistoricalStockProgress[[#This Row],[Date]])</f>
        <v>2021</v>
      </c>
      <c r="N1055" s="34">
        <f>MONTH(HistoricalStockProgress[[#This Row],[Date]])</f>
        <v>6</v>
      </c>
    </row>
    <row r="1056" spans="2:14">
      <c r="B1056" s="15">
        <v>44377</v>
      </c>
      <c r="C1056" s="34" t="s">
        <v>21</v>
      </c>
      <c r="D1056" s="34" t="e" vm="6">
        <f>_xlfn.XLOOKUP(HistoricalStockProgress[[#This Row],[Company Ticker]],CompanyDetailsList[Company Ticker],CompanyDetailsList[Official Name],,0)</f>
        <v>#VALUE!</v>
      </c>
      <c r="E10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0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3654.8914204824332</v>
      </c>
      <c r="G1056" s="17">
        <f>IFERROR(HistoricalStockProgress[[#This Row],[Cost of Shares]]/HistoricalStockProgress[[#This Row],[No. of Shares]],0)</f>
        <v>130.53183644580119</v>
      </c>
      <c r="H1056" s="16" vm="1576">
        <v>134.93</v>
      </c>
      <c r="I1056" s="16">
        <f>IF(HistoricalStockProgress[[#This Row],[No. of Shares]]&lt;&gt;0,HistoricalStockProgress[[#This Row],[Price of Shares]]*HistoricalStockProgress[[#This Row],[No. of Shares]],0)</f>
        <v>3778.04</v>
      </c>
      <c r="J1056" s="16">
        <f>IF(HistoricalStockProgress[[#This Row],[No. of Shares]]&lt;&gt;0,HistoricalStockProgress[[#This Row],[Price of Shares]]-HistoricalStockProgress[[#This Row],[Cost of Shares]]/HistoricalStockProgress[[#This Row],[No. of Shares]],0)</f>
        <v>4.3981635541988169</v>
      </c>
      <c r="K1056" s="17">
        <f>IF(HistoricalStockProgress[[#This Row],[Total Price of Shares]]&lt;&gt;0,HistoricalStockProgress[[#This Row],[Total Price of Shares]]-HistoricalStockProgress[[#This Row],[Cost of Shares]],0)</f>
        <v>123.14857951756676</v>
      </c>
      <c r="L1056" s="34" t="b" cm="1">
        <f t="array" ref="L1056">IFERROR(IF(HistoricalStockProgress[[#This Row],[Price of Shares]]="",_xlfn.STOCKHISTORY(HistoricalStockProgress[[#This Row],[Full Company Name]],HistoricalStockProgress[[#This Row],[Date]],,2,0,1)),0)</f>
        <v>0</v>
      </c>
      <c r="M1056" s="34">
        <f>YEAR(HistoricalStockProgress[[#This Row],[Date]])</f>
        <v>2021</v>
      </c>
      <c r="N1056" s="34">
        <f>MONTH(HistoricalStockProgress[[#This Row],[Date]])</f>
        <v>6</v>
      </c>
    </row>
    <row r="1057" spans="2:14">
      <c r="B1057" s="15">
        <v>44377</v>
      </c>
      <c r="C1057" s="34" t="s">
        <v>84</v>
      </c>
      <c r="D1057" s="34" t="e" vm="7">
        <f>_xlfn.XLOOKUP(HistoricalStockProgress[[#This Row],[Company Ticker]],CompanyDetailsList[Company Ticker],CompanyDetailsList[Official Name],,0)</f>
        <v>#VALUE!</v>
      </c>
      <c r="E10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0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057" s="17">
        <f>IFERROR(HistoricalStockProgress[[#This Row],[Cost of Shares]]/HistoricalStockProgress[[#This Row],[No. of Shares]],0)</f>
        <v>104.18087504950869</v>
      </c>
      <c r="H1057" s="16" vm="1577">
        <v>164.74</v>
      </c>
      <c r="I1057" s="16">
        <f>IF(HistoricalStockProgress[[#This Row],[No. of Shares]]&lt;&gt;0,HistoricalStockProgress[[#This Row],[Price of Shares]]*HistoricalStockProgress[[#This Row],[No. of Shares]],0)</f>
        <v>8401.74</v>
      </c>
      <c r="J1057" s="16">
        <f>IF(HistoricalStockProgress[[#This Row],[No. of Shares]]&lt;&gt;0,HistoricalStockProgress[[#This Row],[Price of Shares]]-HistoricalStockProgress[[#This Row],[Cost of Shares]]/HistoricalStockProgress[[#This Row],[No. of Shares]],0)</f>
        <v>60.559124950491324</v>
      </c>
      <c r="K1057" s="17">
        <f>IF(HistoricalStockProgress[[#This Row],[Total Price of Shares]]&lt;&gt;0,HistoricalStockProgress[[#This Row],[Total Price of Shares]]-HistoricalStockProgress[[#This Row],[Cost of Shares]],0)</f>
        <v>3088.5153724750571</v>
      </c>
      <c r="L1057" s="34" t="b" cm="1">
        <f t="array" ref="L1057">IFERROR(IF(HistoricalStockProgress[[#This Row],[Price of Shares]]="",_xlfn.STOCKHISTORY(HistoricalStockProgress[[#This Row],[Full Company Name]],HistoricalStockProgress[[#This Row],[Date]],,2,0,1)),0)</f>
        <v>0</v>
      </c>
      <c r="M1057" s="34">
        <f>YEAR(HistoricalStockProgress[[#This Row],[Date]])</f>
        <v>2021</v>
      </c>
      <c r="N1057" s="34">
        <f>MONTH(HistoricalStockProgress[[#This Row],[Date]])</f>
        <v>6</v>
      </c>
    </row>
    <row r="1058" spans="2:14">
      <c r="B1058" s="15">
        <v>44377</v>
      </c>
      <c r="C1058" s="34" t="s">
        <v>86</v>
      </c>
      <c r="D1058" s="34" t="e" vm="8">
        <f>_xlfn.XLOOKUP(HistoricalStockProgress[[#This Row],[Company Ticker]],CompanyDetailsList[Company Ticker],CompanyDetailsList[Official Name],,0)</f>
        <v>#VALUE!</v>
      </c>
      <c r="E10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0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058" s="17">
        <f>IFERROR(HistoricalStockProgress[[#This Row],[Cost of Shares]]/HistoricalStockProgress[[#This Row],[No. of Shares]],0)</f>
        <v>92.636161128673535</v>
      </c>
      <c r="H1058" s="16" vm="1578">
        <v>112.64</v>
      </c>
      <c r="I1058" s="16">
        <f>IF(HistoricalStockProgress[[#This Row],[No. of Shares]]&lt;&gt;0,HistoricalStockProgress[[#This Row],[Price of Shares]]*HistoricalStockProgress[[#This Row],[No. of Shares]],0)</f>
        <v>12840.960000000001</v>
      </c>
      <c r="J1058" s="16">
        <f>IF(HistoricalStockProgress[[#This Row],[No. of Shares]]&lt;&gt;0,HistoricalStockProgress[[#This Row],[Price of Shares]]-HistoricalStockProgress[[#This Row],[Cost of Shares]]/HistoricalStockProgress[[#This Row],[No. of Shares]],0)</f>
        <v>20.003838871326465</v>
      </c>
      <c r="K1058" s="17">
        <f>IF(HistoricalStockProgress[[#This Row],[Total Price of Shares]]&lt;&gt;0,HistoricalStockProgress[[#This Row],[Total Price of Shares]]-HistoricalStockProgress[[#This Row],[Cost of Shares]],0)</f>
        <v>2280.4376313312187</v>
      </c>
      <c r="L1058" s="34" t="b" cm="1">
        <f t="array" ref="L1058">IFERROR(IF(HistoricalStockProgress[[#This Row],[Price of Shares]]="",_xlfn.STOCKHISTORY(HistoricalStockProgress[[#This Row],[Full Company Name]],HistoricalStockProgress[[#This Row],[Date]],,2,0,1)),0)</f>
        <v>0</v>
      </c>
      <c r="M1058" s="34">
        <f>YEAR(HistoricalStockProgress[[#This Row],[Date]])</f>
        <v>2021</v>
      </c>
      <c r="N1058" s="34">
        <f>MONTH(HistoricalStockProgress[[#This Row],[Date]])</f>
        <v>6</v>
      </c>
    </row>
    <row r="1059" spans="2:14">
      <c r="B1059" s="15">
        <v>44377</v>
      </c>
      <c r="C1059" s="34" t="s">
        <v>88</v>
      </c>
      <c r="D1059" s="34" t="e" vm="9">
        <f>_xlfn.XLOOKUP(HistoricalStockProgress[[#This Row],[Company Ticker]],CompanyDetailsList[Company Ticker],CompanyDetailsList[Official Name],,0)</f>
        <v>#VALUE!</v>
      </c>
      <c r="E10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0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059" s="17">
        <f>IFERROR(HistoricalStockProgress[[#This Row],[Cost of Shares]]/HistoricalStockProgress[[#This Row],[No. of Shares]],0)</f>
        <v>187.727755253422</v>
      </c>
      <c r="H1059" s="16" vm="1579">
        <v>230.99</v>
      </c>
      <c r="I1059" s="16">
        <f>IF(HistoricalStockProgress[[#This Row],[No. of Shares]]&lt;&gt;0,HistoricalStockProgress[[#This Row],[Price of Shares]]*HistoricalStockProgress[[#This Row],[No. of Shares]],0)</f>
        <v>13628.41</v>
      </c>
      <c r="J1059" s="16">
        <f>IF(HistoricalStockProgress[[#This Row],[No. of Shares]]&lt;&gt;0,HistoricalStockProgress[[#This Row],[Price of Shares]]-HistoricalStockProgress[[#This Row],[Cost of Shares]]/HistoricalStockProgress[[#This Row],[No. of Shares]],0)</f>
        <v>43.262244746578006</v>
      </c>
      <c r="K1059" s="17">
        <f>IF(HistoricalStockProgress[[#This Row],[Total Price of Shares]]&lt;&gt;0,HistoricalStockProgress[[#This Row],[Total Price of Shares]]-HistoricalStockProgress[[#This Row],[Cost of Shares]],0)</f>
        <v>2552.4724400481009</v>
      </c>
      <c r="L1059" s="34" t="b" cm="1">
        <f t="array" ref="L1059">IFERROR(IF(HistoricalStockProgress[[#This Row],[Price of Shares]]="",_xlfn.STOCKHISTORY(HistoricalStockProgress[[#This Row],[Full Company Name]],HistoricalStockProgress[[#This Row],[Date]],,2,0,1)),0)</f>
        <v>0</v>
      </c>
      <c r="M1059" s="34">
        <f>YEAR(HistoricalStockProgress[[#This Row],[Date]])</f>
        <v>2021</v>
      </c>
      <c r="N1059" s="34">
        <f>MONTH(HistoricalStockProgress[[#This Row],[Date]])</f>
        <v>6</v>
      </c>
    </row>
    <row r="1060" spans="2:14">
      <c r="B1060" s="15">
        <v>44377</v>
      </c>
      <c r="C1060" s="34" t="s">
        <v>22</v>
      </c>
      <c r="D1060" s="34" t="e" vm="10">
        <f>_xlfn.XLOOKUP(HistoricalStockProgress[[#This Row],[Company Ticker]],CompanyDetailsList[Company Ticker],CompanyDetailsList[Official Name],,0)</f>
        <v>#VALUE!</v>
      </c>
      <c r="E10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10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1060" s="17">
        <f>IFERROR(HistoricalStockProgress[[#This Row],[Cost of Shares]]/HistoricalStockProgress[[#This Row],[No. of Shares]],0)</f>
        <v>96.351727068187571</v>
      </c>
      <c r="H1060" s="16" vm="1580">
        <v>217.63</v>
      </c>
      <c r="I1060" s="16">
        <f>IF(HistoricalStockProgress[[#This Row],[No. of Shares]]&lt;&gt;0,HistoricalStockProgress[[#This Row],[Price of Shares]]*HistoricalStockProgress[[#This Row],[No. of Shares]],0)</f>
        <v>17628.03</v>
      </c>
      <c r="J1060" s="16">
        <f>IF(HistoricalStockProgress[[#This Row],[No. of Shares]]&lt;&gt;0,HistoricalStockProgress[[#This Row],[Price of Shares]]-HistoricalStockProgress[[#This Row],[Cost of Shares]]/HistoricalStockProgress[[#This Row],[No. of Shares]],0)</f>
        <v>121.27827293181242</v>
      </c>
      <c r="K1060" s="17">
        <f>IF(HistoricalStockProgress[[#This Row],[Total Price of Shares]]&lt;&gt;0,HistoricalStockProgress[[#This Row],[Total Price of Shares]]-HistoricalStockProgress[[#This Row],[Cost of Shares]],0)</f>
        <v>9823.5401074768051</v>
      </c>
      <c r="L1060" s="34" t="b" cm="1">
        <f t="array" ref="L1060">IFERROR(IF(HistoricalStockProgress[[#This Row],[Price of Shares]]="",_xlfn.STOCKHISTORY(HistoricalStockProgress[[#This Row],[Full Company Name]],HistoricalStockProgress[[#This Row],[Date]],,2,0,1)),0)</f>
        <v>0</v>
      </c>
      <c r="M1060" s="34">
        <f>YEAR(HistoricalStockProgress[[#This Row],[Date]])</f>
        <v>2021</v>
      </c>
      <c r="N1060" s="34">
        <f>MONTH(HistoricalStockProgress[[#This Row],[Date]])</f>
        <v>6</v>
      </c>
    </row>
    <row r="1061" spans="2:14">
      <c r="B1061" s="15">
        <v>44377</v>
      </c>
      <c r="C1061" s="34" t="s">
        <v>91</v>
      </c>
      <c r="D1061" s="34" t="e" vm="11">
        <f>_xlfn.XLOOKUP(HistoricalStockProgress[[#This Row],[Company Ticker]],CompanyDetailsList[Company Ticker],CompanyDetailsList[Official Name],,0)</f>
        <v>#VALUE!</v>
      </c>
      <c r="E10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10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1061" s="17">
        <f>IFERROR(HistoricalStockProgress[[#This Row],[Cost of Shares]]/HistoricalStockProgress[[#This Row],[No. of Shares]],0)</f>
        <v>100.94993172657422</v>
      </c>
      <c r="H1061" s="16" vm="1581">
        <v>270.89999999999998</v>
      </c>
      <c r="I1061" s="16">
        <f>IF(HistoricalStockProgress[[#This Row],[No. of Shares]]&lt;&gt;0,HistoricalStockProgress[[#This Row],[Price of Shares]]*HistoricalStockProgress[[#This Row],[No. of Shares]],0)</f>
        <v>39822.299999999996</v>
      </c>
      <c r="J1061" s="16">
        <f>IF(HistoricalStockProgress[[#This Row],[No. of Shares]]&lt;&gt;0,HistoricalStockProgress[[#This Row],[Price of Shares]]-HistoricalStockProgress[[#This Row],[Cost of Shares]]/HistoricalStockProgress[[#This Row],[No. of Shares]],0)</f>
        <v>169.95006827342576</v>
      </c>
      <c r="K1061" s="17">
        <f>IF(HistoricalStockProgress[[#This Row],[Total Price of Shares]]&lt;&gt;0,HistoricalStockProgress[[#This Row],[Total Price of Shares]]-HistoricalStockProgress[[#This Row],[Cost of Shares]],0)</f>
        <v>24982.660036193585</v>
      </c>
      <c r="L1061" s="34" t="b" cm="1">
        <f t="array" ref="L1061">IFERROR(IF(HistoricalStockProgress[[#This Row],[Price of Shares]]="",_xlfn.STOCKHISTORY(HistoricalStockProgress[[#This Row],[Full Company Name]],HistoricalStockProgress[[#This Row],[Date]],,2,0,1)),0)</f>
        <v>0</v>
      </c>
      <c r="M1061" s="34">
        <f>YEAR(HistoricalStockProgress[[#This Row],[Date]])</f>
        <v>2021</v>
      </c>
      <c r="N1061" s="34">
        <f>MONTH(HistoricalStockProgress[[#This Row],[Date]])</f>
        <v>6</v>
      </c>
    </row>
    <row r="1062" spans="2:14">
      <c r="B1062" s="15">
        <v>44377</v>
      </c>
      <c r="C1062" s="34" t="s">
        <v>16</v>
      </c>
      <c r="D1062" s="34" t="e" vm="12">
        <f>_xlfn.XLOOKUP(HistoricalStockProgress[[#This Row],[Company Ticker]],CompanyDetailsList[Company Ticker],CompanyDetailsList[Official Name],,0)</f>
        <v>#VALUE!</v>
      </c>
      <c r="E10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0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062" s="17">
        <f>IFERROR(HistoricalStockProgress[[#This Row],[Cost of Shares]]/HistoricalStockProgress[[#This Row],[No. of Shares]],0)</f>
        <v>75.117698177311837</v>
      </c>
      <c r="H1062" s="16" vm="1582">
        <v>63.08</v>
      </c>
      <c r="I1062" s="16">
        <f>IF(HistoricalStockProgress[[#This Row],[No. of Shares]]&lt;&gt;0,HistoricalStockProgress[[#This Row],[Price of Shares]]*HistoricalStockProgress[[#This Row],[No. of Shares]],0)</f>
        <v>11669.8</v>
      </c>
      <c r="J1062" s="16">
        <f>IF(HistoricalStockProgress[[#This Row],[No. of Shares]]&lt;&gt;0,HistoricalStockProgress[[#This Row],[Price of Shares]]-HistoricalStockProgress[[#This Row],[Cost of Shares]]/HistoricalStockProgress[[#This Row],[No. of Shares]],0)</f>
        <v>-12.037698177311839</v>
      </c>
      <c r="K1062" s="17">
        <f>IF(HistoricalStockProgress[[#This Row],[Total Price of Shares]]&lt;&gt;0,HistoricalStockProgress[[#This Row],[Total Price of Shares]]-HistoricalStockProgress[[#This Row],[Cost of Shares]],0)</f>
        <v>-2226.9741628026895</v>
      </c>
      <c r="L1062" s="34" t="b" cm="1">
        <f t="array" ref="L1062">IFERROR(IF(HistoricalStockProgress[[#This Row],[Price of Shares]]="",_xlfn.STOCKHISTORY(HistoricalStockProgress[[#This Row],[Full Company Name]],HistoricalStockProgress[[#This Row],[Date]],,2,0,1)),0)</f>
        <v>0</v>
      </c>
      <c r="M1062" s="34">
        <f>YEAR(HistoricalStockProgress[[#This Row],[Date]])</f>
        <v>2021</v>
      </c>
      <c r="N1062" s="34">
        <f>MONTH(HistoricalStockProgress[[#This Row],[Date]])</f>
        <v>6</v>
      </c>
    </row>
    <row r="1063" spans="2:14">
      <c r="B1063" s="15">
        <v>44377</v>
      </c>
      <c r="C1063" s="34" t="s">
        <v>95</v>
      </c>
      <c r="D1063" s="34" t="e" vm="13">
        <f>_xlfn.XLOOKUP(HistoricalStockProgress[[#This Row],[Company Ticker]],CompanyDetailsList[Company Ticker],CompanyDetailsList[Official Name],,0)</f>
        <v>#VALUE!</v>
      </c>
      <c r="E10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0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10324.055787336294</v>
      </c>
      <c r="G1063" s="17">
        <f>IFERROR(HistoricalStockProgress[[#This Row],[Cost of Shares]]/HistoricalStockProgress[[#This Row],[No. of Shares]],0)</f>
        <v>184.35813905957667</v>
      </c>
      <c r="H1063" s="16" vm="1583">
        <v>318.89</v>
      </c>
      <c r="I1063" s="16">
        <f>IF(HistoricalStockProgress[[#This Row],[No. of Shares]]&lt;&gt;0,HistoricalStockProgress[[#This Row],[Price of Shares]]*HistoricalStockProgress[[#This Row],[No. of Shares]],0)</f>
        <v>17857.84</v>
      </c>
      <c r="J1063" s="16">
        <f>IF(HistoricalStockProgress[[#This Row],[No. of Shares]]&lt;&gt;0,HistoricalStockProgress[[#This Row],[Price of Shares]]-HistoricalStockProgress[[#This Row],[Cost of Shares]]/HistoricalStockProgress[[#This Row],[No. of Shares]],0)</f>
        <v>134.53186094042331</v>
      </c>
      <c r="K1063" s="17">
        <f>IF(HistoricalStockProgress[[#This Row],[Total Price of Shares]]&lt;&gt;0,HistoricalStockProgress[[#This Row],[Total Price of Shares]]-HistoricalStockProgress[[#This Row],[Cost of Shares]],0)</f>
        <v>7533.7842126637061</v>
      </c>
      <c r="L1063" s="34" t="b" cm="1">
        <f t="array" ref="L1063">IFERROR(IF(HistoricalStockProgress[[#This Row],[Price of Shares]]="",_xlfn.STOCKHISTORY(HistoricalStockProgress[[#This Row],[Full Company Name]],HistoricalStockProgress[[#This Row],[Date]],,2,0,1)),0)</f>
        <v>0</v>
      </c>
      <c r="M1063" s="34">
        <f>YEAR(HistoricalStockProgress[[#This Row],[Date]])</f>
        <v>2021</v>
      </c>
      <c r="N1063" s="34">
        <f>MONTH(HistoricalStockProgress[[#This Row],[Date]])</f>
        <v>6</v>
      </c>
    </row>
    <row r="1064" spans="2:14">
      <c r="B1064" s="15">
        <v>44377</v>
      </c>
      <c r="C1064" s="34" t="s">
        <v>17</v>
      </c>
      <c r="D1064" s="34" t="e" vm="14">
        <f>_xlfn.XLOOKUP(HistoricalStockProgress[[#This Row],[Company Ticker]],CompanyDetailsList[Company Ticker],CompanyDetailsList[Official Name],,0)</f>
        <v>#VALUE!</v>
      </c>
      <c r="E10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113</v>
      </c>
      <c r="F10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16195.54422264694</v>
      </c>
      <c r="G1064" s="17">
        <f>IFERROR(HistoricalStockProgress[[#This Row],[Cost of Shares]]/HistoricalStockProgress[[#This Row],[No. of Shares]],0)</f>
        <v>143.32340020041539</v>
      </c>
      <c r="H1064" s="16" vm="1584">
        <v>146.59</v>
      </c>
      <c r="I1064" s="16">
        <f>IF(HistoricalStockProgress[[#This Row],[No. of Shares]]&lt;&gt;0,HistoricalStockProgress[[#This Row],[Price of Shares]]*HistoricalStockProgress[[#This Row],[No. of Shares]],0)</f>
        <v>16564.670000000002</v>
      </c>
      <c r="J1064" s="16">
        <f>IF(HistoricalStockProgress[[#This Row],[No. of Shares]]&lt;&gt;0,HistoricalStockProgress[[#This Row],[Price of Shares]]-HistoricalStockProgress[[#This Row],[Cost of Shares]]/HistoricalStockProgress[[#This Row],[No. of Shares]],0)</f>
        <v>3.2665997995846112</v>
      </c>
      <c r="K1064" s="17">
        <f>IF(HistoricalStockProgress[[#This Row],[Total Price of Shares]]&lt;&gt;0,HistoricalStockProgress[[#This Row],[Total Price of Shares]]-HistoricalStockProgress[[#This Row],[Cost of Shares]],0)</f>
        <v>369.12577735306149</v>
      </c>
      <c r="L1064" s="34" t="b" cm="1">
        <f t="array" ref="L1064">IFERROR(IF(HistoricalStockProgress[[#This Row],[Price of Shares]]="",_xlfn.STOCKHISTORY(HistoricalStockProgress[[#This Row],[Full Company Name]],HistoricalStockProgress[[#This Row],[Date]],,2,0,1)),0)</f>
        <v>0</v>
      </c>
      <c r="M1064" s="34">
        <f>YEAR(HistoricalStockProgress[[#This Row],[Date]])</f>
        <v>2021</v>
      </c>
      <c r="N1064" s="34">
        <f>MONTH(HistoricalStockProgress[[#This Row],[Date]])</f>
        <v>6</v>
      </c>
    </row>
    <row r="1065" spans="2:14">
      <c r="B1065" s="15">
        <v>44377</v>
      </c>
      <c r="C1065" s="34" t="s">
        <v>98</v>
      </c>
      <c r="D1065" s="34" t="e" vm="15">
        <f>_xlfn.XLOOKUP(HistoricalStockProgress[[#This Row],[Company Ticker]],CompanyDetailsList[Company Ticker],CompanyDetailsList[Official Name],,0)</f>
        <v>#VALUE!</v>
      </c>
      <c r="E10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108</v>
      </c>
      <c r="F10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5486.2959177385774</v>
      </c>
      <c r="G1065" s="17">
        <f>IFERROR(HistoricalStockProgress[[#This Row],[Cost of Shares]]/HistoricalStockProgress[[#This Row],[No. of Shares]],0)</f>
        <v>50.799036275357196</v>
      </c>
      <c r="H1065" s="16" vm="1070">
        <v>73.28</v>
      </c>
      <c r="I1065" s="16">
        <f>IF(HistoricalStockProgress[[#This Row],[No. of Shares]]&lt;&gt;0,HistoricalStockProgress[[#This Row],[Price of Shares]]*HistoricalStockProgress[[#This Row],[No. of Shares]],0)</f>
        <v>7914.24</v>
      </c>
      <c r="J1065" s="16">
        <f>IF(HistoricalStockProgress[[#This Row],[No. of Shares]]&lt;&gt;0,HistoricalStockProgress[[#This Row],[Price of Shares]]-HistoricalStockProgress[[#This Row],[Cost of Shares]]/HistoricalStockProgress[[#This Row],[No. of Shares]],0)</f>
        <v>22.480963724642805</v>
      </c>
      <c r="K1065" s="17">
        <f>IF(HistoricalStockProgress[[#This Row],[Total Price of Shares]]&lt;&gt;0,HistoricalStockProgress[[#This Row],[Total Price of Shares]]-HistoricalStockProgress[[#This Row],[Cost of Shares]],0)</f>
        <v>2427.9440822614224</v>
      </c>
      <c r="L1065" s="34" t="b" cm="1">
        <f t="array" ref="L1065">IFERROR(IF(HistoricalStockProgress[[#This Row],[Price of Shares]]="",_xlfn.STOCKHISTORY(HistoricalStockProgress[[#This Row],[Full Company Name]],HistoricalStockProgress[[#This Row],[Date]],,2,0,1)),0)</f>
        <v>0</v>
      </c>
      <c r="M1065" s="34">
        <f>YEAR(HistoricalStockProgress[[#This Row],[Date]])</f>
        <v>2021</v>
      </c>
      <c r="N1065" s="34">
        <f>MONTH(HistoricalStockProgress[[#This Row],[Date]])</f>
        <v>6</v>
      </c>
    </row>
    <row r="1066" spans="2:14">
      <c r="B1066" s="15">
        <v>44377</v>
      </c>
      <c r="C1066" s="34" t="s">
        <v>100</v>
      </c>
      <c r="D1066" s="34" t="e" vm="16">
        <f>_xlfn.XLOOKUP(HistoricalStockProgress[[#This Row],[Company Ticker]],CompanyDetailsList[Company Ticker],CompanyDetailsList[Official Name],,0)</f>
        <v>#VALUE!</v>
      </c>
      <c r="E10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10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12257.793853370842</v>
      </c>
      <c r="G1066" s="17">
        <f>IFERROR(HistoricalStockProgress[[#This Row],[Cost of Shares]]/HistoricalStockProgress[[#This Row],[No. of Shares]],0)</f>
        <v>87.555670381220295</v>
      </c>
      <c r="H1066" s="16" vm="1585">
        <v>98.72</v>
      </c>
      <c r="I1066" s="16">
        <f>IF(HistoricalStockProgress[[#This Row],[No. of Shares]]&lt;&gt;0,HistoricalStockProgress[[#This Row],[Price of Shares]]*HistoricalStockProgress[[#This Row],[No. of Shares]],0)</f>
        <v>13820.8</v>
      </c>
      <c r="J1066" s="16">
        <f>IF(HistoricalStockProgress[[#This Row],[No. of Shares]]&lt;&gt;0,HistoricalStockProgress[[#This Row],[Price of Shares]]-HistoricalStockProgress[[#This Row],[Cost of Shares]]/HistoricalStockProgress[[#This Row],[No. of Shares]],0)</f>
        <v>11.164329618779703</v>
      </c>
      <c r="K1066" s="17">
        <f>IF(HistoricalStockProgress[[#This Row],[Total Price of Shares]]&lt;&gt;0,HistoricalStockProgress[[#This Row],[Total Price of Shares]]-HistoricalStockProgress[[#This Row],[Cost of Shares]],0)</f>
        <v>1563.0061466291572</v>
      </c>
      <c r="L1066" s="34" t="b" cm="1">
        <f t="array" ref="L1066">IFERROR(IF(HistoricalStockProgress[[#This Row],[Price of Shares]]="",_xlfn.STOCKHISTORY(HistoricalStockProgress[[#This Row],[Full Company Name]],HistoricalStockProgress[[#This Row],[Date]],,2,0,1)),0)</f>
        <v>0</v>
      </c>
      <c r="M1066" s="34">
        <f>YEAR(HistoricalStockProgress[[#This Row],[Date]])</f>
        <v>2021</v>
      </c>
      <c r="N1066" s="34">
        <f>MONTH(HistoricalStockProgress[[#This Row],[Date]])</f>
        <v>6</v>
      </c>
    </row>
    <row r="1067" spans="2:14">
      <c r="B1067" s="15">
        <v>44377</v>
      </c>
      <c r="C1067" s="34" t="s">
        <v>15</v>
      </c>
      <c r="D1067" s="34" t="e" vm="17">
        <f>_xlfn.XLOOKUP(HistoricalStockProgress[[#This Row],[Company Ticker]],CompanyDetailsList[Company Ticker],CompanyDetailsList[Official Name],,0)</f>
        <v>#VALUE!</v>
      </c>
      <c r="E10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0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067" s="17">
        <f>IFERROR(HistoricalStockProgress[[#This Row],[Cost of Shares]]/HistoricalStockProgress[[#This Row],[No. of Shares]],0)</f>
        <v>26.081956457072195</v>
      </c>
      <c r="H1067" s="16" vm="1586">
        <v>21.734100000000002</v>
      </c>
      <c r="I1067" s="16">
        <f>IF(HistoricalStockProgress[[#This Row],[No. of Shares]]&lt;&gt;0,HistoricalStockProgress[[#This Row],[Price of Shares]]*HistoricalStockProgress[[#This Row],[No. of Shares]],0)</f>
        <v>2695.0284000000001</v>
      </c>
      <c r="J1067" s="16">
        <f>IF(HistoricalStockProgress[[#This Row],[No. of Shares]]&lt;&gt;0,HistoricalStockProgress[[#This Row],[Price of Shares]]-HistoricalStockProgress[[#This Row],[Cost of Shares]]/HistoricalStockProgress[[#This Row],[No. of Shares]],0)</f>
        <v>-4.3478564570721936</v>
      </c>
      <c r="K1067" s="17">
        <f>IF(HistoricalStockProgress[[#This Row],[Total Price of Shares]]&lt;&gt;0,HistoricalStockProgress[[#This Row],[Total Price of Shares]]-HistoricalStockProgress[[#This Row],[Cost of Shares]],0)</f>
        <v>-539.13420067695188</v>
      </c>
      <c r="L1067" s="34" t="b" cm="1">
        <f t="array" ref="L1067">IFERROR(IF(HistoricalStockProgress[[#This Row],[Price of Shares]]="",_xlfn.STOCKHISTORY(HistoricalStockProgress[[#This Row],[Full Company Name]],HistoricalStockProgress[[#This Row],[Date]],,2,0,1)),0)</f>
        <v>0</v>
      </c>
      <c r="M1067" s="34">
        <f>YEAR(HistoricalStockProgress[[#This Row],[Date]])</f>
        <v>2021</v>
      </c>
      <c r="N1067" s="34">
        <f>MONTH(HistoricalStockProgress[[#This Row],[Date]])</f>
        <v>6</v>
      </c>
    </row>
    <row r="1068" spans="2:14">
      <c r="B1068" s="15">
        <v>44377</v>
      </c>
      <c r="C1068" s="34" t="s">
        <v>13</v>
      </c>
      <c r="D1068" s="34" t="e" vm="18">
        <f>_xlfn.XLOOKUP(HistoricalStockProgress[[#This Row],[Company Ticker]],CompanyDetailsList[Company Ticker],CompanyDetailsList[Official Name],,0)</f>
        <v>#VALUE!</v>
      </c>
      <c r="E10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0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068" s="17">
        <f>IFERROR(HistoricalStockProgress[[#This Row],[Cost of Shares]]/HistoricalStockProgress[[#This Row],[No. of Shares]],0)</f>
        <v>35.846938938346874</v>
      </c>
      <c r="H1068" s="16" vm="1587">
        <v>39.159999999999997</v>
      </c>
      <c r="I1068" s="16">
        <f>IF(HistoricalStockProgress[[#This Row],[No. of Shares]]&lt;&gt;0,HistoricalStockProgress[[#This Row],[Price of Shares]]*HistoricalStockProgress[[#This Row],[No. of Shares]],0)</f>
        <v>2153.7999999999997</v>
      </c>
      <c r="J1068" s="16">
        <f>IF(HistoricalStockProgress[[#This Row],[No. of Shares]]&lt;&gt;0,HistoricalStockProgress[[#This Row],[Price of Shares]]-HistoricalStockProgress[[#This Row],[Cost of Shares]]/HistoricalStockProgress[[#This Row],[No. of Shares]],0)</f>
        <v>3.3130610616531229</v>
      </c>
      <c r="K1068" s="17">
        <f>IF(HistoricalStockProgress[[#This Row],[Total Price of Shares]]&lt;&gt;0,HistoricalStockProgress[[#This Row],[Total Price of Shares]]-HistoricalStockProgress[[#This Row],[Cost of Shares]],0)</f>
        <v>182.21835839092159</v>
      </c>
      <c r="L1068" s="34" t="b" cm="1">
        <f t="array" ref="L1068">IFERROR(IF(HistoricalStockProgress[[#This Row],[Price of Shares]]="",_xlfn.STOCKHISTORY(HistoricalStockProgress[[#This Row],[Full Company Name]],HistoricalStockProgress[[#This Row],[Date]],,2,0,1)),0)</f>
        <v>0</v>
      </c>
      <c r="M1068" s="34">
        <f>YEAR(HistoricalStockProgress[[#This Row],[Date]])</f>
        <v>2021</v>
      </c>
      <c r="N1068" s="34">
        <f>MONTH(HistoricalStockProgress[[#This Row],[Date]])</f>
        <v>6</v>
      </c>
    </row>
    <row r="1069" spans="2:14">
      <c r="B1069" s="15">
        <v>44377</v>
      </c>
      <c r="C1069" s="34" t="s">
        <v>20</v>
      </c>
      <c r="D1069" s="34" t="e" vm="19">
        <f>_xlfn.XLOOKUP(HistoricalStockProgress[[#This Row],[Company Ticker]],CompanyDetailsList[Company Ticker],CompanyDetailsList[Official Name],,0)</f>
        <v>#VALUE!</v>
      </c>
      <c r="E10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10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7325.1549410199814</v>
      </c>
      <c r="G1069" s="17">
        <f>IFERROR(HistoricalStockProgress[[#This Row],[Cost of Shares]]/HistoricalStockProgress[[#This Row],[No. of Shares]],0)</f>
        <v>93.912242833589502</v>
      </c>
      <c r="H1069" s="16" vm="1588">
        <v>155.54</v>
      </c>
      <c r="I1069" s="16">
        <f>IF(HistoricalStockProgress[[#This Row],[No. of Shares]]&lt;&gt;0,HistoricalStockProgress[[#This Row],[Price of Shares]]*HistoricalStockProgress[[#This Row],[No. of Shares]],0)</f>
        <v>12132.119999999999</v>
      </c>
      <c r="J1069" s="16">
        <f>IF(HistoricalStockProgress[[#This Row],[No. of Shares]]&lt;&gt;0,HistoricalStockProgress[[#This Row],[Price of Shares]]-HistoricalStockProgress[[#This Row],[Cost of Shares]]/HistoricalStockProgress[[#This Row],[No. of Shares]],0)</f>
        <v>61.62775716641049</v>
      </c>
      <c r="K1069" s="17">
        <f>IF(HistoricalStockProgress[[#This Row],[Total Price of Shares]]&lt;&gt;0,HistoricalStockProgress[[#This Row],[Total Price of Shares]]-HistoricalStockProgress[[#This Row],[Cost of Shares]],0)</f>
        <v>4806.9650589800176</v>
      </c>
      <c r="L1069" s="34" t="b" cm="1">
        <f t="array" ref="L1069">IFERROR(IF(HistoricalStockProgress[[#This Row],[Price of Shares]]="",_xlfn.STOCKHISTORY(HistoricalStockProgress[[#This Row],[Full Company Name]],HistoricalStockProgress[[#This Row],[Date]],,2,0,1)),0)</f>
        <v>0</v>
      </c>
      <c r="M1069" s="34">
        <f>YEAR(HistoricalStockProgress[[#This Row],[Date]])</f>
        <v>2021</v>
      </c>
      <c r="N1069" s="34">
        <f>MONTH(HistoricalStockProgress[[#This Row],[Date]])</f>
        <v>6</v>
      </c>
    </row>
    <row r="1070" spans="2:14">
      <c r="B1070" s="15">
        <v>44377</v>
      </c>
      <c r="C1070" s="34" t="s">
        <v>106</v>
      </c>
      <c r="D1070" s="34" t="e" vm="20">
        <f>_xlfn.XLOOKUP(HistoricalStockProgress[[#This Row],[Company Ticker]],CompanyDetailsList[Company Ticker],CompanyDetailsList[Official Name],,0)</f>
        <v>#VALUE!</v>
      </c>
      <c r="E10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0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070" s="17">
        <f>IFERROR(HistoricalStockProgress[[#This Row],[Cost of Shares]]/HistoricalStockProgress[[#This Row],[No. of Shares]],0)</f>
        <v>108.54870748680406</v>
      </c>
      <c r="H1070" s="16" vm="1589">
        <v>169.77</v>
      </c>
      <c r="I1070" s="16">
        <f>IF(HistoricalStockProgress[[#This Row],[No. of Shares]]&lt;&gt;0,HistoricalStockProgress[[#This Row],[Price of Shares]]*HistoricalStockProgress[[#This Row],[No. of Shares]],0)</f>
        <v>14939.76</v>
      </c>
      <c r="J1070" s="16">
        <f>IF(HistoricalStockProgress[[#This Row],[No. of Shares]]&lt;&gt;0,HistoricalStockProgress[[#This Row],[Price of Shares]]-HistoricalStockProgress[[#This Row],[Cost of Shares]]/HistoricalStockProgress[[#This Row],[No. of Shares]],0)</f>
        <v>61.221292513195948</v>
      </c>
      <c r="K1070" s="17">
        <f>IF(HistoricalStockProgress[[#This Row],[Total Price of Shares]]&lt;&gt;0,HistoricalStockProgress[[#This Row],[Total Price of Shares]]-HistoricalStockProgress[[#This Row],[Cost of Shares]],0)</f>
        <v>5387.4737411612423</v>
      </c>
      <c r="L1070" s="34" t="b" cm="1">
        <f t="array" ref="L1070">IFERROR(IF(HistoricalStockProgress[[#This Row],[Price of Shares]]="",_xlfn.STOCKHISTORY(HistoricalStockProgress[[#This Row],[Full Company Name]],HistoricalStockProgress[[#This Row],[Date]],,2,0,1)),0)</f>
        <v>0</v>
      </c>
      <c r="M1070" s="34">
        <f>YEAR(HistoricalStockProgress[[#This Row],[Date]])</f>
        <v>2021</v>
      </c>
      <c r="N1070" s="34">
        <f>MONTH(HistoricalStockProgress[[#This Row],[Date]])</f>
        <v>6</v>
      </c>
    </row>
    <row r="1071" spans="2:14">
      <c r="B1071" s="15">
        <v>44408</v>
      </c>
      <c r="C1071" s="34" t="s">
        <v>12</v>
      </c>
      <c r="D1071" s="34" t="e" vm="1">
        <f>_xlfn.XLOOKUP(HistoricalStockProgress[[#This Row],[Company Ticker]],CompanyDetailsList[Company Ticker],CompanyDetailsList[Official Name],,0)</f>
        <v>#VALUE!</v>
      </c>
      <c r="E10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10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1071" s="17">
        <f>IFERROR(HistoricalStockProgress[[#This Row],[Cost of Shares]]/HistoricalStockProgress[[#This Row],[No. of Shares]],0)</f>
        <v>63.845182519411239</v>
      </c>
      <c r="H1071" s="16" vm="1590">
        <v>70.290000000000006</v>
      </c>
      <c r="I1071" s="16">
        <f>IF(HistoricalStockProgress[[#This Row],[No. of Shares]]&lt;&gt;0,HistoricalStockProgress[[#This Row],[Price of Shares]]*HistoricalStockProgress[[#This Row],[No. of Shares]],0)</f>
        <v>4498.5600000000004</v>
      </c>
      <c r="J1071" s="16">
        <f>IF(HistoricalStockProgress[[#This Row],[No. of Shares]]&lt;&gt;0,HistoricalStockProgress[[#This Row],[Price of Shares]]-HistoricalStockProgress[[#This Row],[Cost of Shares]]/HistoricalStockProgress[[#This Row],[No. of Shares]],0)</f>
        <v>6.4448174805887675</v>
      </c>
      <c r="K1071" s="17">
        <f>IF(HistoricalStockProgress[[#This Row],[Total Price of Shares]]&lt;&gt;0,HistoricalStockProgress[[#This Row],[Total Price of Shares]]-HistoricalStockProgress[[#This Row],[Cost of Shares]],0)</f>
        <v>412.46831875768112</v>
      </c>
      <c r="L1071" s="34" t="b" cm="1">
        <f t="array" ref="L1071">IFERROR(IF(HistoricalStockProgress[[#This Row],[Price of Shares]]="",_xlfn.STOCKHISTORY(HistoricalStockProgress[[#This Row],[Full Company Name]],HistoricalStockProgress[[#This Row],[Date]],,2,0,1)),0)</f>
        <v>0</v>
      </c>
      <c r="M1071" s="34">
        <f>YEAR(HistoricalStockProgress[[#This Row],[Date]])</f>
        <v>2021</v>
      </c>
      <c r="N1071" s="34">
        <f>MONTH(HistoricalStockProgress[[#This Row],[Date]])</f>
        <v>7</v>
      </c>
    </row>
    <row r="1072" spans="2:14">
      <c r="B1072" s="15">
        <v>44408</v>
      </c>
      <c r="C1072" s="34" t="s">
        <v>14</v>
      </c>
      <c r="D1072" s="34" t="e" vm="2">
        <f>_xlfn.XLOOKUP(HistoricalStockProgress[[#This Row],[Company Ticker]],CompanyDetailsList[Company Ticker],CompanyDetailsList[Official Name],,0)</f>
        <v>#VALUE!</v>
      </c>
      <c r="E10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10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374.08704394110305</v>
      </c>
      <c r="G1072" s="17">
        <f>IFERROR(HistoricalStockProgress[[#This Row],[Cost of Shares]]/HistoricalStockProgress[[#This Row],[No. of Shares]],0)</f>
        <v>31.173920328425254</v>
      </c>
      <c r="H1072" s="16" vm="1591">
        <v>28.68</v>
      </c>
      <c r="I1072" s="16">
        <f>IF(HistoricalStockProgress[[#This Row],[No. of Shares]]&lt;&gt;0,HistoricalStockProgress[[#This Row],[Price of Shares]]*HistoricalStockProgress[[#This Row],[No. of Shares]],0)</f>
        <v>344.15999999999997</v>
      </c>
      <c r="J1072" s="16">
        <f>IF(HistoricalStockProgress[[#This Row],[No. of Shares]]&lt;&gt;0,HistoricalStockProgress[[#This Row],[Price of Shares]]-HistoricalStockProgress[[#This Row],[Cost of Shares]]/HistoricalStockProgress[[#This Row],[No. of Shares]],0)</f>
        <v>-2.4939203284252542</v>
      </c>
      <c r="K1072" s="17">
        <f>IF(HistoricalStockProgress[[#This Row],[Total Price of Shares]]&lt;&gt;0,HistoricalStockProgress[[#This Row],[Total Price of Shares]]-HistoricalStockProgress[[#This Row],[Cost of Shares]],0)</f>
        <v>-29.927043941103079</v>
      </c>
      <c r="L1072" s="34" t="b" cm="1">
        <f t="array" ref="L1072">IFERROR(IF(HistoricalStockProgress[[#This Row],[Price of Shares]]="",_xlfn.STOCKHISTORY(HistoricalStockProgress[[#This Row],[Full Company Name]],HistoricalStockProgress[[#This Row],[Date]],,2,0,1)),0)</f>
        <v>0</v>
      </c>
      <c r="M1072" s="34">
        <f>YEAR(HistoricalStockProgress[[#This Row],[Date]])</f>
        <v>2021</v>
      </c>
      <c r="N1072" s="34">
        <f>MONTH(HistoricalStockProgress[[#This Row],[Date]])</f>
        <v>7</v>
      </c>
    </row>
    <row r="1073" spans="2:14">
      <c r="B1073" s="15">
        <v>44408</v>
      </c>
      <c r="C1073" s="34" t="s">
        <v>19</v>
      </c>
      <c r="D1073" s="34" t="e" vm="3">
        <f>_xlfn.XLOOKUP(HistoricalStockProgress[[#This Row],[Company Ticker]],CompanyDetailsList[Company Ticker],CompanyDetailsList[Official Name],,0)</f>
        <v>#VALUE!</v>
      </c>
      <c r="E10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0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073" s="17">
        <f>IFERROR(HistoricalStockProgress[[#This Row],[Cost of Shares]]/HistoricalStockProgress[[#This Row],[No. of Shares]],0)</f>
        <v>158.45739987816083</v>
      </c>
      <c r="H1073" s="16" vm="1592">
        <v>180.89</v>
      </c>
      <c r="I1073" s="16">
        <f>IF(HistoricalStockProgress[[#This Row],[No. of Shares]]&lt;&gt;0,HistoricalStockProgress[[#This Row],[Price of Shares]]*HistoricalStockProgress[[#This Row],[No. of Shares]],0)</f>
        <v>10310.73</v>
      </c>
      <c r="J1073" s="16">
        <f>IF(HistoricalStockProgress[[#This Row],[No. of Shares]]&lt;&gt;0,HistoricalStockProgress[[#This Row],[Price of Shares]]-HistoricalStockProgress[[#This Row],[Cost of Shares]]/HistoricalStockProgress[[#This Row],[No. of Shares]],0)</f>
        <v>22.432600121839158</v>
      </c>
      <c r="K1073" s="17">
        <f>IF(HistoricalStockProgress[[#This Row],[Total Price of Shares]]&lt;&gt;0,HistoricalStockProgress[[#This Row],[Total Price of Shares]]-HistoricalStockProgress[[#This Row],[Cost of Shares]],0)</f>
        <v>1278.6582069448323</v>
      </c>
      <c r="L1073" s="34" t="b" cm="1">
        <f t="array" ref="L1073">IFERROR(IF(HistoricalStockProgress[[#This Row],[Price of Shares]]="",_xlfn.STOCKHISTORY(HistoricalStockProgress[[#This Row],[Full Company Name]],HistoricalStockProgress[[#This Row],[Date]],,2,0,1)),0)</f>
        <v>0</v>
      </c>
      <c r="M1073" s="34">
        <f>YEAR(HistoricalStockProgress[[#This Row],[Date]])</f>
        <v>2021</v>
      </c>
      <c r="N1073" s="34">
        <f>MONTH(HistoricalStockProgress[[#This Row],[Date]])</f>
        <v>7</v>
      </c>
    </row>
    <row r="1074" spans="2:14">
      <c r="B1074" s="15">
        <v>44408</v>
      </c>
      <c r="C1074" s="34" t="s">
        <v>23</v>
      </c>
      <c r="D1074" s="34" t="e" vm="4">
        <f>_xlfn.XLOOKUP(HistoricalStockProgress[[#This Row],[Company Ticker]],CompanyDetailsList[Company Ticker],CompanyDetailsList[Official Name],,0)</f>
        <v>#VALUE!</v>
      </c>
      <c r="E10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10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1074" s="17">
        <f>IFERROR(HistoricalStockProgress[[#This Row],[Cost of Shares]]/HistoricalStockProgress[[#This Row],[No. of Shares]],0)</f>
        <v>45.768494888570878</v>
      </c>
      <c r="H1074" s="16" vm="1593">
        <v>57.03</v>
      </c>
      <c r="I1074" s="16">
        <f>IF(HistoricalStockProgress[[#This Row],[No. of Shares]]&lt;&gt;0,HistoricalStockProgress[[#This Row],[Price of Shares]]*HistoricalStockProgress[[#This Row],[No. of Shares]],0)</f>
        <v>3307.7400000000002</v>
      </c>
      <c r="J1074" s="16">
        <f>IF(HistoricalStockProgress[[#This Row],[No. of Shares]]&lt;&gt;0,HistoricalStockProgress[[#This Row],[Price of Shares]]-HistoricalStockProgress[[#This Row],[Cost of Shares]]/HistoricalStockProgress[[#This Row],[No. of Shares]],0)</f>
        <v>11.261505111429123</v>
      </c>
      <c r="K1074" s="17">
        <f>IF(HistoricalStockProgress[[#This Row],[Total Price of Shares]]&lt;&gt;0,HistoricalStockProgress[[#This Row],[Total Price of Shares]]-HistoricalStockProgress[[#This Row],[Cost of Shares]],0)</f>
        <v>653.16729646288923</v>
      </c>
      <c r="L1074" s="34" t="b" cm="1">
        <f t="array" ref="L1074">IFERROR(IF(HistoricalStockProgress[[#This Row],[Price of Shares]]="",_xlfn.STOCKHISTORY(HistoricalStockProgress[[#This Row],[Full Company Name]],HistoricalStockProgress[[#This Row],[Date]],,2,0,1)),0)</f>
        <v>0</v>
      </c>
      <c r="M1074" s="34">
        <f>YEAR(HistoricalStockProgress[[#This Row],[Date]])</f>
        <v>2021</v>
      </c>
      <c r="N1074" s="34">
        <f>MONTH(HistoricalStockProgress[[#This Row],[Date]])</f>
        <v>7</v>
      </c>
    </row>
    <row r="1075" spans="2:14">
      <c r="B1075" s="15">
        <v>44408</v>
      </c>
      <c r="C1075" s="34" t="s">
        <v>18</v>
      </c>
      <c r="D1075" s="34" t="e" vm="5">
        <f>_xlfn.XLOOKUP(HistoricalStockProgress[[#This Row],[Company Ticker]],CompanyDetailsList[Company Ticker],CompanyDetailsList[Official Name],,0)</f>
        <v>#VALUE!</v>
      </c>
      <c r="E10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v>
      </c>
      <c r="F10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1322.059549224459</v>
      </c>
      <c r="G1075" s="17">
        <f>IFERROR(HistoricalStockProgress[[#This Row],[Cost of Shares]]/HistoricalStockProgress[[#This Row],[No. of Shares]],0)</f>
        <v>132.2059549224459</v>
      </c>
      <c r="H1075" s="16" vm="1594">
        <v>156.94999999999999</v>
      </c>
      <c r="I1075" s="16">
        <f>IF(HistoricalStockProgress[[#This Row],[No. of Shares]]&lt;&gt;0,HistoricalStockProgress[[#This Row],[Price of Shares]]*HistoricalStockProgress[[#This Row],[No. of Shares]],0)</f>
        <v>1569.5</v>
      </c>
      <c r="J1075" s="16">
        <f>IF(HistoricalStockProgress[[#This Row],[No. of Shares]]&lt;&gt;0,HistoricalStockProgress[[#This Row],[Price of Shares]]-HistoricalStockProgress[[#This Row],[Cost of Shares]]/HistoricalStockProgress[[#This Row],[No. of Shares]],0)</f>
        <v>24.744045077554091</v>
      </c>
      <c r="K1075" s="17">
        <f>IF(HistoricalStockProgress[[#This Row],[Total Price of Shares]]&lt;&gt;0,HistoricalStockProgress[[#This Row],[Total Price of Shares]]-HistoricalStockProgress[[#This Row],[Cost of Shares]],0)</f>
        <v>247.44045077554097</v>
      </c>
      <c r="L1075" s="34" t="b" cm="1">
        <f t="array" ref="L1075">IFERROR(IF(HistoricalStockProgress[[#This Row],[Price of Shares]]="",_xlfn.STOCKHISTORY(HistoricalStockProgress[[#This Row],[Full Company Name]],HistoricalStockProgress[[#This Row],[Date]],,2,0,1)),0)</f>
        <v>0</v>
      </c>
      <c r="M1075" s="34">
        <f>YEAR(HistoricalStockProgress[[#This Row],[Date]])</f>
        <v>2021</v>
      </c>
      <c r="N1075" s="34">
        <f>MONTH(HistoricalStockProgress[[#This Row],[Date]])</f>
        <v>7</v>
      </c>
    </row>
    <row r="1076" spans="2:14">
      <c r="B1076" s="15">
        <v>44408</v>
      </c>
      <c r="C1076" s="34" t="s">
        <v>21</v>
      </c>
      <c r="D1076" s="34" t="e" vm="6">
        <f>_xlfn.XLOOKUP(HistoricalStockProgress[[#This Row],[Company Ticker]],CompanyDetailsList[Company Ticker],CompanyDetailsList[Official Name],,0)</f>
        <v>#VALUE!</v>
      </c>
      <c r="E10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0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3654.8914204824332</v>
      </c>
      <c r="G1076" s="17">
        <f>IFERROR(HistoricalStockProgress[[#This Row],[Cost of Shares]]/HistoricalStockProgress[[#This Row],[No. of Shares]],0)</f>
        <v>130.53183644580119</v>
      </c>
      <c r="H1076" s="16" vm="1595">
        <v>142.22999999999999</v>
      </c>
      <c r="I1076" s="16">
        <f>IF(HistoricalStockProgress[[#This Row],[No. of Shares]]&lt;&gt;0,HistoricalStockProgress[[#This Row],[Price of Shares]]*HistoricalStockProgress[[#This Row],[No. of Shares]],0)</f>
        <v>3982.4399999999996</v>
      </c>
      <c r="J1076" s="16">
        <f>IF(HistoricalStockProgress[[#This Row],[No. of Shares]]&lt;&gt;0,HistoricalStockProgress[[#This Row],[Price of Shares]]-HistoricalStockProgress[[#This Row],[Cost of Shares]]/HistoricalStockProgress[[#This Row],[No. of Shares]],0)</f>
        <v>11.6981635541988</v>
      </c>
      <c r="K1076" s="17">
        <f>IF(HistoricalStockProgress[[#This Row],[Total Price of Shares]]&lt;&gt;0,HistoricalStockProgress[[#This Row],[Total Price of Shares]]-HistoricalStockProgress[[#This Row],[Cost of Shares]],0)</f>
        <v>327.5485795175664</v>
      </c>
      <c r="L1076" s="34" t="b" cm="1">
        <f t="array" ref="L1076">IFERROR(IF(HistoricalStockProgress[[#This Row],[Price of Shares]]="",_xlfn.STOCKHISTORY(HistoricalStockProgress[[#This Row],[Full Company Name]],HistoricalStockProgress[[#This Row],[Date]],,2,0,1)),0)</f>
        <v>0</v>
      </c>
      <c r="M1076" s="34">
        <f>YEAR(HistoricalStockProgress[[#This Row],[Date]])</f>
        <v>2021</v>
      </c>
      <c r="N1076" s="34">
        <f>MONTH(HistoricalStockProgress[[#This Row],[Date]])</f>
        <v>7</v>
      </c>
    </row>
    <row r="1077" spans="2:14">
      <c r="B1077" s="15">
        <v>44408</v>
      </c>
      <c r="C1077" s="34" t="s">
        <v>84</v>
      </c>
      <c r="D1077" s="34" t="e" vm="7">
        <f>_xlfn.XLOOKUP(HistoricalStockProgress[[#This Row],[Company Ticker]],CompanyDetailsList[Company Ticker],CompanyDetailsList[Official Name],,0)</f>
        <v>#VALUE!</v>
      </c>
      <c r="E10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0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077" s="17">
        <f>IFERROR(HistoricalStockProgress[[#This Row],[Cost of Shares]]/HistoricalStockProgress[[#This Row],[No. of Shares]],0)</f>
        <v>104.18087504950869</v>
      </c>
      <c r="H1077" s="16" vm="1596">
        <v>172.2</v>
      </c>
      <c r="I1077" s="16">
        <f>IF(HistoricalStockProgress[[#This Row],[No. of Shares]]&lt;&gt;0,HistoricalStockProgress[[#This Row],[Price of Shares]]*HistoricalStockProgress[[#This Row],[No. of Shares]],0)</f>
        <v>8782.1999999999989</v>
      </c>
      <c r="J1077" s="16">
        <f>IF(HistoricalStockProgress[[#This Row],[No. of Shares]]&lt;&gt;0,HistoricalStockProgress[[#This Row],[Price of Shares]]-HistoricalStockProgress[[#This Row],[Cost of Shares]]/HistoricalStockProgress[[#This Row],[No. of Shares]],0)</f>
        <v>68.019124950491303</v>
      </c>
      <c r="K1077" s="17">
        <f>IF(HistoricalStockProgress[[#This Row],[Total Price of Shares]]&lt;&gt;0,HistoricalStockProgress[[#This Row],[Total Price of Shares]]-HistoricalStockProgress[[#This Row],[Cost of Shares]],0)</f>
        <v>3468.9753724750562</v>
      </c>
      <c r="L1077" s="34" t="b" cm="1">
        <f t="array" ref="L1077">IFERROR(IF(HistoricalStockProgress[[#This Row],[Price of Shares]]="",_xlfn.STOCKHISTORY(HistoricalStockProgress[[#This Row],[Full Company Name]],HistoricalStockProgress[[#This Row],[Date]],,2,0,1)),0)</f>
        <v>0</v>
      </c>
      <c r="M1077" s="34">
        <f>YEAR(HistoricalStockProgress[[#This Row],[Date]])</f>
        <v>2021</v>
      </c>
      <c r="N1077" s="34">
        <f>MONTH(HistoricalStockProgress[[#This Row],[Date]])</f>
        <v>7</v>
      </c>
    </row>
    <row r="1078" spans="2:14">
      <c r="B1078" s="15">
        <v>44408</v>
      </c>
      <c r="C1078" s="34" t="s">
        <v>86</v>
      </c>
      <c r="D1078" s="34" t="e" vm="8">
        <f>_xlfn.XLOOKUP(HistoricalStockProgress[[#This Row],[Company Ticker]],CompanyDetailsList[Company Ticker],CompanyDetailsList[Official Name],,0)</f>
        <v>#VALUE!</v>
      </c>
      <c r="E10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0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078" s="17">
        <f>IFERROR(HistoricalStockProgress[[#This Row],[Cost of Shares]]/HistoricalStockProgress[[#This Row],[No. of Shares]],0)</f>
        <v>92.636161128673535</v>
      </c>
      <c r="H1078" s="16" vm="1597">
        <v>116.3</v>
      </c>
      <c r="I1078" s="16">
        <f>IF(HistoricalStockProgress[[#This Row],[No. of Shares]]&lt;&gt;0,HistoricalStockProgress[[#This Row],[Price of Shares]]*HistoricalStockProgress[[#This Row],[No. of Shares]],0)</f>
        <v>13258.199999999999</v>
      </c>
      <c r="J1078" s="16">
        <f>IF(HistoricalStockProgress[[#This Row],[No. of Shares]]&lt;&gt;0,HistoricalStockProgress[[#This Row],[Price of Shares]]-HistoricalStockProgress[[#This Row],[Cost of Shares]]/HistoricalStockProgress[[#This Row],[No. of Shares]],0)</f>
        <v>23.663838871326462</v>
      </c>
      <c r="K1078" s="17">
        <f>IF(HistoricalStockProgress[[#This Row],[Total Price of Shares]]&lt;&gt;0,HistoricalStockProgress[[#This Row],[Total Price of Shares]]-HistoricalStockProgress[[#This Row],[Cost of Shares]],0)</f>
        <v>2697.6776313312166</v>
      </c>
      <c r="L1078" s="34" t="b" cm="1">
        <f t="array" ref="L1078">IFERROR(IF(HistoricalStockProgress[[#This Row],[Price of Shares]]="",_xlfn.STOCKHISTORY(HistoricalStockProgress[[#This Row],[Full Company Name]],HistoricalStockProgress[[#This Row],[Date]],,2,0,1)),0)</f>
        <v>0</v>
      </c>
      <c r="M1078" s="34">
        <f>YEAR(HistoricalStockProgress[[#This Row],[Date]])</f>
        <v>2021</v>
      </c>
      <c r="N1078" s="34">
        <f>MONTH(HistoricalStockProgress[[#This Row],[Date]])</f>
        <v>7</v>
      </c>
    </row>
    <row r="1079" spans="2:14">
      <c r="B1079" s="15">
        <v>44408</v>
      </c>
      <c r="C1079" s="34" t="s">
        <v>88</v>
      </c>
      <c r="D1079" s="34" t="e" vm="9">
        <f>_xlfn.XLOOKUP(HistoricalStockProgress[[#This Row],[Company Ticker]],CompanyDetailsList[Company Ticker],CompanyDetailsList[Official Name],,0)</f>
        <v>#VALUE!</v>
      </c>
      <c r="E10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0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079" s="17">
        <f>IFERROR(HistoricalStockProgress[[#This Row],[Cost of Shares]]/HistoricalStockProgress[[#This Row],[No. of Shares]],0)</f>
        <v>187.727755253422</v>
      </c>
      <c r="H1079" s="16" vm="1598">
        <v>242.71</v>
      </c>
      <c r="I1079" s="16">
        <f>IF(HistoricalStockProgress[[#This Row],[No. of Shares]]&lt;&gt;0,HistoricalStockProgress[[#This Row],[Price of Shares]]*HistoricalStockProgress[[#This Row],[No. of Shares]],0)</f>
        <v>14319.890000000001</v>
      </c>
      <c r="J1079" s="16">
        <f>IF(HistoricalStockProgress[[#This Row],[No. of Shares]]&lt;&gt;0,HistoricalStockProgress[[#This Row],[Price of Shares]]-HistoricalStockProgress[[#This Row],[Cost of Shares]]/HistoricalStockProgress[[#This Row],[No. of Shares]],0)</f>
        <v>54.982244746578004</v>
      </c>
      <c r="K1079" s="17">
        <f>IF(HistoricalStockProgress[[#This Row],[Total Price of Shares]]&lt;&gt;0,HistoricalStockProgress[[#This Row],[Total Price of Shares]]-HistoricalStockProgress[[#This Row],[Cost of Shares]],0)</f>
        <v>3243.9524400481023</v>
      </c>
      <c r="L1079" s="34" t="b" cm="1">
        <f t="array" ref="L1079">IFERROR(IF(HistoricalStockProgress[[#This Row],[Price of Shares]]="",_xlfn.STOCKHISTORY(HistoricalStockProgress[[#This Row],[Full Company Name]],HistoricalStockProgress[[#This Row],[Date]],,2,0,1)),0)</f>
        <v>0</v>
      </c>
      <c r="M1079" s="34">
        <f>YEAR(HistoricalStockProgress[[#This Row],[Date]])</f>
        <v>2021</v>
      </c>
      <c r="N1079" s="34">
        <f>MONTH(HistoricalStockProgress[[#This Row],[Date]])</f>
        <v>7</v>
      </c>
    </row>
    <row r="1080" spans="2:14">
      <c r="B1080" s="15">
        <v>44408</v>
      </c>
      <c r="C1080" s="34" t="s">
        <v>22</v>
      </c>
      <c r="D1080" s="34" t="e" vm="10">
        <f>_xlfn.XLOOKUP(HistoricalStockProgress[[#This Row],[Company Ticker]],CompanyDetailsList[Company Ticker],CompanyDetailsList[Official Name],,0)</f>
        <v>#VALUE!</v>
      </c>
      <c r="E10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81</v>
      </c>
      <c r="F10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7804.4898925231928</v>
      </c>
      <c r="G1080" s="17">
        <f>IFERROR(HistoricalStockProgress[[#This Row],[Cost of Shares]]/HistoricalStockProgress[[#This Row],[No. of Shares]],0)</f>
        <v>96.351727068187571</v>
      </c>
      <c r="H1080" s="16" vm="1599">
        <v>206.75</v>
      </c>
      <c r="I1080" s="16">
        <f>IF(HistoricalStockProgress[[#This Row],[No. of Shares]]&lt;&gt;0,HistoricalStockProgress[[#This Row],[Price of Shares]]*HistoricalStockProgress[[#This Row],[No. of Shares]],0)</f>
        <v>16746.75</v>
      </c>
      <c r="J1080" s="16">
        <f>IF(HistoricalStockProgress[[#This Row],[No. of Shares]]&lt;&gt;0,HistoricalStockProgress[[#This Row],[Price of Shares]]-HistoricalStockProgress[[#This Row],[Cost of Shares]]/HistoricalStockProgress[[#This Row],[No. of Shares]],0)</f>
        <v>110.39827293181243</v>
      </c>
      <c r="K1080" s="17">
        <f>IF(HistoricalStockProgress[[#This Row],[Total Price of Shares]]&lt;&gt;0,HistoricalStockProgress[[#This Row],[Total Price of Shares]]-HistoricalStockProgress[[#This Row],[Cost of Shares]],0)</f>
        <v>8942.2601074768063</v>
      </c>
      <c r="L1080" s="34" t="b" cm="1">
        <f t="array" ref="L1080">IFERROR(IF(HistoricalStockProgress[[#This Row],[Price of Shares]]="",_xlfn.STOCKHISTORY(HistoricalStockProgress[[#This Row],[Full Company Name]],HistoricalStockProgress[[#This Row],[Date]],,2,0,1)),0)</f>
        <v>0</v>
      </c>
      <c r="M1080" s="34">
        <f>YEAR(HistoricalStockProgress[[#This Row],[Date]])</f>
        <v>2021</v>
      </c>
      <c r="N1080" s="34">
        <f>MONTH(HistoricalStockProgress[[#This Row],[Date]])</f>
        <v>7</v>
      </c>
    </row>
    <row r="1081" spans="2:14">
      <c r="B1081" s="15">
        <v>44408</v>
      </c>
      <c r="C1081" s="34" t="s">
        <v>91</v>
      </c>
      <c r="D1081" s="34" t="e" vm="11">
        <f>_xlfn.XLOOKUP(HistoricalStockProgress[[#This Row],[Company Ticker]],CompanyDetailsList[Company Ticker],CompanyDetailsList[Official Name],,0)</f>
        <v>#VALUE!</v>
      </c>
      <c r="E10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10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1081" s="17">
        <f>IFERROR(HistoricalStockProgress[[#This Row],[Cost of Shares]]/HistoricalStockProgress[[#This Row],[No. of Shares]],0)</f>
        <v>100.94993172657422</v>
      </c>
      <c r="H1081" s="16" vm="1600">
        <v>284.91000000000003</v>
      </c>
      <c r="I1081" s="16">
        <f>IF(HistoricalStockProgress[[#This Row],[No. of Shares]]&lt;&gt;0,HistoricalStockProgress[[#This Row],[Price of Shares]]*HistoricalStockProgress[[#This Row],[No. of Shares]],0)</f>
        <v>41881.770000000004</v>
      </c>
      <c r="J1081" s="16">
        <f>IF(HistoricalStockProgress[[#This Row],[No. of Shares]]&lt;&gt;0,HistoricalStockProgress[[#This Row],[Price of Shares]]-HistoricalStockProgress[[#This Row],[Cost of Shares]]/HistoricalStockProgress[[#This Row],[No. of Shares]],0)</f>
        <v>183.9600682734258</v>
      </c>
      <c r="K1081" s="17">
        <f>IF(HistoricalStockProgress[[#This Row],[Total Price of Shares]]&lt;&gt;0,HistoricalStockProgress[[#This Row],[Total Price of Shares]]-HistoricalStockProgress[[#This Row],[Cost of Shares]],0)</f>
        <v>27042.130036193594</v>
      </c>
      <c r="L1081" s="34" t="b" cm="1">
        <f t="array" ref="L1081">IFERROR(IF(HistoricalStockProgress[[#This Row],[Price of Shares]]="",_xlfn.STOCKHISTORY(HistoricalStockProgress[[#This Row],[Full Company Name]],HistoricalStockProgress[[#This Row],[Date]],,2,0,1)),0)</f>
        <v>0</v>
      </c>
      <c r="M1081" s="34">
        <f>YEAR(HistoricalStockProgress[[#This Row],[Date]])</f>
        <v>2021</v>
      </c>
      <c r="N1081" s="34">
        <f>MONTH(HistoricalStockProgress[[#This Row],[Date]])</f>
        <v>7</v>
      </c>
    </row>
    <row r="1082" spans="2:14">
      <c r="B1082" s="15">
        <v>44408</v>
      </c>
      <c r="C1082" s="34" t="s">
        <v>16</v>
      </c>
      <c r="D1082" s="34" t="e" vm="12">
        <f>_xlfn.XLOOKUP(HistoricalStockProgress[[#This Row],[Company Ticker]],CompanyDetailsList[Company Ticker],CompanyDetailsList[Official Name],,0)</f>
        <v>#VALUE!</v>
      </c>
      <c r="E10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0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082" s="17">
        <f>IFERROR(HistoricalStockProgress[[#This Row],[Cost of Shares]]/HistoricalStockProgress[[#This Row],[No. of Shares]],0)</f>
        <v>75.117698177311837</v>
      </c>
      <c r="H1082" s="16" vm="1601">
        <v>57.57</v>
      </c>
      <c r="I1082" s="16">
        <f>IF(HistoricalStockProgress[[#This Row],[No. of Shares]]&lt;&gt;0,HistoricalStockProgress[[#This Row],[Price of Shares]]*HistoricalStockProgress[[#This Row],[No. of Shares]],0)</f>
        <v>10650.45</v>
      </c>
      <c r="J1082" s="16">
        <f>IF(HistoricalStockProgress[[#This Row],[No. of Shares]]&lt;&gt;0,HistoricalStockProgress[[#This Row],[Price of Shares]]-HistoricalStockProgress[[#This Row],[Cost of Shares]]/HistoricalStockProgress[[#This Row],[No. of Shares]],0)</f>
        <v>-17.547698177311837</v>
      </c>
      <c r="K1082" s="17">
        <f>IF(HistoricalStockProgress[[#This Row],[Total Price of Shares]]&lt;&gt;0,HistoricalStockProgress[[#This Row],[Total Price of Shares]]-HistoricalStockProgress[[#This Row],[Cost of Shares]],0)</f>
        <v>-3246.3241628026881</v>
      </c>
      <c r="L1082" s="34" t="b" cm="1">
        <f t="array" ref="L1082">IFERROR(IF(HistoricalStockProgress[[#This Row],[Price of Shares]]="",_xlfn.STOCKHISTORY(HistoricalStockProgress[[#This Row],[Full Company Name]],HistoricalStockProgress[[#This Row],[Date]],,2,0,1)),0)</f>
        <v>0</v>
      </c>
      <c r="M1082" s="34">
        <f>YEAR(HistoricalStockProgress[[#This Row],[Date]])</f>
        <v>2021</v>
      </c>
      <c r="N1082" s="34">
        <f>MONTH(HistoricalStockProgress[[#This Row],[Date]])</f>
        <v>7</v>
      </c>
    </row>
    <row r="1083" spans="2:14">
      <c r="B1083" s="15">
        <v>44408</v>
      </c>
      <c r="C1083" s="34" t="s">
        <v>95</v>
      </c>
      <c r="D1083" s="34" t="e" vm="13">
        <f>_xlfn.XLOOKUP(HistoricalStockProgress[[#This Row],[Company Ticker]],CompanyDetailsList[Company Ticker],CompanyDetailsList[Official Name],,0)</f>
        <v>#VALUE!</v>
      </c>
      <c r="E10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0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10324.055787336294</v>
      </c>
      <c r="G1083" s="17">
        <f>IFERROR(HistoricalStockProgress[[#This Row],[Cost of Shares]]/HistoricalStockProgress[[#This Row],[No. of Shares]],0)</f>
        <v>184.35813905957667</v>
      </c>
      <c r="H1083" s="16" vm="1602">
        <v>328.19</v>
      </c>
      <c r="I1083" s="16">
        <f>IF(HistoricalStockProgress[[#This Row],[No. of Shares]]&lt;&gt;0,HistoricalStockProgress[[#This Row],[Price of Shares]]*HistoricalStockProgress[[#This Row],[No. of Shares]],0)</f>
        <v>18378.64</v>
      </c>
      <c r="J1083" s="16">
        <f>IF(HistoricalStockProgress[[#This Row],[No. of Shares]]&lt;&gt;0,HistoricalStockProgress[[#This Row],[Price of Shares]]-HistoricalStockProgress[[#This Row],[Cost of Shares]]/HistoricalStockProgress[[#This Row],[No. of Shares]],0)</f>
        <v>143.83186094042333</v>
      </c>
      <c r="K1083" s="17">
        <f>IF(HistoricalStockProgress[[#This Row],[Total Price of Shares]]&lt;&gt;0,HistoricalStockProgress[[#This Row],[Total Price of Shares]]-HistoricalStockProgress[[#This Row],[Cost of Shares]],0)</f>
        <v>8054.5842126637053</v>
      </c>
      <c r="L1083" s="34" t="b" cm="1">
        <f t="array" ref="L1083">IFERROR(IF(HistoricalStockProgress[[#This Row],[Price of Shares]]="",_xlfn.STOCKHISTORY(HistoricalStockProgress[[#This Row],[Full Company Name]],HistoricalStockProgress[[#This Row],[Date]],,2,0,1)),0)</f>
        <v>0</v>
      </c>
      <c r="M1083" s="34">
        <f>YEAR(HistoricalStockProgress[[#This Row],[Date]])</f>
        <v>2021</v>
      </c>
      <c r="N1083" s="34">
        <f>MONTH(HistoricalStockProgress[[#This Row],[Date]])</f>
        <v>7</v>
      </c>
    </row>
    <row r="1084" spans="2:14">
      <c r="B1084" s="15">
        <v>44408</v>
      </c>
      <c r="C1084" s="34" t="s">
        <v>17</v>
      </c>
      <c r="D1084" s="34" t="e" vm="14">
        <f>_xlfn.XLOOKUP(HistoricalStockProgress[[#This Row],[Company Ticker]],CompanyDetailsList[Company Ticker],CompanyDetailsList[Official Name],,0)</f>
        <v>#VALUE!</v>
      </c>
      <c r="E10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113</v>
      </c>
      <c r="F10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16195.54422264694</v>
      </c>
      <c r="G1084" s="17">
        <f>IFERROR(HistoricalStockProgress[[#This Row],[Cost of Shares]]/HistoricalStockProgress[[#This Row],[No. of Shares]],0)</f>
        <v>143.32340020041539</v>
      </c>
      <c r="H1084" s="16" vm="1603">
        <v>140.96</v>
      </c>
      <c r="I1084" s="16">
        <f>IF(HistoricalStockProgress[[#This Row],[No. of Shares]]&lt;&gt;0,HistoricalStockProgress[[#This Row],[Price of Shares]]*HistoricalStockProgress[[#This Row],[No. of Shares]],0)</f>
        <v>15928.480000000001</v>
      </c>
      <c r="J1084" s="16">
        <f>IF(HistoricalStockProgress[[#This Row],[No. of Shares]]&lt;&gt;0,HistoricalStockProgress[[#This Row],[Price of Shares]]-HistoricalStockProgress[[#This Row],[Cost of Shares]]/HistoricalStockProgress[[#This Row],[No. of Shares]],0)</f>
        <v>-2.3634002004153842</v>
      </c>
      <c r="K1084" s="17">
        <f>IF(HistoricalStockProgress[[#This Row],[Total Price of Shares]]&lt;&gt;0,HistoricalStockProgress[[#This Row],[Total Price of Shares]]-HistoricalStockProgress[[#This Row],[Cost of Shares]],0)</f>
        <v>-267.06422264693902</v>
      </c>
      <c r="L1084" s="34" t="b" cm="1">
        <f t="array" ref="L1084">IFERROR(IF(HistoricalStockProgress[[#This Row],[Price of Shares]]="",_xlfn.STOCKHISTORY(HistoricalStockProgress[[#This Row],[Full Company Name]],HistoricalStockProgress[[#This Row],[Date]],,2,0,1)),0)</f>
        <v>0</v>
      </c>
      <c r="M1084" s="34">
        <f>YEAR(HistoricalStockProgress[[#This Row],[Date]])</f>
        <v>2021</v>
      </c>
      <c r="N1084" s="34">
        <f>MONTH(HistoricalStockProgress[[#This Row],[Date]])</f>
        <v>7</v>
      </c>
    </row>
    <row r="1085" spans="2:14">
      <c r="B1085" s="15">
        <v>44408</v>
      </c>
      <c r="C1085" s="34" t="s">
        <v>98</v>
      </c>
      <c r="D1085" s="34" t="e" vm="15">
        <f>_xlfn.XLOOKUP(HistoricalStockProgress[[#This Row],[Company Ticker]],CompanyDetailsList[Company Ticker],CompanyDetailsList[Official Name],,0)</f>
        <v>#VALUE!</v>
      </c>
      <c r="E10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108</v>
      </c>
      <c r="F10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5486.2959177385774</v>
      </c>
      <c r="G1085" s="17">
        <f>IFERROR(HistoricalStockProgress[[#This Row],[Cost of Shares]]/HistoricalStockProgress[[#This Row],[No. of Shares]],0)</f>
        <v>50.799036275357196</v>
      </c>
      <c r="H1085" s="16" vm="1604">
        <v>77.900000000000006</v>
      </c>
      <c r="I1085" s="16">
        <f>IF(HistoricalStockProgress[[#This Row],[No. of Shares]]&lt;&gt;0,HistoricalStockProgress[[#This Row],[Price of Shares]]*HistoricalStockProgress[[#This Row],[No. of Shares]],0)</f>
        <v>8413.2000000000007</v>
      </c>
      <c r="J1085" s="16">
        <f>IF(HistoricalStockProgress[[#This Row],[No. of Shares]]&lt;&gt;0,HistoricalStockProgress[[#This Row],[Price of Shares]]-HistoricalStockProgress[[#This Row],[Cost of Shares]]/HistoricalStockProgress[[#This Row],[No. of Shares]],0)</f>
        <v>27.10096372464281</v>
      </c>
      <c r="K1085" s="17">
        <f>IF(HistoricalStockProgress[[#This Row],[Total Price of Shares]]&lt;&gt;0,HistoricalStockProgress[[#This Row],[Total Price of Shares]]-HistoricalStockProgress[[#This Row],[Cost of Shares]],0)</f>
        <v>2926.9040822614234</v>
      </c>
      <c r="L1085" s="34" t="b" cm="1">
        <f t="array" ref="L1085">IFERROR(IF(HistoricalStockProgress[[#This Row],[Price of Shares]]="",_xlfn.STOCKHISTORY(HistoricalStockProgress[[#This Row],[Full Company Name]],HistoricalStockProgress[[#This Row],[Date]],,2,0,1)),0)</f>
        <v>0</v>
      </c>
      <c r="M1085" s="34">
        <f>YEAR(HistoricalStockProgress[[#This Row],[Date]])</f>
        <v>2021</v>
      </c>
      <c r="N1085" s="34">
        <f>MONTH(HistoricalStockProgress[[#This Row],[Date]])</f>
        <v>7</v>
      </c>
    </row>
    <row r="1086" spans="2:14">
      <c r="B1086" s="15">
        <v>44408</v>
      </c>
      <c r="C1086" s="34" t="s">
        <v>100</v>
      </c>
      <c r="D1086" s="34" t="e" vm="16">
        <f>_xlfn.XLOOKUP(HistoricalStockProgress[[#This Row],[Company Ticker]],CompanyDetailsList[Company Ticker],CompanyDetailsList[Official Name],,0)</f>
        <v>#VALUE!</v>
      </c>
      <c r="E10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10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12257.793853370842</v>
      </c>
      <c r="G1086" s="17">
        <f>IFERROR(HistoricalStockProgress[[#This Row],[Cost of Shares]]/HistoricalStockProgress[[#This Row],[No. of Shares]],0)</f>
        <v>87.555670381220295</v>
      </c>
      <c r="H1086" s="16" vm="1605">
        <v>105.11</v>
      </c>
      <c r="I1086" s="16">
        <f>IF(HistoricalStockProgress[[#This Row],[No. of Shares]]&lt;&gt;0,HistoricalStockProgress[[#This Row],[Price of Shares]]*HistoricalStockProgress[[#This Row],[No. of Shares]],0)</f>
        <v>14715.4</v>
      </c>
      <c r="J1086" s="16">
        <f>IF(HistoricalStockProgress[[#This Row],[No. of Shares]]&lt;&gt;0,HistoricalStockProgress[[#This Row],[Price of Shares]]-HistoricalStockProgress[[#This Row],[Cost of Shares]]/HistoricalStockProgress[[#This Row],[No. of Shares]],0)</f>
        <v>17.554329618779704</v>
      </c>
      <c r="K1086" s="17">
        <f>IF(HistoricalStockProgress[[#This Row],[Total Price of Shares]]&lt;&gt;0,HistoricalStockProgress[[#This Row],[Total Price of Shares]]-HistoricalStockProgress[[#This Row],[Cost of Shares]],0)</f>
        <v>2457.6061466291576</v>
      </c>
      <c r="L1086" s="34" t="b" cm="1">
        <f t="array" ref="L1086">IFERROR(IF(HistoricalStockProgress[[#This Row],[Price of Shares]]="",_xlfn.STOCKHISTORY(HistoricalStockProgress[[#This Row],[Full Company Name]],HistoricalStockProgress[[#This Row],[Date]],,2,0,1)),0)</f>
        <v>0</v>
      </c>
      <c r="M1086" s="34">
        <f>YEAR(HistoricalStockProgress[[#This Row],[Date]])</f>
        <v>2021</v>
      </c>
      <c r="N1086" s="34">
        <f>MONTH(HistoricalStockProgress[[#This Row],[Date]])</f>
        <v>7</v>
      </c>
    </row>
    <row r="1087" spans="2:14">
      <c r="B1087" s="15">
        <v>44408</v>
      </c>
      <c r="C1087" s="34" t="s">
        <v>15</v>
      </c>
      <c r="D1087" s="34" t="e" vm="17">
        <f>_xlfn.XLOOKUP(HistoricalStockProgress[[#This Row],[Company Ticker]],CompanyDetailsList[Company Ticker],CompanyDetailsList[Official Name],,0)</f>
        <v>#VALUE!</v>
      </c>
      <c r="E10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0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087" s="17">
        <f>IFERROR(HistoricalStockProgress[[#This Row],[Cost of Shares]]/HistoricalStockProgress[[#This Row],[No. of Shares]],0)</f>
        <v>26.081956457072195</v>
      </c>
      <c r="H1087" s="16" vm="1606">
        <v>21.1828</v>
      </c>
      <c r="I1087" s="16">
        <f>IF(HistoricalStockProgress[[#This Row],[No. of Shares]]&lt;&gt;0,HistoricalStockProgress[[#This Row],[Price of Shares]]*HistoricalStockProgress[[#This Row],[No. of Shares]],0)</f>
        <v>2626.6671999999999</v>
      </c>
      <c r="J1087" s="16">
        <f>IF(HistoricalStockProgress[[#This Row],[No. of Shares]]&lt;&gt;0,HistoricalStockProgress[[#This Row],[Price of Shares]]-HistoricalStockProgress[[#This Row],[Cost of Shares]]/HistoricalStockProgress[[#This Row],[No. of Shares]],0)</f>
        <v>-4.8991564570721948</v>
      </c>
      <c r="K1087" s="17">
        <f>IF(HistoricalStockProgress[[#This Row],[Total Price of Shares]]&lt;&gt;0,HistoricalStockProgress[[#This Row],[Total Price of Shares]]-HistoricalStockProgress[[#This Row],[Cost of Shares]],0)</f>
        <v>-607.49540067695216</v>
      </c>
      <c r="L1087" s="34" t="b" cm="1">
        <f t="array" ref="L1087">IFERROR(IF(HistoricalStockProgress[[#This Row],[Price of Shares]]="",_xlfn.STOCKHISTORY(HistoricalStockProgress[[#This Row],[Full Company Name]],HistoricalStockProgress[[#This Row],[Date]],,2,0,1)),0)</f>
        <v>0</v>
      </c>
      <c r="M1087" s="34">
        <f>YEAR(HistoricalStockProgress[[#This Row],[Date]])</f>
        <v>2021</v>
      </c>
      <c r="N1087" s="34">
        <f>MONTH(HistoricalStockProgress[[#This Row],[Date]])</f>
        <v>7</v>
      </c>
    </row>
    <row r="1088" spans="2:14">
      <c r="B1088" s="15">
        <v>44408</v>
      </c>
      <c r="C1088" s="34" t="s">
        <v>13</v>
      </c>
      <c r="D1088" s="34" t="e" vm="18">
        <f>_xlfn.XLOOKUP(HistoricalStockProgress[[#This Row],[Company Ticker]],CompanyDetailsList[Company Ticker],CompanyDetailsList[Official Name],,0)</f>
        <v>#VALUE!</v>
      </c>
      <c r="E10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0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088" s="17">
        <f>IFERROR(HistoricalStockProgress[[#This Row],[Cost of Shares]]/HistoricalStockProgress[[#This Row],[No. of Shares]],0)</f>
        <v>35.846938938346874</v>
      </c>
      <c r="H1088" s="16" vm="1607">
        <v>42.81</v>
      </c>
      <c r="I1088" s="16">
        <f>IF(HistoricalStockProgress[[#This Row],[No. of Shares]]&lt;&gt;0,HistoricalStockProgress[[#This Row],[Price of Shares]]*HistoricalStockProgress[[#This Row],[No. of Shares]],0)</f>
        <v>2354.5500000000002</v>
      </c>
      <c r="J1088" s="16">
        <f>IF(HistoricalStockProgress[[#This Row],[No. of Shares]]&lt;&gt;0,HistoricalStockProgress[[#This Row],[Price of Shares]]-HistoricalStockProgress[[#This Row],[Cost of Shares]]/HistoricalStockProgress[[#This Row],[No. of Shares]],0)</f>
        <v>6.9630610616531285</v>
      </c>
      <c r="K1088" s="17">
        <f>IF(HistoricalStockProgress[[#This Row],[Total Price of Shares]]&lt;&gt;0,HistoricalStockProgress[[#This Row],[Total Price of Shares]]-HistoricalStockProgress[[#This Row],[Cost of Shares]],0)</f>
        <v>382.96835839092205</v>
      </c>
      <c r="L1088" s="34" t="b" cm="1">
        <f t="array" ref="L1088">IFERROR(IF(HistoricalStockProgress[[#This Row],[Price of Shares]]="",_xlfn.STOCKHISTORY(HistoricalStockProgress[[#This Row],[Full Company Name]],HistoricalStockProgress[[#This Row],[Date]],,2,0,1)),0)</f>
        <v>0</v>
      </c>
      <c r="M1088" s="34">
        <f>YEAR(HistoricalStockProgress[[#This Row],[Date]])</f>
        <v>2021</v>
      </c>
      <c r="N1088" s="34">
        <f>MONTH(HistoricalStockProgress[[#This Row],[Date]])</f>
        <v>7</v>
      </c>
    </row>
    <row r="1089" spans="2:14">
      <c r="B1089" s="15">
        <v>44408</v>
      </c>
      <c r="C1089" s="34" t="s">
        <v>20</v>
      </c>
      <c r="D1089" s="34" t="e" vm="19">
        <f>_xlfn.XLOOKUP(HistoricalStockProgress[[#This Row],[Company Ticker]],CompanyDetailsList[Company Ticker],CompanyDetailsList[Official Name],,0)</f>
        <v>#VALUE!</v>
      </c>
      <c r="E10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93</v>
      </c>
      <c r="F10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9585.7274858109122</v>
      </c>
      <c r="G1089" s="17">
        <f>IFERROR(HistoricalStockProgress[[#This Row],[Cost of Shares]]/HistoricalStockProgress[[#This Row],[No. of Shares]],0)</f>
        <v>103.07233855710658</v>
      </c>
      <c r="H1089" s="16" vm="1608">
        <v>151.78</v>
      </c>
      <c r="I1089" s="16">
        <f>IF(HistoricalStockProgress[[#This Row],[No. of Shares]]&lt;&gt;0,HistoricalStockProgress[[#This Row],[Price of Shares]]*HistoricalStockProgress[[#This Row],[No. of Shares]],0)</f>
        <v>14115.54</v>
      </c>
      <c r="J1089" s="16">
        <f>IF(HistoricalStockProgress[[#This Row],[No. of Shares]]&lt;&gt;0,HistoricalStockProgress[[#This Row],[Price of Shares]]-HistoricalStockProgress[[#This Row],[Cost of Shares]]/HistoricalStockProgress[[#This Row],[No. of Shares]],0)</f>
        <v>48.707661442893425</v>
      </c>
      <c r="K1089" s="17">
        <f>IF(HistoricalStockProgress[[#This Row],[Total Price of Shares]]&lt;&gt;0,HistoricalStockProgress[[#This Row],[Total Price of Shares]]-HistoricalStockProgress[[#This Row],[Cost of Shares]],0)</f>
        <v>4529.8125141890887</v>
      </c>
      <c r="L1089" s="34" t="b" cm="1">
        <f t="array" ref="L1089">IFERROR(IF(HistoricalStockProgress[[#This Row],[Price of Shares]]="",_xlfn.STOCKHISTORY(HistoricalStockProgress[[#This Row],[Full Company Name]],HistoricalStockProgress[[#This Row],[Date]],,2,0,1)),0)</f>
        <v>0</v>
      </c>
      <c r="M1089" s="34">
        <f>YEAR(HistoricalStockProgress[[#This Row],[Date]])</f>
        <v>2021</v>
      </c>
      <c r="N1089" s="34">
        <f>MONTH(HistoricalStockProgress[[#This Row],[Date]])</f>
        <v>7</v>
      </c>
    </row>
    <row r="1090" spans="2:14">
      <c r="B1090" s="15">
        <v>44408</v>
      </c>
      <c r="C1090" s="34" t="s">
        <v>106</v>
      </c>
      <c r="D1090" s="34" t="e" vm="20">
        <f>_xlfn.XLOOKUP(HistoricalStockProgress[[#This Row],[Company Ticker]],CompanyDetailsList[Company Ticker],CompanyDetailsList[Official Name],,0)</f>
        <v>#VALUE!</v>
      </c>
      <c r="E10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0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090" s="17">
        <f>IFERROR(HistoricalStockProgress[[#This Row],[Cost of Shares]]/HistoricalStockProgress[[#This Row],[No. of Shares]],0)</f>
        <v>108.54870748680406</v>
      </c>
      <c r="H1090" s="16" vm="1609">
        <v>163.52000000000001</v>
      </c>
      <c r="I1090" s="16">
        <f>IF(HistoricalStockProgress[[#This Row],[No. of Shares]]&lt;&gt;0,HistoricalStockProgress[[#This Row],[Price of Shares]]*HistoricalStockProgress[[#This Row],[No. of Shares]],0)</f>
        <v>14389.76</v>
      </c>
      <c r="J1090" s="16">
        <f>IF(HistoricalStockProgress[[#This Row],[No. of Shares]]&lt;&gt;0,HistoricalStockProgress[[#This Row],[Price of Shares]]-HistoricalStockProgress[[#This Row],[Cost of Shares]]/HistoricalStockProgress[[#This Row],[No. of Shares]],0)</f>
        <v>54.971292513195948</v>
      </c>
      <c r="K1090" s="17">
        <f>IF(HistoricalStockProgress[[#This Row],[Total Price of Shares]]&lt;&gt;0,HistoricalStockProgress[[#This Row],[Total Price of Shares]]-HistoricalStockProgress[[#This Row],[Cost of Shares]],0)</f>
        <v>4837.4737411612423</v>
      </c>
      <c r="L1090" s="34" t="b" cm="1">
        <f t="array" ref="L1090">IFERROR(IF(HistoricalStockProgress[[#This Row],[Price of Shares]]="",_xlfn.STOCKHISTORY(HistoricalStockProgress[[#This Row],[Full Company Name]],HistoricalStockProgress[[#This Row],[Date]],,2,0,1)),0)</f>
        <v>0</v>
      </c>
      <c r="M1090" s="34">
        <f>YEAR(HistoricalStockProgress[[#This Row],[Date]])</f>
        <v>2021</v>
      </c>
      <c r="N1090" s="34">
        <f>MONTH(HistoricalStockProgress[[#This Row],[Date]])</f>
        <v>7</v>
      </c>
    </row>
    <row r="1091" spans="2:14">
      <c r="B1091" s="15">
        <v>44439</v>
      </c>
      <c r="C1091" s="34" t="s">
        <v>12</v>
      </c>
      <c r="D1091" s="34" t="e" vm="1">
        <f>_xlfn.XLOOKUP(HistoricalStockProgress[[#This Row],[Company Ticker]],CompanyDetailsList[Company Ticker],CompanyDetailsList[Official Name],,0)</f>
        <v>#VALUE!</v>
      </c>
      <c r="E10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10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1091" s="17">
        <f>IFERROR(HistoricalStockProgress[[#This Row],[Cost of Shares]]/HistoricalStockProgress[[#This Row],[No. of Shares]],0)</f>
        <v>63.845182519411239</v>
      </c>
      <c r="H1091" s="16" vm="1610">
        <v>72.22</v>
      </c>
      <c r="I1091" s="16">
        <f>IF(HistoricalStockProgress[[#This Row],[No. of Shares]]&lt;&gt;0,HistoricalStockProgress[[#This Row],[Price of Shares]]*HistoricalStockProgress[[#This Row],[No. of Shares]],0)</f>
        <v>4622.08</v>
      </c>
      <c r="J1091" s="16">
        <f>IF(HistoricalStockProgress[[#This Row],[No. of Shares]]&lt;&gt;0,HistoricalStockProgress[[#This Row],[Price of Shares]]-HistoricalStockProgress[[#This Row],[Cost of Shares]]/HistoricalStockProgress[[#This Row],[No. of Shares]],0)</f>
        <v>8.3748174805887601</v>
      </c>
      <c r="K1091" s="17">
        <f>IF(HistoricalStockProgress[[#This Row],[Total Price of Shares]]&lt;&gt;0,HistoricalStockProgress[[#This Row],[Total Price of Shares]]-HistoricalStockProgress[[#This Row],[Cost of Shares]],0)</f>
        <v>535.98831875768064</v>
      </c>
      <c r="L1091" s="34" t="b" cm="1">
        <f t="array" ref="L1091">IFERROR(IF(HistoricalStockProgress[[#This Row],[Price of Shares]]="",_xlfn.STOCKHISTORY(HistoricalStockProgress[[#This Row],[Full Company Name]],HistoricalStockProgress[[#This Row],[Date]],,2,0,1)),0)</f>
        <v>0</v>
      </c>
      <c r="M1091" s="34">
        <f>YEAR(HistoricalStockProgress[[#This Row],[Date]])</f>
        <v>2021</v>
      </c>
      <c r="N1091" s="34">
        <f>MONTH(HistoricalStockProgress[[#This Row],[Date]])</f>
        <v>8</v>
      </c>
    </row>
    <row r="1092" spans="2:14">
      <c r="B1092" s="15">
        <v>44439</v>
      </c>
      <c r="C1092" s="34" t="s">
        <v>14</v>
      </c>
      <c r="D1092" s="34" t="e" vm="2">
        <f>_xlfn.XLOOKUP(HistoricalStockProgress[[#This Row],[Company Ticker]],CompanyDetailsList[Company Ticker],CompanyDetailsList[Official Name],,0)</f>
        <v>#VALUE!</v>
      </c>
      <c r="E10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v>
      </c>
      <c r="F10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374.08704394110305</v>
      </c>
      <c r="G1092" s="17">
        <f>IFERROR(HistoricalStockProgress[[#This Row],[Cost of Shares]]/HistoricalStockProgress[[#This Row],[No. of Shares]],0)</f>
        <v>31.173920328425254</v>
      </c>
      <c r="H1092" s="16" vm="1611">
        <v>31.39</v>
      </c>
      <c r="I1092" s="16">
        <f>IF(HistoricalStockProgress[[#This Row],[No. of Shares]]&lt;&gt;0,HistoricalStockProgress[[#This Row],[Price of Shares]]*HistoricalStockProgress[[#This Row],[No. of Shares]],0)</f>
        <v>376.68</v>
      </c>
      <c r="J1092" s="16">
        <f>IF(HistoricalStockProgress[[#This Row],[No. of Shares]]&lt;&gt;0,HistoricalStockProgress[[#This Row],[Price of Shares]]-HistoricalStockProgress[[#This Row],[Cost of Shares]]/HistoricalStockProgress[[#This Row],[No. of Shares]],0)</f>
        <v>0.21607967157474661</v>
      </c>
      <c r="K1092" s="17">
        <f>IF(HistoricalStockProgress[[#This Row],[Total Price of Shares]]&lt;&gt;0,HistoricalStockProgress[[#This Row],[Total Price of Shares]]-HistoricalStockProgress[[#This Row],[Cost of Shares]],0)</f>
        <v>2.5929560588969593</v>
      </c>
      <c r="L1092" s="34" t="b" cm="1">
        <f t="array" ref="L1092">IFERROR(IF(HistoricalStockProgress[[#This Row],[Price of Shares]]="",_xlfn.STOCKHISTORY(HistoricalStockProgress[[#This Row],[Full Company Name]],HistoricalStockProgress[[#This Row],[Date]],,2,0,1)),0)</f>
        <v>0</v>
      </c>
      <c r="M1092" s="34">
        <f>YEAR(HistoricalStockProgress[[#This Row],[Date]])</f>
        <v>2021</v>
      </c>
      <c r="N1092" s="34">
        <f>MONTH(HistoricalStockProgress[[#This Row],[Date]])</f>
        <v>8</v>
      </c>
    </row>
    <row r="1093" spans="2:14">
      <c r="B1093" s="15">
        <v>44439</v>
      </c>
      <c r="C1093" s="34" t="s">
        <v>19</v>
      </c>
      <c r="D1093" s="34" t="e" vm="3">
        <f>_xlfn.XLOOKUP(HistoricalStockProgress[[#This Row],[Company Ticker]],CompanyDetailsList[Company Ticker],CompanyDetailsList[Official Name],,0)</f>
        <v>#VALUE!</v>
      </c>
      <c r="E10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0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093" s="17">
        <f>IFERROR(HistoricalStockProgress[[#This Row],[Cost of Shares]]/HistoricalStockProgress[[#This Row],[No. of Shares]],0)</f>
        <v>158.45739987816083</v>
      </c>
      <c r="H1093" s="16" vm="1612">
        <v>168.05</v>
      </c>
      <c r="I1093" s="16">
        <f>IF(HistoricalStockProgress[[#This Row],[No. of Shares]]&lt;&gt;0,HistoricalStockProgress[[#This Row],[Price of Shares]]*HistoricalStockProgress[[#This Row],[No. of Shares]],0)</f>
        <v>9578.85</v>
      </c>
      <c r="J1093" s="16">
        <f>IF(HistoricalStockProgress[[#This Row],[No. of Shares]]&lt;&gt;0,HistoricalStockProgress[[#This Row],[Price of Shares]]-HistoricalStockProgress[[#This Row],[Cost of Shares]]/HistoricalStockProgress[[#This Row],[No. of Shares]],0)</f>
        <v>9.5926001218391832</v>
      </c>
      <c r="K1093" s="17">
        <f>IF(HistoricalStockProgress[[#This Row],[Total Price of Shares]]&lt;&gt;0,HistoricalStockProgress[[#This Row],[Total Price of Shares]]-HistoricalStockProgress[[#This Row],[Cost of Shares]],0)</f>
        <v>546.77820694483307</v>
      </c>
      <c r="L1093" s="34" t="b" cm="1">
        <f t="array" ref="L1093">IFERROR(IF(HistoricalStockProgress[[#This Row],[Price of Shares]]="",_xlfn.STOCKHISTORY(HistoricalStockProgress[[#This Row],[Full Company Name]],HistoricalStockProgress[[#This Row],[Date]],,2,0,1)),0)</f>
        <v>0</v>
      </c>
      <c r="M1093" s="34">
        <f>YEAR(HistoricalStockProgress[[#This Row],[Date]])</f>
        <v>2021</v>
      </c>
      <c r="N1093" s="34">
        <f>MONTH(HistoricalStockProgress[[#This Row],[Date]])</f>
        <v>8</v>
      </c>
    </row>
    <row r="1094" spans="2:14">
      <c r="B1094" s="15">
        <v>44439</v>
      </c>
      <c r="C1094" s="34" t="s">
        <v>23</v>
      </c>
      <c r="D1094" s="34" t="e" vm="4">
        <f>_xlfn.XLOOKUP(HistoricalStockProgress[[#This Row],[Company Ticker]],CompanyDetailsList[Company Ticker],CompanyDetailsList[Official Name],,0)</f>
        <v>#VALUE!</v>
      </c>
      <c r="E10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10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1094" s="17">
        <f>IFERROR(HistoricalStockProgress[[#This Row],[Cost of Shares]]/HistoricalStockProgress[[#This Row],[No. of Shares]],0)</f>
        <v>45.768494888570878</v>
      </c>
      <c r="H1094" s="16" vm="1613">
        <v>56.31</v>
      </c>
      <c r="I1094" s="16">
        <f>IF(HistoricalStockProgress[[#This Row],[No. of Shares]]&lt;&gt;0,HistoricalStockProgress[[#This Row],[Price of Shares]]*HistoricalStockProgress[[#This Row],[No. of Shares]],0)</f>
        <v>3265.98</v>
      </c>
      <c r="J1094" s="16">
        <f>IF(HistoricalStockProgress[[#This Row],[No. of Shares]]&lt;&gt;0,HistoricalStockProgress[[#This Row],[Price of Shares]]-HistoricalStockProgress[[#This Row],[Cost of Shares]]/HistoricalStockProgress[[#This Row],[No. of Shares]],0)</f>
        <v>10.541505111429124</v>
      </c>
      <c r="K1094" s="17">
        <f>IF(HistoricalStockProgress[[#This Row],[Total Price of Shares]]&lt;&gt;0,HistoricalStockProgress[[#This Row],[Total Price of Shares]]-HistoricalStockProgress[[#This Row],[Cost of Shares]],0)</f>
        <v>611.40729646288901</v>
      </c>
      <c r="L1094" s="34" t="b" cm="1">
        <f t="array" ref="L1094">IFERROR(IF(HistoricalStockProgress[[#This Row],[Price of Shares]]="",_xlfn.STOCKHISTORY(HistoricalStockProgress[[#This Row],[Full Company Name]],HistoricalStockProgress[[#This Row],[Date]],,2,0,1)),0)</f>
        <v>0</v>
      </c>
      <c r="M1094" s="34">
        <f>YEAR(HistoricalStockProgress[[#This Row],[Date]])</f>
        <v>2021</v>
      </c>
      <c r="N1094" s="34">
        <f>MONTH(HistoricalStockProgress[[#This Row],[Date]])</f>
        <v>8</v>
      </c>
    </row>
    <row r="1095" spans="2:14">
      <c r="B1095" s="15">
        <v>44439</v>
      </c>
      <c r="C1095" s="34" t="s">
        <v>18</v>
      </c>
      <c r="D1095" s="34" t="e" vm="5">
        <f>_xlfn.XLOOKUP(HistoricalStockProgress[[#This Row],[Company Ticker]],CompanyDetailsList[Company Ticker],CompanyDetailsList[Official Name],,0)</f>
        <v>#VALUE!</v>
      </c>
      <c r="E10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v>
      </c>
      <c r="F10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1322.059549224459</v>
      </c>
      <c r="G1095" s="17">
        <f>IFERROR(HistoricalStockProgress[[#This Row],[Cost of Shares]]/HistoricalStockProgress[[#This Row],[No. of Shares]],0)</f>
        <v>132.2059549224459</v>
      </c>
      <c r="H1095" s="16" vm="1614">
        <v>156.38999999999999</v>
      </c>
      <c r="I1095" s="16">
        <f>IF(HistoricalStockProgress[[#This Row],[No. of Shares]]&lt;&gt;0,HistoricalStockProgress[[#This Row],[Price of Shares]]*HistoricalStockProgress[[#This Row],[No. of Shares]],0)</f>
        <v>1563.8999999999999</v>
      </c>
      <c r="J1095" s="16">
        <f>IF(HistoricalStockProgress[[#This Row],[No. of Shares]]&lt;&gt;0,HistoricalStockProgress[[#This Row],[Price of Shares]]-HistoricalStockProgress[[#This Row],[Cost of Shares]]/HistoricalStockProgress[[#This Row],[No. of Shares]],0)</f>
        <v>24.184045077554089</v>
      </c>
      <c r="K1095" s="17">
        <f>IF(HistoricalStockProgress[[#This Row],[Total Price of Shares]]&lt;&gt;0,HistoricalStockProgress[[#This Row],[Total Price of Shares]]-HistoricalStockProgress[[#This Row],[Cost of Shares]],0)</f>
        <v>241.84045077554083</v>
      </c>
      <c r="L1095" s="34" t="b" cm="1">
        <f t="array" ref="L1095">IFERROR(IF(HistoricalStockProgress[[#This Row],[Price of Shares]]="",_xlfn.STOCKHISTORY(HistoricalStockProgress[[#This Row],[Full Company Name]],HistoricalStockProgress[[#This Row],[Date]],,2,0,1)),0)</f>
        <v>0</v>
      </c>
      <c r="M1095" s="34">
        <f>YEAR(HistoricalStockProgress[[#This Row],[Date]])</f>
        <v>2021</v>
      </c>
      <c r="N1095" s="34">
        <f>MONTH(HistoricalStockProgress[[#This Row],[Date]])</f>
        <v>8</v>
      </c>
    </row>
    <row r="1096" spans="2:14">
      <c r="B1096" s="15">
        <v>44439</v>
      </c>
      <c r="C1096" s="34" t="s">
        <v>21</v>
      </c>
      <c r="D1096" s="34" t="e" vm="6">
        <f>_xlfn.XLOOKUP(HistoricalStockProgress[[#This Row],[Company Ticker]],CompanyDetailsList[Company Ticker],CompanyDetailsList[Official Name],,0)</f>
        <v>#VALUE!</v>
      </c>
      <c r="E10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0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3654.8914204824332</v>
      </c>
      <c r="G1096" s="17">
        <f>IFERROR(HistoricalStockProgress[[#This Row],[Cost of Shares]]/HistoricalStockProgress[[#This Row],[No. of Shares]],0)</f>
        <v>130.53183644580119</v>
      </c>
      <c r="H1096" s="16" vm="1615">
        <v>142.38999999999999</v>
      </c>
      <c r="I1096" s="16">
        <f>IF(HistoricalStockProgress[[#This Row],[No. of Shares]]&lt;&gt;0,HistoricalStockProgress[[#This Row],[Price of Shares]]*HistoricalStockProgress[[#This Row],[No. of Shares]],0)</f>
        <v>3986.9199999999996</v>
      </c>
      <c r="J1096" s="16">
        <f>IF(HistoricalStockProgress[[#This Row],[No. of Shares]]&lt;&gt;0,HistoricalStockProgress[[#This Row],[Price of Shares]]-HistoricalStockProgress[[#This Row],[Cost of Shares]]/HistoricalStockProgress[[#This Row],[No. of Shares]],0)</f>
        <v>11.858163554198796</v>
      </c>
      <c r="K1096" s="17">
        <f>IF(HistoricalStockProgress[[#This Row],[Total Price of Shares]]&lt;&gt;0,HistoricalStockProgress[[#This Row],[Total Price of Shares]]-HistoricalStockProgress[[#This Row],[Cost of Shares]],0)</f>
        <v>332.02857951756641</v>
      </c>
      <c r="L1096" s="34" t="b" cm="1">
        <f t="array" ref="L1096">IFERROR(IF(HistoricalStockProgress[[#This Row],[Price of Shares]]="",_xlfn.STOCKHISTORY(HistoricalStockProgress[[#This Row],[Full Company Name]],HistoricalStockProgress[[#This Row],[Date]],,2,0,1)),0)</f>
        <v>0</v>
      </c>
      <c r="M1096" s="34">
        <f>YEAR(HistoricalStockProgress[[#This Row],[Date]])</f>
        <v>2021</v>
      </c>
      <c r="N1096" s="34">
        <f>MONTH(HistoricalStockProgress[[#This Row],[Date]])</f>
        <v>8</v>
      </c>
    </row>
    <row r="1097" spans="2:14">
      <c r="B1097" s="15">
        <v>44439</v>
      </c>
      <c r="C1097" s="34" t="s">
        <v>84</v>
      </c>
      <c r="D1097" s="34" t="e" vm="7">
        <f>_xlfn.XLOOKUP(HistoricalStockProgress[[#This Row],[Company Ticker]],CompanyDetailsList[Company Ticker],CompanyDetailsList[Official Name],,0)</f>
        <v>#VALUE!</v>
      </c>
      <c r="E10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0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097" s="17">
        <f>IFERROR(HistoricalStockProgress[[#This Row],[Cost of Shares]]/HistoricalStockProgress[[#This Row],[No. of Shares]],0)</f>
        <v>104.18087504950869</v>
      </c>
      <c r="H1097" s="16" vm="1616">
        <v>173.13</v>
      </c>
      <c r="I1097" s="16">
        <f>IF(HistoricalStockProgress[[#This Row],[No. of Shares]]&lt;&gt;0,HistoricalStockProgress[[#This Row],[Price of Shares]]*HistoricalStockProgress[[#This Row],[No. of Shares]],0)</f>
        <v>8829.6299999999992</v>
      </c>
      <c r="J1097" s="16">
        <f>IF(HistoricalStockProgress[[#This Row],[No. of Shares]]&lt;&gt;0,HistoricalStockProgress[[#This Row],[Price of Shares]]-HistoricalStockProgress[[#This Row],[Cost of Shares]]/HistoricalStockProgress[[#This Row],[No. of Shares]],0)</f>
        <v>68.94912495049131</v>
      </c>
      <c r="K1097" s="17">
        <f>IF(HistoricalStockProgress[[#This Row],[Total Price of Shares]]&lt;&gt;0,HistoricalStockProgress[[#This Row],[Total Price of Shares]]-HistoricalStockProgress[[#This Row],[Cost of Shares]],0)</f>
        <v>3516.4053724750565</v>
      </c>
      <c r="L1097" s="34" t="b" cm="1">
        <f t="array" ref="L1097">IFERROR(IF(HistoricalStockProgress[[#This Row],[Price of Shares]]="",_xlfn.STOCKHISTORY(HistoricalStockProgress[[#This Row],[Full Company Name]],HistoricalStockProgress[[#This Row],[Date]],,2,0,1)),0)</f>
        <v>0</v>
      </c>
      <c r="M1097" s="34">
        <f>YEAR(HistoricalStockProgress[[#This Row],[Date]])</f>
        <v>2021</v>
      </c>
      <c r="N1097" s="34">
        <f>MONTH(HistoricalStockProgress[[#This Row],[Date]])</f>
        <v>8</v>
      </c>
    </row>
    <row r="1098" spans="2:14">
      <c r="B1098" s="15">
        <v>44439</v>
      </c>
      <c r="C1098" s="34" t="s">
        <v>86</v>
      </c>
      <c r="D1098" s="34" t="e" vm="8">
        <f>_xlfn.XLOOKUP(HistoricalStockProgress[[#This Row],[Company Ticker]],CompanyDetailsList[Company Ticker],CompanyDetailsList[Official Name],,0)</f>
        <v>#VALUE!</v>
      </c>
      <c r="E10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0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098" s="17">
        <f>IFERROR(HistoricalStockProgress[[#This Row],[Cost of Shares]]/HistoricalStockProgress[[#This Row],[No. of Shares]],0)</f>
        <v>92.636161128673535</v>
      </c>
      <c r="H1098" s="16" vm="1617">
        <v>120.78</v>
      </c>
      <c r="I1098" s="16">
        <f>IF(HistoricalStockProgress[[#This Row],[No. of Shares]]&lt;&gt;0,HistoricalStockProgress[[#This Row],[Price of Shares]]*HistoricalStockProgress[[#This Row],[No. of Shares]],0)</f>
        <v>13768.92</v>
      </c>
      <c r="J1098" s="16">
        <f>IF(HistoricalStockProgress[[#This Row],[No. of Shares]]&lt;&gt;0,HistoricalStockProgress[[#This Row],[Price of Shares]]-HistoricalStockProgress[[#This Row],[Cost of Shares]]/HistoricalStockProgress[[#This Row],[No. of Shares]],0)</f>
        <v>28.143838871326466</v>
      </c>
      <c r="K1098" s="17">
        <f>IF(HistoricalStockProgress[[#This Row],[Total Price of Shares]]&lt;&gt;0,HistoricalStockProgress[[#This Row],[Total Price of Shares]]-HistoricalStockProgress[[#This Row],[Cost of Shares]],0)</f>
        <v>3208.3976313312178</v>
      </c>
      <c r="L1098" s="34" t="b" cm="1">
        <f t="array" ref="L1098">IFERROR(IF(HistoricalStockProgress[[#This Row],[Price of Shares]]="",_xlfn.STOCKHISTORY(HistoricalStockProgress[[#This Row],[Full Company Name]],HistoricalStockProgress[[#This Row],[Date]],,2,0,1)),0)</f>
        <v>0</v>
      </c>
      <c r="M1098" s="34">
        <f>YEAR(HistoricalStockProgress[[#This Row],[Date]])</f>
        <v>2021</v>
      </c>
      <c r="N1098" s="34">
        <f>MONTH(HistoricalStockProgress[[#This Row],[Date]])</f>
        <v>8</v>
      </c>
    </row>
    <row r="1099" spans="2:14">
      <c r="B1099" s="15">
        <v>44439</v>
      </c>
      <c r="C1099" s="34" t="s">
        <v>88</v>
      </c>
      <c r="D1099" s="34" t="e" vm="9">
        <f>_xlfn.XLOOKUP(HistoricalStockProgress[[#This Row],[Company Ticker]],CompanyDetailsList[Company Ticker],CompanyDetailsList[Official Name],,0)</f>
        <v>#VALUE!</v>
      </c>
      <c r="E10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0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099" s="17">
        <f>IFERROR(HistoricalStockProgress[[#This Row],[Cost of Shares]]/HistoricalStockProgress[[#This Row],[No. of Shares]],0)</f>
        <v>187.727755253422</v>
      </c>
      <c r="H1099" s="16" vm="1618">
        <v>237.46</v>
      </c>
      <c r="I1099" s="16">
        <f>IF(HistoricalStockProgress[[#This Row],[No. of Shares]]&lt;&gt;0,HistoricalStockProgress[[#This Row],[Price of Shares]]*HistoricalStockProgress[[#This Row],[No. of Shares]],0)</f>
        <v>14010.140000000001</v>
      </c>
      <c r="J1099" s="16">
        <f>IF(HistoricalStockProgress[[#This Row],[No. of Shares]]&lt;&gt;0,HistoricalStockProgress[[#This Row],[Price of Shares]]-HistoricalStockProgress[[#This Row],[Cost of Shares]]/HistoricalStockProgress[[#This Row],[No. of Shares]],0)</f>
        <v>49.732244746578004</v>
      </c>
      <c r="K1099" s="17">
        <f>IF(HistoricalStockProgress[[#This Row],[Total Price of Shares]]&lt;&gt;0,HistoricalStockProgress[[#This Row],[Total Price of Shares]]-HistoricalStockProgress[[#This Row],[Cost of Shares]],0)</f>
        <v>2934.2024400481023</v>
      </c>
      <c r="L1099" s="34" t="b" cm="1">
        <f t="array" ref="L1099">IFERROR(IF(HistoricalStockProgress[[#This Row],[Price of Shares]]="",_xlfn.STOCKHISTORY(HistoricalStockProgress[[#This Row],[Full Company Name]],HistoricalStockProgress[[#This Row],[Date]],,2,0,1)),0)</f>
        <v>0</v>
      </c>
      <c r="M1099" s="34">
        <f>YEAR(HistoricalStockProgress[[#This Row],[Date]])</f>
        <v>2021</v>
      </c>
      <c r="N1099" s="34">
        <f>MONTH(HistoricalStockProgress[[#This Row],[Date]])</f>
        <v>8</v>
      </c>
    </row>
    <row r="1100" spans="2:14">
      <c r="B1100" s="15">
        <v>44439</v>
      </c>
      <c r="C1100" s="34" t="s">
        <v>22</v>
      </c>
      <c r="D1100" s="34" t="e" vm="10">
        <f>_xlfn.XLOOKUP(HistoricalStockProgress[[#This Row],[Company Ticker]],CompanyDetailsList[Company Ticker],CompanyDetailsList[Official Name],,0)</f>
        <v>#VALUE!</v>
      </c>
      <c r="E11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11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13175.976249073738</v>
      </c>
      <c r="G1100" s="17">
        <f>IFERROR(HistoricalStockProgress[[#This Row],[Cost of Shares]]/HistoricalStockProgress[[#This Row],[No. of Shares]],0)</f>
        <v>124.30166272711074</v>
      </c>
      <c r="H1100" s="16" vm="1619">
        <v>210.87</v>
      </c>
      <c r="I1100" s="16">
        <f>IF(HistoricalStockProgress[[#This Row],[No. of Shares]]&lt;&gt;0,HistoricalStockProgress[[#This Row],[Price of Shares]]*HistoricalStockProgress[[#This Row],[No. of Shares]],0)</f>
        <v>22352.22</v>
      </c>
      <c r="J1100" s="16">
        <f>IF(HistoricalStockProgress[[#This Row],[No. of Shares]]&lt;&gt;0,HistoricalStockProgress[[#This Row],[Price of Shares]]-HistoricalStockProgress[[#This Row],[Cost of Shares]]/HistoricalStockProgress[[#This Row],[No. of Shares]],0)</f>
        <v>86.568337272889266</v>
      </c>
      <c r="K1100" s="17">
        <f>IF(HistoricalStockProgress[[#This Row],[Total Price of Shares]]&lt;&gt;0,HistoricalStockProgress[[#This Row],[Total Price of Shares]]-HistoricalStockProgress[[#This Row],[Cost of Shares]],0)</f>
        <v>9176.2437509262636</v>
      </c>
      <c r="L1100" s="34" t="b" cm="1">
        <f t="array" ref="L1100">IFERROR(IF(HistoricalStockProgress[[#This Row],[Price of Shares]]="",_xlfn.STOCKHISTORY(HistoricalStockProgress[[#This Row],[Full Company Name]],HistoricalStockProgress[[#This Row],[Date]],,2,0,1)),0)</f>
        <v>0</v>
      </c>
      <c r="M1100" s="34">
        <f>YEAR(HistoricalStockProgress[[#This Row],[Date]])</f>
        <v>2021</v>
      </c>
      <c r="N1100" s="34">
        <f>MONTH(HistoricalStockProgress[[#This Row],[Date]])</f>
        <v>8</v>
      </c>
    </row>
    <row r="1101" spans="2:14">
      <c r="B1101" s="15">
        <v>44439</v>
      </c>
      <c r="C1101" s="34" t="s">
        <v>91</v>
      </c>
      <c r="D1101" s="34" t="e" vm="11">
        <f>_xlfn.XLOOKUP(HistoricalStockProgress[[#This Row],[Company Ticker]],CompanyDetailsList[Company Ticker],CompanyDetailsList[Official Name],,0)</f>
        <v>#VALUE!</v>
      </c>
      <c r="E11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11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1101" s="17">
        <f>IFERROR(HistoricalStockProgress[[#This Row],[Cost of Shares]]/HistoricalStockProgress[[#This Row],[No. of Shares]],0)</f>
        <v>100.94993172657422</v>
      </c>
      <c r="H1101" s="16" vm="1620">
        <v>301.88</v>
      </c>
      <c r="I1101" s="16">
        <f>IF(HistoricalStockProgress[[#This Row],[No. of Shares]]&lt;&gt;0,HistoricalStockProgress[[#This Row],[Price of Shares]]*HistoricalStockProgress[[#This Row],[No. of Shares]],0)</f>
        <v>44376.36</v>
      </c>
      <c r="J1101" s="16">
        <f>IF(HistoricalStockProgress[[#This Row],[No. of Shares]]&lt;&gt;0,HistoricalStockProgress[[#This Row],[Price of Shares]]-HistoricalStockProgress[[#This Row],[Cost of Shares]]/HistoricalStockProgress[[#This Row],[No. of Shares]],0)</f>
        <v>200.93006827342577</v>
      </c>
      <c r="K1101" s="17">
        <f>IF(HistoricalStockProgress[[#This Row],[Total Price of Shares]]&lt;&gt;0,HistoricalStockProgress[[#This Row],[Total Price of Shares]]-HistoricalStockProgress[[#This Row],[Cost of Shares]],0)</f>
        <v>29536.72003619359</v>
      </c>
      <c r="L1101" s="34" t="b" cm="1">
        <f t="array" ref="L1101">IFERROR(IF(HistoricalStockProgress[[#This Row],[Price of Shares]]="",_xlfn.STOCKHISTORY(HistoricalStockProgress[[#This Row],[Full Company Name]],HistoricalStockProgress[[#This Row],[Date]],,2,0,1)),0)</f>
        <v>0</v>
      </c>
      <c r="M1101" s="34">
        <f>YEAR(HistoricalStockProgress[[#This Row],[Date]])</f>
        <v>2021</v>
      </c>
      <c r="N1101" s="34">
        <f>MONTH(HistoricalStockProgress[[#This Row],[Date]])</f>
        <v>8</v>
      </c>
    </row>
    <row r="1102" spans="2:14">
      <c r="B1102" s="15">
        <v>44439</v>
      </c>
      <c r="C1102" s="34" t="s">
        <v>16</v>
      </c>
      <c r="D1102" s="34" t="e" vm="12">
        <f>_xlfn.XLOOKUP(HistoricalStockProgress[[#This Row],[Company Ticker]],CompanyDetailsList[Company Ticker],CompanyDetailsList[Official Name],,0)</f>
        <v>#VALUE!</v>
      </c>
      <c r="E11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1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102" s="17">
        <f>IFERROR(HistoricalStockProgress[[#This Row],[Cost of Shares]]/HistoricalStockProgress[[#This Row],[No. of Shares]],0)</f>
        <v>75.117698177311837</v>
      </c>
      <c r="H1102" s="16" vm="1621">
        <v>54.52</v>
      </c>
      <c r="I1102" s="16">
        <f>IF(HistoricalStockProgress[[#This Row],[No. of Shares]]&lt;&gt;0,HistoricalStockProgress[[#This Row],[Price of Shares]]*HistoricalStockProgress[[#This Row],[No. of Shares]],0)</f>
        <v>10086.200000000001</v>
      </c>
      <c r="J1102" s="16">
        <f>IF(HistoricalStockProgress[[#This Row],[No. of Shares]]&lt;&gt;0,HistoricalStockProgress[[#This Row],[Price of Shares]]-HistoricalStockProgress[[#This Row],[Cost of Shares]]/HistoricalStockProgress[[#This Row],[No. of Shares]],0)</f>
        <v>-20.597698177311834</v>
      </c>
      <c r="K1102" s="17">
        <f>IF(HistoricalStockProgress[[#This Row],[Total Price of Shares]]&lt;&gt;0,HistoricalStockProgress[[#This Row],[Total Price of Shares]]-HistoricalStockProgress[[#This Row],[Cost of Shares]],0)</f>
        <v>-3810.5741628026881</v>
      </c>
      <c r="L1102" s="34" t="b" cm="1">
        <f t="array" ref="L1102">IFERROR(IF(HistoricalStockProgress[[#This Row],[Price of Shares]]="",_xlfn.STOCKHISTORY(HistoricalStockProgress[[#This Row],[Full Company Name]],HistoricalStockProgress[[#This Row],[Date]],,2,0,1)),0)</f>
        <v>0</v>
      </c>
      <c r="M1102" s="34">
        <f>YEAR(HistoricalStockProgress[[#This Row],[Date]])</f>
        <v>2021</v>
      </c>
      <c r="N1102" s="34">
        <f>MONTH(HistoricalStockProgress[[#This Row],[Date]])</f>
        <v>8</v>
      </c>
    </row>
    <row r="1103" spans="2:14">
      <c r="B1103" s="15">
        <v>44439</v>
      </c>
      <c r="C1103" s="34" t="s">
        <v>95</v>
      </c>
      <c r="D1103" s="34" t="e" vm="13">
        <f>_xlfn.XLOOKUP(HistoricalStockProgress[[#This Row],[Company Ticker]],CompanyDetailsList[Company Ticker],CompanyDetailsList[Official Name],,0)</f>
        <v>#VALUE!</v>
      </c>
      <c r="E11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1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10324.055787336294</v>
      </c>
      <c r="G1103" s="17">
        <f>IFERROR(HistoricalStockProgress[[#This Row],[Cost of Shares]]/HistoricalStockProgress[[#This Row],[No. of Shares]],0)</f>
        <v>184.35813905957667</v>
      </c>
      <c r="H1103" s="16" vm="1622">
        <v>326.18</v>
      </c>
      <c r="I1103" s="16">
        <f>IF(HistoricalStockProgress[[#This Row],[No. of Shares]]&lt;&gt;0,HistoricalStockProgress[[#This Row],[Price of Shares]]*HistoricalStockProgress[[#This Row],[No. of Shares]],0)</f>
        <v>18266.080000000002</v>
      </c>
      <c r="J1103" s="16">
        <f>IF(HistoricalStockProgress[[#This Row],[No. of Shares]]&lt;&gt;0,HistoricalStockProgress[[#This Row],[Price of Shares]]-HistoricalStockProgress[[#This Row],[Cost of Shares]]/HistoricalStockProgress[[#This Row],[No. of Shares]],0)</f>
        <v>141.82186094042333</v>
      </c>
      <c r="K1103" s="17">
        <f>IF(HistoricalStockProgress[[#This Row],[Total Price of Shares]]&lt;&gt;0,HistoricalStockProgress[[#This Row],[Total Price of Shares]]-HistoricalStockProgress[[#This Row],[Cost of Shares]],0)</f>
        <v>7942.0242126637077</v>
      </c>
      <c r="L1103" s="34" t="b" cm="1">
        <f t="array" ref="L1103">IFERROR(IF(HistoricalStockProgress[[#This Row],[Price of Shares]]="",_xlfn.STOCKHISTORY(HistoricalStockProgress[[#This Row],[Full Company Name]],HistoricalStockProgress[[#This Row],[Date]],,2,0,1)),0)</f>
        <v>0</v>
      </c>
      <c r="M1103" s="34">
        <f>YEAR(HistoricalStockProgress[[#This Row],[Date]])</f>
        <v>2021</v>
      </c>
      <c r="N1103" s="34">
        <f>MONTH(HistoricalStockProgress[[#This Row],[Date]])</f>
        <v>8</v>
      </c>
    </row>
    <row r="1104" spans="2:14">
      <c r="B1104" s="15">
        <v>44439</v>
      </c>
      <c r="C1104" s="34" t="s">
        <v>17</v>
      </c>
      <c r="D1104" s="34" t="e" vm="14">
        <f>_xlfn.XLOOKUP(HistoricalStockProgress[[#This Row],[Company Ticker]],CompanyDetailsList[Company Ticker],CompanyDetailsList[Official Name],,0)</f>
        <v>#VALUE!</v>
      </c>
      <c r="E11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113</v>
      </c>
      <c r="F11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16195.54422264694</v>
      </c>
      <c r="G1104" s="17">
        <f>IFERROR(HistoricalStockProgress[[#This Row],[Cost of Shares]]/HistoricalStockProgress[[#This Row],[No. of Shares]],0)</f>
        <v>143.32340020041539</v>
      </c>
      <c r="H1104" s="16" vm="1623">
        <v>140.34</v>
      </c>
      <c r="I1104" s="16">
        <f>IF(HistoricalStockProgress[[#This Row],[No. of Shares]]&lt;&gt;0,HistoricalStockProgress[[#This Row],[Price of Shares]]*HistoricalStockProgress[[#This Row],[No. of Shares]],0)</f>
        <v>15858.42</v>
      </c>
      <c r="J1104" s="16">
        <f>IF(HistoricalStockProgress[[#This Row],[No. of Shares]]&lt;&gt;0,HistoricalStockProgress[[#This Row],[Price of Shares]]-HistoricalStockProgress[[#This Row],[Cost of Shares]]/HistoricalStockProgress[[#This Row],[No. of Shares]],0)</f>
        <v>-2.9834002004153888</v>
      </c>
      <c r="K1104" s="17">
        <f>IF(HistoricalStockProgress[[#This Row],[Total Price of Shares]]&lt;&gt;0,HistoricalStockProgress[[#This Row],[Total Price of Shares]]-HistoricalStockProgress[[#This Row],[Cost of Shares]],0)</f>
        <v>-337.12422264694032</v>
      </c>
      <c r="L1104" s="34" t="b" cm="1">
        <f t="array" ref="L1104">IFERROR(IF(HistoricalStockProgress[[#This Row],[Price of Shares]]="",_xlfn.STOCKHISTORY(HistoricalStockProgress[[#This Row],[Full Company Name]],HistoricalStockProgress[[#This Row],[Date]],,2,0,1)),0)</f>
        <v>0</v>
      </c>
      <c r="M1104" s="34">
        <f>YEAR(HistoricalStockProgress[[#This Row],[Date]])</f>
        <v>2021</v>
      </c>
      <c r="N1104" s="34">
        <f>MONTH(HistoricalStockProgress[[#This Row],[Date]])</f>
        <v>8</v>
      </c>
    </row>
    <row r="1105" spans="2:14">
      <c r="B1105" s="15">
        <v>44439</v>
      </c>
      <c r="C1105" s="34" t="s">
        <v>98</v>
      </c>
      <c r="D1105" s="34" t="e" vm="15">
        <f>_xlfn.XLOOKUP(HistoricalStockProgress[[#This Row],[Company Ticker]],CompanyDetailsList[Company Ticker],CompanyDetailsList[Official Name],,0)</f>
        <v>#VALUE!</v>
      </c>
      <c r="E11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108</v>
      </c>
      <c r="F11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5486.2959177385774</v>
      </c>
      <c r="G1105" s="17">
        <f>IFERROR(HistoricalStockProgress[[#This Row],[Cost of Shares]]/HistoricalStockProgress[[#This Row],[No. of Shares]],0)</f>
        <v>50.799036275357196</v>
      </c>
      <c r="H1105" s="16" vm="1624">
        <v>83.99</v>
      </c>
      <c r="I1105" s="16">
        <f>IF(HistoricalStockProgress[[#This Row],[No. of Shares]]&lt;&gt;0,HistoricalStockProgress[[#This Row],[Price of Shares]]*HistoricalStockProgress[[#This Row],[No. of Shares]],0)</f>
        <v>9070.92</v>
      </c>
      <c r="J1105" s="16">
        <f>IF(HistoricalStockProgress[[#This Row],[No. of Shares]]&lt;&gt;0,HistoricalStockProgress[[#This Row],[Price of Shares]]-HistoricalStockProgress[[#This Row],[Cost of Shares]]/HistoricalStockProgress[[#This Row],[No. of Shares]],0)</f>
        <v>33.190963724642799</v>
      </c>
      <c r="K1105" s="17">
        <f>IF(HistoricalStockProgress[[#This Row],[Total Price of Shares]]&lt;&gt;0,HistoricalStockProgress[[#This Row],[Total Price of Shares]]-HistoricalStockProgress[[#This Row],[Cost of Shares]],0)</f>
        <v>3584.6240822614227</v>
      </c>
      <c r="L1105" s="34" t="b" cm="1">
        <f t="array" ref="L1105">IFERROR(IF(HistoricalStockProgress[[#This Row],[Price of Shares]]="",_xlfn.STOCKHISTORY(HistoricalStockProgress[[#This Row],[Full Company Name]],HistoricalStockProgress[[#This Row],[Date]],,2,0,1)),0)</f>
        <v>0</v>
      </c>
      <c r="M1105" s="34">
        <f>YEAR(HistoricalStockProgress[[#This Row],[Date]])</f>
        <v>2021</v>
      </c>
      <c r="N1105" s="34">
        <f>MONTH(HistoricalStockProgress[[#This Row],[Date]])</f>
        <v>8</v>
      </c>
    </row>
    <row r="1106" spans="2:14">
      <c r="B1106" s="15">
        <v>44439</v>
      </c>
      <c r="C1106" s="34" t="s">
        <v>100</v>
      </c>
      <c r="D1106" s="34" t="e" vm="16">
        <f>_xlfn.XLOOKUP(HistoricalStockProgress[[#This Row],[Company Ticker]],CompanyDetailsList[Company Ticker],CompanyDetailsList[Official Name],,0)</f>
        <v>#VALUE!</v>
      </c>
      <c r="E11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11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12257.793853370842</v>
      </c>
      <c r="G1106" s="17">
        <f>IFERROR(HistoricalStockProgress[[#This Row],[Cost of Shares]]/HistoricalStockProgress[[#This Row],[No. of Shares]],0)</f>
        <v>87.555670381220295</v>
      </c>
      <c r="H1106" s="16" vm="1625">
        <v>104.66</v>
      </c>
      <c r="I1106" s="16">
        <f>IF(HistoricalStockProgress[[#This Row],[No. of Shares]]&lt;&gt;0,HistoricalStockProgress[[#This Row],[Price of Shares]]*HistoricalStockProgress[[#This Row],[No. of Shares]],0)</f>
        <v>14652.4</v>
      </c>
      <c r="J1106" s="16">
        <f>IF(HistoricalStockProgress[[#This Row],[No. of Shares]]&lt;&gt;0,HistoricalStockProgress[[#This Row],[Price of Shares]]-HistoricalStockProgress[[#This Row],[Cost of Shares]]/HistoricalStockProgress[[#This Row],[No. of Shares]],0)</f>
        <v>17.104329618779701</v>
      </c>
      <c r="K1106" s="17">
        <f>IF(HistoricalStockProgress[[#This Row],[Total Price of Shares]]&lt;&gt;0,HistoricalStockProgress[[#This Row],[Total Price of Shares]]-HistoricalStockProgress[[#This Row],[Cost of Shares]],0)</f>
        <v>2394.6061466291576</v>
      </c>
      <c r="L1106" s="34" t="b" cm="1">
        <f t="array" ref="L1106">IFERROR(IF(HistoricalStockProgress[[#This Row],[Price of Shares]]="",_xlfn.STOCKHISTORY(HistoricalStockProgress[[#This Row],[Full Company Name]],HistoricalStockProgress[[#This Row],[Date]],,2,0,1)),0)</f>
        <v>0</v>
      </c>
      <c r="M1106" s="34">
        <f>YEAR(HistoricalStockProgress[[#This Row],[Date]])</f>
        <v>2021</v>
      </c>
      <c r="N1106" s="34">
        <f>MONTH(HistoricalStockProgress[[#This Row],[Date]])</f>
        <v>8</v>
      </c>
    </row>
    <row r="1107" spans="2:14">
      <c r="B1107" s="15">
        <v>44439</v>
      </c>
      <c r="C1107" s="34" t="s">
        <v>15</v>
      </c>
      <c r="D1107" s="34" t="e" vm="17">
        <f>_xlfn.XLOOKUP(HistoricalStockProgress[[#This Row],[Company Ticker]],CompanyDetailsList[Company Ticker],CompanyDetailsList[Official Name],,0)</f>
        <v>#VALUE!</v>
      </c>
      <c r="E11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1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107" s="17">
        <f>IFERROR(HistoricalStockProgress[[#This Row],[Cost of Shares]]/HistoricalStockProgress[[#This Row],[No. of Shares]],0)</f>
        <v>26.081956457072195</v>
      </c>
      <c r="H1107" s="16" vm="1626">
        <v>20.707000000000001</v>
      </c>
      <c r="I1107" s="16">
        <f>IF(HistoricalStockProgress[[#This Row],[No. of Shares]]&lt;&gt;0,HistoricalStockProgress[[#This Row],[Price of Shares]]*HistoricalStockProgress[[#This Row],[No. of Shares]],0)</f>
        <v>2567.6680000000001</v>
      </c>
      <c r="J1107" s="16">
        <f>IF(HistoricalStockProgress[[#This Row],[No. of Shares]]&lt;&gt;0,HistoricalStockProgress[[#This Row],[Price of Shares]]-HistoricalStockProgress[[#This Row],[Cost of Shares]]/HistoricalStockProgress[[#This Row],[No. of Shares]],0)</f>
        <v>-5.3749564570721944</v>
      </c>
      <c r="K1107" s="17">
        <f>IF(HistoricalStockProgress[[#This Row],[Total Price of Shares]]&lt;&gt;0,HistoricalStockProgress[[#This Row],[Total Price of Shares]]-HistoricalStockProgress[[#This Row],[Cost of Shares]],0)</f>
        <v>-666.4946006769519</v>
      </c>
      <c r="L1107" s="34" t="b" cm="1">
        <f t="array" ref="L1107">IFERROR(IF(HistoricalStockProgress[[#This Row],[Price of Shares]]="",_xlfn.STOCKHISTORY(HistoricalStockProgress[[#This Row],[Full Company Name]],HistoricalStockProgress[[#This Row],[Date]],,2,0,1)),0)</f>
        <v>0</v>
      </c>
      <c r="M1107" s="34">
        <f>YEAR(HistoricalStockProgress[[#This Row],[Date]])</f>
        <v>2021</v>
      </c>
      <c r="N1107" s="34">
        <f>MONTH(HistoricalStockProgress[[#This Row],[Date]])</f>
        <v>8</v>
      </c>
    </row>
    <row r="1108" spans="2:14">
      <c r="B1108" s="15">
        <v>44439</v>
      </c>
      <c r="C1108" s="34" t="s">
        <v>13</v>
      </c>
      <c r="D1108" s="34" t="e" vm="18">
        <f>_xlfn.XLOOKUP(HistoricalStockProgress[[#This Row],[Company Ticker]],CompanyDetailsList[Company Ticker],CompanyDetailsList[Official Name],,0)</f>
        <v>#VALUE!</v>
      </c>
      <c r="E11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1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108" s="17">
        <f>IFERROR(HistoricalStockProgress[[#This Row],[Cost of Shares]]/HistoricalStockProgress[[#This Row],[No. of Shares]],0)</f>
        <v>35.846938938346874</v>
      </c>
      <c r="H1108" s="16" vm="1627">
        <v>46.07</v>
      </c>
      <c r="I1108" s="16">
        <f>IF(HistoricalStockProgress[[#This Row],[No. of Shares]]&lt;&gt;0,HistoricalStockProgress[[#This Row],[Price of Shares]]*HistoricalStockProgress[[#This Row],[No. of Shares]],0)</f>
        <v>2533.85</v>
      </c>
      <c r="J1108" s="16">
        <f>IF(HistoricalStockProgress[[#This Row],[No. of Shares]]&lt;&gt;0,HistoricalStockProgress[[#This Row],[Price of Shares]]-HistoricalStockProgress[[#This Row],[Cost of Shares]]/HistoricalStockProgress[[#This Row],[No. of Shares]],0)</f>
        <v>10.223061061653127</v>
      </c>
      <c r="K1108" s="17">
        <f>IF(HistoricalStockProgress[[#This Row],[Total Price of Shares]]&lt;&gt;0,HistoricalStockProgress[[#This Row],[Total Price of Shares]]-HistoricalStockProgress[[#This Row],[Cost of Shares]],0)</f>
        <v>562.26835839092178</v>
      </c>
      <c r="L1108" s="34" t="b" cm="1">
        <f t="array" ref="L1108">IFERROR(IF(HistoricalStockProgress[[#This Row],[Price of Shares]]="",_xlfn.STOCKHISTORY(HistoricalStockProgress[[#This Row],[Full Company Name]],HistoricalStockProgress[[#This Row],[Date]],,2,0,1)),0)</f>
        <v>0</v>
      </c>
      <c r="M1108" s="34">
        <f>YEAR(HistoricalStockProgress[[#This Row],[Date]])</f>
        <v>2021</v>
      </c>
      <c r="N1108" s="34">
        <f>MONTH(HistoricalStockProgress[[#This Row],[Date]])</f>
        <v>8</v>
      </c>
    </row>
    <row r="1109" spans="2:14">
      <c r="B1109" s="15">
        <v>44439</v>
      </c>
      <c r="C1109" s="34" t="s">
        <v>20</v>
      </c>
      <c r="D1109" s="34" t="e" vm="19">
        <f>_xlfn.XLOOKUP(HistoricalStockProgress[[#This Row],[Company Ticker]],CompanyDetailsList[Company Ticker],CompanyDetailsList[Official Name],,0)</f>
        <v>#VALUE!</v>
      </c>
      <c r="E11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93</v>
      </c>
      <c r="F11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9585.7274858109122</v>
      </c>
      <c r="G1109" s="17">
        <f>IFERROR(HistoricalStockProgress[[#This Row],[Cost of Shares]]/HistoricalStockProgress[[#This Row],[No. of Shares]],0)</f>
        <v>103.07233855710658</v>
      </c>
      <c r="H1109" s="16" vm="1628">
        <v>159.94999999999999</v>
      </c>
      <c r="I1109" s="16">
        <f>IF(HistoricalStockProgress[[#This Row],[No. of Shares]]&lt;&gt;0,HistoricalStockProgress[[#This Row],[Price of Shares]]*HistoricalStockProgress[[#This Row],[No. of Shares]],0)</f>
        <v>14875.349999999999</v>
      </c>
      <c r="J1109" s="16">
        <f>IF(HistoricalStockProgress[[#This Row],[No. of Shares]]&lt;&gt;0,HistoricalStockProgress[[#This Row],[Price of Shares]]-HistoricalStockProgress[[#This Row],[Cost of Shares]]/HistoricalStockProgress[[#This Row],[No. of Shares]],0)</f>
        <v>56.877661442893412</v>
      </c>
      <c r="K1109" s="17">
        <f>IF(HistoricalStockProgress[[#This Row],[Total Price of Shares]]&lt;&gt;0,HistoricalStockProgress[[#This Row],[Total Price of Shares]]-HistoricalStockProgress[[#This Row],[Cost of Shares]],0)</f>
        <v>5289.6225141890864</v>
      </c>
      <c r="L1109" s="34" t="b" cm="1">
        <f t="array" ref="L1109">IFERROR(IF(HistoricalStockProgress[[#This Row],[Price of Shares]]="",_xlfn.STOCKHISTORY(HistoricalStockProgress[[#This Row],[Full Company Name]],HistoricalStockProgress[[#This Row],[Date]],,2,0,1)),0)</f>
        <v>0</v>
      </c>
      <c r="M1109" s="34">
        <f>YEAR(HistoricalStockProgress[[#This Row],[Date]])</f>
        <v>2021</v>
      </c>
      <c r="N1109" s="34">
        <f>MONTH(HistoricalStockProgress[[#This Row],[Date]])</f>
        <v>8</v>
      </c>
    </row>
    <row r="1110" spans="2:14">
      <c r="B1110" s="15">
        <v>44439</v>
      </c>
      <c r="C1110" s="34" t="s">
        <v>106</v>
      </c>
      <c r="D1110" s="34" t="e" vm="20">
        <f>_xlfn.XLOOKUP(HistoricalStockProgress[[#This Row],[Company Ticker]],CompanyDetailsList[Company Ticker],CompanyDetailsList[Official Name],,0)</f>
        <v>#VALUE!</v>
      </c>
      <c r="E11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1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110" s="17">
        <f>IFERROR(HistoricalStockProgress[[#This Row],[Cost of Shares]]/HistoricalStockProgress[[#This Row],[No. of Shares]],0)</f>
        <v>108.54870748680406</v>
      </c>
      <c r="H1110" s="16" vm="1629">
        <v>159.55000000000001</v>
      </c>
      <c r="I1110" s="16">
        <f>IF(HistoricalStockProgress[[#This Row],[No. of Shares]]&lt;&gt;0,HistoricalStockProgress[[#This Row],[Price of Shares]]*HistoricalStockProgress[[#This Row],[No. of Shares]],0)</f>
        <v>14040.400000000001</v>
      </c>
      <c r="J1110" s="16">
        <f>IF(HistoricalStockProgress[[#This Row],[No. of Shares]]&lt;&gt;0,HistoricalStockProgress[[#This Row],[Price of Shares]]-HistoricalStockProgress[[#This Row],[Cost of Shares]]/HistoricalStockProgress[[#This Row],[No. of Shares]],0)</f>
        <v>51.001292513195949</v>
      </c>
      <c r="K1110" s="17">
        <f>IF(HistoricalStockProgress[[#This Row],[Total Price of Shares]]&lt;&gt;0,HistoricalStockProgress[[#This Row],[Total Price of Shares]]-HistoricalStockProgress[[#This Row],[Cost of Shares]],0)</f>
        <v>4488.1137411612435</v>
      </c>
      <c r="L1110" s="34" t="b" cm="1">
        <f t="array" ref="L1110">IFERROR(IF(HistoricalStockProgress[[#This Row],[Price of Shares]]="",_xlfn.STOCKHISTORY(HistoricalStockProgress[[#This Row],[Full Company Name]],HistoricalStockProgress[[#This Row],[Date]],,2,0,1)),0)</f>
        <v>0</v>
      </c>
      <c r="M1110" s="34">
        <f>YEAR(HistoricalStockProgress[[#This Row],[Date]])</f>
        <v>2021</v>
      </c>
      <c r="N1110" s="34">
        <f>MONTH(HistoricalStockProgress[[#This Row],[Date]])</f>
        <v>8</v>
      </c>
    </row>
    <row r="1111" spans="2:14">
      <c r="B1111" s="15">
        <v>44469</v>
      </c>
      <c r="C1111" s="34" t="s">
        <v>12</v>
      </c>
      <c r="D1111" s="34" t="e" vm="1">
        <f>_xlfn.XLOOKUP(HistoricalStockProgress[[#This Row],[Company Ticker]],CompanyDetailsList[Company Ticker],CompanyDetailsList[Official Name],,0)</f>
        <v>#VALUE!</v>
      </c>
      <c r="E11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11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1111" s="17">
        <f>IFERROR(HistoricalStockProgress[[#This Row],[Cost of Shares]]/HistoricalStockProgress[[#This Row],[No. of Shares]],0)</f>
        <v>63.845182519411239</v>
      </c>
      <c r="H1111" s="16" vm="1630">
        <v>64.86</v>
      </c>
      <c r="I1111" s="16">
        <f>IF(HistoricalStockProgress[[#This Row],[No. of Shares]]&lt;&gt;0,HistoricalStockProgress[[#This Row],[Price of Shares]]*HistoricalStockProgress[[#This Row],[No. of Shares]],0)</f>
        <v>4151.04</v>
      </c>
      <c r="J1111" s="16">
        <f>IF(HistoricalStockProgress[[#This Row],[No. of Shares]]&lt;&gt;0,HistoricalStockProgress[[#This Row],[Price of Shares]]-HistoricalStockProgress[[#This Row],[Cost of Shares]]/HistoricalStockProgress[[#This Row],[No. of Shares]],0)</f>
        <v>1.0148174805887606</v>
      </c>
      <c r="K1111" s="17">
        <f>IF(HistoricalStockProgress[[#This Row],[Total Price of Shares]]&lt;&gt;0,HistoricalStockProgress[[#This Row],[Total Price of Shares]]-HistoricalStockProgress[[#This Row],[Cost of Shares]],0)</f>
        <v>64.948318757680681</v>
      </c>
      <c r="L1111" s="34" t="b" cm="1">
        <f t="array" ref="L1111">IFERROR(IF(HistoricalStockProgress[[#This Row],[Price of Shares]]="",_xlfn.STOCKHISTORY(HistoricalStockProgress[[#This Row],[Full Company Name]],HistoricalStockProgress[[#This Row],[Date]],,2,0,1)),0)</f>
        <v>0</v>
      </c>
      <c r="M1111" s="34">
        <f>YEAR(HistoricalStockProgress[[#This Row],[Date]])</f>
        <v>2021</v>
      </c>
      <c r="N1111" s="34">
        <f>MONTH(HistoricalStockProgress[[#This Row],[Date]])</f>
        <v>9</v>
      </c>
    </row>
    <row r="1112" spans="2:14">
      <c r="B1112" s="15">
        <v>44469</v>
      </c>
      <c r="C1112" s="34" t="s">
        <v>14</v>
      </c>
      <c r="D1112" s="34" t="e" vm="2">
        <f>_xlfn.XLOOKUP(HistoricalStockProgress[[#This Row],[Company Ticker]],CompanyDetailsList[Company Ticker],CompanyDetailsList[Official Name],,0)</f>
        <v>#VALUE!</v>
      </c>
      <c r="E11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1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112" s="17">
        <f>IFERROR(HistoricalStockProgress[[#This Row],[Cost of Shares]]/HistoricalStockProgress[[#This Row],[No. of Shares]],0)</f>
        <v>31.580112511620161</v>
      </c>
      <c r="H1112" s="16" vm="1631">
        <v>30.27</v>
      </c>
      <c r="I1112" s="16">
        <f>IF(HistoricalStockProgress[[#This Row],[No. of Shares]]&lt;&gt;0,HistoricalStockProgress[[#This Row],[Price of Shares]]*HistoricalStockProgress[[#This Row],[No. of Shares]],0)</f>
        <v>847.56</v>
      </c>
      <c r="J1112" s="16">
        <f>IF(HistoricalStockProgress[[#This Row],[No. of Shares]]&lt;&gt;0,HistoricalStockProgress[[#This Row],[Price of Shares]]-HistoricalStockProgress[[#This Row],[Cost of Shares]]/HistoricalStockProgress[[#This Row],[No. of Shares]],0)</f>
        <v>-1.3101125116201615</v>
      </c>
      <c r="K1112" s="17">
        <f>IF(HistoricalStockProgress[[#This Row],[Total Price of Shares]]&lt;&gt;0,HistoricalStockProgress[[#This Row],[Total Price of Shares]]-HistoricalStockProgress[[#This Row],[Cost of Shares]],0)</f>
        <v>-36.683150325364522</v>
      </c>
      <c r="L1112" s="34" t="b" cm="1">
        <f t="array" ref="L1112">IFERROR(IF(HistoricalStockProgress[[#This Row],[Price of Shares]]="",_xlfn.STOCKHISTORY(HistoricalStockProgress[[#This Row],[Full Company Name]],HistoricalStockProgress[[#This Row],[Date]],,2,0,1)),0)</f>
        <v>0</v>
      </c>
      <c r="M1112" s="34">
        <f>YEAR(HistoricalStockProgress[[#This Row],[Date]])</f>
        <v>2021</v>
      </c>
      <c r="N1112" s="34">
        <f>MONTH(HistoricalStockProgress[[#This Row],[Date]])</f>
        <v>9</v>
      </c>
    </row>
    <row r="1113" spans="2:14">
      <c r="B1113" s="15">
        <v>44469</v>
      </c>
      <c r="C1113" s="34" t="s">
        <v>19</v>
      </c>
      <c r="D1113" s="34" t="e" vm="3">
        <f>_xlfn.XLOOKUP(HistoricalStockProgress[[#This Row],[Company Ticker]],CompanyDetailsList[Company Ticker],CompanyDetailsList[Official Name],,0)</f>
        <v>#VALUE!</v>
      </c>
      <c r="E11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1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113" s="17">
        <f>IFERROR(HistoricalStockProgress[[#This Row],[Cost of Shares]]/HistoricalStockProgress[[#This Row],[No. of Shares]],0)</f>
        <v>158.45739987816083</v>
      </c>
      <c r="H1113" s="16" vm="1632">
        <v>165.61</v>
      </c>
      <c r="I1113" s="16">
        <f>IF(HistoricalStockProgress[[#This Row],[No. of Shares]]&lt;&gt;0,HistoricalStockProgress[[#This Row],[Price of Shares]]*HistoricalStockProgress[[#This Row],[No. of Shares]],0)</f>
        <v>9439.77</v>
      </c>
      <c r="J1113" s="16">
        <f>IF(HistoricalStockProgress[[#This Row],[No. of Shares]]&lt;&gt;0,HistoricalStockProgress[[#This Row],[Price of Shares]]-HistoricalStockProgress[[#This Row],[Cost of Shares]]/HistoricalStockProgress[[#This Row],[No. of Shares]],0)</f>
        <v>7.1526001218391855</v>
      </c>
      <c r="K1113" s="17">
        <f>IF(HistoricalStockProgress[[#This Row],[Total Price of Shares]]&lt;&gt;0,HistoricalStockProgress[[#This Row],[Total Price of Shares]]-HistoricalStockProgress[[#This Row],[Cost of Shares]],0)</f>
        <v>407.69820694483315</v>
      </c>
      <c r="L1113" s="34" t="b" cm="1">
        <f t="array" ref="L1113">IFERROR(IF(HistoricalStockProgress[[#This Row],[Price of Shares]]="",_xlfn.STOCKHISTORY(HistoricalStockProgress[[#This Row],[Full Company Name]],HistoricalStockProgress[[#This Row],[Date]],,2,0,1)),0)</f>
        <v>0</v>
      </c>
      <c r="M1113" s="34">
        <f>YEAR(HistoricalStockProgress[[#This Row],[Date]])</f>
        <v>2021</v>
      </c>
      <c r="N1113" s="34">
        <f>MONTH(HistoricalStockProgress[[#This Row],[Date]])</f>
        <v>9</v>
      </c>
    </row>
    <row r="1114" spans="2:14">
      <c r="B1114" s="15">
        <v>44469</v>
      </c>
      <c r="C1114" s="34" t="s">
        <v>23</v>
      </c>
      <c r="D1114" s="34" t="e" vm="4">
        <f>_xlfn.XLOOKUP(HistoricalStockProgress[[#This Row],[Company Ticker]],CompanyDetailsList[Company Ticker],CompanyDetailsList[Official Name],,0)</f>
        <v>#VALUE!</v>
      </c>
      <c r="E11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58</v>
      </c>
      <c r="F11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2654.572703537111</v>
      </c>
      <c r="G1114" s="17">
        <f>IFERROR(HistoricalStockProgress[[#This Row],[Cost of Shares]]/HistoricalStockProgress[[#This Row],[No. of Shares]],0)</f>
        <v>45.768494888570878</v>
      </c>
      <c r="H1114" s="16" vm="1633">
        <v>52.47</v>
      </c>
      <c r="I1114" s="16">
        <f>IF(HistoricalStockProgress[[#This Row],[No. of Shares]]&lt;&gt;0,HistoricalStockProgress[[#This Row],[Price of Shares]]*HistoricalStockProgress[[#This Row],[No. of Shares]],0)</f>
        <v>3043.2599999999998</v>
      </c>
      <c r="J1114" s="16">
        <f>IF(HistoricalStockProgress[[#This Row],[No. of Shares]]&lt;&gt;0,HistoricalStockProgress[[#This Row],[Price of Shares]]-HistoricalStockProgress[[#This Row],[Cost of Shares]]/HistoricalStockProgress[[#This Row],[No. of Shares]],0)</f>
        <v>6.7015051114291211</v>
      </c>
      <c r="K1114" s="17">
        <f>IF(HistoricalStockProgress[[#This Row],[Total Price of Shares]]&lt;&gt;0,HistoricalStockProgress[[#This Row],[Total Price of Shares]]-HistoricalStockProgress[[#This Row],[Cost of Shares]],0)</f>
        <v>388.68729646288875</v>
      </c>
      <c r="L1114" s="34" t="b" cm="1">
        <f t="array" ref="L1114">IFERROR(IF(HistoricalStockProgress[[#This Row],[Price of Shares]]="",_xlfn.STOCKHISTORY(HistoricalStockProgress[[#This Row],[Full Company Name]],HistoricalStockProgress[[#This Row],[Date]],,2,0,1)),0)</f>
        <v>0</v>
      </c>
      <c r="M1114" s="34">
        <f>YEAR(HistoricalStockProgress[[#This Row],[Date]])</f>
        <v>2021</v>
      </c>
      <c r="N1114" s="34">
        <f>MONTH(HistoricalStockProgress[[#This Row],[Date]])</f>
        <v>9</v>
      </c>
    </row>
    <row r="1115" spans="2:14">
      <c r="B1115" s="15">
        <v>44469</v>
      </c>
      <c r="C1115" s="34" t="s">
        <v>18</v>
      </c>
      <c r="D1115" s="34" t="e" vm="5">
        <f>_xlfn.XLOOKUP(HistoricalStockProgress[[#This Row],[Company Ticker]],CompanyDetailsList[Company Ticker],CompanyDetailsList[Official Name],,0)</f>
        <v>#VALUE!</v>
      </c>
      <c r="E11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v>
      </c>
      <c r="F11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1322.059549224459</v>
      </c>
      <c r="G1115" s="17">
        <f>IFERROR(HistoricalStockProgress[[#This Row],[Cost of Shares]]/HistoricalStockProgress[[#This Row],[No. of Shares]],0)</f>
        <v>132.2059549224459</v>
      </c>
      <c r="H1115" s="16" vm="1634">
        <v>150.41</v>
      </c>
      <c r="I1115" s="16">
        <f>IF(HistoricalStockProgress[[#This Row],[No. of Shares]]&lt;&gt;0,HistoricalStockProgress[[#This Row],[Price of Shares]]*HistoricalStockProgress[[#This Row],[No. of Shares]],0)</f>
        <v>1504.1</v>
      </c>
      <c r="J1115" s="16">
        <f>IF(HistoricalStockProgress[[#This Row],[No. of Shares]]&lt;&gt;0,HistoricalStockProgress[[#This Row],[Price of Shares]]-HistoricalStockProgress[[#This Row],[Cost of Shares]]/HistoricalStockProgress[[#This Row],[No. of Shares]],0)</f>
        <v>18.204045077554099</v>
      </c>
      <c r="K1115" s="17">
        <f>IF(HistoricalStockProgress[[#This Row],[Total Price of Shares]]&lt;&gt;0,HistoricalStockProgress[[#This Row],[Total Price of Shares]]-HistoricalStockProgress[[#This Row],[Cost of Shares]],0)</f>
        <v>182.04045077554088</v>
      </c>
      <c r="L1115" s="34" t="b" cm="1">
        <f t="array" ref="L1115">IFERROR(IF(HistoricalStockProgress[[#This Row],[Price of Shares]]="",_xlfn.STOCKHISTORY(HistoricalStockProgress[[#This Row],[Full Company Name]],HistoricalStockProgress[[#This Row],[Date]],,2,0,1)),0)</f>
        <v>0</v>
      </c>
      <c r="M1115" s="34">
        <f>YEAR(HistoricalStockProgress[[#This Row],[Date]])</f>
        <v>2021</v>
      </c>
      <c r="N1115" s="34">
        <f>MONTH(HistoricalStockProgress[[#This Row],[Date]])</f>
        <v>9</v>
      </c>
    </row>
    <row r="1116" spans="2:14">
      <c r="B1116" s="15">
        <v>44469</v>
      </c>
      <c r="C1116" s="34" t="s">
        <v>21</v>
      </c>
      <c r="D1116" s="34" t="e" vm="6">
        <f>_xlfn.XLOOKUP(HistoricalStockProgress[[#This Row],[Company Ticker]],CompanyDetailsList[Company Ticker],CompanyDetailsList[Official Name],,0)</f>
        <v>#VALUE!</v>
      </c>
      <c r="E11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1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3654.8914204824332</v>
      </c>
      <c r="G1116" s="17">
        <f>IFERROR(HistoricalStockProgress[[#This Row],[Cost of Shares]]/HistoricalStockProgress[[#This Row],[No. of Shares]],0)</f>
        <v>130.53183644580119</v>
      </c>
      <c r="H1116" s="16" vm="1635">
        <v>139.80000000000001</v>
      </c>
      <c r="I1116" s="16">
        <f>IF(HistoricalStockProgress[[#This Row],[No. of Shares]]&lt;&gt;0,HistoricalStockProgress[[#This Row],[Price of Shares]]*HistoricalStockProgress[[#This Row],[No. of Shares]],0)</f>
        <v>3914.4000000000005</v>
      </c>
      <c r="J1116" s="16">
        <f>IF(HistoricalStockProgress[[#This Row],[No. of Shares]]&lt;&gt;0,HistoricalStockProgress[[#This Row],[Price of Shares]]-HistoricalStockProgress[[#This Row],[Cost of Shares]]/HistoricalStockProgress[[#This Row],[No. of Shares]],0)</f>
        <v>9.2681635541988214</v>
      </c>
      <c r="K1116" s="17">
        <f>IF(HistoricalStockProgress[[#This Row],[Total Price of Shares]]&lt;&gt;0,HistoricalStockProgress[[#This Row],[Total Price of Shares]]-HistoricalStockProgress[[#This Row],[Cost of Shares]],0)</f>
        <v>259.50857951756734</v>
      </c>
      <c r="L1116" s="34" t="b" cm="1">
        <f t="array" ref="L1116">IFERROR(IF(HistoricalStockProgress[[#This Row],[Price of Shares]]="",_xlfn.STOCKHISTORY(HistoricalStockProgress[[#This Row],[Full Company Name]],HistoricalStockProgress[[#This Row],[Date]],,2,0,1)),0)</f>
        <v>0</v>
      </c>
      <c r="M1116" s="34">
        <f>YEAR(HistoricalStockProgress[[#This Row],[Date]])</f>
        <v>2021</v>
      </c>
      <c r="N1116" s="34">
        <f>MONTH(HistoricalStockProgress[[#This Row],[Date]])</f>
        <v>9</v>
      </c>
    </row>
    <row r="1117" spans="2:14">
      <c r="B1117" s="15">
        <v>44469</v>
      </c>
      <c r="C1117" s="34" t="s">
        <v>84</v>
      </c>
      <c r="D1117" s="34" t="e" vm="7">
        <f>_xlfn.XLOOKUP(HistoricalStockProgress[[#This Row],[Company Ticker]],CompanyDetailsList[Company Ticker],CompanyDetailsList[Official Name],,0)</f>
        <v>#VALUE!</v>
      </c>
      <c r="E11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1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117" s="17">
        <f>IFERROR(HistoricalStockProgress[[#This Row],[Cost of Shares]]/HistoricalStockProgress[[#This Row],[No. of Shares]],0)</f>
        <v>104.18087504950869</v>
      </c>
      <c r="H1117" s="16" vm="1636">
        <v>161.5</v>
      </c>
      <c r="I1117" s="16">
        <f>IF(HistoricalStockProgress[[#This Row],[No. of Shares]]&lt;&gt;0,HistoricalStockProgress[[#This Row],[Price of Shares]]*HistoricalStockProgress[[#This Row],[No. of Shares]],0)</f>
        <v>8236.5</v>
      </c>
      <c r="J1117" s="16">
        <f>IF(HistoricalStockProgress[[#This Row],[No. of Shares]]&lt;&gt;0,HistoricalStockProgress[[#This Row],[Price of Shares]]-HistoricalStockProgress[[#This Row],[Cost of Shares]]/HistoricalStockProgress[[#This Row],[No. of Shares]],0)</f>
        <v>57.319124950491315</v>
      </c>
      <c r="K1117" s="17">
        <f>IF(HistoricalStockProgress[[#This Row],[Total Price of Shares]]&lt;&gt;0,HistoricalStockProgress[[#This Row],[Total Price of Shares]]-HistoricalStockProgress[[#This Row],[Cost of Shares]],0)</f>
        <v>2923.2753724750573</v>
      </c>
      <c r="L1117" s="34" t="b" cm="1">
        <f t="array" ref="L1117">IFERROR(IF(HistoricalStockProgress[[#This Row],[Price of Shares]]="",_xlfn.STOCKHISTORY(HistoricalStockProgress[[#This Row],[Full Company Name]],HistoricalStockProgress[[#This Row],[Date]],,2,0,1)),0)</f>
        <v>0</v>
      </c>
      <c r="M1117" s="34">
        <f>YEAR(HistoricalStockProgress[[#This Row],[Date]])</f>
        <v>2021</v>
      </c>
      <c r="N1117" s="34">
        <f>MONTH(HistoricalStockProgress[[#This Row],[Date]])</f>
        <v>9</v>
      </c>
    </row>
    <row r="1118" spans="2:14">
      <c r="B1118" s="15">
        <v>44469</v>
      </c>
      <c r="C1118" s="34" t="s">
        <v>86</v>
      </c>
      <c r="D1118" s="34" t="e" vm="8">
        <f>_xlfn.XLOOKUP(HistoricalStockProgress[[#This Row],[Company Ticker]],CompanyDetailsList[Company Ticker],CompanyDetailsList[Official Name],,0)</f>
        <v>#VALUE!</v>
      </c>
      <c r="E11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1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118" s="17">
        <f>IFERROR(HistoricalStockProgress[[#This Row],[Cost of Shares]]/HistoricalStockProgress[[#This Row],[No. of Shares]],0)</f>
        <v>92.636161128673535</v>
      </c>
      <c r="H1118" s="16" vm="1637">
        <v>107.87</v>
      </c>
      <c r="I1118" s="16">
        <f>IF(HistoricalStockProgress[[#This Row],[No. of Shares]]&lt;&gt;0,HistoricalStockProgress[[#This Row],[Price of Shares]]*HistoricalStockProgress[[#This Row],[No. of Shares]],0)</f>
        <v>12297.18</v>
      </c>
      <c r="J1118" s="16">
        <f>IF(HistoricalStockProgress[[#This Row],[No. of Shares]]&lt;&gt;0,HistoricalStockProgress[[#This Row],[Price of Shares]]-HistoricalStockProgress[[#This Row],[Cost of Shares]]/HistoricalStockProgress[[#This Row],[No. of Shares]],0)</f>
        <v>15.233838871326469</v>
      </c>
      <c r="K1118" s="17">
        <f>IF(HistoricalStockProgress[[#This Row],[Total Price of Shares]]&lt;&gt;0,HistoricalStockProgress[[#This Row],[Total Price of Shares]]-HistoricalStockProgress[[#This Row],[Cost of Shares]],0)</f>
        <v>1736.657631331218</v>
      </c>
      <c r="L1118" s="34" t="b" cm="1">
        <f t="array" ref="L1118">IFERROR(IF(HistoricalStockProgress[[#This Row],[Price of Shares]]="",_xlfn.STOCKHISTORY(HistoricalStockProgress[[#This Row],[Full Company Name]],HistoricalStockProgress[[#This Row],[Date]],,2,0,1)),0)</f>
        <v>0</v>
      </c>
      <c r="M1118" s="34">
        <f>YEAR(HistoricalStockProgress[[#This Row],[Date]])</f>
        <v>2021</v>
      </c>
      <c r="N1118" s="34">
        <f>MONTH(HistoricalStockProgress[[#This Row],[Date]])</f>
        <v>9</v>
      </c>
    </row>
    <row r="1119" spans="2:14">
      <c r="B1119" s="15">
        <v>44469</v>
      </c>
      <c r="C1119" s="34" t="s">
        <v>88</v>
      </c>
      <c r="D1119" s="34" t="e" vm="9">
        <f>_xlfn.XLOOKUP(HistoricalStockProgress[[#This Row],[Company Ticker]],CompanyDetailsList[Company Ticker],CompanyDetailsList[Official Name],,0)</f>
        <v>#VALUE!</v>
      </c>
      <c r="E11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1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119" s="17">
        <f>IFERROR(HistoricalStockProgress[[#This Row],[Cost of Shares]]/HistoricalStockProgress[[#This Row],[No. of Shares]],0)</f>
        <v>187.727755253422</v>
      </c>
      <c r="H1119" s="16" vm="1638">
        <v>241.11</v>
      </c>
      <c r="I1119" s="16">
        <f>IF(HistoricalStockProgress[[#This Row],[No. of Shares]]&lt;&gt;0,HistoricalStockProgress[[#This Row],[Price of Shares]]*HistoricalStockProgress[[#This Row],[No. of Shares]],0)</f>
        <v>14225.490000000002</v>
      </c>
      <c r="J1119" s="16">
        <f>IF(HistoricalStockProgress[[#This Row],[No. of Shares]]&lt;&gt;0,HistoricalStockProgress[[#This Row],[Price of Shares]]-HistoricalStockProgress[[#This Row],[Cost of Shares]]/HistoricalStockProgress[[#This Row],[No. of Shares]],0)</f>
        <v>53.38224474657801</v>
      </c>
      <c r="K1119" s="17">
        <f>IF(HistoricalStockProgress[[#This Row],[Total Price of Shares]]&lt;&gt;0,HistoricalStockProgress[[#This Row],[Total Price of Shares]]-HistoricalStockProgress[[#This Row],[Cost of Shares]],0)</f>
        <v>3149.5524400481027</v>
      </c>
      <c r="L1119" s="34" t="b" cm="1">
        <f t="array" ref="L1119">IFERROR(IF(HistoricalStockProgress[[#This Row],[Price of Shares]]="",_xlfn.STOCKHISTORY(HistoricalStockProgress[[#This Row],[Full Company Name]],HistoricalStockProgress[[#This Row],[Date]],,2,0,1)),0)</f>
        <v>0</v>
      </c>
      <c r="M1119" s="34">
        <f>YEAR(HistoricalStockProgress[[#This Row],[Date]])</f>
        <v>2021</v>
      </c>
      <c r="N1119" s="34">
        <f>MONTH(HistoricalStockProgress[[#This Row],[Date]])</f>
        <v>9</v>
      </c>
    </row>
    <row r="1120" spans="2:14">
      <c r="B1120" s="15">
        <v>44469</v>
      </c>
      <c r="C1120" s="34" t="s">
        <v>22</v>
      </c>
      <c r="D1120" s="34" t="e" vm="10">
        <f>_xlfn.XLOOKUP(HistoricalStockProgress[[#This Row],[Company Ticker]],CompanyDetailsList[Company Ticker],CompanyDetailsList[Official Name],,0)</f>
        <v>#VALUE!</v>
      </c>
      <c r="E11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11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13175.976249073738</v>
      </c>
      <c r="G1120" s="17">
        <f>IFERROR(HistoricalStockProgress[[#This Row],[Cost of Shares]]/HistoricalStockProgress[[#This Row],[No. of Shares]],0)</f>
        <v>124.30166272711074</v>
      </c>
      <c r="H1120" s="16" vm="1639">
        <v>191.97</v>
      </c>
      <c r="I1120" s="16">
        <f>IF(HistoricalStockProgress[[#This Row],[No. of Shares]]&lt;&gt;0,HistoricalStockProgress[[#This Row],[Price of Shares]]*HistoricalStockProgress[[#This Row],[No. of Shares]],0)</f>
        <v>20348.82</v>
      </c>
      <c r="J1120" s="16">
        <f>IF(HistoricalStockProgress[[#This Row],[No. of Shares]]&lt;&gt;0,HistoricalStockProgress[[#This Row],[Price of Shares]]-HistoricalStockProgress[[#This Row],[Cost of Shares]]/HistoricalStockProgress[[#This Row],[No. of Shares]],0)</f>
        <v>67.668337272889261</v>
      </c>
      <c r="K1120" s="17">
        <f>IF(HistoricalStockProgress[[#This Row],[Total Price of Shares]]&lt;&gt;0,HistoricalStockProgress[[#This Row],[Total Price of Shares]]-HistoricalStockProgress[[#This Row],[Cost of Shares]],0)</f>
        <v>7172.8437509262621</v>
      </c>
      <c r="L1120" s="34" t="b" cm="1">
        <f t="array" ref="L1120">IFERROR(IF(HistoricalStockProgress[[#This Row],[Price of Shares]]="",_xlfn.STOCKHISTORY(HistoricalStockProgress[[#This Row],[Full Company Name]],HistoricalStockProgress[[#This Row],[Date]],,2,0,1)),0)</f>
        <v>0</v>
      </c>
      <c r="M1120" s="34">
        <f>YEAR(HistoricalStockProgress[[#This Row],[Date]])</f>
        <v>2021</v>
      </c>
      <c r="N1120" s="34">
        <f>MONTH(HistoricalStockProgress[[#This Row],[Date]])</f>
        <v>9</v>
      </c>
    </row>
    <row r="1121" spans="2:14">
      <c r="B1121" s="15">
        <v>44469</v>
      </c>
      <c r="C1121" s="34" t="s">
        <v>91</v>
      </c>
      <c r="D1121" s="34" t="e" vm="11">
        <f>_xlfn.XLOOKUP(HistoricalStockProgress[[#This Row],[Company Ticker]],CompanyDetailsList[Company Ticker],CompanyDetailsList[Official Name],,0)</f>
        <v>#VALUE!</v>
      </c>
      <c r="E11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11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1121" s="17">
        <f>IFERROR(HistoricalStockProgress[[#This Row],[Cost of Shares]]/HistoricalStockProgress[[#This Row],[No. of Shares]],0)</f>
        <v>100.94993172657422</v>
      </c>
      <c r="H1121" s="16" vm="1640">
        <v>281.92</v>
      </c>
      <c r="I1121" s="16">
        <f>IF(HistoricalStockProgress[[#This Row],[No. of Shares]]&lt;&gt;0,HistoricalStockProgress[[#This Row],[Price of Shares]]*HistoricalStockProgress[[#This Row],[No. of Shares]],0)</f>
        <v>41442.240000000005</v>
      </c>
      <c r="J1121" s="16">
        <f>IF(HistoricalStockProgress[[#This Row],[No. of Shares]]&lt;&gt;0,HistoricalStockProgress[[#This Row],[Price of Shares]]-HistoricalStockProgress[[#This Row],[Cost of Shares]]/HistoricalStockProgress[[#This Row],[No. of Shares]],0)</f>
        <v>180.9700682734258</v>
      </c>
      <c r="K1121" s="17">
        <f>IF(HistoricalStockProgress[[#This Row],[Total Price of Shares]]&lt;&gt;0,HistoricalStockProgress[[#This Row],[Total Price of Shares]]-HistoricalStockProgress[[#This Row],[Cost of Shares]],0)</f>
        <v>26602.600036193595</v>
      </c>
      <c r="L1121" s="34" t="b" cm="1">
        <f t="array" ref="L1121">IFERROR(IF(HistoricalStockProgress[[#This Row],[Price of Shares]]="",_xlfn.STOCKHISTORY(HistoricalStockProgress[[#This Row],[Full Company Name]],HistoricalStockProgress[[#This Row],[Date]],,2,0,1)),0)</f>
        <v>0</v>
      </c>
      <c r="M1121" s="34">
        <f>YEAR(HistoricalStockProgress[[#This Row],[Date]])</f>
        <v>2021</v>
      </c>
      <c r="N1121" s="34">
        <f>MONTH(HistoricalStockProgress[[#This Row],[Date]])</f>
        <v>9</v>
      </c>
    </row>
    <row r="1122" spans="2:14">
      <c r="B1122" s="15">
        <v>44469</v>
      </c>
      <c r="C1122" s="34" t="s">
        <v>16</v>
      </c>
      <c r="D1122" s="34" t="e" vm="12">
        <f>_xlfn.XLOOKUP(HistoricalStockProgress[[#This Row],[Company Ticker]],CompanyDetailsList[Company Ticker],CompanyDetailsList[Official Name],,0)</f>
        <v>#VALUE!</v>
      </c>
      <c r="E11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1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122" s="17">
        <f>IFERROR(HistoricalStockProgress[[#This Row],[Cost of Shares]]/HistoricalStockProgress[[#This Row],[No. of Shares]],0)</f>
        <v>75.117698177311837</v>
      </c>
      <c r="H1122" s="16" vm="1641">
        <v>58.82</v>
      </c>
      <c r="I1122" s="16">
        <f>IF(HistoricalStockProgress[[#This Row],[No. of Shares]]&lt;&gt;0,HistoricalStockProgress[[#This Row],[Price of Shares]]*HistoricalStockProgress[[#This Row],[No. of Shares]],0)</f>
        <v>10881.7</v>
      </c>
      <c r="J1122" s="16">
        <f>IF(HistoricalStockProgress[[#This Row],[No. of Shares]]&lt;&gt;0,HistoricalStockProgress[[#This Row],[Price of Shares]]-HistoricalStockProgress[[#This Row],[Cost of Shares]]/HistoricalStockProgress[[#This Row],[No. of Shares]],0)</f>
        <v>-16.297698177311837</v>
      </c>
      <c r="K1122" s="17">
        <f>IF(HistoricalStockProgress[[#This Row],[Total Price of Shares]]&lt;&gt;0,HistoricalStockProgress[[#This Row],[Total Price of Shares]]-HistoricalStockProgress[[#This Row],[Cost of Shares]],0)</f>
        <v>-3015.0741628026881</v>
      </c>
      <c r="L1122" s="34" t="b" cm="1">
        <f t="array" ref="L1122">IFERROR(IF(HistoricalStockProgress[[#This Row],[Price of Shares]]="",_xlfn.STOCKHISTORY(HistoricalStockProgress[[#This Row],[Full Company Name]],HistoricalStockProgress[[#This Row],[Date]],,2,0,1)),0)</f>
        <v>0</v>
      </c>
      <c r="M1122" s="34">
        <f>YEAR(HistoricalStockProgress[[#This Row],[Date]])</f>
        <v>2021</v>
      </c>
      <c r="N1122" s="34">
        <f>MONTH(HistoricalStockProgress[[#This Row],[Date]])</f>
        <v>9</v>
      </c>
    </row>
    <row r="1123" spans="2:14">
      <c r="B1123" s="15">
        <v>44469</v>
      </c>
      <c r="C1123" s="34" t="s">
        <v>95</v>
      </c>
      <c r="D1123" s="34" t="e" vm="13">
        <f>_xlfn.XLOOKUP(HistoricalStockProgress[[#This Row],[Company Ticker]],CompanyDetailsList[Company Ticker],CompanyDetailsList[Official Name],,0)</f>
        <v>#VALUE!</v>
      </c>
      <c r="E11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1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10324.055787336294</v>
      </c>
      <c r="G1123" s="17">
        <f>IFERROR(HistoricalStockProgress[[#This Row],[Cost of Shares]]/HistoricalStockProgress[[#This Row],[No. of Shares]],0)</f>
        <v>184.35813905957667</v>
      </c>
      <c r="H1123" s="16" vm="1642">
        <v>328.26</v>
      </c>
      <c r="I1123" s="16">
        <f>IF(HistoricalStockProgress[[#This Row],[No. of Shares]]&lt;&gt;0,HistoricalStockProgress[[#This Row],[Price of Shares]]*HistoricalStockProgress[[#This Row],[No. of Shares]],0)</f>
        <v>18382.559999999998</v>
      </c>
      <c r="J1123" s="16">
        <f>IF(HistoricalStockProgress[[#This Row],[No. of Shares]]&lt;&gt;0,HistoricalStockProgress[[#This Row],[Price of Shares]]-HistoricalStockProgress[[#This Row],[Cost of Shares]]/HistoricalStockProgress[[#This Row],[No. of Shares]],0)</f>
        <v>143.90186094042332</v>
      </c>
      <c r="K1123" s="17">
        <f>IF(HistoricalStockProgress[[#This Row],[Total Price of Shares]]&lt;&gt;0,HistoricalStockProgress[[#This Row],[Total Price of Shares]]-HistoricalStockProgress[[#This Row],[Cost of Shares]],0)</f>
        <v>8058.5042126637036</v>
      </c>
      <c r="L1123" s="34" t="b" cm="1">
        <f t="array" ref="L1123">IFERROR(IF(HistoricalStockProgress[[#This Row],[Price of Shares]]="",_xlfn.STOCKHISTORY(HistoricalStockProgress[[#This Row],[Full Company Name]],HistoricalStockProgress[[#This Row],[Date]],,2,0,1)),0)</f>
        <v>0</v>
      </c>
      <c r="M1123" s="34">
        <f>YEAR(HistoricalStockProgress[[#This Row],[Date]])</f>
        <v>2021</v>
      </c>
      <c r="N1123" s="34">
        <f>MONTH(HistoricalStockProgress[[#This Row],[Date]])</f>
        <v>9</v>
      </c>
    </row>
    <row r="1124" spans="2:14">
      <c r="B1124" s="15">
        <v>44469</v>
      </c>
      <c r="C1124" s="34" t="s">
        <v>17</v>
      </c>
      <c r="D1124" s="34" t="e" vm="14">
        <f>_xlfn.XLOOKUP(HistoricalStockProgress[[#This Row],[Company Ticker]],CompanyDetailsList[Company Ticker],CompanyDetailsList[Official Name],,0)</f>
        <v>#VALUE!</v>
      </c>
      <c r="E11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113</v>
      </c>
      <c r="F11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16195.54422264694</v>
      </c>
      <c r="G1124" s="17">
        <f>IFERROR(HistoricalStockProgress[[#This Row],[Cost of Shares]]/HistoricalStockProgress[[#This Row],[No. of Shares]],0)</f>
        <v>143.32340020041539</v>
      </c>
      <c r="H1124" s="16" vm="1643">
        <v>138.93</v>
      </c>
      <c r="I1124" s="16">
        <f>IF(HistoricalStockProgress[[#This Row],[No. of Shares]]&lt;&gt;0,HistoricalStockProgress[[#This Row],[Price of Shares]]*HistoricalStockProgress[[#This Row],[No. of Shares]],0)</f>
        <v>15699.09</v>
      </c>
      <c r="J1124" s="16">
        <f>IF(HistoricalStockProgress[[#This Row],[No. of Shares]]&lt;&gt;0,HistoricalStockProgress[[#This Row],[Price of Shares]]-HistoricalStockProgress[[#This Row],[Cost of Shares]]/HistoricalStockProgress[[#This Row],[No. of Shares]],0)</f>
        <v>-4.3934002004153854</v>
      </c>
      <c r="K1124" s="17">
        <f>IF(HistoricalStockProgress[[#This Row],[Total Price of Shares]]&lt;&gt;0,HistoricalStockProgress[[#This Row],[Total Price of Shares]]-HistoricalStockProgress[[#This Row],[Cost of Shares]],0)</f>
        <v>-496.45422264694025</v>
      </c>
      <c r="L1124" s="34" t="b" cm="1">
        <f t="array" ref="L1124">IFERROR(IF(HistoricalStockProgress[[#This Row],[Price of Shares]]="",_xlfn.STOCKHISTORY(HistoricalStockProgress[[#This Row],[Full Company Name]],HistoricalStockProgress[[#This Row],[Date]],,2,0,1)),0)</f>
        <v>0</v>
      </c>
      <c r="M1124" s="34">
        <f>YEAR(HistoricalStockProgress[[#This Row],[Date]])</f>
        <v>2021</v>
      </c>
      <c r="N1124" s="34">
        <f>MONTH(HistoricalStockProgress[[#This Row],[Date]])</f>
        <v>9</v>
      </c>
    </row>
    <row r="1125" spans="2:14">
      <c r="B1125" s="15">
        <v>44469</v>
      </c>
      <c r="C1125" s="34" t="s">
        <v>98</v>
      </c>
      <c r="D1125" s="34" t="e" vm="15">
        <f>_xlfn.XLOOKUP(HistoricalStockProgress[[#This Row],[Company Ticker]],CompanyDetailsList[Company Ticker],CompanyDetailsList[Official Name],,0)</f>
        <v>#VALUE!</v>
      </c>
      <c r="E11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108</v>
      </c>
      <c r="F11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5486.2959177385774</v>
      </c>
      <c r="G1125" s="17">
        <f>IFERROR(HistoricalStockProgress[[#This Row],[Cost of Shares]]/HistoricalStockProgress[[#This Row],[No. of Shares]],0)</f>
        <v>50.799036275357196</v>
      </c>
      <c r="H1125" s="16" vm="1644">
        <v>78.52</v>
      </c>
      <c r="I1125" s="16">
        <f>IF(HistoricalStockProgress[[#This Row],[No. of Shares]]&lt;&gt;0,HistoricalStockProgress[[#This Row],[Price of Shares]]*HistoricalStockProgress[[#This Row],[No. of Shares]],0)</f>
        <v>8480.16</v>
      </c>
      <c r="J1125" s="16">
        <f>IF(HistoricalStockProgress[[#This Row],[No. of Shares]]&lt;&gt;0,HistoricalStockProgress[[#This Row],[Price of Shares]]-HistoricalStockProgress[[#This Row],[Cost of Shares]]/HistoricalStockProgress[[#This Row],[No. of Shares]],0)</f>
        <v>27.7209637246428</v>
      </c>
      <c r="K1125" s="17">
        <f>IF(HistoricalStockProgress[[#This Row],[Total Price of Shares]]&lt;&gt;0,HistoricalStockProgress[[#This Row],[Total Price of Shares]]-HistoricalStockProgress[[#This Row],[Cost of Shares]],0)</f>
        <v>2993.8640822614225</v>
      </c>
      <c r="L1125" s="34" t="b" cm="1">
        <f t="array" ref="L1125">IFERROR(IF(HistoricalStockProgress[[#This Row],[Price of Shares]]="",_xlfn.STOCKHISTORY(HistoricalStockProgress[[#This Row],[Full Company Name]],HistoricalStockProgress[[#This Row],[Date]],,2,0,1)),0)</f>
        <v>0</v>
      </c>
      <c r="M1125" s="34">
        <f>YEAR(HistoricalStockProgress[[#This Row],[Date]])</f>
        <v>2021</v>
      </c>
      <c r="N1125" s="34">
        <f>MONTH(HistoricalStockProgress[[#This Row],[Date]])</f>
        <v>9</v>
      </c>
    </row>
    <row r="1126" spans="2:14">
      <c r="B1126" s="15">
        <v>44469</v>
      </c>
      <c r="C1126" s="34" t="s">
        <v>100</v>
      </c>
      <c r="D1126" s="34" t="e" vm="16">
        <f>_xlfn.XLOOKUP(HistoricalStockProgress[[#This Row],[Company Ticker]],CompanyDetailsList[Company Ticker],CompanyDetailsList[Official Name],,0)</f>
        <v>#VALUE!</v>
      </c>
      <c r="E11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11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12257.793853370842</v>
      </c>
      <c r="G1126" s="17">
        <f>IFERROR(HistoricalStockProgress[[#This Row],[Cost of Shares]]/HistoricalStockProgress[[#This Row],[No. of Shares]],0)</f>
        <v>87.555670381220295</v>
      </c>
      <c r="H1126" s="16" vm="1645">
        <v>97.59</v>
      </c>
      <c r="I1126" s="16">
        <f>IF(HistoricalStockProgress[[#This Row],[No. of Shares]]&lt;&gt;0,HistoricalStockProgress[[#This Row],[Price of Shares]]*HistoricalStockProgress[[#This Row],[No. of Shares]],0)</f>
        <v>13662.6</v>
      </c>
      <c r="J1126" s="16">
        <f>IF(HistoricalStockProgress[[#This Row],[No. of Shares]]&lt;&gt;0,HistoricalStockProgress[[#This Row],[Price of Shares]]-HistoricalStockProgress[[#This Row],[Cost of Shares]]/HistoricalStockProgress[[#This Row],[No. of Shares]],0)</f>
        <v>10.034329618779708</v>
      </c>
      <c r="K1126" s="17">
        <f>IF(HistoricalStockProgress[[#This Row],[Total Price of Shares]]&lt;&gt;0,HistoricalStockProgress[[#This Row],[Total Price of Shares]]-HistoricalStockProgress[[#This Row],[Cost of Shares]],0)</f>
        <v>1404.8061466291583</v>
      </c>
      <c r="L1126" s="34" t="b" cm="1">
        <f t="array" ref="L1126">IFERROR(IF(HistoricalStockProgress[[#This Row],[Price of Shares]]="",_xlfn.STOCKHISTORY(HistoricalStockProgress[[#This Row],[Full Company Name]],HistoricalStockProgress[[#This Row],[Date]],,2,0,1)),0)</f>
        <v>0</v>
      </c>
      <c r="M1126" s="34">
        <f>YEAR(HistoricalStockProgress[[#This Row],[Date]])</f>
        <v>2021</v>
      </c>
      <c r="N1126" s="34">
        <f>MONTH(HistoricalStockProgress[[#This Row],[Date]])</f>
        <v>9</v>
      </c>
    </row>
    <row r="1127" spans="2:14">
      <c r="B1127" s="15">
        <v>44469</v>
      </c>
      <c r="C1127" s="34" t="s">
        <v>15</v>
      </c>
      <c r="D1127" s="34" t="e" vm="17">
        <f>_xlfn.XLOOKUP(HistoricalStockProgress[[#This Row],[Company Ticker]],CompanyDetailsList[Company Ticker],CompanyDetailsList[Official Name],,0)</f>
        <v>#VALUE!</v>
      </c>
      <c r="E11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1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127" s="17">
        <f>IFERROR(HistoricalStockProgress[[#This Row],[Cost of Shares]]/HistoricalStockProgress[[#This Row],[No. of Shares]],0)</f>
        <v>26.081956457072195</v>
      </c>
      <c r="H1127" s="16" vm="1646">
        <v>20.397400000000001</v>
      </c>
      <c r="I1127" s="16">
        <f>IF(HistoricalStockProgress[[#This Row],[No. of Shares]]&lt;&gt;0,HistoricalStockProgress[[#This Row],[Price of Shares]]*HistoricalStockProgress[[#This Row],[No. of Shares]],0)</f>
        <v>2529.2776000000003</v>
      </c>
      <c r="J1127" s="16">
        <f>IF(HistoricalStockProgress[[#This Row],[No. of Shares]]&lt;&gt;0,HistoricalStockProgress[[#This Row],[Price of Shares]]-HistoricalStockProgress[[#This Row],[Cost of Shares]]/HistoricalStockProgress[[#This Row],[No. of Shares]],0)</f>
        <v>-5.684556457072194</v>
      </c>
      <c r="K1127" s="17">
        <f>IF(HistoricalStockProgress[[#This Row],[Total Price of Shares]]&lt;&gt;0,HistoricalStockProgress[[#This Row],[Total Price of Shares]]-HistoricalStockProgress[[#This Row],[Cost of Shares]],0)</f>
        <v>-704.88500067695168</v>
      </c>
      <c r="L1127" s="34" t="b" cm="1">
        <f t="array" ref="L1127">IFERROR(IF(HistoricalStockProgress[[#This Row],[Price of Shares]]="",_xlfn.STOCKHISTORY(HistoricalStockProgress[[#This Row],[Full Company Name]],HistoricalStockProgress[[#This Row],[Date]],,2,0,1)),0)</f>
        <v>0</v>
      </c>
      <c r="M1127" s="34">
        <f>YEAR(HistoricalStockProgress[[#This Row],[Date]])</f>
        <v>2021</v>
      </c>
      <c r="N1127" s="34">
        <f>MONTH(HistoricalStockProgress[[#This Row],[Date]])</f>
        <v>9</v>
      </c>
    </row>
    <row r="1128" spans="2:14">
      <c r="B1128" s="15">
        <v>44469</v>
      </c>
      <c r="C1128" s="34" t="s">
        <v>13</v>
      </c>
      <c r="D1128" s="34" t="e" vm="18">
        <f>_xlfn.XLOOKUP(HistoricalStockProgress[[#This Row],[Company Ticker]],CompanyDetailsList[Company Ticker],CompanyDetailsList[Official Name],,0)</f>
        <v>#VALUE!</v>
      </c>
      <c r="E11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1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128" s="17">
        <f>IFERROR(HistoricalStockProgress[[#This Row],[Cost of Shares]]/HistoricalStockProgress[[#This Row],[No. of Shares]],0)</f>
        <v>35.846938938346874</v>
      </c>
      <c r="H1128" s="16" vm="1647">
        <v>43.01</v>
      </c>
      <c r="I1128" s="16">
        <f>IF(HistoricalStockProgress[[#This Row],[No. of Shares]]&lt;&gt;0,HistoricalStockProgress[[#This Row],[Price of Shares]]*HistoricalStockProgress[[#This Row],[No. of Shares]],0)</f>
        <v>2365.5499999999997</v>
      </c>
      <c r="J1128" s="16">
        <f>IF(HistoricalStockProgress[[#This Row],[No. of Shares]]&lt;&gt;0,HistoricalStockProgress[[#This Row],[Price of Shares]]-HistoricalStockProgress[[#This Row],[Cost of Shares]]/HistoricalStockProgress[[#This Row],[No. of Shares]],0)</f>
        <v>7.1630610616531243</v>
      </c>
      <c r="K1128" s="17">
        <f>IF(HistoricalStockProgress[[#This Row],[Total Price of Shares]]&lt;&gt;0,HistoricalStockProgress[[#This Row],[Total Price of Shares]]-HistoricalStockProgress[[#This Row],[Cost of Shares]],0)</f>
        <v>393.96835839092159</v>
      </c>
      <c r="L1128" s="34" t="b" cm="1">
        <f t="array" ref="L1128">IFERROR(IF(HistoricalStockProgress[[#This Row],[Price of Shares]]="",_xlfn.STOCKHISTORY(HistoricalStockProgress[[#This Row],[Full Company Name]],HistoricalStockProgress[[#This Row],[Date]],,2,0,1)),0)</f>
        <v>0</v>
      </c>
      <c r="M1128" s="34">
        <f>YEAR(HistoricalStockProgress[[#This Row],[Date]])</f>
        <v>2021</v>
      </c>
      <c r="N1128" s="34">
        <f>MONTH(HistoricalStockProgress[[#This Row],[Date]])</f>
        <v>9</v>
      </c>
    </row>
    <row r="1129" spans="2:14">
      <c r="B1129" s="15">
        <v>44469</v>
      </c>
      <c r="C1129" s="34" t="s">
        <v>20</v>
      </c>
      <c r="D1129" s="34" t="e" vm="19">
        <f>_xlfn.XLOOKUP(HistoricalStockProgress[[#This Row],[Company Ticker]],CompanyDetailsList[Company Ticker],CompanyDetailsList[Official Name],,0)</f>
        <v>#VALUE!</v>
      </c>
      <c r="E11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93</v>
      </c>
      <c r="F11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9585.7274858109122</v>
      </c>
      <c r="G1129" s="17">
        <f>IFERROR(HistoricalStockProgress[[#This Row],[Cost of Shares]]/HistoricalStockProgress[[#This Row],[No. of Shares]],0)</f>
        <v>103.07233855710658</v>
      </c>
      <c r="H1129" s="16" vm="1648">
        <v>163.69</v>
      </c>
      <c r="I1129" s="16">
        <f>IF(HistoricalStockProgress[[#This Row],[No. of Shares]]&lt;&gt;0,HistoricalStockProgress[[#This Row],[Price of Shares]]*HistoricalStockProgress[[#This Row],[No. of Shares]],0)</f>
        <v>15223.17</v>
      </c>
      <c r="J1129" s="16">
        <f>IF(HistoricalStockProgress[[#This Row],[No. of Shares]]&lt;&gt;0,HistoricalStockProgress[[#This Row],[Price of Shares]]-HistoricalStockProgress[[#This Row],[Cost of Shares]]/HistoricalStockProgress[[#This Row],[No. of Shares]],0)</f>
        <v>60.617661442893422</v>
      </c>
      <c r="K1129" s="17">
        <f>IF(HistoricalStockProgress[[#This Row],[Total Price of Shares]]&lt;&gt;0,HistoricalStockProgress[[#This Row],[Total Price of Shares]]-HistoricalStockProgress[[#This Row],[Cost of Shares]],0)</f>
        <v>5637.4425141890879</v>
      </c>
      <c r="L1129" s="34" t="b" cm="1">
        <f t="array" ref="L1129">IFERROR(IF(HistoricalStockProgress[[#This Row],[Price of Shares]]="",_xlfn.STOCKHISTORY(HistoricalStockProgress[[#This Row],[Full Company Name]],HistoricalStockProgress[[#This Row],[Date]],,2,0,1)),0)</f>
        <v>0</v>
      </c>
      <c r="M1129" s="34">
        <f>YEAR(HistoricalStockProgress[[#This Row],[Date]])</f>
        <v>2021</v>
      </c>
      <c r="N1129" s="34">
        <f>MONTH(HistoricalStockProgress[[#This Row],[Date]])</f>
        <v>9</v>
      </c>
    </row>
    <row r="1130" spans="2:14">
      <c r="B1130" s="15">
        <v>44469</v>
      </c>
      <c r="C1130" s="34" t="s">
        <v>106</v>
      </c>
      <c r="D1130" s="34" t="e" vm="20">
        <f>_xlfn.XLOOKUP(HistoricalStockProgress[[#This Row],[Company Ticker]],CompanyDetailsList[Company Ticker],CompanyDetailsList[Official Name],,0)</f>
        <v>#VALUE!</v>
      </c>
      <c r="E11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1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130" s="17">
        <f>IFERROR(HistoricalStockProgress[[#This Row],[Cost of Shares]]/HistoricalStockProgress[[#This Row],[No. of Shares]],0)</f>
        <v>108.54870748680406</v>
      </c>
      <c r="H1130" s="16" vm="1649">
        <v>143.01</v>
      </c>
      <c r="I1130" s="16">
        <f>IF(HistoricalStockProgress[[#This Row],[No. of Shares]]&lt;&gt;0,HistoricalStockProgress[[#This Row],[Price of Shares]]*HistoricalStockProgress[[#This Row],[No. of Shares]],0)</f>
        <v>12584.88</v>
      </c>
      <c r="J1130" s="16">
        <f>IF(HistoricalStockProgress[[#This Row],[No. of Shares]]&lt;&gt;0,HistoricalStockProgress[[#This Row],[Price of Shares]]-HistoricalStockProgress[[#This Row],[Cost of Shares]]/HistoricalStockProgress[[#This Row],[No. of Shares]],0)</f>
        <v>34.461292513195929</v>
      </c>
      <c r="K1130" s="17">
        <f>IF(HistoricalStockProgress[[#This Row],[Total Price of Shares]]&lt;&gt;0,HistoricalStockProgress[[#This Row],[Total Price of Shares]]-HistoricalStockProgress[[#This Row],[Cost of Shares]],0)</f>
        <v>3032.5937411612413</v>
      </c>
      <c r="L1130" s="34" t="b" cm="1">
        <f t="array" ref="L1130">IFERROR(IF(HistoricalStockProgress[[#This Row],[Price of Shares]]="",_xlfn.STOCKHISTORY(HistoricalStockProgress[[#This Row],[Full Company Name]],HistoricalStockProgress[[#This Row],[Date]],,2,0,1)),0)</f>
        <v>0</v>
      </c>
      <c r="M1130" s="34">
        <f>YEAR(HistoricalStockProgress[[#This Row],[Date]])</f>
        <v>2021</v>
      </c>
      <c r="N1130" s="34">
        <f>MONTH(HistoricalStockProgress[[#This Row],[Date]])</f>
        <v>9</v>
      </c>
    </row>
    <row r="1131" spans="2:14">
      <c r="B1131" s="15">
        <v>44500</v>
      </c>
      <c r="C1131" s="34" t="s">
        <v>12</v>
      </c>
      <c r="D1131" s="34" t="e" vm="1">
        <f>_xlfn.XLOOKUP(HistoricalStockProgress[[#This Row],[Company Ticker]],CompanyDetailsList[Company Ticker],CompanyDetailsList[Official Name],,0)</f>
        <v>#VALUE!</v>
      </c>
      <c r="E11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11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1131" s="17">
        <f>IFERROR(HistoricalStockProgress[[#This Row],[Cost of Shares]]/HistoricalStockProgress[[#This Row],[No. of Shares]],0)</f>
        <v>63.845182519411239</v>
      </c>
      <c r="H1131" s="16" vm="1650">
        <v>71.430000000000007</v>
      </c>
      <c r="I1131" s="16">
        <f>IF(HistoricalStockProgress[[#This Row],[No. of Shares]]&lt;&gt;0,HistoricalStockProgress[[#This Row],[Price of Shares]]*HistoricalStockProgress[[#This Row],[No. of Shares]],0)</f>
        <v>4571.5200000000004</v>
      </c>
      <c r="J1131" s="16">
        <f>IF(HistoricalStockProgress[[#This Row],[No. of Shares]]&lt;&gt;0,HistoricalStockProgress[[#This Row],[Price of Shares]]-HistoricalStockProgress[[#This Row],[Cost of Shares]]/HistoricalStockProgress[[#This Row],[No. of Shares]],0)</f>
        <v>7.584817480588768</v>
      </c>
      <c r="K1131" s="17">
        <f>IF(HistoricalStockProgress[[#This Row],[Total Price of Shares]]&lt;&gt;0,HistoricalStockProgress[[#This Row],[Total Price of Shares]]-HistoricalStockProgress[[#This Row],[Cost of Shares]],0)</f>
        <v>485.42831875768115</v>
      </c>
      <c r="L1131" s="34" t="b" cm="1">
        <f t="array" ref="L1131">IFERROR(IF(HistoricalStockProgress[[#This Row],[Price of Shares]]="",_xlfn.STOCKHISTORY(HistoricalStockProgress[[#This Row],[Full Company Name]],HistoricalStockProgress[[#This Row],[Date]],,2,0,1)),0)</f>
        <v>0</v>
      </c>
      <c r="M1131" s="34">
        <f>YEAR(HistoricalStockProgress[[#This Row],[Date]])</f>
        <v>2021</v>
      </c>
      <c r="N1131" s="34">
        <f>MONTH(HistoricalStockProgress[[#This Row],[Date]])</f>
        <v>10</v>
      </c>
    </row>
    <row r="1132" spans="2:14">
      <c r="B1132" s="15">
        <v>44500</v>
      </c>
      <c r="C1132" s="34" t="s">
        <v>14</v>
      </c>
      <c r="D1132" s="34" t="e" vm="2">
        <f>_xlfn.XLOOKUP(HistoricalStockProgress[[#This Row],[Company Ticker]],CompanyDetailsList[Company Ticker],CompanyDetailsList[Official Name],,0)</f>
        <v>#VALUE!</v>
      </c>
      <c r="E11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1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132" s="17">
        <f>IFERROR(HistoricalStockProgress[[#This Row],[Cost of Shares]]/HistoricalStockProgress[[#This Row],[No. of Shares]],0)</f>
        <v>31.580112511620161</v>
      </c>
      <c r="H1132" s="16" vm="1651">
        <v>35.479999999999997</v>
      </c>
      <c r="I1132" s="16">
        <f>IF(HistoricalStockProgress[[#This Row],[No. of Shares]]&lt;&gt;0,HistoricalStockProgress[[#This Row],[Price of Shares]]*HistoricalStockProgress[[#This Row],[No. of Shares]],0)</f>
        <v>993.43999999999994</v>
      </c>
      <c r="J1132" s="16">
        <f>IF(HistoricalStockProgress[[#This Row],[No. of Shares]]&lt;&gt;0,HistoricalStockProgress[[#This Row],[Price of Shares]]-HistoricalStockProgress[[#This Row],[Cost of Shares]]/HistoricalStockProgress[[#This Row],[No. of Shares]],0)</f>
        <v>3.8998874883798358</v>
      </c>
      <c r="K1132" s="17">
        <f>IF(HistoricalStockProgress[[#This Row],[Total Price of Shares]]&lt;&gt;0,HistoricalStockProgress[[#This Row],[Total Price of Shares]]-HistoricalStockProgress[[#This Row],[Cost of Shares]],0)</f>
        <v>109.19684967463547</v>
      </c>
      <c r="L1132" s="34" t="b" cm="1">
        <f t="array" ref="L1132">IFERROR(IF(HistoricalStockProgress[[#This Row],[Price of Shares]]="",_xlfn.STOCKHISTORY(HistoricalStockProgress[[#This Row],[Full Company Name]],HistoricalStockProgress[[#This Row],[Date]],,2,0,1)),0)</f>
        <v>0</v>
      </c>
      <c r="M1132" s="34">
        <f>YEAR(HistoricalStockProgress[[#This Row],[Date]])</f>
        <v>2021</v>
      </c>
      <c r="N1132" s="34">
        <f>MONTH(HistoricalStockProgress[[#This Row],[Date]])</f>
        <v>10</v>
      </c>
    </row>
    <row r="1133" spans="2:14">
      <c r="B1133" s="15">
        <v>44500</v>
      </c>
      <c r="C1133" s="34" t="s">
        <v>19</v>
      </c>
      <c r="D1133" s="34" t="e" vm="3">
        <f>_xlfn.XLOOKUP(HistoricalStockProgress[[#This Row],[Company Ticker]],CompanyDetailsList[Company Ticker],CompanyDetailsList[Official Name],,0)</f>
        <v>#VALUE!</v>
      </c>
      <c r="E11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1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133" s="17">
        <f>IFERROR(HistoricalStockProgress[[#This Row],[Cost of Shares]]/HistoricalStockProgress[[#This Row],[No. of Shares]],0)</f>
        <v>158.45739987816083</v>
      </c>
      <c r="H1133" s="16" vm="1652">
        <v>163.01</v>
      </c>
      <c r="I1133" s="16">
        <f>IF(HistoricalStockProgress[[#This Row],[No. of Shares]]&lt;&gt;0,HistoricalStockProgress[[#This Row],[Price of Shares]]*HistoricalStockProgress[[#This Row],[No. of Shares]],0)</f>
        <v>9291.57</v>
      </c>
      <c r="J1133" s="16">
        <f>IF(HistoricalStockProgress[[#This Row],[No. of Shares]]&lt;&gt;0,HistoricalStockProgress[[#This Row],[Price of Shares]]-HistoricalStockProgress[[#This Row],[Cost of Shares]]/HistoricalStockProgress[[#This Row],[No. of Shares]],0)</f>
        <v>4.5526001218391627</v>
      </c>
      <c r="K1133" s="17">
        <f>IF(HistoricalStockProgress[[#This Row],[Total Price of Shares]]&lt;&gt;0,HistoricalStockProgress[[#This Row],[Total Price of Shares]]-HistoricalStockProgress[[#This Row],[Cost of Shares]],0)</f>
        <v>259.49820694483242</v>
      </c>
      <c r="L1133" s="34" t="b" cm="1">
        <f t="array" ref="L1133">IFERROR(IF(HistoricalStockProgress[[#This Row],[Price of Shares]]="",_xlfn.STOCKHISTORY(HistoricalStockProgress[[#This Row],[Full Company Name]],HistoricalStockProgress[[#This Row],[Date]],,2,0,1)),0)</f>
        <v>0</v>
      </c>
      <c r="M1133" s="34">
        <f>YEAR(HistoricalStockProgress[[#This Row],[Date]])</f>
        <v>2021</v>
      </c>
      <c r="N1133" s="34">
        <f>MONTH(HistoricalStockProgress[[#This Row],[Date]])</f>
        <v>10</v>
      </c>
    </row>
    <row r="1134" spans="2:14">
      <c r="B1134" s="15">
        <v>44500</v>
      </c>
      <c r="C1134" s="34" t="s">
        <v>23</v>
      </c>
      <c r="D1134" s="34" t="e" vm="4">
        <f>_xlfn.XLOOKUP(HistoricalStockProgress[[#This Row],[Company Ticker]],CompanyDetailsList[Company Ticker],CompanyDetailsList[Official Name],,0)</f>
        <v>#VALUE!</v>
      </c>
      <c r="E11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80</v>
      </c>
      <c r="F11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3888.0556776173789</v>
      </c>
      <c r="G1134" s="17">
        <f>IFERROR(HistoricalStockProgress[[#This Row],[Cost of Shares]]/HistoricalStockProgress[[#This Row],[No. of Shares]],0)</f>
        <v>48.600695970217238</v>
      </c>
      <c r="H1134" s="16" vm="1653">
        <v>56.37</v>
      </c>
      <c r="I1134" s="16">
        <f>IF(HistoricalStockProgress[[#This Row],[No. of Shares]]&lt;&gt;0,HistoricalStockProgress[[#This Row],[Price of Shares]]*HistoricalStockProgress[[#This Row],[No. of Shares]],0)</f>
        <v>4509.5999999999995</v>
      </c>
      <c r="J1134" s="16">
        <f>IF(HistoricalStockProgress[[#This Row],[No. of Shares]]&lt;&gt;0,HistoricalStockProgress[[#This Row],[Price of Shares]]-HistoricalStockProgress[[#This Row],[Cost of Shares]]/HistoricalStockProgress[[#This Row],[No. of Shares]],0)</f>
        <v>7.7693040297827594</v>
      </c>
      <c r="K1134" s="17">
        <f>IF(HistoricalStockProgress[[#This Row],[Total Price of Shares]]&lt;&gt;0,HistoricalStockProgress[[#This Row],[Total Price of Shares]]-HistoricalStockProgress[[#This Row],[Cost of Shares]],0)</f>
        <v>621.54432238262052</v>
      </c>
      <c r="L1134" s="34" t="b" cm="1">
        <f t="array" ref="L1134">IFERROR(IF(HistoricalStockProgress[[#This Row],[Price of Shares]]="",_xlfn.STOCKHISTORY(HistoricalStockProgress[[#This Row],[Full Company Name]],HistoricalStockProgress[[#This Row],[Date]],,2,0,1)),0)</f>
        <v>0</v>
      </c>
      <c r="M1134" s="34">
        <f>YEAR(HistoricalStockProgress[[#This Row],[Date]])</f>
        <v>2021</v>
      </c>
      <c r="N1134" s="34">
        <f>MONTH(HistoricalStockProgress[[#This Row],[Date]])</f>
        <v>10</v>
      </c>
    </row>
    <row r="1135" spans="2:14">
      <c r="B1135" s="15">
        <v>44500</v>
      </c>
      <c r="C1135" s="34" t="s">
        <v>18</v>
      </c>
      <c r="D1135" s="34" t="e" vm="5">
        <f>_xlfn.XLOOKUP(HistoricalStockProgress[[#This Row],[Company Ticker]],CompanyDetailsList[Company Ticker],CompanyDetailsList[Official Name],,0)</f>
        <v>#VALUE!</v>
      </c>
      <c r="E11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v>
      </c>
      <c r="F11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1322.059549224459</v>
      </c>
      <c r="G1135" s="17">
        <f>IFERROR(HistoricalStockProgress[[#This Row],[Cost of Shares]]/HistoricalStockProgress[[#This Row],[No. of Shares]],0)</f>
        <v>132.2059549224459</v>
      </c>
      <c r="H1135" s="16" vm="1654">
        <v>161.6</v>
      </c>
      <c r="I1135" s="16">
        <f>IF(HistoricalStockProgress[[#This Row],[No. of Shares]]&lt;&gt;0,HistoricalStockProgress[[#This Row],[Price of Shares]]*HistoricalStockProgress[[#This Row],[No. of Shares]],0)</f>
        <v>1616</v>
      </c>
      <c r="J1135" s="16">
        <f>IF(HistoricalStockProgress[[#This Row],[No. of Shares]]&lt;&gt;0,HistoricalStockProgress[[#This Row],[Price of Shares]]-HistoricalStockProgress[[#This Row],[Cost of Shares]]/HistoricalStockProgress[[#This Row],[No. of Shares]],0)</f>
        <v>29.394045077554097</v>
      </c>
      <c r="K1135" s="17">
        <f>IF(HistoricalStockProgress[[#This Row],[Total Price of Shares]]&lt;&gt;0,HistoricalStockProgress[[#This Row],[Total Price of Shares]]-HistoricalStockProgress[[#This Row],[Cost of Shares]],0)</f>
        <v>293.94045077554097</v>
      </c>
      <c r="L1135" s="34" t="b" cm="1">
        <f t="array" ref="L1135">IFERROR(IF(HistoricalStockProgress[[#This Row],[Price of Shares]]="",_xlfn.STOCKHISTORY(HistoricalStockProgress[[#This Row],[Full Company Name]],HistoricalStockProgress[[#This Row],[Date]],,2,0,1)),0)</f>
        <v>0</v>
      </c>
      <c r="M1135" s="34">
        <f>YEAR(HistoricalStockProgress[[#This Row],[Date]])</f>
        <v>2021</v>
      </c>
      <c r="N1135" s="34">
        <f>MONTH(HistoricalStockProgress[[#This Row],[Date]])</f>
        <v>10</v>
      </c>
    </row>
    <row r="1136" spans="2:14">
      <c r="B1136" s="15">
        <v>44500</v>
      </c>
      <c r="C1136" s="34" t="s">
        <v>21</v>
      </c>
      <c r="D1136" s="34" t="e" vm="6">
        <f>_xlfn.XLOOKUP(HistoricalStockProgress[[#This Row],[Company Ticker]],CompanyDetailsList[Company Ticker],CompanyDetailsList[Official Name],,0)</f>
        <v>#VALUE!</v>
      </c>
      <c r="E11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1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3654.8914204824332</v>
      </c>
      <c r="G1136" s="17">
        <f>IFERROR(HistoricalStockProgress[[#This Row],[Cost of Shares]]/HistoricalStockProgress[[#This Row],[No. of Shares]],0)</f>
        <v>130.53183644580119</v>
      </c>
      <c r="H1136" s="16" vm="1655">
        <v>142.99</v>
      </c>
      <c r="I1136" s="16">
        <f>IF(HistoricalStockProgress[[#This Row],[No. of Shares]]&lt;&gt;0,HistoricalStockProgress[[#This Row],[Price of Shares]]*HistoricalStockProgress[[#This Row],[No. of Shares]],0)</f>
        <v>4003.7200000000003</v>
      </c>
      <c r="J1136" s="16">
        <f>IF(HistoricalStockProgress[[#This Row],[No. of Shares]]&lt;&gt;0,HistoricalStockProgress[[#This Row],[Price of Shares]]-HistoricalStockProgress[[#This Row],[Cost of Shares]]/HistoricalStockProgress[[#This Row],[No. of Shares]],0)</f>
        <v>12.458163554198819</v>
      </c>
      <c r="K1136" s="17">
        <f>IF(HistoricalStockProgress[[#This Row],[Total Price of Shares]]&lt;&gt;0,HistoricalStockProgress[[#This Row],[Total Price of Shares]]-HistoricalStockProgress[[#This Row],[Cost of Shares]],0)</f>
        <v>348.82857951756705</v>
      </c>
      <c r="L1136" s="34" t="b" cm="1">
        <f t="array" ref="L1136">IFERROR(IF(HistoricalStockProgress[[#This Row],[Price of Shares]]="",_xlfn.STOCKHISTORY(HistoricalStockProgress[[#This Row],[Full Company Name]],HistoricalStockProgress[[#This Row],[Date]],,2,0,1)),0)</f>
        <v>0</v>
      </c>
      <c r="M1136" s="34">
        <f>YEAR(HistoricalStockProgress[[#This Row],[Date]])</f>
        <v>2021</v>
      </c>
      <c r="N1136" s="34">
        <f>MONTH(HistoricalStockProgress[[#This Row],[Date]])</f>
        <v>10</v>
      </c>
    </row>
    <row r="1137" spans="2:14">
      <c r="B1137" s="15">
        <v>44500</v>
      </c>
      <c r="C1137" s="34" t="s">
        <v>84</v>
      </c>
      <c r="D1137" s="34" t="e" vm="7">
        <f>_xlfn.XLOOKUP(HistoricalStockProgress[[#This Row],[Company Ticker]],CompanyDetailsList[Company Ticker],CompanyDetailsList[Official Name],,0)</f>
        <v>#VALUE!</v>
      </c>
      <c r="E11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1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137" s="17">
        <f>IFERROR(HistoricalStockProgress[[#This Row],[Cost of Shares]]/HistoricalStockProgress[[#This Row],[No. of Shares]],0)</f>
        <v>104.18087504950869</v>
      </c>
      <c r="H1137" s="16" vm="1656">
        <v>162.88</v>
      </c>
      <c r="I1137" s="16">
        <f>IF(HistoricalStockProgress[[#This Row],[No. of Shares]]&lt;&gt;0,HistoricalStockProgress[[#This Row],[Price of Shares]]*HistoricalStockProgress[[#This Row],[No. of Shares]],0)</f>
        <v>8306.8799999999992</v>
      </c>
      <c r="J1137" s="16">
        <f>IF(HistoricalStockProgress[[#This Row],[No. of Shares]]&lt;&gt;0,HistoricalStockProgress[[#This Row],[Price of Shares]]-HistoricalStockProgress[[#This Row],[Cost of Shares]]/HistoricalStockProgress[[#This Row],[No. of Shares]],0)</f>
        <v>58.69912495049131</v>
      </c>
      <c r="K1137" s="17">
        <f>IF(HistoricalStockProgress[[#This Row],[Total Price of Shares]]&lt;&gt;0,HistoricalStockProgress[[#This Row],[Total Price of Shares]]-HistoricalStockProgress[[#This Row],[Cost of Shares]],0)</f>
        <v>2993.6553724750565</v>
      </c>
      <c r="L1137" s="34" t="b" cm="1">
        <f t="array" ref="L1137">IFERROR(IF(HistoricalStockProgress[[#This Row],[Price of Shares]]="",_xlfn.STOCKHISTORY(HistoricalStockProgress[[#This Row],[Full Company Name]],HistoricalStockProgress[[#This Row],[Date]],,2,0,1)),0)</f>
        <v>0</v>
      </c>
      <c r="M1137" s="34">
        <f>YEAR(HistoricalStockProgress[[#This Row],[Date]])</f>
        <v>2021</v>
      </c>
      <c r="N1137" s="34">
        <f>MONTH(HistoricalStockProgress[[#This Row],[Date]])</f>
        <v>10</v>
      </c>
    </row>
    <row r="1138" spans="2:14">
      <c r="B1138" s="15">
        <v>44500</v>
      </c>
      <c r="C1138" s="34" t="s">
        <v>86</v>
      </c>
      <c r="D1138" s="34" t="e" vm="8">
        <f>_xlfn.XLOOKUP(HistoricalStockProgress[[#This Row],[Company Ticker]],CompanyDetailsList[Company Ticker],CompanyDetailsList[Official Name],,0)</f>
        <v>#VALUE!</v>
      </c>
      <c r="E11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1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138" s="17">
        <f>IFERROR(HistoricalStockProgress[[#This Row],[Cost of Shares]]/HistoricalStockProgress[[#This Row],[No. of Shares]],0)</f>
        <v>92.636161128673535</v>
      </c>
      <c r="H1138" s="16" vm="1657">
        <v>114.67</v>
      </c>
      <c r="I1138" s="16">
        <f>IF(HistoricalStockProgress[[#This Row],[No. of Shares]]&lt;&gt;0,HistoricalStockProgress[[#This Row],[Price of Shares]]*HistoricalStockProgress[[#This Row],[No. of Shares]],0)</f>
        <v>13072.380000000001</v>
      </c>
      <c r="J1138" s="16">
        <f>IF(HistoricalStockProgress[[#This Row],[No. of Shares]]&lt;&gt;0,HistoricalStockProgress[[#This Row],[Price of Shares]]-HistoricalStockProgress[[#This Row],[Cost of Shares]]/HistoricalStockProgress[[#This Row],[No. of Shares]],0)</f>
        <v>22.033838871326466</v>
      </c>
      <c r="K1138" s="17">
        <f>IF(HistoricalStockProgress[[#This Row],[Total Price of Shares]]&lt;&gt;0,HistoricalStockProgress[[#This Row],[Total Price of Shares]]-HistoricalStockProgress[[#This Row],[Cost of Shares]],0)</f>
        <v>2511.8576313312187</v>
      </c>
      <c r="L1138" s="34" t="b" cm="1">
        <f t="array" ref="L1138">IFERROR(IF(HistoricalStockProgress[[#This Row],[Price of Shares]]="",_xlfn.STOCKHISTORY(HistoricalStockProgress[[#This Row],[Full Company Name]],HistoricalStockProgress[[#This Row],[Date]],,2,0,1)),0)</f>
        <v>0</v>
      </c>
      <c r="M1138" s="34">
        <f>YEAR(HistoricalStockProgress[[#This Row],[Date]])</f>
        <v>2021</v>
      </c>
      <c r="N1138" s="34">
        <f>MONTH(HistoricalStockProgress[[#This Row],[Date]])</f>
        <v>10</v>
      </c>
    </row>
    <row r="1139" spans="2:14">
      <c r="B1139" s="15">
        <v>44500</v>
      </c>
      <c r="C1139" s="34" t="s">
        <v>88</v>
      </c>
      <c r="D1139" s="34" t="e" vm="9">
        <f>_xlfn.XLOOKUP(HistoricalStockProgress[[#This Row],[Company Ticker]],CompanyDetailsList[Company Ticker],CompanyDetailsList[Official Name],,0)</f>
        <v>#VALUE!</v>
      </c>
      <c r="E11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1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139" s="17">
        <f>IFERROR(HistoricalStockProgress[[#This Row],[Cost of Shares]]/HistoricalStockProgress[[#This Row],[No. of Shares]],0)</f>
        <v>187.727755253422</v>
      </c>
      <c r="H1139" s="16" vm="1658">
        <v>245.55</v>
      </c>
      <c r="I1139" s="16">
        <f>IF(HistoricalStockProgress[[#This Row],[No. of Shares]]&lt;&gt;0,HistoricalStockProgress[[#This Row],[Price of Shares]]*HistoricalStockProgress[[#This Row],[No. of Shares]],0)</f>
        <v>14487.45</v>
      </c>
      <c r="J1139" s="16">
        <f>IF(HistoricalStockProgress[[#This Row],[No. of Shares]]&lt;&gt;0,HistoricalStockProgress[[#This Row],[Price of Shares]]-HistoricalStockProgress[[#This Row],[Cost of Shares]]/HistoricalStockProgress[[#This Row],[No. of Shares]],0)</f>
        <v>57.822244746578008</v>
      </c>
      <c r="K1139" s="17">
        <f>IF(HistoricalStockProgress[[#This Row],[Total Price of Shares]]&lt;&gt;0,HistoricalStockProgress[[#This Row],[Total Price of Shares]]-HistoricalStockProgress[[#This Row],[Cost of Shares]],0)</f>
        <v>3411.5124400481018</v>
      </c>
      <c r="L1139" s="34" t="b" cm="1">
        <f t="array" ref="L1139">IFERROR(IF(HistoricalStockProgress[[#This Row],[Price of Shares]]="",_xlfn.STOCKHISTORY(HistoricalStockProgress[[#This Row],[Full Company Name]],HistoricalStockProgress[[#This Row],[Date]],,2,0,1)),0)</f>
        <v>0</v>
      </c>
      <c r="M1139" s="34">
        <f>YEAR(HistoricalStockProgress[[#This Row],[Date]])</f>
        <v>2021</v>
      </c>
      <c r="N1139" s="34">
        <f>MONTH(HistoricalStockProgress[[#This Row],[Date]])</f>
        <v>10</v>
      </c>
    </row>
    <row r="1140" spans="2:14">
      <c r="B1140" s="15">
        <v>44500</v>
      </c>
      <c r="C1140" s="34" t="s">
        <v>22</v>
      </c>
      <c r="D1140" s="34" t="e" vm="10">
        <f>_xlfn.XLOOKUP(HistoricalStockProgress[[#This Row],[Company Ticker]],CompanyDetailsList[Company Ticker],CompanyDetailsList[Official Name],,0)</f>
        <v>#VALUE!</v>
      </c>
      <c r="E11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11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13175.976249073738</v>
      </c>
      <c r="G1140" s="17">
        <f>IFERROR(HistoricalStockProgress[[#This Row],[Cost of Shares]]/HistoricalStockProgress[[#This Row],[No. of Shares]],0)</f>
        <v>124.30166272711074</v>
      </c>
      <c r="H1140" s="16" vm="1659">
        <v>204.01</v>
      </c>
      <c r="I1140" s="16">
        <f>IF(HistoricalStockProgress[[#This Row],[No. of Shares]]&lt;&gt;0,HistoricalStockProgress[[#This Row],[Price of Shares]]*HistoricalStockProgress[[#This Row],[No. of Shares]],0)</f>
        <v>21625.059999999998</v>
      </c>
      <c r="J1140" s="16">
        <f>IF(HistoricalStockProgress[[#This Row],[No. of Shares]]&lt;&gt;0,HistoricalStockProgress[[#This Row],[Price of Shares]]-HistoricalStockProgress[[#This Row],[Cost of Shares]]/HistoricalStockProgress[[#This Row],[No. of Shares]],0)</f>
        <v>79.708337272889253</v>
      </c>
      <c r="K1140" s="17">
        <f>IF(HistoricalStockProgress[[#This Row],[Total Price of Shares]]&lt;&gt;0,HistoricalStockProgress[[#This Row],[Total Price of Shares]]-HistoricalStockProgress[[#This Row],[Cost of Shares]],0)</f>
        <v>8449.0837509262601</v>
      </c>
      <c r="L1140" s="34" t="b" cm="1">
        <f t="array" ref="L1140">IFERROR(IF(HistoricalStockProgress[[#This Row],[Price of Shares]]="",_xlfn.STOCKHISTORY(HistoricalStockProgress[[#This Row],[Full Company Name]],HistoricalStockProgress[[#This Row],[Date]],,2,0,1)),0)</f>
        <v>0</v>
      </c>
      <c r="M1140" s="34">
        <f>YEAR(HistoricalStockProgress[[#This Row],[Date]])</f>
        <v>2021</v>
      </c>
      <c r="N1140" s="34">
        <f>MONTH(HistoricalStockProgress[[#This Row],[Date]])</f>
        <v>10</v>
      </c>
    </row>
    <row r="1141" spans="2:14">
      <c r="B1141" s="15">
        <v>44500</v>
      </c>
      <c r="C1141" s="34" t="s">
        <v>91</v>
      </c>
      <c r="D1141" s="34" t="e" vm="11">
        <f>_xlfn.XLOOKUP(HistoricalStockProgress[[#This Row],[Company Ticker]],CompanyDetailsList[Company Ticker],CompanyDetailsList[Official Name],,0)</f>
        <v>#VALUE!</v>
      </c>
      <c r="E11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11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1141" s="17">
        <f>IFERROR(HistoricalStockProgress[[#This Row],[Cost of Shares]]/HistoricalStockProgress[[#This Row],[No. of Shares]],0)</f>
        <v>100.94993172657422</v>
      </c>
      <c r="H1141" s="16" vm="1660">
        <v>331.62</v>
      </c>
      <c r="I1141" s="16">
        <f>IF(HistoricalStockProgress[[#This Row],[No. of Shares]]&lt;&gt;0,HistoricalStockProgress[[#This Row],[Price of Shares]]*HistoricalStockProgress[[#This Row],[No. of Shares]],0)</f>
        <v>48748.14</v>
      </c>
      <c r="J1141" s="16">
        <f>IF(HistoricalStockProgress[[#This Row],[No. of Shares]]&lt;&gt;0,HistoricalStockProgress[[#This Row],[Price of Shares]]-HistoricalStockProgress[[#This Row],[Cost of Shares]]/HistoricalStockProgress[[#This Row],[No. of Shares]],0)</f>
        <v>230.67006827342578</v>
      </c>
      <c r="K1141" s="17">
        <f>IF(HistoricalStockProgress[[#This Row],[Total Price of Shares]]&lt;&gt;0,HistoricalStockProgress[[#This Row],[Total Price of Shares]]-HistoricalStockProgress[[#This Row],[Cost of Shares]],0)</f>
        <v>33908.500036193589</v>
      </c>
      <c r="L1141" s="34" t="b" cm="1">
        <f t="array" ref="L1141">IFERROR(IF(HistoricalStockProgress[[#This Row],[Price of Shares]]="",_xlfn.STOCKHISTORY(HistoricalStockProgress[[#This Row],[Full Company Name]],HistoricalStockProgress[[#This Row],[Date]],,2,0,1)),0)</f>
        <v>0</v>
      </c>
      <c r="M1141" s="34">
        <f>YEAR(HistoricalStockProgress[[#This Row],[Date]])</f>
        <v>2021</v>
      </c>
      <c r="N1141" s="34">
        <f>MONTH(HistoricalStockProgress[[#This Row],[Date]])</f>
        <v>10</v>
      </c>
    </row>
    <row r="1142" spans="2:14">
      <c r="B1142" s="15">
        <v>44500</v>
      </c>
      <c r="C1142" s="34" t="s">
        <v>16</v>
      </c>
      <c r="D1142" s="34" t="e" vm="12">
        <f>_xlfn.XLOOKUP(HistoricalStockProgress[[#This Row],[Company Ticker]],CompanyDetailsList[Company Ticker],CompanyDetailsList[Official Name],,0)</f>
        <v>#VALUE!</v>
      </c>
      <c r="E11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1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142" s="17">
        <f>IFERROR(HistoricalStockProgress[[#This Row],[Cost of Shares]]/HistoricalStockProgress[[#This Row],[No. of Shares]],0)</f>
        <v>75.117698177311837</v>
      </c>
      <c r="H1142" s="16" vm="1661">
        <v>64.47</v>
      </c>
      <c r="I1142" s="16">
        <f>IF(HistoricalStockProgress[[#This Row],[No. of Shares]]&lt;&gt;0,HistoricalStockProgress[[#This Row],[Price of Shares]]*HistoricalStockProgress[[#This Row],[No. of Shares]],0)</f>
        <v>11926.949999999999</v>
      </c>
      <c r="J1142" s="16">
        <f>IF(HistoricalStockProgress[[#This Row],[No. of Shares]]&lt;&gt;0,HistoricalStockProgress[[#This Row],[Price of Shares]]-HistoricalStockProgress[[#This Row],[Cost of Shares]]/HistoricalStockProgress[[#This Row],[No. of Shares]],0)</f>
        <v>-10.647698177311838</v>
      </c>
      <c r="K1142" s="17">
        <f>IF(HistoricalStockProgress[[#This Row],[Total Price of Shares]]&lt;&gt;0,HistoricalStockProgress[[#This Row],[Total Price of Shares]]-HistoricalStockProgress[[#This Row],[Cost of Shares]],0)</f>
        <v>-1969.8241628026899</v>
      </c>
      <c r="L1142" s="34" t="b" cm="1">
        <f t="array" ref="L1142">IFERROR(IF(HistoricalStockProgress[[#This Row],[Price of Shares]]="",_xlfn.STOCKHISTORY(HistoricalStockProgress[[#This Row],[Full Company Name]],HistoricalStockProgress[[#This Row],[Date]],,2,0,1)),0)</f>
        <v>0</v>
      </c>
      <c r="M1142" s="34">
        <f>YEAR(HistoricalStockProgress[[#This Row],[Date]])</f>
        <v>2021</v>
      </c>
      <c r="N1142" s="34">
        <f>MONTH(HistoricalStockProgress[[#This Row],[Date]])</f>
        <v>10</v>
      </c>
    </row>
    <row r="1143" spans="2:14">
      <c r="B1143" s="15">
        <v>44500</v>
      </c>
      <c r="C1143" s="34" t="s">
        <v>95</v>
      </c>
      <c r="D1143" s="34" t="e" vm="13">
        <f>_xlfn.XLOOKUP(HistoricalStockProgress[[#This Row],[Company Ticker]],CompanyDetailsList[Company Ticker],CompanyDetailsList[Official Name],,0)</f>
        <v>#VALUE!</v>
      </c>
      <c r="E11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1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10324.055787336294</v>
      </c>
      <c r="G1143" s="17">
        <f>IFERROR(HistoricalStockProgress[[#This Row],[Cost of Shares]]/HistoricalStockProgress[[#This Row],[No. of Shares]],0)</f>
        <v>184.35813905957667</v>
      </c>
      <c r="H1143" s="16" vm="1662">
        <v>371.74</v>
      </c>
      <c r="I1143" s="16">
        <f>IF(HistoricalStockProgress[[#This Row],[No. of Shares]]&lt;&gt;0,HistoricalStockProgress[[#This Row],[Price of Shares]]*HistoricalStockProgress[[#This Row],[No. of Shares]],0)</f>
        <v>20817.440000000002</v>
      </c>
      <c r="J1143" s="16">
        <f>IF(HistoricalStockProgress[[#This Row],[No. of Shares]]&lt;&gt;0,HistoricalStockProgress[[#This Row],[Price of Shares]]-HistoricalStockProgress[[#This Row],[Cost of Shares]]/HistoricalStockProgress[[#This Row],[No. of Shares]],0)</f>
        <v>187.38186094042334</v>
      </c>
      <c r="K1143" s="17">
        <f>IF(HistoricalStockProgress[[#This Row],[Total Price of Shares]]&lt;&gt;0,HistoricalStockProgress[[#This Row],[Total Price of Shares]]-HistoricalStockProgress[[#This Row],[Cost of Shares]],0)</f>
        <v>10493.384212663708</v>
      </c>
      <c r="L1143" s="34" t="b" cm="1">
        <f t="array" ref="L1143">IFERROR(IF(HistoricalStockProgress[[#This Row],[Price of Shares]]="",_xlfn.STOCKHISTORY(HistoricalStockProgress[[#This Row],[Full Company Name]],HistoricalStockProgress[[#This Row],[Date]],,2,0,1)),0)</f>
        <v>0</v>
      </c>
      <c r="M1143" s="34">
        <f>YEAR(HistoricalStockProgress[[#This Row],[Date]])</f>
        <v>2021</v>
      </c>
      <c r="N1143" s="34">
        <f>MONTH(HistoricalStockProgress[[#This Row],[Date]])</f>
        <v>10</v>
      </c>
    </row>
    <row r="1144" spans="2:14">
      <c r="B1144" s="15">
        <v>44500</v>
      </c>
      <c r="C1144" s="34" t="s">
        <v>17</v>
      </c>
      <c r="D1144" s="34" t="e" vm="14">
        <f>_xlfn.XLOOKUP(HistoricalStockProgress[[#This Row],[Company Ticker]],CompanyDetailsList[Company Ticker],CompanyDetailsList[Official Name],,0)</f>
        <v>#VALUE!</v>
      </c>
      <c r="E11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113</v>
      </c>
      <c r="F11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16195.54422264694</v>
      </c>
      <c r="G1144" s="17">
        <f>IFERROR(HistoricalStockProgress[[#This Row],[Cost of Shares]]/HistoricalStockProgress[[#This Row],[No. of Shares]],0)</f>
        <v>143.32340020041539</v>
      </c>
      <c r="H1144" s="16" vm="1663">
        <v>125.1</v>
      </c>
      <c r="I1144" s="16">
        <f>IF(HistoricalStockProgress[[#This Row],[No. of Shares]]&lt;&gt;0,HistoricalStockProgress[[#This Row],[Price of Shares]]*HistoricalStockProgress[[#This Row],[No. of Shares]],0)</f>
        <v>14136.3</v>
      </c>
      <c r="J1144" s="16">
        <f>IF(HistoricalStockProgress[[#This Row],[No. of Shares]]&lt;&gt;0,HistoricalStockProgress[[#This Row],[Price of Shares]]-HistoricalStockProgress[[#This Row],[Cost of Shares]]/HistoricalStockProgress[[#This Row],[No. of Shares]],0)</f>
        <v>-18.223400200415398</v>
      </c>
      <c r="K1144" s="17">
        <f>IF(HistoricalStockProgress[[#This Row],[Total Price of Shares]]&lt;&gt;0,HistoricalStockProgress[[#This Row],[Total Price of Shares]]-HistoricalStockProgress[[#This Row],[Cost of Shares]],0)</f>
        <v>-2059.2442226469411</v>
      </c>
      <c r="L1144" s="34" t="b" cm="1">
        <f t="array" ref="L1144">IFERROR(IF(HistoricalStockProgress[[#This Row],[Price of Shares]]="",_xlfn.STOCKHISTORY(HistoricalStockProgress[[#This Row],[Full Company Name]],HistoricalStockProgress[[#This Row],[Date]],,2,0,1)),0)</f>
        <v>0</v>
      </c>
      <c r="M1144" s="34">
        <f>YEAR(HistoricalStockProgress[[#This Row],[Date]])</f>
        <v>2021</v>
      </c>
      <c r="N1144" s="34">
        <f>MONTH(HistoricalStockProgress[[#This Row],[Date]])</f>
        <v>10</v>
      </c>
    </row>
    <row r="1145" spans="2:14">
      <c r="B1145" s="15">
        <v>44500</v>
      </c>
      <c r="C1145" s="34" t="s">
        <v>98</v>
      </c>
      <c r="D1145" s="34" t="e" vm="15">
        <f>_xlfn.XLOOKUP(HistoricalStockProgress[[#This Row],[Company Ticker]],CompanyDetailsList[Company Ticker],CompanyDetailsList[Official Name],,0)</f>
        <v>#VALUE!</v>
      </c>
      <c r="E11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108</v>
      </c>
      <c r="F11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5486.2959177385774</v>
      </c>
      <c r="G1145" s="17">
        <f>IFERROR(HistoricalStockProgress[[#This Row],[Cost of Shares]]/HistoricalStockProgress[[#This Row],[No. of Shares]],0)</f>
        <v>50.799036275357196</v>
      </c>
      <c r="H1145" s="16" vm="1664">
        <v>85.33</v>
      </c>
      <c r="I1145" s="16">
        <f>IF(HistoricalStockProgress[[#This Row],[No. of Shares]]&lt;&gt;0,HistoricalStockProgress[[#This Row],[Price of Shares]]*HistoricalStockProgress[[#This Row],[No. of Shares]],0)</f>
        <v>9215.64</v>
      </c>
      <c r="J1145" s="16">
        <f>IF(HistoricalStockProgress[[#This Row],[No. of Shares]]&lt;&gt;0,HistoricalStockProgress[[#This Row],[Price of Shares]]-HistoricalStockProgress[[#This Row],[Cost of Shares]]/HistoricalStockProgress[[#This Row],[No. of Shares]],0)</f>
        <v>34.530963724642803</v>
      </c>
      <c r="K1145" s="17">
        <f>IF(HistoricalStockProgress[[#This Row],[Total Price of Shares]]&lt;&gt;0,HistoricalStockProgress[[#This Row],[Total Price of Shares]]-HistoricalStockProgress[[#This Row],[Cost of Shares]],0)</f>
        <v>3729.344082261422</v>
      </c>
      <c r="L1145" s="34" t="b" cm="1">
        <f t="array" ref="L1145">IFERROR(IF(HistoricalStockProgress[[#This Row],[Price of Shares]]="",_xlfn.STOCKHISTORY(HistoricalStockProgress[[#This Row],[Full Company Name]],HistoricalStockProgress[[#This Row],[Date]],,2,0,1)),0)</f>
        <v>0</v>
      </c>
      <c r="M1145" s="34">
        <f>YEAR(HistoricalStockProgress[[#This Row],[Date]])</f>
        <v>2021</v>
      </c>
      <c r="N1145" s="34">
        <f>MONTH(HistoricalStockProgress[[#This Row],[Date]])</f>
        <v>10</v>
      </c>
    </row>
    <row r="1146" spans="2:14">
      <c r="B1146" s="15">
        <v>44500</v>
      </c>
      <c r="C1146" s="34" t="s">
        <v>100</v>
      </c>
      <c r="D1146" s="34" t="e" vm="16">
        <f>_xlfn.XLOOKUP(HistoricalStockProgress[[#This Row],[Company Ticker]],CompanyDetailsList[Company Ticker],CompanyDetailsList[Official Name],,0)</f>
        <v>#VALUE!</v>
      </c>
      <c r="E11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11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12257.793853370842</v>
      </c>
      <c r="G1146" s="17">
        <f>IFERROR(HistoricalStockProgress[[#This Row],[Cost of Shares]]/HistoricalStockProgress[[#This Row],[No. of Shares]],0)</f>
        <v>87.555670381220295</v>
      </c>
      <c r="H1146" s="16" vm="1665">
        <v>102.01</v>
      </c>
      <c r="I1146" s="16">
        <f>IF(HistoricalStockProgress[[#This Row],[No. of Shares]]&lt;&gt;0,HistoricalStockProgress[[#This Row],[Price of Shares]]*HistoricalStockProgress[[#This Row],[No. of Shares]],0)</f>
        <v>14281.400000000001</v>
      </c>
      <c r="J1146" s="16">
        <f>IF(HistoricalStockProgress[[#This Row],[No. of Shares]]&lt;&gt;0,HistoricalStockProgress[[#This Row],[Price of Shares]]-HistoricalStockProgress[[#This Row],[Cost of Shares]]/HistoricalStockProgress[[#This Row],[No. of Shares]],0)</f>
        <v>14.45432961877971</v>
      </c>
      <c r="K1146" s="17">
        <f>IF(HistoricalStockProgress[[#This Row],[Total Price of Shares]]&lt;&gt;0,HistoricalStockProgress[[#This Row],[Total Price of Shares]]-HistoricalStockProgress[[#This Row],[Cost of Shares]],0)</f>
        <v>2023.6061466291594</v>
      </c>
      <c r="L1146" s="34" t="b" cm="1">
        <f t="array" ref="L1146">IFERROR(IF(HistoricalStockProgress[[#This Row],[Price of Shares]]="",_xlfn.STOCKHISTORY(HistoricalStockProgress[[#This Row],[Full Company Name]],HistoricalStockProgress[[#This Row],[Date]],,2,0,1)),0)</f>
        <v>0</v>
      </c>
      <c r="M1146" s="34">
        <f>YEAR(HistoricalStockProgress[[#This Row],[Date]])</f>
        <v>2021</v>
      </c>
      <c r="N1146" s="34">
        <f>MONTH(HistoricalStockProgress[[#This Row],[Date]])</f>
        <v>10</v>
      </c>
    </row>
    <row r="1147" spans="2:14">
      <c r="B1147" s="15">
        <v>44500</v>
      </c>
      <c r="C1147" s="34" t="s">
        <v>15</v>
      </c>
      <c r="D1147" s="34" t="e" vm="17">
        <f>_xlfn.XLOOKUP(HistoricalStockProgress[[#This Row],[Company Ticker]],CompanyDetailsList[Company Ticker],CompanyDetailsList[Official Name],,0)</f>
        <v>#VALUE!</v>
      </c>
      <c r="E11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1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147" s="17">
        <f>IFERROR(HistoricalStockProgress[[#This Row],[Cost of Shares]]/HistoricalStockProgress[[#This Row],[No. of Shares]],0)</f>
        <v>26.081956457072195</v>
      </c>
      <c r="H1147" s="16" vm="1666">
        <v>19.075800000000001</v>
      </c>
      <c r="I1147" s="16">
        <f>IF(HistoricalStockProgress[[#This Row],[No. of Shares]]&lt;&gt;0,HistoricalStockProgress[[#This Row],[Price of Shares]]*HistoricalStockProgress[[#This Row],[No. of Shares]],0)</f>
        <v>2365.3992000000003</v>
      </c>
      <c r="J1147" s="16">
        <f>IF(HistoricalStockProgress[[#This Row],[No. of Shares]]&lt;&gt;0,HistoricalStockProgress[[#This Row],[Price of Shares]]-HistoricalStockProgress[[#This Row],[Cost of Shares]]/HistoricalStockProgress[[#This Row],[No. of Shares]],0)</f>
        <v>-7.0061564570721941</v>
      </c>
      <c r="K1147" s="17">
        <f>IF(HistoricalStockProgress[[#This Row],[Total Price of Shares]]&lt;&gt;0,HistoricalStockProgress[[#This Row],[Total Price of Shares]]-HistoricalStockProgress[[#This Row],[Cost of Shares]],0)</f>
        <v>-868.76340067695173</v>
      </c>
      <c r="L1147" s="34" t="b" cm="1">
        <f t="array" ref="L1147">IFERROR(IF(HistoricalStockProgress[[#This Row],[Price of Shares]]="",_xlfn.STOCKHISTORY(HistoricalStockProgress[[#This Row],[Full Company Name]],HistoricalStockProgress[[#This Row],[Date]],,2,0,1)),0)</f>
        <v>0</v>
      </c>
      <c r="M1147" s="34">
        <f>YEAR(HistoricalStockProgress[[#This Row],[Date]])</f>
        <v>2021</v>
      </c>
      <c r="N1147" s="34">
        <f>MONTH(HistoricalStockProgress[[#This Row],[Date]])</f>
        <v>10</v>
      </c>
    </row>
    <row r="1148" spans="2:14">
      <c r="B1148" s="15">
        <v>44500</v>
      </c>
      <c r="C1148" s="34" t="s">
        <v>13</v>
      </c>
      <c r="D1148" s="34" t="e" vm="18">
        <f>_xlfn.XLOOKUP(HistoricalStockProgress[[#This Row],[Company Ticker]],CompanyDetailsList[Company Ticker],CompanyDetailsList[Official Name],,0)</f>
        <v>#VALUE!</v>
      </c>
      <c r="E11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1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148" s="17">
        <f>IFERROR(HistoricalStockProgress[[#This Row],[Cost of Shares]]/HistoricalStockProgress[[#This Row],[No. of Shares]],0)</f>
        <v>35.846938938346874</v>
      </c>
      <c r="H1148" s="16" vm="1667">
        <v>43.74</v>
      </c>
      <c r="I1148" s="16">
        <f>IF(HistoricalStockProgress[[#This Row],[No. of Shares]]&lt;&gt;0,HistoricalStockProgress[[#This Row],[Price of Shares]]*HistoricalStockProgress[[#This Row],[No. of Shares]],0)</f>
        <v>2405.7000000000003</v>
      </c>
      <c r="J1148" s="16">
        <f>IF(HistoricalStockProgress[[#This Row],[No. of Shares]]&lt;&gt;0,HistoricalStockProgress[[#This Row],[Price of Shares]]-HistoricalStockProgress[[#This Row],[Cost of Shares]]/HistoricalStockProgress[[#This Row],[No. of Shares]],0)</f>
        <v>7.8930610616531283</v>
      </c>
      <c r="K1148" s="17">
        <f>IF(HistoricalStockProgress[[#This Row],[Total Price of Shares]]&lt;&gt;0,HistoricalStockProgress[[#This Row],[Total Price of Shares]]-HistoricalStockProgress[[#This Row],[Cost of Shares]],0)</f>
        <v>434.11835839092214</v>
      </c>
      <c r="L1148" s="34" t="b" cm="1">
        <f t="array" ref="L1148">IFERROR(IF(HistoricalStockProgress[[#This Row],[Price of Shares]]="",_xlfn.STOCKHISTORY(HistoricalStockProgress[[#This Row],[Full Company Name]],HistoricalStockProgress[[#This Row],[Date]],,2,0,1)),0)</f>
        <v>0</v>
      </c>
      <c r="M1148" s="34">
        <f>YEAR(HistoricalStockProgress[[#This Row],[Date]])</f>
        <v>2021</v>
      </c>
      <c r="N1148" s="34">
        <f>MONTH(HistoricalStockProgress[[#This Row],[Date]])</f>
        <v>10</v>
      </c>
    </row>
    <row r="1149" spans="2:14">
      <c r="B1149" s="15">
        <v>44500</v>
      </c>
      <c r="C1149" s="34" t="s">
        <v>20</v>
      </c>
      <c r="D1149" s="34" t="e" vm="19">
        <f>_xlfn.XLOOKUP(HistoricalStockProgress[[#This Row],[Company Ticker]],CompanyDetailsList[Company Ticker],CompanyDetailsList[Official Name],,0)</f>
        <v>#VALUE!</v>
      </c>
      <c r="E11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93</v>
      </c>
      <c r="F11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9585.7274858109122</v>
      </c>
      <c r="G1149" s="17">
        <f>IFERROR(HistoricalStockProgress[[#This Row],[Cost of Shares]]/HistoricalStockProgress[[#This Row],[No. of Shares]],0)</f>
        <v>103.07233855710658</v>
      </c>
      <c r="H1149" s="16" vm="1668">
        <v>169.89</v>
      </c>
      <c r="I1149" s="16">
        <f>IF(HistoricalStockProgress[[#This Row],[No. of Shares]]&lt;&gt;0,HistoricalStockProgress[[#This Row],[Price of Shares]]*HistoricalStockProgress[[#This Row],[No. of Shares]],0)</f>
        <v>15799.769999999999</v>
      </c>
      <c r="J1149" s="16">
        <f>IF(HistoricalStockProgress[[#This Row],[No. of Shares]]&lt;&gt;0,HistoricalStockProgress[[#This Row],[Price of Shares]]-HistoricalStockProgress[[#This Row],[Cost of Shares]]/HistoricalStockProgress[[#This Row],[No. of Shares]],0)</f>
        <v>66.81766144289341</v>
      </c>
      <c r="K1149" s="17">
        <f>IF(HistoricalStockProgress[[#This Row],[Total Price of Shares]]&lt;&gt;0,HistoricalStockProgress[[#This Row],[Total Price of Shares]]-HistoricalStockProgress[[#This Row],[Cost of Shares]],0)</f>
        <v>6214.0425141890864</v>
      </c>
      <c r="L1149" s="34" t="b" cm="1">
        <f t="array" ref="L1149">IFERROR(IF(HistoricalStockProgress[[#This Row],[Price of Shares]]="",_xlfn.STOCKHISTORY(HistoricalStockProgress[[#This Row],[Full Company Name]],HistoricalStockProgress[[#This Row],[Date]],,2,0,1)),0)</f>
        <v>0</v>
      </c>
      <c r="M1149" s="34">
        <f>YEAR(HistoricalStockProgress[[#This Row],[Date]])</f>
        <v>2021</v>
      </c>
      <c r="N1149" s="34">
        <f>MONTH(HistoricalStockProgress[[#This Row],[Date]])</f>
        <v>10</v>
      </c>
    </row>
    <row r="1150" spans="2:14">
      <c r="B1150" s="15">
        <v>44500</v>
      </c>
      <c r="C1150" s="34" t="s">
        <v>106</v>
      </c>
      <c r="D1150" s="34" t="e" vm="20">
        <f>_xlfn.XLOOKUP(HistoricalStockProgress[[#This Row],[Company Ticker]],CompanyDetailsList[Company Ticker],CompanyDetailsList[Official Name],,0)</f>
        <v>#VALUE!</v>
      </c>
      <c r="E11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1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150" s="17">
        <f>IFERROR(HistoricalStockProgress[[#This Row],[Cost of Shares]]/HistoricalStockProgress[[#This Row],[No. of Shares]],0)</f>
        <v>108.54870748680406</v>
      </c>
      <c r="H1150" s="16" vm="1669">
        <v>160.57</v>
      </c>
      <c r="I1150" s="16">
        <f>IF(HistoricalStockProgress[[#This Row],[No. of Shares]]&lt;&gt;0,HistoricalStockProgress[[#This Row],[Price of Shares]]*HistoricalStockProgress[[#This Row],[No. of Shares]],0)</f>
        <v>14130.16</v>
      </c>
      <c r="J1150" s="16">
        <f>IF(HistoricalStockProgress[[#This Row],[No. of Shares]]&lt;&gt;0,HistoricalStockProgress[[#This Row],[Price of Shares]]-HistoricalStockProgress[[#This Row],[Cost of Shares]]/HistoricalStockProgress[[#This Row],[No. of Shares]],0)</f>
        <v>52.021292513195931</v>
      </c>
      <c r="K1150" s="17">
        <f>IF(HistoricalStockProgress[[#This Row],[Total Price of Shares]]&lt;&gt;0,HistoricalStockProgress[[#This Row],[Total Price of Shares]]-HistoricalStockProgress[[#This Row],[Cost of Shares]],0)</f>
        <v>4577.8737411612419</v>
      </c>
      <c r="L1150" s="34" t="b" cm="1">
        <f t="array" ref="L1150">IFERROR(IF(HistoricalStockProgress[[#This Row],[Price of Shares]]="",_xlfn.STOCKHISTORY(HistoricalStockProgress[[#This Row],[Full Company Name]],HistoricalStockProgress[[#This Row],[Date]],,2,0,1)),0)</f>
        <v>0</v>
      </c>
      <c r="M1150" s="34">
        <f>YEAR(HistoricalStockProgress[[#This Row],[Date]])</f>
        <v>2021</v>
      </c>
      <c r="N1150" s="34">
        <f>MONTH(HistoricalStockProgress[[#This Row],[Date]])</f>
        <v>10</v>
      </c>
    </row>
    <row r="1151" spans="2:14">
      <c r="B1151" s="15">
        <v>44530</v>
      </c>
      <c r="C1151" s="34" t="s">
        <v>12</v>
      </c>
      <c r="D1151" s="34" t="e" vm="1">
        <f>_xlfn.XLOOKUP(HistoricalStockProgress[[#This Row],[Company Ticker]],CompanyDetailsList[Company Ticker],CompanyDetailsList[Official Name],,0)</f>
        <v>#VALUE!</v>
      </c>
      <c r="E11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11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1151" s="17">
        <f>IFERROR(HistoricalStockProgress[[#This Row],[Cost of Shares]]/HistoricalStockProgress[[#This Row],[No. of Shares]],0)</f>
        <v>63.845182519411239</v>
      </c>
      <c r="H1151" s="16" vm="1670">
        <v>67.92</v>
      </c>
      <c r="I1151" s="16">
        <f>IF(HistoricalStockProgress[[#This Row],[No. of Shares]]&lt;&gt;0,HistoricalStockProgress[[#This Row],[Price of Shares]]*HistoricalStockProgress[[#This Row],[No. of Shares]],0)</f>
        <v>4346.88</v>
      </c>
      <c r="J1151" s="16">
        <f>IF(HistoricalStockProgress[[#This Row],[No. of Shares]]&lt;&gt;0,HistoricalStockProgress[[#This Row],[Price of Shares]]-HistoricalStockProgress[[#This Row],[Cost of Shares]]/HistoricalStockProgress[[#This Row],[No. of Shares]],0)</f>
        <v>4.0748174805887629</v>
      </c>
      <c r="K1151" s="17">
        <f>IF(HistoricalStockProgress[[#This Row],[Total Price of Shares]]&lt;&gt;0,HistoricalStockProgress[[#This Row],[Total Price of Shares]]-HistoricalStockProgress[[#This Row],[Cost of Shares]],0)</f>
        <v>260.78831875768083</v>
      </c>
      <c r="L1151" s="34" t="b" cm="1">
        <f t="array" ref="L1151">IFERROR(IF(HistoricalStockProgress[[#This Row],[Price of Shares]]="",_xlfn.STOCKHISTORY(HistoricalStockProgress[[#This Row],[Full Company Name]],HistoricalStockProgress[[#This Row],[Date]],,2,0,1)),0)</f>
        <v>0</v>
      </c>
      <c r="M1151" s="34">
        <f>YEAR(HistoricalStockProgress[[#This Row],[Date]])</f>
        <v>2021</v>
      </c>
      <c r="N1151" s="34">
        <f>MONTH(HistoricalStockProgress[[#This Row],[Date]])</f>
        <v>11</v>
      </c>
    </row>
    <row r="1152" spans="2:14">
      <c r="B1152" s="15">
        <v>44530</v>
      </c>
      <c r="C1152" s="34" t="s">
        <v>14</v>
      </c>
      <c r="D1152" s="34" t="e" vm="2">
        <f>_xlfn.XLOOKUP(HistoricalStockProgress[[#This Row],[Company Ticker]],CompanyDetailsList[Company Ticker],CompanyDetailsList[Official Name],,0)</f>
        <v>#VALUE!</v>
      </c>
      <c r="E11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1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152" s="17">
        <f>IFERROR(HistoricalStockProgress[[#This Row],[Cost of Shares]]/HistoricalStockProgress[[#This Row],[No. of Shares]],0)</f>
        <v>31.580112511620161</v>
      </c>
      <c r="H1152" s="16" vm="1671">
        <v>37.32</v>
      </c>
      <c r="I1152" s="16">
        <f>IF(HistoricalStockProgress[[#This Row],[No. of Shares]]&lt;&gt;0,HistoricalStockProgress[[#This Row],[Price of Shares]]*HistoricalStockProgress[[#This Row],[No. of Shares]],0)</f>
        <v>1044.96</v>
      </c>
      <c r="J1152" s="16">
        <f>IF(HistoricalStockProgress[[#This Row],[No. of Shares]]&lt;&gt;0,HistoricalStockProgress[[#This Row],[Price of Shares]]-HistoricalStockProgress[[#This Row],[Cost of Shares]]/HistoricalStockProgress[[#This Row],[No. of Shares]],0)</f>
        <v>5.7398874883798392</v>
      </c>
      <c r="K1152" s="17">
        <f>IF(HistoricalStockProgress[[#This Row],[Total Price of Shares]]&lt;&gt;0,HistoricalStockProgress[[#This Row],[Total Price of Shares]]-HistoricalStockProgress[[#This Row],[Cost of Shares]],0)</f>
        <v>160.71684967463557</v>
      </c>
      <c r="L1152" s="34" t="b" cm="1">
        <f t="array" ref="L1152">IFERROR(IF(HistoricalStockProgress[[#This Row],[Price of Shares]]="",_xlfn.STOCKHISTORY(HistoricalStockProgress[[#This Row],[Full Company Name]],HistoricalStockProgress[[#This Row],[Date]],,2,0,1)),0)</f>
        <v>0</v>
      </c>
      <c r="M1152" s="34">
        <f>YEAR(HistoricalStockProgress[[#This Row],[Date]])</f>
        <v>2021</v>
      </c>
      <c r="N1152" s="34">
        <f>MONTH(HistoricalStockProgress[[#This Row],[Date]])</f>
        <v>11</v>
      </c>
    </row>
    <row r="1153" spans="2:14">
      <c r="B1153" s="15">
        <v>44530</v>
      </c>
      <c r="C1153" s="34" t="s">
        <v>19</v>
      </c>
      <c r="D1153" s="34" t="e" vm="3">
        <f>_xlfn.XLOOKUP(HistoricalStockProgress[[#This Row],[Company Ticker]],CompanyDetailsList[Company Ticker],CompanyDetailsList[Official Name],,0)</f>
        <v>#VALUE!</v>
      </c>
      <c r="E11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1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153" s="17">
        <f>IFERROR(HistoricalStockProgress[[#This Row],[Cost of Shares]]/HistoricalStockProgress[[#This Row],[No. of Shares]],0)</f>
        <v>158.45739987816083</v>
      </c>
      <c r="H1153" s="16" vm="1672">
        <v>162.85</v>
      </c>
      <c r="I1153" s="16">
        <f>IF(HistoricalStockProgress[[#This Row],[No. of Shares]]&lt;&gt;0,HistoricalStockProgress[[#This Row],[Price of Shares]]*HistoricalStockProgress[[#This Row],[No. of Shares]],0)</f>
        <v>9282.4499999999989</v>
      </c>
      <c r="J1153" s="16">
        <f>IF(HistoricalStockProgress[[#This Row],[No. of Shares]]&lt;&gt;0,HistoricalStockProgress[[#This Row],[Price of Shares]]-HistoricalStockProgress[[#This Row],[Cost of Shares]]/HistoricalStockProgress[[#This Row],[No. of Shares]],0)</f>
        <v>4.3926001218391661</v>
      </c>
      <c r="K1153" s="17">
        <f>IF(HistoricalStockProgress[[#This Row],[Total Price of Shares]]&lt;&gt;0,HistoricalStockProgress[[#This Row],[Total Price of Shares]]-HistoricalStockProgress[[#This Row],[Cost of Shares]],0)</f>
        <v>250.37820694483162</v>
      </c>
      <c r="L1153" s="34" t="b" cm="1">
        <f t="array" ref="L1153">IFERROR(IF(HistoricalStockProgress[[#This Row],[Price of Shares]]="",_xlfn.STOCKHISTORY(HistoricalStockProgress[[#This Row],[Full Company Name]],HistoricalStockProgress[[#This Row],[Date]],,2,0,1)),0)</f>
        <v>0</v>
      </c>
      <c r="M1153" s="34">
        <f>YEAR(HistoricalStockProgress[[#This Row],[Date]])</f>
        <v>2021</v>
      </c>
      <c r="N1153" s="34">
        <f>MONTH(HistoricalStockProgress[[#This Row],[Date]])</f>
        <v>11</v>
      </c>
    </row>
    <row r="1154" spans="2:14">
      <c r="B1154" s="15">
        <v>44530</v>
      </c>
      <c r="C1154" s="34" t="s">
        <v>23</v>
      </c>
      <c r="D1154" s="34" t="e" vm="4">
        <f>_xlfn.XLOOKUP(HistoricalStockProgress[[#This Row],[Company Ticker]],CompanyDetailsList[Company Ticker],CompanyDetailsList[Official Name],,0)</f>
        <v>#VALUE!</v>
      </c>
      <c r="E11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80</v>
      </c>
      <c r="F11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3888.0556776173789</v>
      </c>
      <c r="G1154" s="17">
        <f>IFERROR(HistoricalStockProgress[[#This Row],[Cost of Shares]]/HistoricalStockProgress[[#This Row],[No. of Shares]],0)</f>
        <v>48.600695970217238</v>
      </c>
      <c r="H1154" s="16" vm="1673">
        <v>52.45</v>
      </c>
      <c r="I1154" s="16">
        <f>IF(HistoricalStockProgress[[#This Row],[No. of Shares]]&lt;&gt;0,HistoricalStockProgress[[#This Row],[Price of Shares]]*HistoricalStockProgress[[#This Row],[No. of Shares]],0)</f>
        <v>4196</v>
      </c>
      <c r="J1154" s="16">
        <f>IF(HistoricalStockProgress[[#This Row],[No. of Shares]]&lt;&gt;0,HistoricalStockProgress[[#This Row],[Price of Shares]]-HistoricalStockProgress[[#This Row],[Cost of Shares]]/HistoricalStockProgress[[#This Row],[No. of Shares]],0)</f>
        <v>3.8493040297827648</v>
      </c>
      <c r="K1154" s="17">
        <f>IF(HistoricalStockProgress[[#This Row],[Total Price of Shares]]&lt;&gt;0,HistoricalStockProgress[[#This Row],[Total Price of Shares]]-HistoricalStockProgress[[#This Row],[Cost of Shares]],0)</f>
        <v>307.94432238262107</v>
      </c>
      <c r="L1154" s="34" t="b" cm="1">
        <f t="array" ref="L1154">IFERROR(IF(HistoricalStockProgress[[#This Row],[Price of Shares]]="",_xlfn.STOCKHISTORY(HistoricalStockProgress[[#This Row],[Full Company Name]],HistoricalStockProgress[[#This Row],[Date]],,2,0,1)),0)</f>
        <v>0</v>
      </c>
      <c r="M1154" s="34">
        <f>YEAR(HistoricalStockProgress[[#This Row],[Date]])</f>
        <v>2021</v>
      </c>
      <c r="N1154" s="34">
        <f>MONTH(HistoricalStockProgress[[#This Row],[Date]])</f>
        <v>11</v>
      </c>
    </row>
    <row r="1155" spans="2:14">
      <c r="B1155" s="15">
        <v>44530</v>
      </c>
      <c r="C1155" s="34" t="s">
        <v>18</v>
      </c>
      <c r="D1155" s="34" t="e" vm="5">
        <f>_xlfn.XLOOKUP(HistoricalStockProgress[[#This Row],[Company Ticker]],CompanyDetailsList[Company Ticker],CompanyDetailsList[Official Name],,0)</f>
        <v>#VALUE!</v>
      </c>
      <c r="E11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v>
      </c>
      <c r="F11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1322.059549224459</v>
      </c>
      <c r="G1155" s="17">
        <f>IFERROR(HistoricalStockProgress[[#This Row],[Cost of Shares]]/HistoricalStockProgress[[#This Row],[No. of Shares]],0)</f>
        <v>132.2059549224459</v>
      </c>
      <c r="H1155" s="16" vm="1674">
        <v>159.78</v>
      </c>
      <c r="I1155" s="16">
        <f>IF(HistoricalStockProgress[[#This Row],[No. of Shares]]&lt;&gt;0,HistoricalStockProgress[[#This Row],[Price of Shares]]*HistoricalStockProgress[[#This Row],[No. of Shares]],0)</f>
        <v>1597.8</v>
      </c>
      <c r="J1155" s="16">
        <f>IF(HistoricalStockProgress[[#This Row],[No. of Shares]]&lt;&gt;0,HistoricalStockProgress[[#This Row],[Price of Shares]]-HistoricalStockProgress[[#This Row],[Cost of Shares]]/HistoricalStockProgress[[#This Row],[No. of Shares]],0)</f>
        <v>27.574045077554104</v>
      </c>
      <c r="K1155" s="17">
        <f>IF(HistoricalStockProgress[[#This Row],[Total Price of Shares]]&lt;&gt;0,HistoricalStockProgress[[#This Row],[Total Price of Shares]]-HistoricalStockProgress[[#This Row],[Cost of Shares]],0)</f>
        <v>275.74045077554092</v>
      </c>
      <c r="L1155" s="34" t="b" cm="1">
        <f t="array" ref="L1155">IFERROR(IF(HistoricalStockProgress[[#This Row],[Price of Shares]]="",_xlfn.STOCKHISTORY(HistoricalStockProgress[[#This Row],[Full Company Name]],HistoricalStockProgress[[#This Row],[Date]],,2,0,1)),0)</f>
        <v>0</v>
      </c>
      <c r="M1155" s="34">
        <f>YEAR(HistoricalStockProgress[[#This Row],[Date]])</f>
        <v>2021</v>
      </c>
      <c r="N1155" s="34">
        <f>MONTH(HistoricalStockProgress[[#This Row],[Date]])</f>
        <v>11</v>
      </c>
    </row>
    <row r="1156" spans="2:14">
      <c r="B1156" s="15">
        <v>44530</v>
      </c>
      <c r="C1156" s="34" t="s">
        <v>21</v>
      </c>
      <c r="D1156" s="34" t="e" vm="6">
        <f>_xlfn.XLOOKUP(HistoricalStockProgress[[#This Row],[Company Ticker]],CompanyDetailsList[Company Ticker],CompanyDetailsList[Official Name],,0)</f>
        <v>#VALUE!</v>
      </c>
      <c r="E11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1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3654.8914204824332</v>
      </c>
      <c r="G1156" s="17">
        <f>IFERROR(HistoricalStockProgress[[#This Row],[Cost of Shares]]/HistoricalStockProgress[[#This Row],[No. of Shares]],0)</f>
        <v>130.53183644580119</v>
      </c>
      <c r="H1156" s="16" vm="1675">
        <v>144.58000000000001</v>
      </c>
      <c r="I1156" s="16">
        <f>IF(HistoricalStockProgress[[#This Row],[No. of Shares]]&lt;&gt;0,HistoricalStockProgress[[#This Row],[Price of Shares]]*HistoricalStockProgress[[#This Row],[No. of Shares]],0)</f>
        <v>4048.2400000000002</v>
      </c>
      <c r="J1156" s="16">
        <f>IF(HistoricalStockProgress[[#This Row],[No. of Shares]]&lt;&gt;0,HistoricalStockProgress[[#This Row],[Price of Shares]]-HistoricalStockProgress[[#This Row],[Cost of Shares]]/HistoricalStockProgress[[#This Row],[No. of Shares]],0)</f>
        <v>14.048163554198823</v>
      </c>
      <c r="K1156" s="17">
        <f>IF(HistoricalStockProgress[[#This Row],[Total Price of Shares]]&lt;&gt;0,HistoricalStockProgress[[#This Row],[Total Price of Shares]]-HistoricalStockProgress[[#This Row],[Cost of Shares]],0)</f>
        <v>393.34857951756703</v>
      </c>
      <c r="L1156" s="34" t="b" cm="1">
        <f t="array" ref="L1156">IFERROR(IF(HistoricalStockProgress[[#This Row],[Price of Shares]]="",_xlfn.STOCKHISTORY(HistoricalStockProgress[[#This Row],[Full Company Name]],HistoricalStockProgress[[#This Row],[Date]],,2,0,1)),0)</f>
        <v>0</v>
      </c>
      <c r="M1156" s="34">
        <f>YEAR(HistoricalStockProgress[[#This Row],[Date]])</f>
        <v>2021</v>
      </c>
      <c r="N1156" s="34">
        <f>MONTH(HistoricalStockProgress[[#This Row],[Date]])</f>
        <v>11</v>
      </c>
    </row>
    <row r="1157" spans="2:14">
      <c r="B1157" s="15">
        <v>44530</v>
      </c>
      <c r="C1157" s="34" t="s">
        <v>84</v>
      </c>
      <c r="D1157" s="34" t="e" vm="7">
        <f>_xlfn.XLOOKUP(HistoricalStockProgress[[#This Row],[Company Ticker]],CompanyDetailsList[Company Ticker],CompanyDetailsList[Official Name],,0)</f>
        <v>#VALUE!</v>
      </c>
      <c r="E11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1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157" s="17">
        <f>IFERROR(HistoricalStockProgress[[#This Row],[Cost of Shares]]/HistoricalStockProgress[[#This Row],[No. of Shares]],0)</f>
        <v>104.18087504950869</v>
      </c>
      <c r="H1157" s="16" vm="1676">
        <v>155.93</v>
      </c>
      <c r="I1157" s="16">
        <f>IF(HistoricalStockProgress[[#This Row],[No. of Shares]]&lt;&gt;0,HistoricalStockProgress[[#This Row],[Price of Shares]]*HistoricalStockProgress[[#This Row],[No. of Shares]],0)</f>
        <v>7952.43</v>
      </c>
      <c r="J1157" s="16">
        <f>IF(HistoricalStockProgress[[#This Row],[No. of Shares]]&lt;&gt;0,HistoricalStockProgress[[#This Row],[Price of Shares]]-HistoricalStockProgress[[#This Row],[Cost of Shares]]/HistoricalStockProgress[[#This Row],[No. of Shares]],0)</f>
        <v>51.749124950491321</v>
      </c>
      <c r="K1157" s="17">
        <f>IF(HistoricalStockProgress[[#This Row],[Total Price of Shares]]&lt;&gt;0,HistoricalStockProgress[[#This Row],[Total Price of Shares]]-HistoricalStockProgress[[#This Row],[Cost of Shares]],0)</f>
        <v>2639.2053724750576</v>
      </c>
      <c r="L1157" s="34" t="b" cm="1">
        <f t="array" ref="L1157">IFERROR(IF(HistoricalStockProgress[[#This Row],[Price of Shares]]="",_xlfn.STOCKHISTORY(HistoricalStockProgress[[#This Row],[Full Company Name]],HistoricalStockProgress[[#This Row],[Date]],,2,0,1)),0)</f>
        <v>0</v>
      </c>
      <c r="M1157" s="34">
        <f>YEAR(HistoricalStockProgress[[#This Row],[Date]])</f>
        <v>2021</v>
      </c>
      <c r="N1157" s="34">
        <f>MONTH(HistoricalStockProgress[[#This Row],[Date]])</f>
        <v>11</v>
      </c>
    </row>
    <row r="1158" spans="2:14">
      <c r="B1158" s="15">
        <v>44530</v>
      </c>
      <c r="C1158" s="34" t="s">
        <v>86</v>
      </c>
      <c r="D1158" s="34" t="e" vm="8">
        <f>_xlfn.XLOOKUP(HistoricalStockProgress[[#This Row],[Company Ticker]],CompanyDetailsList[Company Ticker],CompanyDetailsList[Official Name],,0)</f>
        <v>#VALUE!</v>
      </c>
      <c r="E11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1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158" s="17">
        <f>IFERROR(HistoricalStockProgress[[#This Row],[Cost of Shares]]/HistoricalStockProgress[[#This Row],[No. of Shares]],0)</f>
        <v>92.636161128673535</v>
      </c>
      <c r="H1158" s="16" vm="1677">
        <v>115.28</v>
      </c>
      <c r="I1158" s="16">
        <f>IF(HistoricalStockProgress[[#This Row],[No. of Shares]]&lt;&gt;0,HistoricalStockProgress[[#This Row],[Price of Shares]]*HistoricalStockProgress[[#This Row],[No. of Shares]],0)</f>
        <v>13141.92</v>
      </c>
      <c r="J1158" s="16">
        <f>IF(HistoricalStockProgress[[#This Row],[No. of Shares]]&lt;&gt;0,HistoricalStockProgress[[#This Row],[Price of Shares]]-HistoricalStockProgress[[#This Row],[Cost of Shares]]/HistoricalStockProgress[[#This Row],[No. of Shares]],0)</f>
        <v>22.643838871326466</v>
      </c>
      <c r="K1158" s="17">
        <f>IF(HistoricalStockProgress[[#This Row],[Total Price of Shares]]&lt;&gt;0,HistoricalStockProgress[[#This Row],[Total Price of Shares]]-HistoricalStockProgress[[#This Row],[Cost of Shares]],0)</f>
        <v>2581.3976313312178</v>
      </c>
      <c r="L1158" s="34" t="b" cm="1">
        <f t="array" ref="L1158">IFERROR(IF(HistoricalStockProgress[[#This Row],[Price of Shares]]="",_xlfn.STOCKHISTORY(HistoricalStockProgress[[#This Row],[Full Company Name]],HistoricalStockProgress[[#This Row],[Date]],,2,0,1)),0)</f>
        <v>0</v>
      </c>
      <c r="M1158" s="34">
        <f>YEAR(HistoricalStockProgress[[#This Row],[Date]])</f>
        <v>2021</v>
      </c>
      <c r="N1158" s="34">
        <f>MONTH(HistoricalStockProgress[[#This Row],[Date]])</f>
        <v>11</v>
      </c>
    </row>
    <row r="1159" spans="2:14">
      <c r="B1159" s="15">
        <v>44530</v>
      </c>
      <c r="C1159" s="34" t="s">
        <v>88</v>
      </c>
      <c r="D1159" s="34" t="e" vm="9">
        <f>_xlfn.XLOOKUP(HistoricalStockProgress[[#This Row],[Company Ticker]],CompanyDetailsList[Company Ticker],CompanyDetailsList[Official Name],,0)</f>
        <v>#VALUE!</v>
      </c>
      <c r="E11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1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159" s="17">
        <f>IFERROR(HistoricalStockProgress[[#This Row],[Cost of Shares]]/HistoricalStockProgress[[#This Row],[No. of Shares]],0)</f>
        <v>187.727755253422</v>
      </c>
      <c r="H1159" s="16" vm="1678">
        <v>244.6</v>
      </c>
      <c r="I1159" s="16">
        <f>IF(HistoricalStockProgress[[#This Row],[No. of Shares]]&lt;&gt;0,HistoricalStockProgress[[#This Row],[Price of Shares]]*HistoricalStockProgress[[#This Row],[No. of Shares]],0)</f>
        <v>14431.4</v>
      </c>
      <c r="J1159" s="16">
        <f>IF(HistoricalStockProgress[[#This Row],[No. of Shares]]&lt;&gt;0,HistoricalStockProgress[[#This Row],[Price of Shares]]-HistoricalStockProgress[[#This Row],[Cost of Shares]]/HistoricalStockProgress[[#This Row],[No. of Shares]],0)</f>
        <v>56.872244746577991</v>
      </c>
      <c r="K1159" s="17">
        <f>IF(HistoricalStockProgress[[#This Row],[Total Price of Shares]]&lt;&gt;0,HistoricalStockProgress[[#This Row],[Total Price of Shares]]-HistoricalStockProgress[[#This Row],[Cost of Shares]],0)</f>
        <v>3355.4624400481007</v>
      </c>
      <c r="L1159" s="34" t="b" cm="1">
        <f t="array" ref="L1159">IFERROR(IF(HistoricalStockProgress[[#This Row],[Price of Shares]]="",_xlfn.STOCKHISTORY(HistoricalStockProgress[[#This Row],[Full Company Name]],HistoricalStockProgress[[#This Row],[Date]],,2,0,1)),0)</f>
        <v>0</v>
      </c>
      <c r="M1159" s="34">
        <f>YEAR(HistoricalStockProgress[[#This Row],[Date]])</f>
        <v>2021</v>
      </c>
      <c r="N1159" s="34">
        <f>MONTH(HistoricalStockProgress[[#This Row],[Date]])</f>
        <v>11</v>
      </c>
    </row>
    <row r="1160" spans="2:14">
      <c r="B1160" s="15">
        <v>44530</v>
      </c>
      <c r="C1160" s="34" t="s">
        <v>22</v>
      </c>
      <c r="D1160" s="34" t="e" vm="10">
        <f>_xlfn.XLOOKUP(HistoricalStockProgress[[#This Row],[Company Ticker]],CompanyDetailsList[Company Ticker],CompanyDetailsList[Official Name],,0)</f>
        <v>#VALUE!</v>
      </c>
      <c r="E11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11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13175.976249073738</v>
      </c>
      <c r="G1160" s="17">
        <f>IFERROR(HistoricalStockProgress[[#This Row],[Cost of Shares]]/HistoricalStockProgress[[#This Row],[No. of Shares]],0)</f>
        <v>124.30166272711074</v>
      </c>
      <c r="H1160" s="16" vm="1679">
        <v>193.35</v>
      </c>
      <c r="I1160" s="16">
        <f>IF(HistoricalStockProgress[[#This Row],[No. of Shares]]&lt;&gt;0,HistoricalStockProgress[[#This Row],[Price of Shares]]*HistoricalStockProgress[[#This Row],[No. of Shares]],0)</f>
        <v>20495.099999999999</v>
      </c>
      <c r="J1160" s="16">
        <f>IF(HistoricalStockProgress[[#This Row],[No. of Shares]]&lt;&gt;0,HistoricalStockProgress[[#This Row],[Price of Shares]]-HistoricalStockProgress[[#This Row],[Cost of Shares]]/HistoricalStockProgress[[#This Row],[No. of Shares]],0)</f>
        <v>69.048337272889256</v>
      </c>
      <c r="K1160" s="17">
        <f>IF(HistoricalStockProgress[[#This Row],[Total Price of Shares]]&lt;&gt;0,HistoricalStockProgress[[#This Row],[Total Price of Shares]]-HistoricalStockProgress[[#This Row],[Cost of Shares]],0)</f>
        <v>7319.123750926261</v>
      </c>
      <c r="L1160" s="34" t="b" cm="1">
        <f t="array" ref="L1160">IFERROR(IF(HistoricalStockProgress[[#This Row],[Price of Shares]]="",_xlfn.STOCKHISTORY(HistoricalStockProgress[[#This Row],[Full Company Name]],HistoricalStockProgress[[#This Row],[Date]],,2,0,1)),0)</f>
        <v>0</v>
      </c>
      <c r="M1160" s="34">
        <f>YEAR(HistoricalStockProgress[[#This Row],[Date]])</f>
        <v>2021</v>
      </c>
      <c r="N1160" s="34">
        <f>MONTH(HistoricalStockProgress[[#This Row],[Date]])</f>
        <v>11</v>
      </c>
    </row>
    <row r="1161" spans="2:14">
      <c r="B1161" s="15">
        <v>44530</v>
      </c>
      <c r="C1161" s="34" t="s">
        <v>91</v>
      </c>
      <c r="D1161" s="34" t="e" vm="11">
        <f>_xlfn.XLOOKUP(HistoricalStockProgress[[#This Row],[Company Ticker]],CompanyDetailsList[Company Ticker],CompanyDetailsList[Official Name],,0)</f>
        <v>#VALUE!</v>
      </c>
      <c r="E11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11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1161" s="17">
        <f>IFERROR(HistoricalStockProgress[[#This Row],[Cost of Shares]]/HistoricalStockProgress[[#This Row],[No. of Shares]],0)</f>
        <v>100.94993172657422</v>
      </c>
      <c r="H1161" s="16" vm="1680">
        <v>330.59</v>
      </c>
      <c r="I1161" s="16">
        <f>IF(HistoricalStockProgress[[#This Row],[No. of Shares]]&lt;&gt;0,HistoricalStockProgress[[#This Row],[Price of Shares]]*HistoricalStockProgress[[#This Row],[No. of Shares]],0)</f>
        <v>48596.729999999996</v>
      </c>
      <c r="J1161" s="16">
        <f>IF(HistoricalStockProgress[[#This Row],[No. of Shares]]&lt;&gt;0,HistoricalStockProgress[[#This Row],[Price of Shares]]-HistoricalStockProgress[[#This Row],[Cost of Shares]]/HistoricalStockProgress[[#This Row],[No. of Shares]],0)</f>
        <v>229.64006827342575</v>
      </c>
      <c r="K1161" s="17">
        <f>IF(HistoricalStockProgress[[#This Row],[Total Price of Shares]]&lt;&gt;0,HistoricalStockProgress[[#This Row],[Total Price of Shares]]-HistoricalStockProgress[[#This Row],[Cost of Shares]],0)</f>
        <v>33757.090036193586</v>
      </c>
      <c r="L1161" s="34" t="b" cm="1">
        <f t="array" ref="L1161">IFERROR(IF(HistoricalStockProgress[[#This Row],[Price of Shares]]="",_xlfn.STOCKHISTORY(HistoricalStockProgress[[#This Row],[Full Company Name]],HistoricalStockProgress[[#This Row],[Date]],,2,0,1)),0)</f>
        <v>0</v>
      </c>
      <c r="M1161" s="34">
        <f>YEAR(HistoricalStockProgress[[#This Row],[Date]])</f>
        <v>2021</v>
      </c>
      <c r="N1161" s="34">
        <f>MONTH(HistoricalStockProgress[[#This Row],[Date]])</f>
        <v>11</v>
      </c>
    </row>
    <row r="1162" spans="2:14">
      <c r="B1162" s="15">
        <v>44530</v>
      </c>
      <c r="C1162" s="34" t="s">
        <v>16</v>
      </c>
      <c r="D1162" s="34" t="e" vm="12">
        <f>_xlfn.XLOOKUP(HistoricalStockProgress[[#This Row],[Company Ticker]],CompanyDetailsList[Company Ticker],CompanyDetailsList[Official Name],,0)</f>
        <v>#VALUE!</v>
      </c>
      <c r="E11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1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162" s="17">
        <f>IFERROR(HistoricalStockProgress[[#This Row],[Cost of Shares]]/HistoricalStockProgress[[#This Row],[No. of Shares]],0)</f>
        <v>75.117698177311837</v>
      </c>
      <c r="H1162" s="16" vm="1681">
        <v>59.84</v>
      </c>
      <c r="I1162" s="16">
        <f>IF(HistoricalStockProgress[[#This Row],[No. of Shares]]&lt;&gt;0,HistoricalStockProgress[[#This Row],[Price of Shares]]*HistoricalStockProgress[[#This Row],[No. of Shares]],0)</f>
        <v>11070.400000000001</v>
      </c>
      <c r="J1162" s="16">
        <f>IF(HistoricalStockProgress[[#This Row],[No. of Shares]]&lt;&gt;0,HistoricalStockProgress[[#This Row],[Price of Shares]]-HistoricalStockProgress[[#This Row],[Cost of Shares]]/HistoricalStockProgress[[#This Row],[No. of Shares]],0)</f>
        <v>-15.277698177311834</v>
      </c>
      <c r="K1162" s="17">
        <f>IF(HistoricalStockProgress[[#This Row],[Total Price of Shares]]&lt;&gt;0,HistoricalStockProgress[[#This Row],[Total Price of Shares]]-HistoricalStockProgress[[#This Row],[Cost of Shares]],0)</f>
        <v>-2826.3741628026874</v>
      </c>
      <c r="L1162" s="34" t="b" cm="1">
        <f t="array" ref="L1162">IFERROR(IF(HistoricalStockProgress[[#This Row],[Price of Shares]]="",_xlfn.STOCKHISTORY(HistoricalStockProgress[[#This Row],[Full Company Name]],HistoricalStockProgress[[#This Row],[Date]],,2,0,1)),0)</f>
        <v>0</v>
      </c>
      <c r="M1162" s="34">
        <f>YEAR(HistoricalStockProgress[[#This Row],[Date]])</f>
        <v>2021</v>
      </c>
      <c r="N1162" s="34">
        <f>MONTH(HistoricalStockProgress[[#This Row],[Date]])</f>
        <v>11</v>
      </c>
    </row>
    <row r="1163" spans="2:14">
      <c r="B1163" s="15">
        <v>44530</v>
      </c>
      <c r="C1163" s="34" t="s">
        <v>95</v>
      </c>
      <c r="D1163" s="34" t="e" vm="13">
        <f>_xlfn.XLOOKUP(HistoricalStockProgress[[#This Row],[Company Ticker]],CompanyDetailsList[Company Ticker],CompanyDetailsList[Official Name],,0)</f>
        <v>#VALUE!</v>
      </c>
      <c r="E11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1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10324.055787336294</v>
      </c>
      <c r="G1163" s="17">
        <f>IFERROR(HistoricalStockProgress[[#This Row],[Cost of Shares]]/HistoricalStockProgress[[#This Row],[No. of Shares]],0)</f>
        <v>184.35813905957667</v>
      </c>
      <c r="H1163" s="16" vm="1682">
        <v>400.61</v>
      </c>
      <c r="I1163" s="16">
        <f>IF(HistoricalStockProgress[[#This Row],[No. of Shares]]&lt;&gt;0,HistoricalStockProgress[[#This Row],[Price of Shares]]*HistoricalStockProgress[[#This Row],[No. of Shares]],0)</f>
        <v>22434.16</v>
      </c>
      <c r="J1163" s="16">
        <f>IF(HistoricalStockProgress[[#This Row],[No. of Shares]]&lt;&gt;0,HistoricalStockProgress[[#This Row],[Price of Shares]]-HistoricalStockProgress[[#This Row],[Cost of Shares]]/HistoricalStockProgress[[#This Row],[No. of Shares]],0)</f>
        <v>216.25186094042334</v>
      </c>
      <c r="K1163" s="17">
        <f>IF(HistoricalStockProgress[[#This Row],[Total Price of Shares]]&lt;&gt;0,HistoricalStockProgress[[#This Row],[Total Price of Shares]]-HistoricalStockProgress[[#This Row],[Cost of Shares]],0)</f>
        <v>12110.104212663706</v>
      </c>
      <c r="L1163" s="34" t="b" cm="1">
        <f t="array" ref="L1163">IFERROR(IF(HistoricalStockProgress[[#This Row],[Price of Shares]]="",_xlfn.STOCKHISTORY(HistoricalStockProgress[[#This Row],[Full Company Name]],HistoricalStockProgress[[#This Row],[Date]],,2,0,1)),0)</f>
        <v>0</v>
      </c>
      <c r="M1163" s="34">
        <f>YEAR(HistoricalStockProgress[[#This Row],[Date]])</f>
        <v>2021</v>
      </c>
      <c r="N1163" s="34">
        <f>MONTH(HistoricalStockProgress[[#This Row],[Date]])</f>
        <v>11</v>
      </c>
    </row>
    <row r="1164" spans="2:14">
      <c r="B1164" s="15">
        <v>44530</v>
      </c>
      <c r="C1164" s="34" t="s">
        <v>17</v>
      </c>
      <c r="D1164" s="34" t="e" vm="14">
        <f>_xlfn.XLOOKUP(HistoricalStockProgress[[#This Row],[Company Ticker]],CompanyDetailsList[Company Ticker],CompanyDetailsList[Official Name],,0)</f>
        <v>#VALUE!</v>
      </c>
      <c r="E11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144</v>
      </c>
      <c r="F11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19925.416733069331</v>
      </c>
      <c r="G1164" s="17">
        <f>IFERROR(HistoricalStockProgress[[#This Row],[Cost of Shares]]/HistoricalStockProgress[[#This Row],[No. of Shares]],0)</f>
        <v>138.37094953520369</v>
      </c>
      <c r="H1164" s="16" vm="1683">
        <v>117.1</v>
      </c>
      <c r="I1164" s="16">
        <f>IF(HistoricalStockProgress[[#This Row],[No. of Shares]]&lt;&gt;0,HistoricalStockProgress[[#This Row],[Price of Shares]]*HistoricalStockProgress[[#This Row],[No. of Shares]],0)</f>
        <v>16862.399999999998</v>
      </c>
      <c r="J1164" s="16">
        <f>IF(HistoricalStockProgress[[#This Row],[No. of Shares]]&lt;&gt;0,HistoricalStockProgress[[#This Row],[Price of Shares]]-HistoricalStockProgress[[#This Row],[Cost of Shares]]/HistoricalStockProgress[[#This Row],[No. of Shares]],0)</f>
        <v>-21.270949535203698</v>
      </c>
      <c r="K1164" s="17">
        <f>IF(HistoricalStockProgress[[#This Row],[Total Price of Shares]]&lt;&gt;0,HistoricalStockProgress[[#This Row],[Total Price of Shares]]-HistoricalStockProgress[[#This Row],[Cost of Shares]],0)</f>
        <v>-3063.016733069333</v>
      </c>
      <c r="L1164" s="34" t="b" cm="1">
        <f t="array" ref="L1164">IFERROR(IF(HistoricalStockProgress[[#This Row],[Price of Shares]]="",_xlfn.STOCKHISTORY(HistoricalStockProgress[[#This Row],[Full Company Name]],HistoricalStockProgress[[#This Row],[Date]],,2,0,1)),0)</f>
        <v>0</v>
      </c>
      <c r="M1164" s="34">
        <f>YEAR(HistoricalStockProgress[[#This Row],[Date]])</f>
        <v>2021</v>
      </c>
      <c r="N1164" s="34">
        <f>MONTH(HistoricalStockProgress[[#This Row],[Date]])</f>
        <v>11</v>
      </c>
    </row>
    <row r="1165" spans="2:14">
      <c r="B1165" s="15">
        <v>44530</v>
      </c>
      <c r="C1165" s="34" t="s">
        <v>98</v>
      </c>
      <c r="D1165" s="34" t="e" vm="15">
        <f>_xlfn.XLOOKUP(HistoricalStockProgress[[#This Row],[Company Ticker]],CompanyDetailsList[Company Ticker],CompanyDetailsList[Official Name],,0)</f>
        <v>#VALUE!</v>
      </c>
      <c r="E11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108</v>
      </c>
      <c r="F11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5486.2959177385774</v>
      </c>
      <c r="G1165" s="17">
        <f>IFERROR(HistoricalStockProgress[[#This Row],[Cost of Shares]]/HistoricalStockProgress[[#This Row],[No. of Shares]],0)</f>
        <v>50.799036275357196</v>
      </c>
      <c r="H1165" s="16" vm="1684">
        <v>86.78</v>
      </c>
      <c r="I1165" s="16">
        <f>IF(HistoricalStockProgress[[#This Row],[No. of Shares]]&lt;&gt;0,HistoricalStockProgress[[#This Row],[Price of Shares]]*HistoricalStockProgress[[#This Row],[No. of Shares]],0)</f>
        <v>9372.24</v>
      </c>
      <c r="J1165" s="16">
        <f>IF(HistoricalStockProgress[[#This Row],[No. of Shares]]&lt;&gt;0,HistoricalStockProgress[[#This Row],[Price of Shares]]-HistoricalStockProgress[[#This Row],[Cost of Shares]]/HistoricalStockProgress[[#This Row],[No. of Shares]],0)</f>
        <v>35.980963724642805</v>
      </c>
      <c r="K1165" s="17">
        <f>IF(HistoricalStockProgress[[#This Row],[Total Price of Shares]]&lt;&gt;0,HistoricalStockProgress[[#This Row],[Total Price of Shares]]-HistoricalStockProgress[[#This Row],[Cost of Shares]],0)</f>
        <v>3885.9440822614224</v>
      </c>
      <c r="L1165" s="34" t="b" cm="1">
        <f t="array" ref="L1165">IFERROR(IF(HistoricalStockProgress[[#This Row],[Price of Shares]]="",_xlfn.STOCKHISTORY(HistoricalStockProgress[[#This Row],[Full Company Name]],HistoricalStockProgress[[#This Row],[Date]],,2,0,1)),0)</f>
        <v>0</v>
      </c>
      <c r="M1165" s="34">
        <f>YEAR(HistoricalStockProgress[[#This Row],[Date]])</f>
        <v>2021</v>
      </c>
      <c r="N1165" s="34">
        <f>MONTH(HistoricalStockProgress[[#This Row],[Date]])</f>
        <v>11</v>
      </c>
    </row>
    <row r="1166" spans="2:14">
      <c r="B1166" s="15">
        <v>44530</v>
      </c>
      <c r="C1166" s="34" t="s">
        <v>100</v>
      </c>
      <c r="D1166" s="34" t="e" vm="16">
        <f>_xlfn.XLOOKUP(HistoricalStockProgress[[#This Row],[Company Ticker]],CompanyDetailsList[Company Ticker],CompanyDetailsList[Official Name],,0)</f>
        <v>#VALUE!</v>
      </c>
      <c r="E11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11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12257.793853370842</v>
      </c>
      <c r="G1166" s="17">
        <f>IFERROR(HistoricalStockProgress[[#This Row],[Cost of Shares]]/HistoricalStockProgress[[#This Row],[No. of Shares]],0)</f>
        <v>87.555670381220295</v>
      </c>
      <c r="H1166" s="16" vm="1685">
        <v>97.01</v>
      </c>
      <c r="I1166" s="16">
        <f>IF(HistoricalStockProgress[[#This Row],[No. of Shares]]&lt;&gt;0,HistoricalStockProgress[[#This Row],[Price of Shares]]*HistoricalStockProgress[[#This Row],[No. of Shares]],0)</f>
        <v>13581.400000000001</v>
      </c>
      <c r="J1166" s="16">
        <f>IF(HistoricalStockProgress[[#This Row],[No. of Shares]]&lt;&gt;0,HistoricalStockProgress[[#This Row],[Price of Shares]]-HistoricalStockProgress[[#This Row],[Cost of Shares]]/HistoricalStockProgress[[#This Row],[No. of Shares]],0)</f>
        <v>9.4543296187797097</v>
      </c>
      <c r="K1166" s="17">
        <f>IF(HistoricalStockProgress[[#This Row],[Total Price of Shares]]&lt;&gt;0,HistoricalStockProgress[[#This Row],[Total Price of Shares]]-HistoricalStockProgress[[#This Row],[Cost of Shares]],0)</f>
        <v>1323.6061466291594</v>
      </c>
      <c r="L1166" s="34" t="b" cm="1">
        <f t="array" ref="L1166">IFERROR(IF(HistoricalStockProgress[[#This Row],[Price of Shares]]="",_xlfn.STOCKHISTORY(HistoricalStockProgress[[#This Row],[Full Company Name]],HistoricalStockProgress[[#This Row],[Date]],,2,0,1)),0)</f>
        <v>0</v>
      </c>
      <c r="M1166" s="34">
        <f>YEAR(HistoricalStockProgress[[#This Row],[Date]])</f>
        <v>2021</v>
      </c>
      <c r="N1166" s="34">
        <f>MONTH(HistoricalStockProgress[[#This Row],[Date]])</f>
        <v>11</v>
      </c>
    </row>
    <row r="1167" spans="2:14">
      <c r="B1167" s="15">
        <v>44530</v>
      </c>
      <c r="C1167" s="34" t="s">
        <v>15</v>
      </c>
      <c r="D1167" s="34" t="e" vm="17">
        <f>_xlfn.XLOOKUP(HistoricalStockProgress[[#This Row],[Company Ticker]],CompanyDetailsList[Company Ticker],CompanyDetailsList[Official Name],,0)</f>
        <v>#VALUE!</v>
      </c>
      <c r="E11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1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167" s="17">
        <f>IFERROR(HistoricalStockProgress[[#This Row],[Cost of Shares]]/HistoricalStockProgress[[#This Row],[No. of Shares]],0)</f>
        <v>26.081956457072195</v>
      </c>
      <c r="H1167" s="16" vm="1686">
        <v>17.2408</v>
      </c>
      <c r="I1167" s="16">
        <f>IF(HistoricalStockProgress[[#This Row],[No. of Shares]]&lt;&gt;0,HistoricalStockProgress[[#This Row],[Price of Shares]]*HistoricalStockProgress[[#This Row],[No. of Shares]],0)</f>
        <v>2137.8591999999999</v>
      </c>
      <c r="J1167" s="16">
        <f>IF(HistoricalStockProgress[[#This Row],[No. of Shares]]&lt;&gt;0,HistoricalStockProgress[[#This Row],[Price of Shares]]-HistoricalStockProgress[[#This Row],[Cost of Shares]]/HistoricalStockProgress[[#This Row],[No. of Shares]],0)</f>
        <v>-8.841156457072195</v>
      </c>
      <c r="K1167" s="17">
        <f>IF(HistoricalStockProgress[[#This Row],[Total Price of Shares]]&lt;&gt;0,HistoricalStockProgress[[#This Row],[Total Price of Shares]]-HistoricalStockProgress[[#This Row],[Cost of Shares]],0)</f>
        <v>-1096.3034006769522</v>
      </c>
      <c r="L1167" s="34" t="b" cm="1">
        <f t="array" ref="L1167">IFERROR(IF(HistoricalStockProgress[[#This Row],[Price of Shares]]="",_xlfn.STOCKHISTORY(HistoricalStockProgress[[#This Row],[Full Company Name]],HistoricalStockProgress[[#This Row],[Date]],,2,0,1)),0)</f>
        <v>0</v>
      </c>
      <c r="M1167" s="34">
        <f>YEAR(HistoricalStockProgress[[#This Row],[Date]])</f>
        <v>2021</v>
      </c>
      <c r="N1167" s="34">
        <f>MONTH(HistoricalStockProgress[[#This Row],[Date]])</f>
        <v>11</v>
      </c>
    </row>
    <row r="1168" spans="2:14">
      <c r="B1168" s="15">
        <v>44530</v>
      </c>
      <c r="C1168" s="34" t="s">
        <v>13</v>
      </c>
      <c r="D1168" s="34" t="e" vm="18">
        <f>_xlfn.XLOOKUP(HistoricalStockProgress[[#This Row],[Company Ticker]],CompanyDetailsList[Company Ticker],CompanyDetailsList[Official Name],,0)</f>
        <v>#VALUE!</v>
      </c>
      <c r="E11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1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168" s="17">
        <f>IFERROR(HistoricalStockProgress[[#This Row],[Cost of Shares]]/HistoricalStockProgress[[#This Row],[No. of Shares]],0)</f>
        <v>35.846938938346874</v>
      </c>
      <c r="H1168" s="16" vm="1687">
        <v>53.73</v>
      </c>
      <c r="I1168" s="16">
        <f>IF(HistoricalStockProgress[[#This Row],[No. of Shares]]&lt;&gt;0,HistoricalStockProgress[[#This Row],[Price of Shares]]*HistoricalStockProgress[[#This Row],[No. of Shares]],0)</f>
        <v>2955.1499999999996</v>
      </c>
      <c r="J1168" s="16">
        <f>IF(HistoricalStockProgress[[#This Row],[No. of Shares]]&lt;&gt;0,HistoricalStockProgress[[#This Row],[Price of Shares]]-HistoricalStockProgress[[#This Row],[Cost of Shares]]/HistoricalStockProgress[[#This Row],[No. of Shares]],0)</f>
        <v>17.883061061653123</v>
      </c>
      <c r="K1168" s="17">
        <f>IF(HistoricalStockProgress[[#This Row],[Total Price of Shares]]&lt;&gt;0,HistoricalStockProgress[[#This Row],[Total Price of Shares]]-HistoricalStockProgress[[#This Row],[Cost of Shares]],0)</f>
        <v>983.5683583909215</v>
      </c>
      <c r="L1168" s="34" t="b" cm="1">
        <f t="array" ref="L1168">IFERROR(IF(HistoricalStockProgress[[#This Row],[Price of Shares]]="",_xlfn.STOCKHISTORY(HistoricalStockProgress[[#This Row],[Full Company Name]],HistoricalStockProgress[[#This Row],[Date]],,2,0,1)),0)</f>
        <v>0</v>
      </c>
      <c r="M1168" s="34">
        <f>YEAR(HistoricalStockProgress[[#This Row],[Date]])</f>
        <v>2021</v>
      </c>
      <c r="N1168" s="34">
        <f>MONTH(HistoricalStockProgress[[#This Row],[Date]])</f>
        <v>11</v>
      </c>
    </row>
    <row r="1169" spans="2:14">
      <c r="B1169" s="15">
        <v>44530</v>
      </c>
      <c r="C1169" s="34" t="s">
        <v>20</v>
      </c>
      <c r="D1169" s="34" t="e" vm="19">
        <f>_xlfn.XLOOKUP(HistoricalStockProgress[[#This Row],[Company Ticker]],CompanyDetailsList[Company Ticker],CompanyDetailsList[Official Name],,0)</f>
        <v>#VALUE!</v>
      </c>
      <c r="E11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93</v>
      </c>
      <c r="F11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9585.7274858109122</v>
      </c>
      <c r="G1169" s="17">
        <f>IFERROR(HistoricalStockProgress[[#This Row],[Cost of Shares]]/HistoricalStockProgress[[#This Row],[No. of Shares]],0)</f>
        <v>103.07233855710658</v>
      </c>
      <c r="H1169" s="16" vm="1688">
        <v>158.83000000000001</v>
      </c>
      <c r="I1169" s="16">
        <f>IF(HistoricalStockProgress[[#This Row],[No. of Shares]]&lt;&gt;0,HistoricalStockProgress[[#This Row],[Price of Shares]]*HistoricalStockProgress[[#This Row],[No. of Shares]],0)</f>
        <v>14771.19</v>
      </c>
      <c r="J1169" s="16">
        <f>IF(HistoricalStockProgress[[#This Row],[No. of Shares]]&lt;&gt;0,HistoricalStockProgress[[#This Row],[Price of Shares]]-HistoricalStockProgress[[#This Row],[Cost of Shares]]/HistoricalStockProgress[[#This Row],[No. of Shares]],0)</f>
        <v>55.757661442893436</v>
      </c>
      <c r="K1169" s="17">
        <f>IF(HistoricalStockProgress[[#This Row],[Total Price of Shares]]&lt;&gt;0,HistoricalStockProgress[[#This Row],[Total Price of Shares]]-HistoricalStockProgress[[#This Row],[Cost of Shares]],0)</f>
        <v>5185.4625141890883</v>
      </c>
      <c r="L1169" s="34" t="b" cm="1">
        <f t="array" ref="L1169">IFERROR(IF(HistoricalStockProgress[[#This Row],[Price of Shares]]="",_xlfn.STOCKHISTORY(HistoricalStockProgress[[#This Row],[Full Company Name]],HistoricalStockProgress[[#This Row],[Date]],,2,0,1)),0)</f>
        <v>0</v>
      </c>
      <c r="M1169" s="34">
        <f>YEAR(HistoricalStockProgress[[#This Row],[Date]])</f>
        <v>2021</v>
      </c>
      <c r="N1169" s="34">
        <f>MONTH(HistoricalStockProgress[[#This Row],[Date]])</f>
        <v>11</v>
      </c>
    </row>
    <row r="1170" spans="2:14">
      <c r="B1170" s="15">
        <v>44530</v>
      </c>
      <c r="C1170" s="34" t="s">
        <v>106</v>
      </c>
      <c r="D1170" s="34" t="e" vm="20">
        <f>_xlfn.XLOOKUP(HistoricalStockProgress[[#This Row],[Company Ticker]],CompanyDetailsList[Company Ticker],CompanyDetailsList[Official Name],,0)</f>
        <v>#VALUE!</v>
      </c>
      <c r="E11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1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170" s="17">
        <f>IFERROR(HistoricalStockProgress[[#This Row],[Cost of Shares]]/HistoricalStockProgress[[#This Row],[No. of Shares]],0)</f>
        <v>108.54870748680406</v>
      </c>
      <c r="H1170" s="16" vm="1689">
        <v>154.16999999999999</v>
      </c>
      <c r="I1170" s="16">
        <f>IF(HistoricalStockProgress[[#This Row],[No. of Shares]]&lt;&gt;0,HistoricalStockProgress[[#This Row],[Price of Shares]]*HistoricalStockProgress[[#This Row],[No. of Shares]],0)</f>
        <v>13566.96</v>
      </c>
      <c r="J1170" s="16">
        <f>IF(HistoricalStockProgress[[#This Row],[No. of Shares]]&lt;&gt;0,HistoricalStockProgress[[#This Row],[Price of Shares]]-HistoricalStockProgress[[#This Row],[Cost of Shares]]/HistoricalStockProgress[[#This Row],[No. of Shares]],0)</f>
        <v>45.621292513195925</v>
      </c>
      <c r="K1170" s="17">
        <f>IF(HistoricalStockProgress[[#This Row],[Total Price of Shares]]&lt;&gt;0,HistoricalStockProgress[[#This Row],[Total Price of Shares]]-HistoricalStockProgress[[#This Row],[Cost of Shares]],0)</f>
        <v>4014.6737411612412</v>
      </c>
      <c r="L1170" s="34" t="b" cm="1">
        <f t="array" ref="L1170">IFERROR(IF(HistoricalStockProgress[[#This Row],[Price of Shares]]="",_xlfn.STOCKHISTORY(HistoricalStockProgress[[#This Row],[Full Company Name]],HistoricalStockProgress[[#This Row],[Date]],,2,0,1)),0)</f>
        <v>0</v>
      </c>
      <c r="M1170" s="34">
        <f>YEAR(HistoricalStockProgress[[#This Row],[Date]])</f>
        <v>2021</v>
      </c>
      <c r="N1170" s="34">
        <f>MONTH(HistoricalStockProgress[[#This Row],[Date]])</f>
        <v>11</v>
      </c>
    </row>
    <row r="1171" spans="2:14">
      <c r="B1171" s="15">
        <v>44561</v>
      </c>
      <c r="C1171" s="34" t="s">
        <v>12</v>
      </c>
      <c r="D1171" s="34" t="e" vm="1">
        <f>_xlfn.XLOOKUP(HistoricalStockProgress[[#This Row],[Company Ticker]],CompanyDetailsList[Company Ticker],CompanyDetailsList[Official Name],,0)</f>
        <v>#VALUE!</v>
      </c>
      <c r="E11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11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1171" s="17">
        <f>IFERROR(HistoricalStockProgress[[#This Row],[Cost of Shares]]/HistoricalStockProgress[[#This Row],[No. of Shares]],0)</f>
        <v>63.845182519411239</v>
      </c>
      <c r="H1171" s="16" vm="1690">
        <v>71.59</v>
      </c>
      <c r="I1171" s="16">
        <f>IF(HistoricalStockProgress[[#This Row],[No. of Shares]]&lt;&gt;0,HistoricalStockProgress[[#This Row],[Price of Shares]]*HistoricalStockProgress[[#This Row],[No. of Shares]],0)</f>
        <v>4581.76</v>
      </c>
      <c r="J1171" s="16">
        <f>IF(HistoricalStockProgress[[#This Row],[No. of Shares]]&lt;&gt;0,HistoricalStockProgress[[#This Row],[Price of Shares]]-HistoricalStockProgress[[#This Row],[Cost of Shares]]/HistoricalStockProgress[[#This Row],[No. of Shares]],0)</f>
        <v>7.7448174805887646</v>
      </c>
      <c r="K1171" s="17">
        <f>IF(HistoricalStockProgress[[#This Row],[Total Price of Shares]]&lt;&gt;0,HistoricalStockProgress[[#This Row],[Total Price of Shares]]-HistoricalStockProgress[[#This Row],[Cost of Shares]],0)</f>
        <v>495.66831875768094</v>
      </c>
      <c r="L1171" s="34" t="b" cm="1">
        <f t="array" ref="L1171">IFERROR(IF(HistoricalStockProgress[[#This Row],[Price of Shares]]="",_xlfn.STOCKHISTORY(HistoricalStockProgress[[#This Row],[Full Company Name]],HistoricalStockProgress[[#This Row],[Date]],,2,0,1)),0)</f>
        <v>0</v>
      </c>
      <c r="M1171" s="34">
        <f>YEAR(HistoricalStockProgress[[#This Row],[Date]])</f>
        <v>2021</v>
      </c>
      <c r="N1171" s="34">
        <f>MONTH(HistoricalStockProgress[[#This Row],[Date]])</f>
        <v>12</v>
      </c>
    </row>
    <row r="1172" spans="2:14">
      <c r="B1172" s="15">
        <v>44561</v>
      </c>
      <c r="C1172" s="34" t="s">
        <v>14</v>
      </c>
      <c r="D1172" s="34" t="e" vm="2">
        <f>_xlfn.XLOOKUP(HistoricalStockProgress[[#This Row],[Company Ticker]],CompanyDetailsList[Company Ticker],CompanyDetailsList[Official Name],,0)</f>
        <v>#VALUE!</v>
      </c>
      <c r="E11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1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172" s="17">
        <f>IFERROR(HistoricalStockProgress[[#This Row],[Cost of Shares]]/HistoricalStockProgress[[#This Row],[No. of Shares]],0)</f>
        <v>31.580112511620161</v>
      </c>
      <c r="H1172" s="16" vm="1691">
        <v>36.03</v>
      </c>
      <c r="I1172" s="16">
        <f>IF(HistoricalStockProgress[[#This Row],[No. of Shares]]&lt;&gt;0,HistoricalStockProgress[[#This Row],[Price of Shares]]*HistoricalStockProgress[[#This Row],[No. of Shares]],0)</f>
        <v>1008.84</v>
      </c>
      <c r="J1172" s="16">
        <f>IF(HistoricalStockProgress[[#This Row],[No. of Shares]]&lt;&gt;0,HistoricalStockProgress[[#This Row],[Price of Shares]]-HistoricalStockProgress[[#This Row],[Cost of Shares]]/HistoricalStockProgress[[#This Row],[No. of Shares]],0)</f>
        <v>4.4498874883798401</v>
      </c>
      <c r="K1172" s="17">
        <f>IF(HistoricalStockProgress[[#This Row],[Total Price of Shares]]&lt;&gt;0,HistoricalStockProgress[[#This Row],[Total Price of Shares]]-HistoricalStockProgress[[#This Row],[Cost of Shares]],0)</f>
        <v>124.59684967463556</v>
      </c>
      <c r="L1172" s="34" t="b" cm="1">
        <f t="array" ref="L1172">IFERROR(IF(HistoricalStockProgress[[#This Row],[Price of Shares]]="",_xlfn.STOCKHISTORY(HistoricalStockProgress[[#This Row],[Full Company Name]],HistoricalStockProgress[[#This Row],[Date]],,2,0,1)),0)</f>
        <v>0</v>
      </c>
      <c r="M1172" s="34">
        <f>YEAR(HistoricalStockProgress[[#This Row],[Date]])</f>
        <v>2021</v>
      </c>
      <c r="N1172" s="34">
        <f>MONTH(HistoricalStockProgress[[#This Row],[Date]])</f>
        <v>12</v>
      </c>
    </row>
    <row r="1173" spans="2:14">
      <c r="B1173" s="15">
        <v>44561</v>
      </c>
      <c r="C1173" s="34" t="s">
        <v>19</v>
      </c>
      <c r="D1173" s="34" t="e" vm="3">
        <f>_xlfn.XLOOKUP(HistoricalStockProgress[[#This Row],[Company Ticker]],CompanyDetailsList[Company Ticker],CompanyDetailsList[Official Name],,0)</f>
        <v>#VALUE!</v>
      </c>
      <c r="E11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1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173" s="17">
        <f>IFERROR(HistoricalStockProgress[[#This Row],[Cost of Shares]]/HistoricalStockProgress[[#This Row],[No. of Shares]],0)</f>
        <v>158.45739987816083</v>
      </c>
      <c r="H1173" s="16" vm="1692">
        <v>174.36</v>
      </c>
      <c r="I1173" s="16">
        <f>IF(HistoricalStockProgress[[#This Row],[No. of Shares]]&lt;&gt;0,HistoricalStockProgress[[#This Row],[Price of Shares]]*HistoricalStockProgress[[#This Row],[No. of Shares]],0)</f>
        <v>9938.52</v>
      </c>
      <c r="J1173" s="16">
        <f>IF(HistoricalStockProgress[[#This Row],[No. of Shares]]&lt;&gt;0,HistoricalStockProgress[[#This Row],[Price of Shares]]-HistoricalStockProgress[[#This Row],[Cost of Shares]]/HistoricalStockProgress[[#This Row],[No. of Shares]],0)</f>
        <v>15.902600121839185</v>
      </c>
      <c r="K1173" s="17">
        <f>IF(HistoricalStockProgress[[#This Row],[Total Price of Shares]]&lt;&gt;0,HistoricalStockProgress[[#This Row],[Total Price of Shares]]-HistoricalStockProgress[[#This Row],[Cost of Shares]],0)</f>
        <v>906.44820694483315</v>
      </c>
      <c r="L1173" s="34" t="b" cm="1">
        <f t="array" ref="L1173">IFERROR(IF(HistoricalStockProgress[[#This Row],[Price of Shares]]="",_xlfn.STOCKHISTORY(HistoricalStockProgress[[#This Row],[Full Company Name]],HistoricalStockProgress[[#This Row],[Date]],,2,0,1)),0)</f>
        <v>0</v>
      </c>
      <c r="M1173" s="34">
        <f>YEAR(HistoricalStockProgress[[#This Row],[Date]])</f>
        <v>2021</v>
      </c>
      <c r="N1173" s="34">
        <f>MONTH(HistoricalStockProgress[[#This Row],[Date]])</f>
        <v>12</v>
      </c>
    </row>
    <row r="1174" spans="2:14">
      <c r="B1174" s="15">
        <v>44561</v>
      </c>
      <c r="C1174" s="34" t="s">
        <v>23</v>
      </c>
      <c r="D1174" s="34" t="e" vm="4">
        <f>_xlfn.XLOOKUP(HistoricalStockProgress[[#This Row],[Company Ticker]],CompanyDetailsList[Company Ticker],CompanyDetailsList[Official Name],,0)</f>
        <v>#VALUE!</v>
      </c>
      <c r="E11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80</v>
      </c>
      <c r="F11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3888.0556776173789</v>
      </c>
      <c r="G1174" s="17">
        <f>IFERROR(HistoricalStockProgress[[#This Row],[Cost of Shares]]/HistoricalStockProgress[[#This Row],[No. of Shares]],0)</f>
        <v>48.600695970217238</v>
      </c>
      <c r="H1174" s="16" vm="1693">
        <v>59.21</v>
      </c>
      <c r="I1174" s="16">
        <f>IF(HistoricalStockProgress[[#This Row],[No. of Shares]]&lt;&gt;0,HistoricalStockProgress[[#This Row],[Price of Shares]]*HistoricalStockProgress[[#This Row],[No. of Shares]],0)</f>
        <v>4736.8</v>
      </c>
      <c r="J1174" s="16">
        <f>IF(HistoricalStockProgress[[#This Row],[No. of Shares]]&lt;&gt;0,HistoricalStockProgress[[#This Row],[Price of Shares]]-HistoricalStockProgress[[#This Row],[Cost of Shares]]/HistoricalStockProgress[[#This Row],[No. of Shares]],0)</f>
        <v>10.609304029782763</v>
      </c>
      <c r="K1174" s="17">
        <f>IF(HistoricalStockProgress[[#This Row],[Total Price of Shares]]&lt;&gt;0,HistoricalStockProgress[[#This Row],[Total Price of Shares]]-HistoricalStockProgress[[#This Row],[Cost of Shares]],0)</f>
        <v>848.74432238262125</v>
      </c>
      <c r="L1174" s="34" t="b" cm="1">
        <f t="array" ref="L1174">IFERROR(IF(HistoricalStockProgress[[#This Row],[Price of Shares]]="",_xlfn.STOCKHISTORY(HistoricalStockProgress[[#This Row],[Full Company Name]],HistoricalStockProgress[[#This Row],[Date]],,2,0,1)),0)</f>
        <v>0</v>
      </c>
      <c r="M1174" s="34">
        <f>YEAR(HistoricalStockProgress[[#This Row],[Date]])</f>
        <v>2021</v>
      </c>
      <c r="N1174" s="34">
        <f>MONTH(HistoricalStockProgress[[#This Row],[Date]])</f>
        <v>12</v>
      </c>
    </row>
    <row r="1175" spans="2:14">
      <c r="B1175" s="15">
        <v>44561</v>
      </c>
      <c r="C1175" s="34" t="s">
        <v>18</v>
      </c>
      <c r="D1175" s="34" t="e" vm="5">
        <f>_xlfn.XLOOKUP(HistoricalStockProgress[[#This Row],[Company Ticker]],CompanyDetailsList[Company Ticker],CompanyDetailsList[Official Name],,0)</f>
        <v>#VALUE!</v>
      </c>
      <c r="E11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37</v>
      </c>
      <c r="F11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5913.3283083863271</v>
      </c>
      <c r="G1175" s="17">
        <f>IFERROR(HistoricalStockProgress[[#This Row],[Cost of Shares]]/HistoricalStockProgress[[#This Row],[No. of Shares]],0)</f>
        <v>159.81968401044128</v>
      </c>
      <c r="H1175" s="16" vm="1694">
        <v>173.71</v>
      </c>
      <c r="I1175" s="16">
        <f>IF(HistoricalStockProgress[[#This Row],[No. of Shares]]&lt;&gt;0,HistoricalStockProgress[[#This Row],[Price of Shares]]*HistoricalStockProgress[[#This Row],[No. of Shares]],0)</f>
        <v>6427.27</v>
      </c>
      <c r="J1175" s="16">
        <f>IF(HistoricalStockProgress[[#This Row],[No. of Shares]]&lt;&gt;0,HistoricalStockProgress[[#This Row],[Price of Shares]]-HistoricalStockProgress[[#This Row],[Cost of Shares]]/HistoricalStockProgress[[#This Row],[No. of Shares]],0)</f>
        <v>13.890315989558729</v>
      </c>
      <c r="K1175" s="17">
        <f>IF(HistoricalStockProgress[[#This Row],[Total Price of Shares]]&lt;&gt;0,HistoricalStockProgress[[#This Row],[Total Price of Shares]]-HistoricalStockProgress[[#This Row],[Cost of Shares]],0)</f>
        <v>513.94169161367336</v>
      </c>
      <c r="L1175" s="34" t="b" cm="1">
        <f t="array" ref="L1175">IFERROR(IF(HistoricalStockProgress[[#This Row],[Price of Shares]]="",_xlfn.STOCKHISTORY(HistoricalStockProgress[[#This Row],[Full Company Name]],HistoricalStockProgress[[#This Row],[Date]],,2,0,1)),0)</f>
        <v>0</v>
      </c>
      <c r="M1175" s="34">
        <f>YEAR(HistoricalStockProgress[[#This Row],[Date]])</f>
        <v>2021</v>
      </c>
      <c r="N1175" s="34">
        <f>MONTH(HistoricalStockProgress[[#This Row],[Date]])</f>
        <v>12</v>
      </c>
    </row>
    <row r="1176" spans="2:14">
      <c r="B1176" s="15">
        <v>44561</v>
      </c>
      <c r="C1176" s="34" t="s">
        <v>21</v>
      </c>
      <c r="D1176" s="34" t="e" vm="6">
        <f>_xlfn.XLOOKUP(HistoricalStockProgress[[#This Row],[Company Ticker]],CompanyDetailsList[Company Ticker],CompanyDetailsList[Official Name],,0)</f>
        <v>#VALUE!</v>
      </c>
      <c r="E11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1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3654.8914204824332</v>
      </c>
      <c r="G1176" s="17">
        <f>IFERROR(HistoricalStockProgress[[#This Row],[Cost of Shares]]/HistoricalStockProgress[[#This Row],[No. of Shares]],0)</f>
        <v>130.53183644580119</v>
      </c>
      <c r="H1176" s="16" vm="1695">
        <v>163.58000000000001</v>
      </c>
      <c r="I1176" s="16">
        <f>IF(HistoricalStockProgress[[#This Row],[No. of Shares]]&lt;&gt;0,HistoricalStockProgress[[#This Row],[Price of Shares]]*HistoricalStockProgress[[#This Row],[No. of Shares]],0)</f>
        <v>4580.2400000000007</v>
      </c>
      <c r="J1176" s="16">
        <f>IF(HistoricalStockProgress[[#This Row],[No. of Shares]]&lt;&gt;0,HistoricalStockProgress[[#This Row],[Price of Shares]]-HistoricalStockProgress[[#This Row],[Cost of Shares]]/HistoricalStockProgress[[#This Row],[No. of Shares]],0)</f>
        <v>33.048163554198823</v>
      </c>
      <c r="K1176" s="17">
        <f>IF(HistoricalStockProgress[[#This Row],[Total Price of Shares]]&lt;&gt;0,HistoricalStockProgress[[#This Row],[Total Price of Shares]]-HistoricalStockProgress[[#This Row],[Cost of Shares]],0)</f>
        <v>925.34857951756749</v>
      </c>
      <c r="L1176" s="34" t="b" cm="1">
        <f t="array" ref="L1176">IFERROR(IF(HistoricalStockProgress[[#This Row],[Price of Shares]]="",_xlfn.STOCKHISTORY(HistoricalStockProgress[[#This Row],[Full Company Name]],HistoricalStockProgress[[#This Row],[Date]],,2,0,1)),0)</f>
        <v>0</v>
      </c>
      <c r="M1176" s="34">
        <f>YEAR(HistoricalStockProgress[[#This Row],[Date]])</f>
        <v>2021</v>
      </c>
      <c r="N1176" s="34">
        <f>MONTH(HistoricalStockProgress[[#This Row],[Date]])</f>
        <v>12</v>
      </c>
    </row>
    <row r="1177" spans="2:14">
      <c r="B1177" s="15">
        <v>44561</v>
      </c>
      <c r="C1177" s="34" t="s">
        <v>84</v>
      </c>
      <c r="D1177" s="34" t="e" vm="7">
        <f>_xlfn.XLOOKUP(HistoricalStockProgress[[#This Row],[Company Ticker]],CompanyDetailsList[Company Ticker],CompanyDetailsList[Official Name],,0)</f>
        <v>#VALUE!</v>
      </c>
      <c r="E11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1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177" s="17">
        <f>IFERROR(HistoricalStockProgress[[#This Row],[Cost of Shares]]/HistoricalStockProgress[[#This Row],[No. of Shares]],0)</f>
        <v>104.18087504950869</v>
      </c>
      <c r="H1177" s="16" vm="1696">
        <v>171.07</v>
      </c>
      <c r="I1177" s="16">
        <f>IF(HistoricalStockProgress[[#This Row],[No. of Shares]]&lt;&gt;0,HistoricalStockProgress[[#This Row],[Price of Shares]]*HistoricalStockProgress[[#This Row],[No. of Shares]],0)</f>
        <v>8724.57</v>
      </c>
      <c r="J1177" s="16">
        <f>IF(HistoricalStockProgress[[#This Row],[No. of Shares]]&lt;&gt;0,HistoricalStockProgress[[#This Row],[Price of Shares]]-HistoricalStockProgress[[#This Row],[Cost of Shares]]/HistoricalStockProgress[[#This Row],[No. of Shares]],0)</f>
        <v>66.889124950491308</v>
      </c>
      <c r="K1177" s="17">
        <f>IF(HistoricalStockProgress[[#This Row],[Total Price of Shares]]&lt;&gt;0,HistoricalStockProgress[[#This Row],[Total Price of Shares]]-HistoricalStockProgress[[#This Row],[Cost of Shares]],0)</f>
        <v>3411.345372475057</v>
      </c>
      <c r="L1177" s="34" t="b" cm="1">
        <f t="array" ref="L1177">IFERROR(IF(HistoricalStockProgress[[#This Row],[Price of Shares]]="",_xlfn.STOCKHISTORY(HistoricalStockProgress[[#This Row],[Full Company Name]],HistoricalStockProgress[[#This Row],[Date]],,2,0,1)),0)</f>
        <v>0</v>
      </c>
      <c r="M1177" s="34">
        <f>YEAR(HistoricalStockProgress[[#This Row],[Date]])</f>
        <v>2021</v>
      </c>
      <c r="N1177" s="34">
        <f>MONTH(HistoricalStockProgress[[#This Row],[Date]])</f>
        <v>12</v>
      </c>
    </row>
    <row r="1178" spans="2:14">
      <c r="B1178" s="15">
        <v>44561</v>
      </c>
      <c r="C1178" s="34" t="s">
        <v>86</v>
      </c>
      <c r="D1178" s="34" t="e" vm="8">
        <f>_xlfn.XLOOKUP(HistoricalStockProgress[[#This Row],[Company Ticker]],CompanyDetailsList[Company Ticker],CompanyDetailsList[Official Name],,0)</f>
        <v>#VALUE!</v>
      </c>
      <c r="E11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1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178" s="17">
        <f>IFERROR(HistoricalStockProgress[[#This Row],[Cost of Shares]]/HistoricalStockProgress[[#This Row],[No. of Shares]],0)</f>
        <v>92.636161128673535</v>
      </c>
      <c r="H1178" s="16" vm="1697">
        <v>135.4</v>
      </c>
      <c r="I1178" s="16">
        <f>IF(HistoricalStockProgress[[#This Row],[No. of Shares]]&lt;&gt;0,HistoricalStockProgress[[#This Row],[Price of Shares]]*HistoricalStockProgress[[#This Row],[No. of Shares]],0)</f>
        <v>15435.6</v>
      </c>
      <c r="J1178" s="16">
        <f>IF(HistoricalStockProgress[[#This Row],[No. of Shares]]&lt;&gt;0,HistoricalStockProgress[[#This Row],[Price of Shares]]-HistoricalStockProgress[[#This Row],[Cost of Shares]]/HistoricalStockProgress[[#This Row],[No. of Shares]],0)</f>
        <v>42.76383887132647</v>
      </c>
      <c r="K1178" s="17">
        <f>IF(HistoricalStockProgress[[#This Row],[Total Price of Shares]]&lt;&gt;0,HistoricalStockProgress[[#This Row],[Total Price of Shares]]-HistoricalStockProgress[[#This Row],[Cost of Shares]],0)</f>
        <v>4875.0776313312181</v>
      </c>
      <c r="L1178" s="34" t="b" cm="1">
        <f t="array" ref="L1178">IFERROR(IF(HistoricalStockProgress[[#This Row],[Price of Shares]]="",_xlfn.STOCKHISTORY(HistoricalStockProgress[[#This Row],[Full Company Name]],HistoricalStockProgress[[#This Row],[Date]],,2,0,1)),0)</f>
        <v>0</v>
      </c>
      <c r="M1178" s="34">
        <f>YEAR(HistoricalStockProgress[[#This Row],[Date]])</f>
        <v>2021</v>
      </c>
      <c r="N1178" s="34">
        <f>MONTH(HistoricalStockProgress[[#This Row],[Date]])</f>
        <v>12</v>
      </c>
    </row>
    <row r="1179" spans="2:14">
      <c r="B1179" s="15">
        <v>44561</v>
      </c>
      <c r="C1179" s="34" t="s">
        <v>88</v>
      </c>
      <c r="D1179" s="34" t="e" vm="9">
        <f>_xlfn.XLOOKUP(HistoricalStockProgress[[#This Row],[Company Ticker]],CompanyDetailsList[Company Ticker],CompanyDetailsList[Official Name],,0)</f>
        <v>#VALUE!</v>
      </c>
      <c r="E11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1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179" s="17">
        <f>IFERROR(HistoricalStockProgress[[#This Row],[Cost of Shares]]/HistoricalStockProgress[[#This Row],[No. of Shares]],0)</f>
        <v>187.727755253422</v>
      </c>
      <c r="H1179" s="16" vm="1698">
        <v>268.07</v>
      </c>
      <c r="I1179" s="16">
        <f>IF(HistoricalStockProgress[[#This Row],[No. of Shares]]&lt;&gt;0,HistoricalStockProgress[[#This Row],[Price of Shares]]*HistoricalStockProgress[[#This Row],[No. of Shares]],0)</f>
        <v>15816.13</v>
      </c>
      <c r="J1179" s="16">
        <f>IF(HistoricalStockProgress[[#This Row],[No. of Shares]]&lt;&gt;0,HistoricalStockProgress[[#This Row],[Price of Shares]]-HistoricalStockProgress[[#This Row],[Cost of Shares]]/HistoricalStockProgress[[#This Row],[No. of Shares]],0)</f>
        <v>80.34224474657799</v>
      </c>
      <c r="K1179" s="17">
        <f>IF(HistoricalStockProgress[[#This Row],[Total Price of Shares]]&lt;&gt;0,HistoricalStockProgress[[#This Row],[Total Price of Shares]]-HistoricalStockProgress[[#This Row],[Cost of Shares]],0)</f>
        <v>4740.1924400481003</v>
      </c>
      <c r="L1179" s="34" t="b" cm="1">
        <f t="array" ref="L1179">IFERROR(IF(HistoricalStockProgress[[#This Row],[Price of Shares]]="",_xlfn.STOCKHISTORY(HistoricalStockProgress[[#This Row],[Full Company Name]],HistoricalStockProgress[[#This Row],[Date]],,2,0,1)),0)</f>
        <v>0</v>
      </c>
      <c r="M1179" s="34">
        <f>YEAR(HistoricalStockProgress[[#This Row],[Date]])</f>
        <v>2021</v>
      </c>
      <c r="N1179" s="34">
        <f>MONTH(HistoricalStockProgress[[#This Row],[Date]])</f>
        <v>12</v>
      </c>
    </row>
    <row r="1180" spans="2:14">
      <c r="B1180" s="15">
        <v>44561</v>
      </c>
      <c r="C1180" s="34" t="s">
        <v>22</v>
      </c>
      <c r="D1180" s="34" t="e" vm="10">
        <f>_xlfn.XLOOKUP(HistoricalStockProgress[[#This Row],[Company Ticker]],CompanyDetailsList[Company Ticker],CompanyDetailsList[Official Name],,0)</f>
        <v>#VALUE!</v>
      </c>
      <c r="E11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11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13175.976249073738</v>
      </c>
      <c r="G1180" s="17">
        <f>IFERROR(HistoricalStockProgress[[#This Row],[Cost of Shares]]/HistoricalStockProgress[[#This Row],[No. of Shares]],0)</f>
        <v>124.30166272711074</v>
      </c>
      <c r="H1180" s="16" vm="1699">
        <v>206.74</v>
      </c>
      <c r="I1180" s="16">
        <f>IF(HistoricalStockProgress[[#This Row],[No. of Shares]]&lt;&gt;0,HistoricalStockProgress[[#This Row],[Price of Shares]]*HistoricalStockProgress[[#This Row],[No. of Shares]],0)</f>
        <v>21914.440000000002</v>
      </c>
      <c r="J1180" s="16">
        <f>IF(HistoricalStockProgress[[#This Row],[No. of Shares]]&lt;&gt;0,HistoricalStockProgress[[#This Row],[Price of Shares]]-HistoricalStockProgress[[#This Row],[Cost of Shares]]/HistoricalStockProgress[[#This Row],[No. of Shares]],0)</f>
        <v>82.438337272889271</v>
      </c>
      <c r="K1180" s="17">
        <f>IF(HistoricalStockProgress[[#This Row],[Total Price of Shares]]&lt;&gt;0,HistoricalStockProgress[[#This Row],[Total Price of Shares]]-HistoricalStockProgress[[#This Row],[Cost of Shares]],0)</f>
        <v>8738.4637509262648</v>
      </c>
      <c r="L1180" s="34" t="b" cm="1">
        <f t="array" ref="L1180">IFERROR(IF(HistoricalStockProgress[[#This Row],[Price of Shares]]="",_xlfn.STOCKHISTORY(HistoricalStockProgress[[#This Row],[Full Company Name]],HistoricalStockProgress[[#This Row],[Date]],,2,0,1)),0)</f>
        <v>0</v>
      </c>
      <c r="M1180" s="34">
        <f>YEAR(HistoricalStockProgress[[#This Row],[Date]])</f>
        <v>2021</v>
      </c>
      <c r="N1180" s="34">
        <f>MONTH(HistoricalStockProgress[[#This Row],[Date]])</f>
        <v>12</v>
      </c>
    </row>
    <row r="1181" spans="2:14">
      <c r="B1181" s="15">
        <v>44561</v>
      </c>
      <c r="C1181" s="34" t="s">
        <v>91</v>
      </c>
      <c r="D1181" s="34" t="e" vm="11">
        <f>_xlfn.XLOOKUP(HistoricalStockProgress[[#This Row],[Company Ticker]],CompanyDetailsList[Company Ticker],CompanyDetailsList[Official Name],,0)</f>
        <v>#VALUE!</v>
      </c>
      <c r="E11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11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1181" s="17">
        <f>IFERROR(HistoricalStockProgress[[#This Row],[Cost of Shares]]/HistoricalStockProgress[[#This Row],[No. of Shares]],0)</f>
        <v>100.94993172657422</v>
      </c>
      <c r="H1181" s="16" vm="1700">
        <v>336.32</v>
      </c>
      <c r="I1181" s="16">
        <f>IF(HistoricalStockProgress[[#This Row],[No. of Shares]]&lt;&gt;0,HistoricalStockProgress[[#This Row],[Price of Shares]]*HistoricalStockProgress[[#This Row],[No. of Shares]],0)</f>
        <v>49439.040000000001</v>
      </c>
      <c r="J1181" s="16">
        <f>IF(HistoricalStockProgress[[#This Row],[No. of Shares]]&lt;&gt;0,HistoricalStockProgress[[#This Row],[Price of Shares]]-HistoricalStockProgress[[#This Row],[Cost of Shares]]/HistoricalStockProgress[[#This Row],[No. of Shares]],0)</f>
        <v>235.37006827342577</v>
      </c>
      <c r="K1181" s="17">
        <f>IF(HistoricalStockProgress[[#This Row],[Total Price of Shares]]&lt;&gt;0,HistoricalStockProgress[[#This Row],[Total Price of Shares]]-HistoricalStockProgress[[#This Row],[Cost of Shares]],0)</f>
        <v>34599.40003619359</v>
      </c>
      <c r="L1181" s="34" t="b" cm="1">
        <f t="array" ref="L1181">IFERROR(IF(HistoricalStockProgress[[#This Row],[Price of Shares]]="",_xlfn.STOCKHISTORY(HistoricalStockProgress[[#This Row],[Full Company Name]],HistoricalStockProgress[[#This Row],[Date]],,2,0,1)),0)</f>
        <v>0</v>
      </c>
      <c r="M1181" s="34">
        <f>YEAR(HistoricalStockProgress[[#This Row],[Date]])</f>
        <v>2021</v>
      </c>
      <c r="N1181" s="34">
        <f>MONTH(HistoricalStockProgress[[#This Row],[Date]])</f>
        <v>12</v>
      </c>
    </row>
    <row r="1182" spans="2:14">
      <c r="B1182" s="15">
        <v>44561</v>
      </c>
      <c r="C1182" s="34" t="s">
        <v>16</v>
      </c>
      <c r="D1182" s="34" t="e" vm="12">
        <f>_xlfn.XLOOKUP(HistoricalStockProgress[[#This Row],[Company Ticker]],CompanyDetailsList[Company Ticker],CompanyDetailsList[Official Name],,0)</f>
        <v>#VALUE!</v>
      </c>
      <c r="E11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1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182" s="17">
        <f>IFERROR(HistoricalStockProgress[[#This Row],[Cost of Shares]]/HistoricalStockProgress[[#This Row],[No. of Shares]],0)</f>
        <v>75.117698177311837</v>
      </c>
      <c r="H1182" s="16" vm="1701">
        <v>61.19</v>
      </c>
      <c r="I1182" s="16">
        <f>IF(HistoricalStockProgress[[#This Row],[No. of Shares]]&lt;&gt;0,HistoricalStockProgress[[#This Row],[Price of Shares]]*HistoricalStockProgress[[#This Row],[No. of Shares]],0)</f>
        <v>11320.15</v>
      </c>
      <c r="J1182" s="16">
        <f>IF(HistoricalStockProgress[[#This Row],[No. of Shares]]&lt;&gt;0,HistoricalStockProgress[[#This Row],[Price of Shares]]-HistoricalStockProgress[[#This Row],[Cost of Shares]]/HistoricalStockProgress[[#This Row],[No. of Shares]],0)</f>
        <v>-13.927698177311839</v>
      </c>
      <c r="K1182" s="17">
        <f>IF(HistoricalStockProgress[[#This Row],[Total Price of Shares]]&lt;&gt;0,HistoricalStockProgress[[#This Row],[Total Price of Shares]]-HistoricalStockProgress[[#This Row],[Cost of Shares]],0)</f>
        <v>-2576.6241628026892</v>
      </c>
      <c r="L1182" s="34" t="b" cm="1">
        <f t="array" ref="L1182">IFERROR(IF(HistoricalStockProgress[[#This Row],[Price of Shares]]="",_xlfn.STOCKHISTORY(HistoricalStockProgress[[#This Row],[Full Company Name]],HistoricalStockProgress[[#This Row],[Date]],,2,0,1)),0)</f>
        <v>0</v>
      </c>
      <c r="M1182" s="34">
        <f>YEAR(HistoricalStockProgress[[#This Row],[Date]])</f>
        <v>2021</v>
      </c>
      <c r="N1182" s="34">
        <f>MONTH(HistoricalStockProgress[[#This Row],[Date]])</f>
        <v>12</v>
      </c>
    </row>
    <row r="1183" spans="2:14">
      <c r="B1183" s="15">
        <v>44561</v>
      </c>
      <c r="C1183" s="34" t="s">
        <v>95</v>
      </c>
      <c r="D1183" s="34" t="e" vm="13">
        <f>_xlfn.XLOOKUP(HistoricalStockProgress[[#This Row],[Company Ticker]],CompanyDetailsList[Company Ticker],CompanyDetailsList[Official Name],,0)</f>
        <v>#VALUE!</v>
      </c>
      <c r="E11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1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10324.055787336294</v>
      </c>
      <c r="G1183" s="17">
        <f>IFERROR(HistoricalStockProgress[[#This Row],[Cost of Shares]]/HistoricalStockProgress[[#This Row],[No. of Shares]],0)</f>
        <v>184.35813905957667</v>
      </c>
      <c r="H1183" s="16" vm="1702">
        <v>415.01</v>
      </c>
      <c r="I1183" s="16">
        <f>IF(HistoricalStockProgress[[#This Row],[No. of Shares]]&lt;&gt;0,HistoricalStockProgress[[#This Row],[Price of Shares]]*HistoricalStockProgress[[#This Row],[No. of Shares]],0)</f>
        <v>23240.559999999998</v>
      </c>
      <c r="J1183" s="16">
        <f>IF(HistoricalStockProgress[[#This Row],[No. of Shares]]&lt;&gt;0,HistoricalStockProgress[[#This Row],[Price of Shares]]-HistoricalStockProgress[[#This Row],[Cost of Shares]]/HistoricalStockProgress[[#This Row],[No. of Shares]],0)</f>
        <v>230.65186094042332</v>
      </c>
      <c r="K1183" s="17">
        <f>IF(HistoricalStockProgress[[#This Row],[Total Price of Shares]]&lt;&gt;0,HistoricalStockProgress[[#This Row],[Total Price of Shares]]-HistoricalStockProgress[[#This Row],[Cost of Shares]],0)</f>
        <v>12916.504212663704</v>
      </c>
      <c r="L1183" s="34" t="b" cm="1">
        <f t="array" ref="L1183">IFERROR(IF(HistoricalStockProgress[[#This Row],[Price of Shares]]="",_xlfn.STOCKHISTORY(HistoricalStockProgress[[#This Row],[Full Company Name]],HistoricalStockProgress[[#This Row],[Date]],,2,0,1)),0)</f>
        <v>0</v>
      </c>
      <c r="M1183" s="34">
        <f>YEAR(HistoricalStockProgress[[#This Row],[Date]])</f>
        <v>2021</v>
      </c>
      <c r="N1183" s="34">
        <f>MONTH(HistoricalStockProgress[[#This Row],[Date]])</f>
        <v>12</v>
      </c>
    </row>
    <row r="1184" spans="2:14">
      <c r="B1184" s="15">
        <v>44561</v>
      </c>
      <c r="C1184" s="34" t="s">
        <v>17</v>
      </c>
      <c r="D1184" s="34" t="e" vm="14">
        <f>_xlfn.XLOOKUP(HistoricalStockProgress[[#This Row],[Company Ticker]],CompanyDetailsList[Company Ticker],CompanyDetailsList[Official Name],,0)</f>
        <v>#VALUE!</v>
      </c>
      <c r="E11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144</v>
      </c>
      <c r="F11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19925.416733069331</v>
      </c>
      <c r="G1184" s="17">
        <f>IFERROR(HistoricalStockProgress[[#This Row],[Cost of Shares]]/HistoricalStockProgress[[#This Row],[No. of Shares]],0)</f>
        <v>138.37094953520369</v>
      </c>
      <c r="H1184" s="16" vm="1703">
        <v>133.66</v>
      </c>
      <c r="I1184" s="16">
        <f>IF(HistoricalStockProgress[[#This Row],[No. of Shares]]&lt;&gt;0,HistoricalStockProgress[[#This Row],[Price of Shares]]*HistoricalStockProgress[[#This Row],[No. of Shares]],0)</f>
        <v>19247.04</v>
      </c>
      <c r="J1184" s="16">
        <f>IF(HistoricalStockProgress[[#This Row],[No. of Shares]]&lt;&gt;0,HistoricalStockProgress[[#This Row],[Price of Shares]]-HistoricalStockProgress[[#This Row],[Cost of Shares]]/HistoricalStockProgress[[#This Row],[No. of Shares]],0)</f>
        <v>-4.7109495352036959</v>
      </c>
      <c r="K1184" s="17">
        <f>IF(HistoricalStockProgress[[#This Row],[Total Price of Shares]]&lt;&gt;0,HistoricalStockProgress[[#This Row],[Total Price of Shares]]-HistoricalStockProgress[[#This Row],[Cost of Shares]],0)</f>
        <v>-678.37673306932993</v>
      </c>
      <c r="L1184" s="34" t="b" cm="1">
        <f t="array" ref="L1184">IFERROR(IF(HistoricalStockProgress[[#This Row],[Price of Shares]]="",_xlfn.STOCKHISTORY(HistoricalStockProgress[[#This Row],[Full Company Name]],HistoricalStockProgress[[#This Row],[Date]],,2,0,1)),0)</f>
        <v>0</v>
      </c>
      <c r="M1184" s="34">
        <f>YEAR(HistoricalStockProgress[[#This Row],[Date]])</f>
        <v>2021</v>
      </c>
      <c r="N1184" s="34">
        <f>MONTH(HistoricalStockProgress[[#This Row],[Date]])</f>
        <v>12</v>
      </c>
    </row>
    <row r="1185" spans="2:14">
      <c r="B1185" s="15">
        <v>44561</v>
      </c>
      <c r="C1185" s="34" t="s">
        <v>98</v>
      </c>
      <c r="D1185" s="34" t="e" vm="15">
        <f>_xlfn.XLOOKUP(HistoricalStockProgress[[#This Row],[Company Ticker]],CompanyDetailsList[Company Ticker],CompanyDetailsList[Official Name],,0)</f>
        <v>#VALUE!</v>
      </c>
      <c r="E11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108</v>
      </c>
      <c r="F11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5486.2959177385774</v>
      </c>
      <c r="G1185" s="17">
        <f>IFERROR(HistoricalStockProgress[[#This Row],[Cost of Shares]]/HistoricalStockProgress[[#This Row],[No. of Shares]],0)</f>
        <v>50.799036275357196</v>
      </c>
      <c r="H1185" s="16" vm="1704">
        <v>93.36</v>
      </c>
      <c r="I1185" s="16">
        <f>IF(HistoricalStockProgress[[#This Row],[No. of Shares]]&lt;&gt;0,HistoricalStockProgress[[#This Row],[Price of Shares]]*HistoricalStockProgress[[#This Row],[No. of Shares]],0)</f>
        <v>10082.879999999999</v>
      </c>
      <c r="J1185" s="16">
        <f>IF(HistoricalStockProgress[[#This Row],[No. of Shares]]&lt;&gt;0,HistoricalStockProgress[[#This Row],[Price of Shares]]-HistoricalStockProgress[[#This Row],[Cost of Shares]]/HistoricalStockProgress[[#This Row],[No. of Shares]],0)</f>
        <v>42.560963724642804</v>
      </c>
      <c r="K1185" s="17">
        <f>IF(HistoricalStockProgress[[#This Row],[Total Price of Shares]]&lt;&gt;0,HistoricalStockProgress[[#This Row],[Total Price of Shares]]-HistoricalStockProgress[[#This Row],[Cost of Shares]],0)</f>
        <v>4596.5840822614218</v>
      </c>
      <c r="L1185" s="34" t="b" cm="1">
        <f t="array" ref="L1185">IFERROR(IF(HistoricalStockProgress[[#This Row],[Price of Shares]]="",_xlfn.STOCKHISTORY(HistoricalStockProgress[[#This Row],[Full Company Name]],HistoricalStockProgress[[#This Row],[Date]],,2,0,1)),0)</f>
        <v>0</v>
      </c>
      <c r="M1185" s="34">
        <f>YEAR(HistoricalStockProgress[[#This Row],[Date]])</f>
        <v>2021</v>
      </c>
      <c r="N1185" s="34">
        <f>MONTH(HistoricalStockProgress[[#This Row],[Date]])</f>
        <v>12</v>
      </c>
    </row>
    <row r="1186" spans="2:14">
      <c r="B1186" s="15">
        <v>44561</v>
      </c>
      <c r="C1186" s="34" t="s">
        <v>100</v>
      </c>
      <c r="D1186" s="34" t="e" vm="16">
        <f>_xlfn.XLOOKUP(HistoricalStockProgress[[#This Row],[Company Ticker]],CompanyDetailsList[Company Ticker],CompanyDetailsList[Official Name],,0)</f>
        <v>#VALUE!</v>
      </c>
      <c r="E11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11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12257.793853370842</v>
      </c>
      <c r="G1186" s="17">
        <f>IFERROR(HistoricalStockProgress[[#This Row],[Cost of Shares]]/HistoricalStockProgress[[#This Row],[No. of Shares]],0)</f>
        <v>87.555670381220295</v>
      </c>
      <c r="H1186" s="16" vm="1705">
        <v>104.9</v>
      </c>
      <c r="I1186" s="16">
        <f>IF(HistoricalStockProgress[[#This Row],[No. of Shares]]&lt;&gt;0,HistoricalStockProgress[[#This Row],[Price of Shares]]*HistoricalStockProgress[[#This Row],[No. of Shares]],0)</f>
        <v>14686</v>
      </c>
      <c r="J1186" s="16">
        <f>IF(HistoricalStockProgress[[#This Row],[No. of Shares]]&lt;&gt;0,HistoricalStockProgress[[#This Row],[Price of Shares]]-HistoricalStockProgress[[#This Row],[Cost of Shares]]/HistoricalStockProgress[[#This Row],[No. of Shares]],0)</f>
        <v>17.34432961877971</v>
      </c>
      <c r="K1186" s="17">
        <f>IF(HistoricalStockProgress[[#This Row],[Total Price of Shares]]&lt;&gt;0,HistoricalStockProgress[[#This Row],[Total Price of Shares]]-HistoricalStockProgress[[#This Row],[Cost of Shares]],0)</f>
        <v>2428.206146629158</v>
      </c>
      <c r="L1186" s="34" t="b" cm="1">
        <f t="array" ref="L1186">IFERROR(IF(HistoricalStockProgress[[#This Row],[Price of Shares]]="",_xlfn.STOCKHISTORY(HistoricalStockProgress[[#This Row],[Full Company Name]],HistoricalStockProgress[[#This Row],[Date]],,2,0,1)),0)</f>
        <v>0</v>
      </c>
      <c r="M1186" s="34">
        <f>YEAR(HistoricalStockProgress[[#This Row],[Date]])</f>
        <v>2021</v>
      </c>
      <c r="N1186" s="34">
        <f>MONTH(HistoricalStockProgress[[#This Row],[Date]])</f>
        <v>12</v>
      </c>
    </row>
    <row r="1187" spans="2:14">
      <c r="B1187" s="15">
        <v>44561</v>
      </c>
      <c r="C1187" s="34" t="s">
        <v>15</v>
      </c>
      <c r="D1187" s="34" t="e" vm="17">
        <f>_xlfn.XLOOKUP(HistoricalStockProgress[[#This Row],[Company Ticker]],CompanyDetailsList[Company Ticker],CompanyDetailsList[Official Name],,0)</f>
        <v>#VALUE!</v>
      </c>
      <c r="E11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1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187" s="17">
        <f>IFERROR(HistoricalStockProgress[[#This Row],[Cost of Shares]]/HistoricalStockProgress[[#This Row],[No. of Shares]],0)</f>
        <v>26.081956457072195</v>
      </c>
      <c r="H1187" s="16" vm="1706">
        <v>18.577400000000001</v>
      </c>
      <c r="I1187" s="16">
        <f>IF(HistoricalStockProgress[[#This Row],[No. of Shares]]&lt;&gt;0,HistoricalStockProgress[[#This Row],[Price of Shares]]*HistoricalStockProgress[[#This Row],[No. of Shares]],0)</f>
        <v>2303.5976000000001</v>
      </c>
      <c r="J1187" s="16">
        <f>IF(HistoricalStockProgress[[#This Row],[No. of Shares]]&lt;&gt;0,HistoricalStockProgress[[#This Row],[Price of Shares]]-HistoricalStockProgress[[#This Row],[Cost of Shares]]/HistoricalStockProgress[[#This Row],[No. of Shares]],0)</f>
        <v>-7.5045564570721943</v>
      </c>
      <c r="K1187" s="17">
        <f>IF(HistoricalStockProgress[[#This Row],[Total Price of Shares]]&lt;&gt;0,HistoricalStockProgress[[#This Row],[Total Price of Shares]]-HistoricalStockProgress[[#This Row],[Cost of Shares]],0)</f>
        <v>-930.56500067695197</v>
      </c>
      <c r="L1187" s="34" t="b" cm="1">
        <f t="array" ref="L1187">IFERROR(IF(HistoricalStockProgress[[#This Row],[Price of Shares]]="",_xlfn.STOCKHISTORY(HistoricalStockProgress[[#This Row],[Full Company Name]],HistoricalStockProgress[[#This Row],[Date]],,2,0,1)),0)</f>
        <v>0</v>
      </c>
      <c r="M1187" s="34">
        <f>YEAR(HistoricalStockProgress[[#This Row],[Date]])</f>
        <v>2021</v>
      </c>
      <c r="N1187" s="34">
        <f>MONTH(HistoricalStockProgress[[#This Row],[Date]])</f>
        <v>12</v>
      </c>
    </row>
    <row r="1188" spans="2:14">
      <c r="B1188" s="15">
        <v>44561</v>
      </c>
      <c r="C1188" s="34" t="s">
        <v>13</v>
      </c>
      <c r="D1188" s="34" t="e" vm="18">
        <f>_xlfn.XLOOKUP(HistoricalStockProgress[[#This Row],[Company Ticker]],CompanyDetailsList[Company Ticker],CompanyDetailsList[Official Name],,0)</f>
        <v>#VALUE!</v>
      </c>
      <c r="E11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1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188" s="17">
        <f>IFERROR(HistoricalStockProgress[[#This Row],[Cost of Shares]]/HistoricalStockProgress[[#This Row],[No. of Shares]],0)</f>
        <v>35.846938938346874</v>
      </c>
      <c r="H1188" s="16" vm="1707">
        <v>59.05</v>
      </c>
      <c r="I1188" s="16">
        <f>IF(HistoricalStockProgress[[#This Row],[No. of Shares]]&lt;&gt;0,HistoricalStockProgress[[#This Row],[Price of Shares]]*HistoricalStockProgress[[#This Row],[No. of Shares]],0)</f>
        <v>3247.75</v>
      </c>
      <c r="J1188" s="16">
        <f>IF(HistoricalStockProgress[[#This Row],[No. of Shares]]&lt;&gt;0,HistoricalStockProgress[[#This Row],[Price of Shares]]-HistoricalStockProgress[[#This Row],[Cost of Shares]]/HistoricalStockProgress[[#This Row],[No. of Shares]],0)</f>
        <v>23.203061061653123</v>
      </c>
      <c r="K1188" s="17">
        <f>IF(HistoricalStockProgress[[#This Row],[Total Price of Shares]]&lt;&gt;0,HistoricalStockProgress[[#This Row],[Total Price of Shares]]-HistoricalStockProgress[[#This Row],[Cost of Shares]],0)</f>
        <v>1276.1683583909219</v>
      </c>
      <c r="L1188" s="34" t="b" cm="1">
        <f t="array" ref="L1188">IFERROR(IF(HistoricalStockProgress[[#This Row],[Price of Shares]]="",_xlfn.STOCKHISTORY(HistoricalStockProgress[[#This Row],[Full Company Name]],HistoricalStockProgress[[#This Row],[Date]],,2,0,1)),0)</f>
        <v>0</v>
      </c>
      <c r="M1188" s="34">
        <f>YEAR(HistoricalStockProgress[[#This Row],[Date]])</f>
        <v>2021</v>
      </c>
      <c r="N1188" s="34">
        <f>MONTH(HistoricalStockProgress[[#This Row],[Date]])</f>
        <v>12</v>
      </c>
    </row>
    <row r="1189" spans="2:14">
      <c r="B1189" s="15">
        <v>44561</v>
      </c>
      <c r="C1189" s="34" t="s">
        <v>20</v>
      </c>
      <c r="D1189" s="34" t="e" vm="19">
        <f>_xlfn.XLOOKUP(HistoricalStockProgress[[#This Row],[Company Ticker]],CompanyDetailsList[Company Ticker],CompanyDetailsList[Official Name],,0)</f>
        <v>#VALUE!</v>
      </c>
      <c r="E11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93</v>
      </c>
      <c r="F11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9585.7274858109122</v>
      </c>
      <c r="G1189" s="17">
        <f>IFERROR(HistoricalStockProgress[[#This Row],[Cost of Shares]]/HistoricalStockProgress[[#This Row],[No. of Shares]],0)</f>
        <v>103.07233855710658</v>
      </c>
      <c r="H1189" s="16" vm="1708">
        <v>158.35</v>
      </c>
      <c r="I1189" s="16">
        <f>IF(HistoricalStockProgress[[#This Row],[No. of Shares]]&lt;&gt;0,HistoricalStockProgress[[#This Row],[Price of Shares]]*HistoricalStockProgress[[#This Row],[No. of Shares]],0)</f>
        <v>14726.55</v>
      </c>
      <c r="J1189" s="16">
        <f>IF(HistoricalStockProgress[[#This Row],[No. of Shares]]&lt;&gt;0,HistoricalStockProgress[[#This Row],[Price of Shares]]-HistoricalStockProgress[[#This Row],[Cost of Shares]]/HistoricalStockProgress[[#This Row],[No. of Shares]],0)</f>
        <v>55.277661442893418</v>
      </c>
      <c r="K1189" s="17">
        <f>IF(HistoricalStockProgress[[#This Row],[Total Price of Shares]]&lt;&gt;0,HistoricalStockProgress[[#This Row],[Total Price of Shares]]-HistoricalStockProgress[[#This Row],[Cost of Shares]],0)</f>
        <v>5140.8225141890871</v>
      </c>
      <c r="L1189" s="34" t="b" cm="1">
        <f t="array" ref="L1189">IFERROR(IF(HistoricalStockProgress[[#This Row],[Price of Shares]]="",_xlfn.STOCKHISTORY(HistoricalStockProgress[[#This Row],[Full Company Name]],HistoricalStockProgress[[#This Row],[Date]],,2,0,1)),0)</f>
        <v>0</v>
      </c>
      <c r="M1189" s="34">
        <f>YEAR(HistoricalStockProgress[[#This Row],[Date]])</f>
        <v>2021</v>
      </c>
      <c r="N1189" s="34">
        <f>MONTH(HistoricalStockProgress[[#This Row],[Date]])</f>
        <v>12</v>
      </c>
    </row>
    <row r="1190" spans="2:14">
      <c r="B1190" s="15">
        <v>44561</v>
      </c>
      <c r="C1190" s="34" t="s">
        <v>106</v>
      </c>
      <c r="D1190" s="34" t="e" vm="20">
        <f>_xlfn.XLOOKUP(HistoricalStockProgress[[#This Row],[Company Ticker]],CompanyDetailsList[Company Ticker],CompanyDetailsList[Official Name],,0)</f>
        <v>#VALUE!</v>
      </c>
      <c r="E11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1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190" s="17">
        <f>IFERROR(HistoricalStockProgress[[#This Row],[Cost of Shares]]/HistoricalStockProgress[[#This Row],[No. of Shares]],0)</f>
        <v>108.54870748680406</v>
      </c>
      <c r="H1190" s="16" vm="1709">
        <v>172.44</v>
      </c>
      <c r="I1190" s="16">
        <f>IF(HistoricalStockProgress[[#This Row],[No. of Shares]]&lt;&gt;0,HistoricalStockProgress[[#This Row],[Price of Shares]]*HistoricalStockProgress[[#This Row],[No. of Shares]],0)</f>
        <v>15174.72</v>
      </c>
      <c r="J1190" s="16">
        <f>IF(HistoricalStockProgress[[#This Row],[No. of Shares]]&lt;&gt;0,HistoricalStockProgress[[#This Row],[Price of Shares]]-HistoricalStockProgress[[#This Row],[Cost of Shares]]/HistoricalStockProgress[[#This Row],[No. of Shares]],0)</f>
        <v>63.891292513195935</v>
      </c>
      <c r="K1190" s="17">
        <f>IF(HistoricalStockProgress[[#This Row],[Total Price of Shares]]&lt;&gt;0,HistoricalStockProgress[[#This Row],[Total Price of Shares]]-HistoricalStockProgress[[#This Row],[Cost of Shares]],0)</f>
        <v>5622.4337411612414</v>
      </c>
      <c r="L1190" s="34" t="b" cm="1">
        <f t="array" ref="L1190">IFERROR(IF(HistoricalStockProgress[[#This Row],[Price of Shares]]="",_xlfn.STOCKHISTORY(HistoricalStockProgress[[#This Row],[Full Company Name]],HistoricalStockProgress[[#This Row],[Date]],,2,0,1)),0)</f>
        <v>0</v>
      </c>
      <c r="M1190" s="34">
        <f>YEAR(HistoricalStockProgress[[#This Row],[Date]])</f>
        <v>2021</v>
      </c>
      <c r="N1190" s="34">
        <f>MONTH(HistoricalStockProgress[[#This Row],[Date]])</f>
        <v>12</v>
      </c>
    </row>
    <row r="1191" spans="2:14">
      <c r="B1191" s="15">
        <v>44592</v>
      </c>
      <c r="C1191" s="34" t="s">
        <v>12</v>
      </c>
      <c r="D1191" s="34" t="e" vm="1">
        <f>_xlfn.XLOOKUP(HistoricalStockProgress[[#This Row],[Company Ticker]],CompanyDetailsList[Company Ticker],CompanyDetailsList[Official Name],,0)</f>
        <v>#VALUE!</v>
      </c>
      <c r="E11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11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1191" s="17">
        <f>IFERROR(HistoricalStockProgress[[#This Row],[Cost of Shares]]/HistoricalStockProgress[[#This Row],[No. of Shares]],0)</f>
        <v>63.845182519411239</v>
      </c>
      <c r="H1191" s="16" vm="1710">
        <v>69.41</v>
      </c>
      <c r="I1191" s="16">
        <f>IF(HistoricalStockProgress[[#This Row],[No. of Shares]]&lt;&gt;0,HistoricalStockProgress[[#This Row],[Price of Shares]]*HistoricalStockProgress[[#This Row],[No. of Shares]],0)</f>
        <v>4442.24</v>
      </c>
      <c r="J1191" s="16">
        <f>IF(HistoricalStockProgress[[#This Row],[No. of Shares]]&lt;&gt;0,HistoricalStockProgress[[#This Row],[Price of Shares]]-HistoricalStockProgress[[#This Row],[Cost of Shares]]/HistoricalStockProgress[[#This Row],[No. of Shares]],0)</f>
        <v>5.5648174805887578</v>
      </c>
      <c r="K1191" s="17">
        <f>IF(HistoricalStockProgress[[#This Row],[Total Price of Shares]]&lt;&gt;0,HistoricalStockProgress[[#This Row],[Total Price of Shares]]-HistoricalStockProgress[[#This Row],[Cost of Shares]],0)</f>
        <v>356.1483187576805</v>
      </c>
      <c r="L1191" s="34" t="b" cm="1">
        <f t="array" ref="L1191">IFERROR(IF(HistoricalStockProgress[[#This Row],[Price of Shares]]="",_xlfn.STOCKHISTORY(HistoricalStockProgress[[#This Row],[Full Company Name]],HistoricalStockProgress[[#This Row],[Date]],,2,0,1)),0)</f>
        <v>0</v>
      </c>
      <c r="M1191" s="34">
        <f>YEAR(HistoricalStockProgress[[#This Row],[Date]])</f>
        <v>2022</v>
      </c>
      <c r="N1191" s="34">
        <f>MONTH(HistoricalStockProgress[[#This Row],[Date]])</f>
        <v>1</v>
      </c>
    </row>
    <row r="1192" spans="2:14">
      <c r="B1192" s="15">
        <v>44592</v>
      </c>
      <c r="C1192" s="34" t="s">
        <v>14</v>
      </c>
      <c r="D1192" s="34" t="e" vm="2">
        <f>_xlfn.XLOOKUP(HistoricalStockProgress[[#This Row],[Company Ticker]],CompanyDetailsList[Company Ticker],CompanyDetailsList[Official Name],,0)</f>
        <v>#VALUE!</v>
      </c>
      <c r="E11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1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192" s="17">
        <f>IFERROR(HistoricalStockProgress[[#This Row],[Cost of Shares]]/HistoricalStockProgress[[#This Row],[No. of Shares]],0)</f>
        <v>31.580112511620161</v>
      </c>
      <c r="H1192" s="16" vm="1711">
        <v>33.68</v>
      </c>
      <c r="I1192" s="16">
        <f>IF(HistoricalStockProgress[[#This Row],[No. of Shares]]&lt;&gt;0,HistoricalStockProgress[[#This Row],[Price of Shares]]*HistoricalStockProgress[[#This Row],[No. of Shares]],0)</f>
        <v>943.04</v>
      </c>
      <c r="J1192" s="16">
        <f>IF(HistoricalStockProgress[[#This Row],[No. of Shares]]&lt;&gt;0,HistoricalStockProgress[[#This Row],[Price of Shares]]-HistoricalStockProgress[[#This Row],[Cost of Shares]]/HistoricalStockProgress[[#This Row],[No. of Shares]],0)</f>
        <v>2.0998874883798386</v>
      </c>
      <c r="K1192" s="17">
        <f>IF(HistoricalStockProgress[[#This Row],[Total Price of Shares]]&lt;&gt;0,HistoricalStockProgress[[#This Row],[Total Price of Shares]]-HistoricalStockProgress[[#This Row],[Cost of Shares]],0)</f>
        <v>58.796849674635496</v>
      </c>
      <c r="L1192" s="34" t="b" cm="1">
        <f t="array" ref="L1192">IFERROR(IF(HistoricalStockProgress[[#This Row],[Price of Shares]]="",_xlfn.STOCKHISTORY(HistoricalStockProgress[[#This Row],[Full Company Name]],HistoricalStockProgress[[#This Row],[Date]],,2,0,1)),0)</f>
        <v>0</v>
      </c>
      <c r="M1192" s="34">
        <f>YEAR(HistoricalStockProgress[[#This Row],[Date]])</f>
        <v>2022</v>
      </c>
      <c r="N1192" s="34">
        <f>MONTH(HistoricalStockProgress[[#This Row],[Date]])</f>
        <v>1</v>
      </c>
    </row>
    <row r="1193" spans="2:14">
      <c r="B1193" s="15">
        <v>44592</v>
      </c>
      <c r="C1193" s="34" t="s">
        <v>19</v>
      </c>
      <c r="D1193" s="34" t="e" vm="3">
        <f>_xlfn.XLOOKUP(HistoricalStockProgress[[#This Row],[Company Ticker]],CompanyDetailsList[Company Ticker],CompanyDetailsList[Official Name],,0)</f>
        <v>#VALUE!</v>
      </c>
      <c r="E11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1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193" s="17">
        <f>IFERROR(HistoricalStockProgress[[#This Row],[Cost of Shares]]/HistoricalStockProgress[[#This Row],[No. of Shares]],0)</f>
        <v>158.45739987816083</v>
      </c>
      <c r="H1193" s="16" vm="1712">
        <v>167.86</v>
      </c>
      <c r="I1193" s="16">
        <f>IF(HistoricalStockProgress[[#This Row],[No. of Shares]]&lt;&gt;0,HistoricalStockProgress[[#This Row],[Price of Shares]]*HistoricalStockProgress[[#This Row],[No. of Shares]],0)</f>
        <v>9568.02</v>
      </c>
      <c r="J1193" s="16">
        <f>IF(HistoricalStockProgress[[#This Row],[No. of Shares]]&lt;&gt;0,HistoricalStockProgress[[#This Row],[Price of Shares]]-HistoricalStockProgress[[#This Row],[Cost of Shares]]/HistoricalStockProgress[[#This Row],[No. of Shares]],0)</f>
        <v>9.4026001218391855</v>
      </c>
      <c r="K1193" s="17">
        <f>IF(HistoricalStockProgress[[#This Row],[Total Price of Shares]]&lt;&gt;0,HistoricalStockProgress[[#This Row],[Total Price of Shares]]-HistoricalStockProgress[[#This Row],[Cost of Shares]],0)</f>
        <v>535.94820694483315</v>
      </c>
      <c r="L1193" s="34" t="b" cm="1">
        <f t="array" ref="L1193">IFERROR(IF(HistoricalStockProgress[[#This Row],[Price of Shares]]="",_xlfn.STOCKHISTORY(HistoricalStockProgress[[#This Row],[Full Company Name]],HistoricalStockProgress[[#This Row],[Date]],,2,0,1)),0)</f>
        <v>0</v>
      </c>
      <c r="M1193" s="34">
        <f>YEAR(HistoricalStockProgress[[#This Row],[Date]])</f>
        <v>2022</v>
      </c>
      <c r="N1193" s="34">
        <f>MONTH(HistoricalStockProgress[[#This Row],[Date]])</f>
        <v>1</v>
      </c>
    </row>
    <row r="1194" spans="2:14">
      <c r="B1194" s="15">
        <v>44592</v>
      </c>
      <c r="C1194" s="34" t="s">
        <v>23</v>
      </c>
      <c r="D1194" s="34" t="e" vm="4">
        <f>_xlfn.XLOOKUP(HistoricalStockProgress[[#This Row],[Company Ticker]],CompanyDetailsList[Company Ticker],CompanyDetailsList[Official Name],,0)</f>
        <v>#VALUE!</v>
      </c>
      <c r="E11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80</v>
      </c>
      <c r="F11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3888.0556776173789</v>
      </c>
      <c r="G1194" s="17">
        <f>IFERROR(HistoricalStockProgress[[#This Row],[Cost of Shares]]/HistoricalStockProgress[[#This Row],[No. of Shares]],0)</f>
        <v>48.600695970217238</v>
      </c>
      <c r="H1194" s="16" vm="1713">
        <v>61.01</v>
      </c>
      <c r="I1194" s="16">
        <f>IF(HistoricalStockProgress[[#This Row],[No. of Shares]]&lt;&gt;0,HistoricalStockProgress[[#This Row],[Price of Shares]]*HistoricalStockProgress[[#This Row],[No. of Shares]],0)</f>
        <v>4880.8</v>
      </c>
      <c r="J1194" s="16">
        <f>IF(HistoricalStockProgress[[#This Row],[No. of Shares]]&lt;&gt;0,HistoricalStockProgress[[#This Row],[Price of Shares]]-HistoricalStockProgress[[#This Row],[Cost of Shares]]/HistoricalStockProgress[[#This Row],[No. of Shares]],0)</f>
        <v>12.40930402978276</v>
      </c>
      <c r="K1194" s="17">
        <f>IF(HistoricalStockProgress[[#This Row],[Total Price of Shares]]&lt;&gt;0,HistoricalStockProgress[[#This Row],[Total Price of Shares]]-HistoricalStockProgress[[#This Row],[Cost of Shares]],0)</f>
        <v>992.74432238262125</v>
      </c>
      <c r="L1194" s="34" t="b" cm="1">
        <f t="array" ref="L1194">IFERROR(IF(HistoricalStockProgress[[#This Row],[Price of Shares]]="",_xlfn.STOCKHISTORY(HistoricalStockProgress[[#This Row],[Full Company Name]],HistoricalStockProgress[[#This Row],[Date]],,2,0,1)),0)</f>
        <v>0</v>
      </c>
      <c r="M1194" s="34">
        <f>YEAR(HistoricalStockProgress[[#This Row],[Date]])</f>
        <v>2022</v>
      </c>
      <c r="N1194" s="34">
        <f>MONTH(HistoricalStockProgress[[#This Row],[Date]])</f>
        <v>1</v>
      </c>
    </row>
    <row r="1195" spans="2:14">
      <c r="B1195" s="15">
        <v>44592</v>
      </c>
      <c r="C1195" s="34" t="s">
        <v>18</v>
      </c>
      <c r="D1195" s="34" t="e" vm="5">
        <f>_xlfn.XLOOKUP(HistoricalStockProgress[[#This Row],[Company Ticker]],CompanyDetailsList[Company Ticker],CompanyDetailsList[Official Name],,0)</f>
        <v>#VALUE!</v>
      </c>
      <c r="E11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37</v>
      </c>
      <c r="F11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5913.3283083863271</v>
      </c>
      <c r="G1195" s="17">
        <f>IFERROR(HistoricalStockProgress[[#This Row],[Cost of Shares]]/HistoricalStockProgress[[#This Row],[No. of Shares]],0)</f>
        <v>159.81968401044128</v>
      </c>
      <c r="H1195" s="16" vm="1714">
        <v>173.52</v>
      </c>
      <c r="I1195" s="16">
        <f>IF(HistoricalStockProgress[[#This Row],[No. of Shares]]&lt;&gt;0,HistoricalStockProgress[[#This Row],[Price of Shares]]*HistoricalStockProgress[[#This Row],[No. of Shares]],0)</f>
        <v>6420.2400000000007</v>
      </c>
      <c r="J1195" s="16">
        <f>IF(HistoricalStockProgress[[#This Row],[No. of Shares]]&lt;&gt;0,HistoricalStockProgress[[#This Row],[Price of Shares]]-HistoricalStockProgress[[#This Row],[Cost of Shares]]/HistoricalStockProgress[[#This Row],[No. of Shares]],0)</f>
        <v>13.700315989558732</v>
      </c>
      <c r="K1195" s="17">
        <f>IF(HistoricalStockProgress[[#This Row],[Total Price of Shares]]&lt;&gt;0,HistoricalStockProgress[[#This Row],[Total Price of Shares]]-HistoricalStockProgress[[#This Row],[Cost of Shares]],0)</f>
        <v>506.91169161367361</v>
      </c>
      <c r="L1195" s="34" t="b" cm="1">
        <f t="array" ref="L1195">IFERROR(IF(HistoricalStockProgress[[#This Row],[Price of Shares]]="",_xlfn.STOCKHISTORY(HistoricalStockProgress[[#This Row],[Full Company Name]],HistoricalStockProgress[[#This Row],[Date]],,2,0,1)),0)</f>
        <v>0</v>
      </c>
      <c r="M1195" s="34">
        <f>YEAR(HistoricalStockProgress[[#This Row],[Date]])</f>
        <v>2022</v>
      </c>
      <c r="N1195" s="34">
        <f>MONTH(HistoricalStockProgress[[#This Row],[Date]])</f>
        <v>1</v>
      </c>
    </row>
    <row r="1196" spans="2:14">
      <c r="B1196" s="15">
        <v>44592</v>
      </c>
      <c r="C1196" s="34" t="s">
        <v>21</v>
      </c>
      <c r="D1196" s="34" t="e" vm="6">
        <f>_xlfn.XLOOKUP(HistoricalStockProgress[[#This Row],[Company Ticker]],CompanyDetailsList[Company Ticker],CompanyDetailsList[Official Name],,0)</f>
        <v>#VALUE!</v>
      </c>
      <c r="E11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1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3654.8914204824332</v>
      </c>
      <c r="G1196" s="17">
        <f>IFERROR(HistoricalStockProgress[[#This Row],[Cost of Shares]]/HistoricalStockProgress[[#This Row],[No. of Shares]],0)</f>
        <v>130.53183644580119</v>
      </c>
      <c r="H1196" s="16" vm="1715">
        <v>160.44999999999999</v>
      </c>
      <c r="I1196" s="16">
        <f>IF(HistoricalStockProgress[[#This Row],[No. of Shares]]&lt;&gt;0,HistoricalStockProgress[[#This Row],[Price of Shares]]*HistoricalStockProgress[[#This Row],[No. of Shares]],0)</f>
        <v>4492.5999999999995</v>
      </c>
      <c r="J1196" s="16">
        <f>IF(HistoricalStockProgress[[#This Row],[No. of Shares]]&lt;&gt;0,HistoricalStockProgress[[#This Row],[Price of Shares]]-HistoricalStockProgress[[#This Row],[Cost of Shares]]/HistoricalStockProgress[[#This Row],[No. of Shares]],0)</f>
        <v>29.918163554198799</v>
      </c>
      <c r="K1196" s="17">
        <f>IF(HistoricalStockProgress[[#This Row],[Total Price of Shares]]&lt;&gt;0,HistoricalStockProgress[[#This Row],[Total Price of Shares]]-HistoricalStockProgress[[#This Row],[Cost of Shares]],0)</f>
        <v>837.70857951756625</v>
      </c>
      <c r="L1196" s="34" t="b" cm="1">
        <f t="array" ref="L1196">IFERROR(IF(HistoricalStockProgress[[#This Row],[Price of Shares]]="",_xlfn.STOCKHISTORY(HistoricalStockProgress[[#This Row],[Full Company Name]],HistoricalStockProgress[[#This Row],[Date]],,2,0,1)),0)</f>
        <v>0</v>
      </c>
      <c r="M1196" s="34">
        <f>YEAR(HistoricalStockProgress[[#This Row],[Date]])</f>
        <v>2022</v>
      </c>
      <c r="N1196" s="34">
        <f>MONTH(HistoricalStockProgress[[#This Row],[Date]])</f>
        <v>1</v>
      </c>
    </row>
    <row r="1197" spans="2:14">
      <c r="B1197" s="15">
        <v>44592</v>
      </c>
      <c r="C1197" s="34" t="s">
        <v>84</v>
      </c>
      <c r="D1197" s="34" t="e" vm="7">
        <f>_xlfn.XLOOKUP(HistoricalStockProgress[[#This Row],[Company Ticker]],CompanyDetailsList[Company Ticker],CompanyDetailsList[Official Name],,0)</f>
        <v>#VALUE!</v>
      </c>
      <c r="E11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1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197" s="17">
        <f>IFERROR(HistoricalStockProgress[[#This Row],[Cost of Shares]]/HistoricalStockProgress[[#This Row],[No. of Shares]],0)</f>
        <v>104.18087504950869</v>
      </c>
      <c r="H1197" s="16" vm="1716">
        <v>172.29</v>
      </c>
      <c r="I1197" s="16">
        <f>IF(HistoricalStockProgress[[#This Row],[No. of Shares]]&lt;&gt;0,HistoricalStockProgress[[#This Row],[Price of Shares]]*HistoricalStockProgress[[#This Row],[No. of Shares]],0)</f>
        <v>8786.7899999999991</v>
      </c>
      <c r="J1197" s="16">
        <f>IF(HistoricalStockProgress[[#This Row],[No. of Shares]]&lt;&gt;0,HistoricalStockProgress[[#This Row],[Price of Shares]]-HistoricalStockProgress[[#This Row],[Cost of Shares]]/HistoricalStockProgress[[#This Row],[No. of Shares]],0)</f>
        <v>68.109124950491307</v>
      </c>
      <c r="K1197" s="17">
        <f>IF(HistoricalStockProgress[[#This Row],[Total Price of Shares]]&lt;&gt;0,HistoricalStockProgress[[#This Row],[Total Price of Shares]]-HistoricalStockProgress[[#This Row],[Cost of Shares]],0)</f>
        <v>3473.5653724750564</v>
      </c>
      <c r="L1197" s="34" t="b" cm="1">
        <f t="array" ref="L1197">IFERROR(IF(HistoricalStockProgress[[#This Row],[Price of Shares]]="",_xlfn.STOCKHISTORY(HistoricalStockProgress[[#This Row],[Full Company Name]],HistoricalStockProgress[[#This Row],[Date]],,2,0,1)),0)</f>
        <v>0</v>
      </c>
      <c r="M1197" s="34">
        <f>YEAR(HistoricalStockProgress[[#This Row],[Date]])</f>
        <v>2022</v>
      </c>
      <c r="N1197" s="34">
        <f>MONTH(HistoricalStockProgress[[#This Row],[Date]])</f>
        <v>1</v>
      </c>
    </row>
    <row r="1198" spans="2:14">
      <c r="B1198" s="15">
        <v>44592</v>
      </c>
      <c r="C1198" s="34" t="s">
        <v>86</v>
      </c>
      <c r="D1198" s="34" t="e" vm="8">
        <f>_xlfn.XLOOKUP(HistoricalStockProgress[[#This Row],[Company Ticker]],CompanyDetailsList[Company Ticker],CompanyDetailsList[Official Name],,0)</f>
        <v>#VALUE!</v>
      </c>
      <c r="E11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1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198" s="17">
        <f>IFERROR(HistoricalStockProgress[[#This Row],[Cost of Shares]]/HistoricalStockProgress[[#This Row],[No. of Shares]],0)</f>
        <v>92.636161128673535</v>
      </c>
      <c r="H1198" s="16" vm="1717">
        <v>136.88999999999999</v>
      </c>
      <c r="I1198" s="16">
        <f>IF(HistoricalStockProgress[[#This Row],[No. of Shares]]&lt;&gt;0,HistoricalStockProgress[[#This Row],[Price of Shares]]*HistoricalStockProgress[[#This Row],[No. of Shares]],0)</f>
        <v>15605.46</v>
      </c>
      <c r="J1198" s="16">
        <f>IF(HistoricalStockProgress[[#This Row],[No. of Shares]]&lt;&gt;0,HistoricalStockProgress[[#This Row],[Price of Shares]]-HistoricalStockProgress[[#This Row],[Cost of Shares]]/HistoricalStockProgress[[#This Row],[No. of Shares]],0)</f>
        <v>44.253838871326451</v>
      </c>
      <c r="K1198" s="17">
        <f>IF(HistoricalStockProgress[[#This Row],[Total Price of Shares]]&lt;&gt;0,HistoricalStockProgress[[#This Row],[Total Price of Shares]]-HistoricalStockProgress[[#This Row],[Cost of Shares]],0)</f>
        <v>5044.9376313312168</v>
      </c>
      <c r="L1198" s="34" t="b" cm="1">
        <f t="array" ref="L1198">IFERROR(IF(HistoricalStockProgress[[#This Row],[Price of Shares]]="",_xlfn.STOCKHISTORY(HistoricalStockProgress[[#This Row],[Full Company Name]],HistoricalStockProgress[[#This Row],[Date]],,2,0,1)),0)</f>
        <v>0</v>
      </c>
      <c r="M1198" s="34">
        <f>YEAR(HistoricalStockProgress[[#This Row],[Date]])</f>
        <v>2022</v>
      </c>
      <c r="N1198" s="34">
        <f>MONTH(HistoricalStockProgress[[#This Row],[Date]])</f>
        <v>1</v>
      </c>
    </row>
    <row r="1199" spans="2:14">
      <c r="B1199" s="15">
        <v>44592</v>
      </c>
      <c r="C1199" s="34" t="s">
        <v>88</v>
      </c>
      <c r="D1199" s="34" t="e" vm="9">
        <f>_xlfn.XLOOKUP(HistoricalStockProgress[[#This Row],[Company Ticker]],CompanyDetailsList[Company Ticker],CompanyDetailsList[Official Name],,0)</f>
        <v>#VALUE!</v>
      </c>
      <c r="E11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1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199" s="17">
        <f>IFERROR(HistoricalStockProgress[[#This Row],[Cost of Shares]]/HistoricalStockProgress[[#This Row],[No. of Shares]],0)</f>
        <v>187.727755253422</v>
      </c>
      <c r="H1199" s="16" vm="1718">
        <v>259.45</v>
      </c>
      <c r="I1199" s="16">
        <f>IF(HistoricalStockProgress[[#This Row],[No. of Shares]]&lt;&gt;0,HistoricalStockProgress[[#This Row],[Price of Shares]]*HistoricalStockProgress[[#This Row],[No. of Shares]],0)</f>
        <v>15307.55</v>
      </c>
      <c r="J1199" s="16">
        <f>IF(HistoricalStockProgress[[#This Row],[No. of Shares]]&lt;&gt;0,HistoricalStockProgress[[#This Row],[Price of Shares]]-HistoricalStockProgress[[#This Row],[Cost of Shares]]/HistoricalStockProgress[[#This Row],[No. of Shares]],0)</f>
        <v>71.722244746577985</v>
      </c>
      <c r="K1199" s="17">
        <f>IF(HistoricalStockProgress[[#This Row],[Total Price of Shares]]&lt;&gt;0,HistoricalStockProgress[[#This Row],[Total Price of Shares]]-HistoricalStockProgress[[#This Row],[Cost of Shares]],0)</f>
        <v>4231.6124400481003</v>
      </c>
      <c r="L1199" s="34" t="b" cm="1">
        <f t="array" ref="L1199">IFERROR(IF(HistoricalStockProgress[[#This Row],[Price of Shares]]="",_xlfn.STOCKHISTORY(HistoricalStockProgress[[#This Row],[Full Company Name]],HistoricalStockProgress[[#This Row],[Date]],,2,0,1)),0)</f>
        <v>0</v>
      </c>
      <c r="M1199" s="34">
        <f>YEAR(HistoricalStockProgress[[#This Row],[Date]])</f>
        <v>2022</v>
      </c>
      <c r="N1199" s="34">
        <f>MONTH(HistoricalStockProgress[[#This Row],[Date]])</f>
        <v>1</v>
      </c>
    </row>
    <row r="1200" spans="2:14">
      <c r="B1200" s="15">
        <v>44592</v>
      </c>
      <c r="C1200" s="34" t="s">
        <v>22</v>
      </c>
      <c r="D1200" s="34" t="e" vm="10">
        <f>_xlfn.XLOOKUP(HistoricalStockProgress[[#This Row],[Company Ticker]],CompanyDetailsList[Company Ticker],CompanyDetailsList[Official Name],,0)</f>
        <v>#VALUE!</v>
      </c>
      <c r="E12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12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13175.976249073738</v>
      </c>
      <c r="G1200" s="17">
        <f>IFERROR(HistoricalStockProgress[[#This Row],[Cost of Shares]]/HistoricalStockProgress[[#This Row],[No. of Shares]],0)</f>
        <v>124.30166272711074</v>
      </c>
      <c r="H1200" s="16" vm="1719">
        <v>201.56</v>
      </c>
      <c r="I1200" s="16">
        <f>IF(HistoricalStockProgress[[#This Row],[No. of Shares]]&lt;&gt;0,HistoricalStockProgress[[#This Row],[Price of Shares]]*HistoricalStockProgress[[#This Row],[No. of Shares]],0)</f>
        <v>21365.360000000001</v>
      </c>
      <c r="J1200" s="16">
        <f>IF(HistoricalStockProgress[[#This Row],[No. of Shares]]&lt;&gt;0,HistoricalStockProgress[[#This Row],[Price of Shares]]-HistoricalStockProgress[[#This Row],[Cost of Shares]]/HistoricalStockProgress[[#This Row],[No. of Shares]],0)</f>
        <v>77.258337272889264</v>
      </c>
      <c r="K1200" s="17">
        <f>IF(HistoricalStockProgress[[#This Row],[Total Price of Shares]]&lt;&gt;0,HistoricalStockProgress[[#This Row],[Total Price of Shares]]-HistoricalStockProgress[[#This Row],[Cost of Shares]],0)</f>
        <v>8189.383750926263</v>
      </c>
      <c r="L1200" s="34" t="b" cm="1">
        <f t="array" ref="L1200">IFERROR(IF(HistoricalStockProgress[[#This Row],[Price of Shares]]="",_xlfn.STOCKHISTORY(HistoricalStockProgress[[#This Row],[Full Company Name]],HistoricalStockProgress[[#This Row],[Date]],,2,0,1)),0)</f>
        <v>0</v>
      </c>
      <c r="M1200" s="34">
        <f>YEAR(HistoricalStockProgress[[#This Row],[Date]])</f>
        <v>2022</v>
      </c>
      <c r="N1200" s="34">
        <f>MONTH(HistoricalStockProgress[[#This Row],[Date]])</f>
        <v>1</v>
      </c>
    </row>
    <row r="1201" spans="2:14">
      <c r="B1201" s="15">
        <v>44592</v>
      </c>
      <c r="C1201" s="34" t="s">
        <v>91</v>
      </c>
      <c r="D1201" s="34" t="e" vm="11">
        <f>_xlfn.XLOOKUP(HistoricalStockProgress[[#This Row],[Company Ticker]],CompanyDetailsList[Company Ticker],CompanyDetailsList[Official Name],,0)</f>
        <v>#VALUE!</v>
      </c>
      <c r="E12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12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1201" s="17">
        <f>IFERROR(HistoricalStockProgress[[#This Row],[Cost of Shares]]/HistoricalStockProgress[[#This Row],[No. of Shares]],0)</f>
        <v>100.94993172657422</v>
      </c>
      <c r="H1201" s="16" vm="1720">
        <v>310.98</v>
      </c>
      <c r="I1201" s="16">
        <f>IF(HistoricalStockProgress[[#This Row],[No. of Shares]]&lt;&gt;0,HistoricalStockProgress[[#This Row],[Price of Shares]]*HistoricalStockProgress[[#This Row],[No. of Shares]],0)</f>
        <v>45714.060000000005</v>
      </c>
      <c r="J1201" s="16">
        <f>IF(HistoricalStockProgress[[#This Row],[No. of Shares]]&lt;&gt;0,HistoricalStockProgress[[#This Row],[Price of Shares]]-HistoricalStockProgress[[#This Row],[Cost of Shares]]/HistoricalStockProgress[[#This Row],[No. of Shares]],0)</f>
        <v>210.0300682734258</v>
      </c>
      <c r="K1201" s="17">
        <f>IF(HistoricalStockProgress[[#This Row],[Total Price of Shares]]&lt;&gt;0,HistoricalStockProgress[[#This Row],[Total Price of Shares]]-HistoricalStockProgress[[#This Row],[Cost of Shares]],0)</f>
        <v>30874.420036193595</v>
      </c>
      <c r="L1201" s="34" t="b" cm="1">
        <f t="array" ref="L1201">IFERROR(IF(HistoricalStockProgress[[#This Row],[Price of Shares]]="",_xlfn.STOCKHISTORY(HistoricalStockProgress[[#This Row],[Full Company Name]],HistoricalStockProgress[[#This Row],[Date]],,2,0,1)),0)</f>
        <v>0</v>
      </c>
      <c r="M1201" s="34">
        <f>YEAR(HistoricalStockProgress[[#This Row],[Date]])</f>
        <v>2022</v>
      </c>
      <c r="N1201" s="34">
        <f>MONTH(HistoricalStockProgress[[#This Row],[Date]])</f>
        <v>1</v>
      </c>
    </row>
    <row r="1202" spans="2:14">
      <c r="B1202" s="15">
        <v>44592</v>
      </c>
      <c r="C1202" s="34" t="s">
        <v>16</v>
      </c>
      <c r="D1202" s="34" t="e" vm="12">
        <f>_xlfn.XLOOKUP(HistoricalStockProgress[[#This Row],[Company Ticker]],CompanyDetailsList[Company Ticker],CompanyDetailsList[Official Name],,0)</f>
        <v>#VALUE!</v>
      </c>
      <c r="E12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2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202" s="17">
        <f>IFERROR(HistoricalStockProgress[[#This Row],[Cost of Shares]]/HistoricalStockProgress[[#This Row],[No. of Shares]],0)</f>
        <v>75.117698177311837</v>
      </c>
      <c r="H1202" s="16" vm="1721">
        <v>75.959999999999994</v>
      </c>
      <c r="I1202" s="16">
        <f>IF(HistoricalStockProgress[[#This Row],[No. of Shares]]&lt;&gt;0,HistoricalStockProgress[[#This Row],[Price of Shares]]*HistoricalStockProgress[[#This Row],[No. of Shares]],0)</f>
        <v>14052.599999999999</v>
      </c>
      <c r="J1202" s="16">
        <f>IF(HistoricalStockProgress[[#This Row],[No. of Shares]]&lt;&gt;0,HistoricalStockProgress[[#This Row],[Price of Shares]]-HistoricalStockProgress[[#This Row],[Cost of Shares]]/HistoricalStockProgress[[#This Row],[No. of Shares]],0)</f>
        <v>0.84230182268815668</v>
      </c>
      <c r="K1202" s="17">
        <f>IF(HistoricalStockProgress[[#This Row],[Total Price of Shares]]&lt;&gt;0,HistoricalStockProgress[[#This Row],[Total Price of Shares]]-HistoricalStockProgress[[#This Row],[Cost of Shares]],0)</f>
        <v>155.82583719730974</v>
      </c>
      <c r="L1202" s="34" t="b" cm="1">
        <f t="array" ref="L1202">IFERROR(IF(HistoricalStockProgress[[#This Row],[Price of Shares]]="",_xlfn.STOCKHISTORY(HistoricalStockProgress[[#This Row],[Full Company Name]],HistoricalStockProgress[[#This Row],[Date]],,2,0,1)),0)</f>
        <v>0</v>
      </c>
      <c r="M1202" s="34">
        <f>YEAR(HistoricalStockProgress[[#This Row],[Date]])</f>
        <v>2022</v>
      </c>
      <c r="N1202" s="34">
        <f>MONTH(HistoricalStockProgress[[#This Row],[Date]])</f>
        <v>1</v>
      </c>
    </row>
    <row r="1203" spans="2:14">
      <c r="B1203" s="15">
        <v>44592</v>
      </c>
      <c r="C1203" s="34" t="s">
        <v>95</v>
      </c>
      <c r="D1203" s="34" t="e" vm="13">
        <f>_xlfn.XLOOKUP(HistoricalStockProgress[[#This Row],[Company Ticker]],CompanyDetailsList[Company Ticker],CompanyDetailsList[Official Name],,0)</f>
        <v>#VALUE!</v>
      </c>
      <c r="E12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2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10324.055787336294</v>
      </c>
      <c r="G1203" s="17">
        <f>IFERROR(HistoricalStockProgress[[#This Row],[Cost of Shares]]/HistoricalStockProgress[[#This Row],[No. of Shares]],0)</f>
        <v>184.35813905957667</v>
      </c>
      <c r="H1203" s="16" vm="1722">
        <v>366.98</v>
      </c>
      <c r="I1203" s="16">
        <f>IF(HistoricalStockProgress[[#This Row],[No. of Shares]]&lt;&gt;0,HistoricalStockProgress[[#This Row],[Price of Shares]]*HistoricalStockProgress[[#This Row],[No. of Shares]],0)</f>
        <v>20550.88</v>
      </c>
      <c r="J1203" s="16">
        <f>IF(HistoricalStockProgress[[#This Row],[No. of Shares]]&lt;&gt;0,HistoricalStockProgress[[#This Row],[Price of Shares]]-HistoricalStockProgress[[#This Row],[Cost of Shares]]/HistoricalStockProgress[[#This Row],[No. of Shares]],0)</f>
        <v>182.62186094042335</v>
      </c>
      <c r="K1203" s="17">
        <f>IF(HistoricalStockProgress[[#This Row],[Total Price of Shares]]&lt;&gt;0,HistoricalStockProgress[[#This Row],[Total Price of Shares]]-HistoricalStockProgress[[#This Row],[Cost of Shares]],0)</f>
        <v>10226.824212663707</v>
      </c>
      <c r="L1203" s="34" t="b" cm="1">
        <f t="array" ref="L1203">IFERROR(IF(HistoricalStockProgress[[#This Row],[Price of Shares]]="",_xlfn.STOCKHISTORY(HistoricalStockProgress[[#This Row],[Full Company Name]],HistoricalStockProgress[[#This Row],[Date]],,2,0,1)),0)</f>
        <v>0</v>
      </c>
      <c r="M1203" s="34">
        <f>YEAR(HistoricalStockProgress[[#This Row],[Date]])</f>
        <v>2022</v>
      </c>
      <c r="N1203" s="34">
        <f>MONTH(HistoricalStockProgress[[#This Row],[Date]])</f>
        <v>1</v>
      </c>
    </row>
    <row r="1204" spans="2:14">
      <c r="B1204" s="15">
        <v>44592</v>
      </c>
      <c r="C1204" s="34" t="s">
        <v>17</v>
      </c>
      <c r="D1204" s="34" t="e" vm="14">
        <f>_xlfn.XLOOKUP(HistoricalStockProgress[[#This Row],[Company Ticker]],CompanyDetailsList[Company Ticker],CompanyDetailsList[Official Name],,0)</f>
        <v>#VALUE!</v>
      </c>
      <c r="E12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173</v>
      </c>
      <c r="F12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23678.070828870346</v>
      </c>
      <c r="G1204" s="17">
        <f>IFERROR(HistoricalStockProgress[[#This Row],[Cost of Shares]]/HistoricalStockProgress[[#This Row],[No. of Shares]],0)</f>
        <v>136.86746143855692</v>
      </c>
      <c r="H1204" s="16" vm="1723">
        <v>133.57</v>
      </c>
      <c r="I1204" s="16">
        <f>IF(HistoricalStockProgress[[#This Row],[No. of Shares]]&lt;&gt;0,HistoricalStockProgress[[#This Row],[Price of Shares]]*HistoricalStockProgress[[#This Row],[No. of Shares]],0)</f>
        <v>23107.61</v>
      </c>
      <c r="J1204" s="16">
        <f>IF(HistoricalStockProgress[[#This Row],[No. of Shares]]&lt;&gt;0,HistoricalStockProgress[[#This Row],[Price of Shares]]-HistoricalStockProgress[[#This Row],[Cost of Shares]]/HistoricalStockProgress[[#This Row],[No. of Shares]],0)</f>
        <v>-3.2974614385569225</v>
      </c>
      <c r="K1204" s="17">
        <f>IF(HistoricalStockProgress[[#This Row],[Total Price of Shares]]&lt;&gt;0,HistoricalStockProgress[[#This Row],[Total Price of Shares]]-HistoricalStockProgress[[#This Row],[Cost of Shares]],0)</f>
        <v>-570.46082887034572</v>
      </c>
      <c r="L1204" s="34" t="b" cm="1">
        <f t="array" ref="L1204">IFERROR(IF(HistoricalStockProgress[[#This Row],[Price of Shares]]="",_xlfn.STOCKHISTORY(HistoricalStockProgress[[#This Row],[Full Company Name]],HistoricalStockProgress[[#This Row],[Date]],,2,0,1)),0)</f>
        <v>0</v>
      </c>
      <c r="M1204" s="34">
        <f>YEAR(HistoricalStockProgress[[#This Row],[Date]])</f>
        <v>2022</v>
      </c>
      <c r="N1204" s="34">
        <f>MONTH(HistoricalStockProgress[[#This Row],[Date]])</f>
        <v>1</v>
      </c>
    </row>
    <row r="1205" spans="2:14">
      <c r="B1205" s="15">
        <v>44592</v>
      </c>
      <c r="C1205" s="34" t="s">
        <v>98</v>
      </c>
      <c r="D1205" s="34" t="e" vm="15">
        <f>_xlfn.XLOOKUP(HistoricalStockProgress[[#This Row],[Company Ticker]],CompanyDetailsList[Company Ticker],CompanyDetailsList[Official Name],,0)</f>
        <v>#VALUE!</v>
      </c>
      <c r="E12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108</v>
      </c>
      <c r="F12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5486.2959177385774</v>
      </c>
      <c r="G1205" s="17">
        <f>IFERROR(HistoricalStockProgress[[#This Row],[Cost of Shares]]/HistoricalStockProgress[[#This Row],[No. of Shares]],0)</f>
        <v>50.799036275357196</v>
      </c>
      <c r="H1205" s="16" vm="1724">
        <v>78.12</v>
      </c>
      <c r="I1205" s="16">
        <f>IF(HistoricalStockProgress[[#This Row],[No. of Shares]]&lt;&gt;0,HistoricalStockProgress[[#This Row],[Price of Shares]]*HistoricalStockProgress[[#This Row],[No. of Shares]],0)</f>
        <v>8436.9600000000009</v>
      </c>
      <c r="J1205" s="16">
        <f>IF(HistoricalStockProgress[[#This Row],[No. of Shares]]&lt;&gt;0,HistoricalStockProgress[[#This Row],[Price of Shares]]-HistoricalStockProgress[[#This Row],[Cost of Shares]]/HistoricalStockProgress[[#This Row],[No. of Shares]],0)</f>
        <v>27.320963724642809</v>
      </c>
      <c r="K1205" s="17">
        <f>IF(HistoricalStockProgress[[#This Row],[Total Price of Shares]]&lt;&gt;0,HistoricalStockProgress[[#This Row],[Total Price of Shares]]-HistoricalStockProgress[[#This Row],[Cost of Shares]],0)</f>
        <v>2950.6640822614236</v>
      </c>
      <c r="L1205" s="34" t="b" cm="1">
        <f t="array" ref="L1205">IFERROR(IF(HistoricalStockProgress[[#This Row],[Price of Shares]]="",_xlfn.STOCKHISTORY(HistoricalStockProgress[[#This Row],[Full Company Name]],HistoricalStockProgress[[#This Row],[Date]],,2,0,1)),0)</f>
        <v>0</v>
      </c>
      <c r="M1205" s="34">
        <f>YEAR(HistoricalStockProgress[[#This Row],[Date]])</f>
        <v>2022</v>
      </c>
      <c r="N1205" s="34">
        <f>MONTH(HistoricalStockProgress[[#This Row],[Date]])</f>
        <v>1</v>
      </c>
    </row>
    <row r="1206" spans="2:14">
      <c r="B1206" s="15">
        <v>44592</v>
      </c>
      <c r="C1206" s="34" t="s">
        <v>100</v>
      </c>
      <c r="D1206" s="34" t="e" vm="16">
        <f>_xlfn.XLOOKUP(HistoricalStockProgress[[#This Row],[Company Ticker]],CompanyDetailsList[Company Ticker],CompanyDetailsList[Official Name],,0)</f>
        <v>#VALUE!</v>
      </c>
      <c r="E12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12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12257.793853370842</v>
      </c>
      <c r="G1206" s="17">
        <f>IFERROR(HistoricalStockProgress[[#This Row],[Cost of Shares]]/HistoricalStockProgress[[#This Row],[No. of Shares]],0)</f>
        <v>87.555670381220295</v>
      </c>
      <c r="H1206" s="16" vm="1725">
        <v>105.06</v>
      </c>
      <c r="I1206" s="16">
        <f>IF(HistoricalStockProgress[[#This Row],[No. of Shares]]&lt;&gt;0,HistoricalStockProgress[[#This Row],[Price of Shares]]*HistoricalStockProgress[[#This Row],[No. of Shares]],0)</f>
        <v>14708.4</v>
      </c>
      <c r="J1206" s="16">
        <f>IF(HistoricalStockProgress[[#This Row],[No. of Shares]]&lt;&gt;0,HistoricalStockProgress[[#This Row],[Price of Shares]]-HistoricalStockProgress[[#This Row],[Cost of Shares]]/HistoricalStockProgress[[#This Row],[No. of Shares]],0)</f>
        <v>17.504329618779707</v>
      </c>
      <c r="K1206" s="17">
        <f>IF(HistoricalStockProgress[[#This Row],[Total Price of Shares]]&lt;&gt;0,HistoricalStockProgress[[#This Row],[Total Price of Shares]]-HistoricalStockProgress[[#This Row],[Cost of Shares]],0)</f>
        <v>2450.6061466291576</v>
      </c>
      <c r="L1206" s="34" t="b" cm="1">
        <f t="array" ref="L1206">IFERROR(IF(HistoricalStockProgress[[#This Row],[Price of Shares]]="",_xlfn.STOCKHISTORY(HistoricalStockProgress[[#This Row],[Full Company Name]],HistoricalStockProgress[[#This Row],[Date]],,2,0,1)),0)</f>
        <v>0</v>
      </c>
      <c r="M1206" s="34">
        <f>YEAR(HistoricalStockProgress[[#This Row],[Date]])</f>
        <v>2022</v>
      </c>
      <c r="N1206" s="34">
        <f>MONTH(HistoricalStockProgress[[#This Row],[Date]])</f>
        <v>1</v>
      </c>
    </row>
    <row r="1207" spans="2:14">
      <c r="B1207" s="15">
        <v>44592</v>
      </c>
      <c r="C1207" s="34" t="s">
        <v>15</v>
      </c>
      <c r="D1207" s="34" t="e" vm="17">
        <f>_xlfn.XLOOKUP(HistoricalStockProgress[[#This Row],[Company Ticker]],CompanyDetailsList[Company Ticker],CompanyDetailsList[Official Name],,0)</f>
        <v>#VALUE!</v>
      </c>
      <c r="E12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2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207" s="17">
        <f>IFERROR(HistoricalStockProgress[[#This Row],[Cost of Shares]]/HistoricalStockProgress[[#This Row],[No. of Shares]],0)</f>
        <v>26.081956457072195</v>
      </c>
      <c r="H1207" s="16" vm="1726">
        <v>19.257100000000001</v>
      </c>
      <c r="I1207" s="16">
        <f>IF(HistoricalStockProgress[[#This Row],[No. of Shares]]&lt;&gt;0,HistoricalStockProgress[[#This Row],[Price of Shares]]*HistoricalStockProgress[[#This Row],[No. of Shares]],0)</f>
        <v>2387.8804</v>
      </c>
      <c r="J1207" s="16">
        <f>IF(HistoricalStockProgress[[#This Row],[No. of Shares]]&lt;&gt;0,HistoricalStockProgress[[#This Row],[Price of Shares]]-HistoricalStockProgress[[#This Row],[Cost of Shares]]/HistoricalStockProgress[[#This Row],[No. of Shares]],0)</f>
        <v>-6.8248564570721939</v>
      </c>
      <c r="K1207" s="17">
        <f>IF(HistoricalStockProgress[[#This Row],[Total Price of Shares]]&lt;&gt;0,HistoricalStockProgress[[#This Row],[Total Price of Shares]]-HistoricalStockProgress[[#This Row],[Cost of Shares]],0)</f>
        <v>-846.28220067695202</v>
      </c>
      <c r="L1207" s="34" t="b" cm="1">
        <f t="array" ref="L1207">IFERROR(IF(HistoricalStockProgress[[#This Row],[Price of Shares]]="",_xlfn.STOCKHISTORY(HistoricalStockProgress[[#This Row],[Full Company Name]],HistoricalStockProgress[[#This Row],[Date]],,2,0,1)),0)</f>
        <v>0</v>
      </c>
      <c r="M1207" s="34">
        <f>YEAR(HistoricalStockProgress[[#This Row],[Date]])</f>
        <v>2022</v>
      </c>
      <c r="N1207" s="34">
        <f>MONTH(HistoricalStockProgress[[#This Row],[Date]])</f>
        <v>1</v>
      </c>
    </row>
    <row r="1208" spans="2:14">
      <c r="B1208" s="15">
        <v>44592</v>
      </c>
      <c r="C1208" s="34" t="s">
        <v>13</v>
      </c>
      <c r="D1208" s="34" t="e" vm="18">
        <f>_xlfn.XLOOKUP(HistoricalStockProgress[[#This Row],[Company Ticker]],CompanyDetailsList[Company Ticker],CompanyDetailsList[Official Name],,0)</f>
        <v>#VALUE!</v>
      </c>
      <c r="E12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2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208" s="17">
        <f>IFERROR(HistoricalStockProgress[[#This Row],[Cost of Shares]]/HistoricalStockProgress[[#This Row],[No. of Shares]],0)</f>
        <v>35.846938938346874</v>
      </c>
      <c r="H1208" s="16" vm="1727">
        <v>52.69</v>
      </c>
      <c r="I1208" s="16">
        <f>IF(HistoricalStockProgress[[#This Row],[No. of Shares]]&lt;&gt;0,HistoricalStockProgress[[#This Row],[Price of Shares]]*HistoricalStockProgress[[#This Row],[No. of Shares]],0)</f>
        <v>2897.95</v>
      </c>
      <c r="J1208" s="16">
        <f>IF(HistoricalStockProgress[[#This Row],[No. of Shares]]&lt;&gt;0,HistoricalStockProgress[[#This Row],[Price of Shares]]-HistoricalStockProgress[[#This Row],[Cost of Shares]]/HistoricalStockProgress[[#This Row],[No. of Shares]],0)</f>
        <v>16.843061061653124</v>
      </c>
      <c r="K1208" s="17">
        <f>IF(HistoricalStockProgress[[#This Row],[Total Price of Shares]]&lt;&gt;0,HistoricalStockProgress[[#This Row],[Total Price of Shares]]-HistoricalStockProgress[[#This Row],[Cost of Shares]],0)</f>
        <v>926.36835839092168</v>
      </c>
      <c r="L1208" s="34" t="b" cm="1">
        <f t="array" ref="L1208">IFERROR(IF(HistoricalStockProgress[[#This Row],[Price of Shares]]="",_xlfn.STOCKHISTORY(HistoricalStockProgress[[#This Row],[Full Company Name]],HistoricalStockProgress[[#This Row],[Date]],,2,0,1)),0)</f>
        <v>0</v>
      </c>
      <c r="M1208" s="34">
        <f>YEAR(HistoricalStockProgress[[#This Row],[Date]])</f>
        <v>2022</v>
      </c>
      <c r="N1208" s="34">
        <f>MONTH(HistoricalStockProgress[[#This Row],[Date]])</f>
        <v>1</v>
      </c>
    </row>
    <row r="1209" spans="2:14">
      <c r="B1209" s="15">
        <v>44592</v>
      </c>
      <c r="C1209" s="34" t="s">
        <v>20</v>
      </c>
      <c r="D1209" s="34" t="e" vm="19">
        <f>_xlfn.XLOOKUP(HistoricalStockProgress[[#This Row],[Company Ticker]],CompanyDetailsList[Company Ticker],CompanyDetailsList[Official Name],,0)</f>
        <v>#VALUE!</v>
      </c>
      <c r="E12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93</v>
      </c>
      <c r="F12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9585.7274858109122</v>
      </c>
      <c r="G1209" s="17">
        <f>IFERROR(HistoricalStockProgress[[#This Row],[Cost of Shares]]/HistoricalStockProgress[[#This Row],[No. of Shares]],0)</f>
        <v>103.07233855710658</v>
      </c>
      <c r="H1209" s="16" vm="1728">
        <v>148.6</v>
      </c>
      <c r="I1209" s="16">
        <f>IF(HistoricalStockProgress[[#This Row],[No. of Shares]]&lt;&gt;0,HistoricalStockProgress[[#This Row],[Price of Shares]]*HistoricalStockProgress[[#This Row],[No. of Shares]],0)</f>
        <v>13819.8</v>
      </c>
      <c r="J1209" s="16">
        <f>IF(HistoricalStockProgress[[#This Row],[No. of Shares]]&lt;&gt;0,HistoricalStockProgress[[#This Row],[Price of Shares]]-HistoricalStockProgress[[#This Row],[Cost of Shares]]/HistoricalStockProgress[[#This Row],[No. of Shares]],0)</f>
        <v>45.527661442893418</v>
      </c>
      <c r="K1209" s="17">
        <f>IF(HistoricalStockProgress[[#This Row],[Total Price of Shares]]&lt;&gt;0,HistoricalStockProgress[[#This Row],[Total Price of Shares]]-HistoricalStockProgress[[#This Row],[Cost of Shares]],0)</f>
        <v>4234.0725141890871</v>
      </c>
      <c r="L1209" s="34" t="b" cm="1">
        <f t="array" ref="L1209">IFERROR(IF(HistoricalStockProgress[[#This Row],[Price of Shares]]="",_xlfn.STOCKHISTORY(HistoricalStockProgress[[#This Row],[Full Company Name]],HistoricalStockProgress[[#This Row],[Date]],,2,0,1)),0)</f>
        <v>0</v>
      </c>
      <c r="M1209" s="34">
        <f>YEAR(HistoricalStockProgress[[#This Row],[Date]])</f>
        <v>2022</v>
      </c>
      <c r="N1209" s="34">
        <f>MONTH(HistoricalStockProgress[[#This Row],[Date]])</f>
        <v>1</v>
      </c>
    </row>
    <row r="1210" spans="2:14">
      <c r="B1210" s="15">
        <v>44592</v>
      </c>
      <c r="C1210" s="34" t="s">
        <v>106</v>
      </c>
      <c r="D1210" s="34" t="e" vm="20">
        <f>_xlfn.XLOOKUP(HistoricalStockProgress[[#This Row],[Company Ticker]],CompanyDetailsList[Company Ticker],CompanyDetailsList[Official Name],,0)</f>
        <v>#VALUE!</v>
      </c>
      <c r="E12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2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210" s="17">
        <f>IFERROR(HistoricalStockProgress[[#This Row],[Cost of Shares]]/HistoricalStockProgress[[#This Row],[No. of Shares]],0)</f>
        <v>108.54870748680406</v>
      </c>
      <c r="H1210" s="16" vm="1729">
        <v>156.19999999999999</v>
      </c>
      <c r="I1210" s="16">
        <f>IF(HistoricalStockProgress[[#This Row],[No. of Shares]]&lt;&gt;0,HistoricalStockProgress[[#This Row],[Price of Shares]]*HistoricalStockProgress[[#This Row],[No. of Shares]],0)</f>
        <v>13745.599999999999</v>
      </c>
      <c r="J1210" s="16">
        <f>IF(HistoricalStockProgress[[#This Row],[No. of Shares]]&lt;&gt;0,HistoricalStockProgress[[#This Row],[Price of Shares]]-HistoricalStockProgress[[#This Row],[Cost of Shares]]/HistoricalStockProgress[[#This Row],[No. of Shares]],0)</f>
        <v>47.651292513195926</v>
      </c>
      <c r="K1210" s="17">
        <f>IF(HistoricalStockProgress[[#This Row],[Total Price of Shares]]&lt;&gt;0,HistoricalStockProgress[[#This Row],[Total Price of Shares]]-HistoricalStockProgress[[#This Row],[Cost of Shares]],0)</f>
        <v>4193.3137411612406</v>
      </c>
      <c r="L1210" s="34" t="b" cm="1">
        <f t="array" ref="L1210">IFERROR(IF(HistoricalStockProgress[[#This Row],[Price of Shares]]="",_xlfn.STOCKHISTORY(HistoricalStockProgress[[#This Row],[Full Company Name]],HistoricalStockProgress[[#This Row],[Date]],,2,0,1)),0)</f>
        <v>0</v>
      </c>
      <c r="M1210" s="34">
        <f>YEAR(HistoricalStockProgress[[#This Row],[Date]])</f>
        <v>2022</v>
      </c>
      <c r="N1210" s="34">
        <f>MONTH(HistoricalStockProgress[[#This Row],[Date]])</f>
        <v>1</v>
      </c>
    </row>
    <row r="1211" spans="2:14">
      <c r="B1211" s="15">
        <v>44620</v>
      </c>
      <c r="C1211" s="34" t="s">
        <v>12</v>
      </c>
      <c r="D1211" s="34" t="e" vm="1">
        <f>_xlfn.XLOOKUP(HistoricalStockProgress[[#This Row],[Company Ticker]],CompanyDetailsList[Company Ticker],CompanyDetailsList[Official Name],,0)</f>
        <v>#VALUE!</v>
      </c>
      <c r="E12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12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1211" s="17">
        <f>IFERROR(HistoricalStockProgress[[#This Row],[Cost of Shares]]/HistoricalStockProgress[[#This Row],[No. of Shares]],0)</f>
        <v>63.845182519411239</v>
      </c>
      <c r="H1211" s="16" vm="1730">
        <v>66.09</v>
      </c>
      <c r="I1211" s="16">
        <f>IF(HistoricalStockProgress[[#This Row],[No. of Shares]]&lt;&gt;0,HistoricalStockProgress[[#This Row],[Price of Shares]]*HistoricalStockProgress[[#This Row],[No. of Shares]],0)</f>
        <v>4229.76</v>
      </c>
      <c r="J1211" s="16">
        <f>IF(HistoricalStockProgress[[#This Row],[No. of Shares]]&lt;&gt;0,HistoricalStockProgress[[#This Row],[Price of Shares]]-HistoricalStockProgress[[#This Row],[Cost of Shares]]/HistoricalStockProgress[[#This Row],[No. of Shares]],0)</f>
        <v>2.2448174805887646</v>
      </c>
      <c r="K1211" s="17">
        <f>IF(HistoricalStockProgress[[#This Row],[Total Price of Shares]]&lt;&gt;0,HistoricalStockProgress[[#This Row],[Total Price of Shares]]-HistoricalStockProgress[[#This Row],[Cost of Shares]],0)</f>
        <v>143.66831875768094</v>
      </c>
      <c r="L1211" s="34" t="b" cm="1">
        <f t="array" ref="L1211">IFERROR(IF(HistoricalStockProgress[[#This Row],[Price of Shares]]="",_xlfn.STOCKHISTORY(HistoricalStockProgress[[#This Row],[Full Company Name]],HistoricalStockProgress[[#This Row],[Date]],,2,0,1)),0)</f>
        <v>0</v>
      </c>
      <c r="M1211" s="34">
        <f>YEAR(HistoricalStockProgress[[#This Row],[Date]])</f>
        <v>2022</v>
      </c>
      <c r="N1211" s="34">
        <f>MONTH(HistoricalStockProgress[[#This Row],[Date]])</f>
        <v>2</v>
      </c>
    </row>
    <row r="1212" spans="2:14">
      <c r="B1212" s="15">
        <v>44620</v>
      </c>
      <c r="C1212" s="34" t="s">
        <v>14</v>
      </c>
      <c r="D1212" s="34" t="e" vm="2">
        <f>_xlfn.XLOOKUP(HistoricalStockProgress[[#This Row],[Company Ticker]],CompanyDetailsList[Company Ticker],CompanyDetailsList[Official Name],,0)</f>
        <v>#VALUE!</v>
      </c>
      <c r="E12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2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212" s="17">
        <f>IFERROR(HistoricalStockProgress[[#This Row],[Cost of Shares]]/HistoricalStockProgress[[#This Row],[No. of Shares]],0)</f>
        <v>31.580112511620161</v>
      </c>
      <c r="H1212" s="16" vm="1731">
        <v>33.4</v>
      </c>
      <c r="I1212" s="16">
        <f>IF(HistoricalStockProgress[[#This Row],[No. of Shares]]&lt;&gt;0,HistoricalStockProgress[[#This Row],[Price of Shares]]*HistoricalStockProgress[[#This Row],[No. of Shares]],0)</f>
        <v>935.19999999999993</v>
      </c>
      <c r="J1212" s="16">
        <f>IF(HistoricalStockProgress[[#This Row],[No. of Shares]]&lt;&gt;0,HistoricalStockProgress[[#This Row],[Price of Shares]]-HistoricalStockProgress[[#This Row],[Cost of Shares]]/HistoricalStockProgress[[#This Row],[No. of Shares]],0)</f>
        <v>1.8198874883798375</v>
      </c>
      <c r="K1212" s="17">
        <f>IF(HistoricalStockProgress[[#This Row],[Total Price of Shares]]&lt;&gt;0,HistoricalStockProgress[[#This Row],[Total Price of Shares]]-HistoricalStockProgress[[#This Row],[Cost of Shares]],0)</f>
        <v>50.956849674635464</v>
      </c>
      <c r="L1212" s="34" t="b" cm="1">
        <f t="array" ref="L1212">IFERROR(IF(HistoricalStockProgress[[#This Row],[Price of Shares]]="",_xlfn.STOCKHISTORY(HistoricalStockProgress[[#This Row],[Full Company Name]],HistoricalStockProgress[[#This Row],[Date]],,2,0,1)),0)</f>
        <v>0</v>
      </c>
      <c r="M1212" s="34">
        <f>YEAR(HistoricalStockProgress[[#This Row],[Date]])</f>
        <v>2022</v>
      </c>
      <c r="N1212" s="34">
        <f>MONTH(HistoricalStockProgress[[#This Row],[Date]])</f>
        <v>2</v>
      </c>
    </row>
    <row r="1213" spans="2:14">
      <c r="B1213" s="15">
        <v>44620</v>
      </c>
      <c r="C1213" s="34" t="s">
        <v>19</v>
      </c>
      <c r="D1213" s="34" t="e" vm="3">
        <f>_xlfn.XLOOKUP(HistoricalStockProgress[[#This Row],[Company Ticker]],CompanyDetailsList[Company Ticker],CompanyDetailsList[Official Name],,0)</f>
        <v>#VALUE!</v>
      </c>
      <c r="E12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2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213" s="17">
        <f>IFERROR(HistoricalStockProgress[[#This Row],[Cost of Shares]]/HistoricalStockProgress[[#This Row],[No. of Shares]],0)</f>
        <v>158.45739987816083</v>
      </c>
      <c r="H1213" s="16" vm="1732">
        <v>145.79</v>
      </c>
      <c r="I1213" s="16">
        <f>IF(HistoricalStockProgress[[#This Row],[No. of Shares]]&lt;&gt;0,HistoricalStockProgress[[#This Row],[Price of Shares]]*HistoricalStockProgress[[#This Row],[No. of Shares]],0)</f>
        <v>8310.0299999999988</v>
      </c>
      <c r="J1213" s="16">
        <f>IF(HistoricalStockProgress[[#This Row],[No. of Shares]]&lt;&gt;0,HistoricalStockProgress[[#This Row],[Price of Shares]]-HistoricalStockProgress[[#This Row],[Cost of Shares]]/HistoricalStockProgress[[#This Row],[No. of Shares]],0)</f>
        <v>-12.667399878160836</v>
      </c>
      <c r="K1213" s="17">
        <f>IF(HistoricalStockProgress[[#This Row],[Total Price of Shares]]&lt;&gt;0,HistoricalStockProgress[[#This Row],[Total Price of Shares]]-HistoricalStockProgress[[#This Row],[Cost of Shares]],0)</f>
        <v>-722.04179305516845</v>
      </c>
      <c r="L1213" s="34" t="b" cm="1">
        <f t="array" ref="L1213">IFERROR(IF(HistoricalStockProgress[[#This Row],[Price of Shares]]="",_xlfn.STOCKHISTORY(HistoricalStockProgress[[#This Row],[Full Company Name]],HistoricalStockProgress[[#This Row],[Date]],,2,0,1)),0)</f>
        <v>0</v>
      </c>
      <c r="M1213" s="34">
        <f>YEAR(HistoricalStockProgress[[#This Row],[Date]])</f>
        <v>2022</v>
      </c>
      <c r="N1213" s="34">
        <f>MONTH(HistoricalStockProgress[[#This Row],[Date]])</f>
        <v>2</v>
      </c>
    </row>
    <row r="1214" spans="2:14">
      <c r="B1214" s="15">
        <v>44620</v>
      </c>
      <c r="C1214" s="34" t="s">
        <v>23</v>
      </c>
      <c r="D1214" s="34" t="e" vm="4">
        <f>_xlfn.XLOOKUP(HistoricalStockProgress[[#This Row],[Company Ticker]],CompanyDetailsList[Company Ticker],CompanyDetailsList[Official Name],,0)</f>
        <v>#VALUE!</v>
      </c>
      <c r="E12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80</v>
      </c>
      <c r="F12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3888.0556776173789</v>
      </c>
      <c r="G1214" s="17">
        <f>IFERROR(HistoricalStockProgress[[#This Row],[Cost of Shares]]/HistoricalStockProgress[[#This Row],[No. of Shares]],0)</f>
        <v>48.600695970217238</v>
      </c>
      <c r="H1214" s="16" vm="621">
        <v>62.24</v>
      </c>
      <c r="I1214" s="16">
        <f>IF(HistoricalStockProgress[[#This Row],[No. of Shares]]&lt;&gt;0,HistoricalStockProgress[[#This Row],[Price of Shares]]*HistoricalStockProgress[[#This Row],[No. of Shares]],0)</f>
        <v>4979.2</v>
      </c>
      <c r="J1214" s="16">
        <f>IF(HistoricalStockProgress[[#This Row],[No. of Shares]]&lt;&gt;0,HistoricalStockProgress[[#This Row],[Price of Shares]]-HistoricalStockProgress[[#This Row],[Cost of Shares]]/HistoricalStockProgress[[#This Row],[No. of Shares]],0)</f>
        <v>13.639304029782764</v>
      </c>
      <c r="K1214" s="17">
        <f>IF(HistoricalStockProgress[[#This Row],[Total Price of Shares]]&lt;&gt;0,HistoricalStockProgress[[#This Row],[Total Price of Shares]]-HistoricalStockProgress[[#This Row],[Cost of Shares]],0)</f>
        <v>1091.1443223826209</v>
      </c>
      <c r="L1214" s="34" t="b" cm="1">
        <f t="array" ref="L1214">IFERROR(IF(HistoricalStockProgress[[#This Row],[Price of Shares]]="",_xlfn.STOCKHISTORY(HistoricalStockProgress[[#This Row],[Full Company Name]],HistoricalStockProgress[[#This Row],[Date]],,2,0,1)),0)</f>
        <v>0</v>
      </c>
      <c r="M1214" s="34">
        <f>YEAR(HistoricalStockProgress[[#This Row],[Date]])</f>
        <v>2022</v>
      </c>
      <c r="N1214" s="34">
        <f>MONTH(HistoricalStockProgress[[#This Row],[Date]])</f>
        <v>2</v>
      </c>
    </row>
    <row r="1215" spans="2:14">
      <c r="B1215" s="15">
        <v>44620</v>
      </c>
      <c r="C1215" s="34" t="s">
        <v>18</v>
      </c>
      <c r="D1215" s="34" t="e" vm="5">
        <f>_xlfn.XLOOKUP(HistoricalStockProgress[[#This Row],[Company Ticker]],CompanyDetailsList[Company Ticker],CompanyDetailsList[Official Name],,0)</f>
        <v>#VALUE!</v>
      </c>
      <c r="E12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37</v>
      </c>
      <c r="F12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5913.3283083863271</v>
      </c>
      <c r="G1215" s="17">
        <f>IFERROR(HistoricalStockProgress[[#This Row],[Cost of Shares]]/HistoricalStockProgress[[#This Row],[No. of Shares]],0)</f>
        <v>159.81968401044128</v>
      </c>
      <c r="H1215" s="16" vm="1733">
        <v>163.74</v>
      </c>
      <c r="I1215" s="16">
        <f>IF(HistoricalStockProgress[[#This Row],[No. of Shares]]&lt;&gt;0,HistoricalStockProgress[[#This Row],[Price of Shares]]*HistoricalStockProgress[[#This Row],[No. of Shares]],0)</f>
        <v>6058.38</v>
      </c>
      <c r="J1215" s="16">
        <f>IF(HistoricalStockProgress[[#This Row],[No. of Shares]]&lt;&gt;0,HistoricalStockProgress[[#This Row],[Price of Shares]]-HistoricalStockProgress[[#This Row],[Cost of Shares]]/HistoricalStockProgress[[#This Row],[No. of Shares]],0)</f>
        <v>3.9203159895587305</v>
      </c>
      <c r="K1215" s="17">
        <f>IF(HistoricalStockProgress[[#This Row],[Total Price of Shares]]&lt;&gt;0,HistoricalStockProgress[[#This Row],[Total Price of Shares]]-HistoricalStockProgress[[#This Row],[Cost of Shares]],0)</f>
        <v>145.05169161367303</v>
      </c>
      <c r="L1215" s="34" t="b" cm="1">
        <f t="array" ref="L1215">IFERROR(IF(HistoricalStockProgress[[#This Row],[Price of Shares]]="",_xlfn.STOCKHISTORY(HistoricalStockProgress[[#This Row],[Full Company Name]],HistoricalStockProgress[[#This Row],[Date]],,2,0,1)),0)</f>
        <v>0</v>
      </c>
      <c r="M1215" s="34">
        <f>YEAR(HistoricalStockProgress[[#This Row],[Date]])</f>
        <v>2022</v>
      </c>
      <c r="N1215" s="34">
        <f>MONTH(HistoricalStockProgress[[#This Row],[Date]])</f>
        <v>2</v>
      </c>
    </row>
    <row r="1216" spans="2:14">
      <c r="B1216" s="15">
        <v>44620</v>
      </c>
      <c r="C1216" s="34" t="s">
        <v>21</v>
      </c>
      <c r="D1216" s="34" t="e" vm="6">
        <f>_xlfn.XLOOKUP(HistoricalStockProgress[[#This Row],[Company Ticker]],CompanyDetailsList[Company Ticker],CompanyDetailsList[Official Name],,0)</f>
        <v>#VALUE!</v>
      </c>
      <c r="E12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2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216" s="17">
        <f>IFERROR(HistoricalStockProgress[[#This Row],[Cost of Shares]]/HistoricalStockProgress[[#This Row],[No. of Shares]],0)</f>
        <v>139.68700010204148</v>
      </c>
      <c r="H1216" s="16" vm="1734">
        <v>155.88999999999999</v>
      </c>
      <c r="I1216" s="16">
        <f>IF(HistoricalStockProgress[[#This Row],[No. of Shares]]&lt;&gt;0,HistoricalStockProgress[[#This Row],[Price of Shares]]*HistoricalStockProgress[[#This Row],[No. of Shares]],0)</f>
        <v>6547.3799999999992</v>
      </c>
      <c r="J1216" s="16">
        <f>IF(HistoricalStockProgress[[#This Row],[No. of Shares]]&lt;&gt;0,HistoricalStockProgress[[#This Row],[Price of Shares]]-HistoricalStockProgress[[#This Row],[Cost of Shares]]/HistoricalStockProgress[[#This Row],[No. of Shares]],0)</f>
        <v>16.202999897958506</v>
      </c>
      <c r="K1216" s="17">
        <f>IF(HistoricalStockProgress[[#This Row],[Total Price of Shares]]&lt;&gt;0,HistoricalStockProgress[[#This Row],[Total Price of Shares]]-HistoricalStockProgress[[#This Row],[Cost of Shares]],0)</f>
        <v>680.52599571425708</v>
      </c>
      <c r="L1216" s="34" t="b" cm="1">
        <f t="array" ref="L1216">IFERROR(IF(HistoricalStockProgress[[#This Row],[Price of Shares]]="",_xlfn.STOCKHISTORY(HistoricalStockProgress[[#This Row],[Full Company Name]],HistoricalStockProgress[[#This Row],[Date]],,2,0,1)),0)</f>
        <v>0</v>
      </c>
      <c r="M1216" s="34">
        <f>YEAR(HistoricalStockProgress[[#This Row],[Date]])</f>
        <v>2022</v>
      </c>
      <c r="N1216" s="34">
        <f>MONTH(HistoricalStockProgress[[#This Row],[Date]])</f>
        <v>2</v>
      </c>
    </row>
    <row r="1217" spans="2:14">
      <c r="B1217" s="15">
        <v>44620</v>
      </c>
      <c r="C1217" s="34" t="s">
        <v>84</v>
      </c>
      <c r="D1217" s="34" t="e" vm="7">
        <f>_xlfn.XLOOKUP(HistoricalStockProgress[[#This Row],[Company Ticker]],CompanyDetailsList[Company Ticker],CompanyDetailsList[Official Name],,0)</f>
        <v>#VALUE!</v>
      </c>
      <c r="E12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2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217" s="17">
        <f>IFERROR(HistoricalStockProgress[[#This Row],[Cost of Shares]]/HistoricalStockProgress[[#This Row],[No. of Shares]],0)</f>
        <v>104.18087504950869</v>
      </c>
      <c r="H1217" s="16" vm="1735">
        <v>164.57</v>
      </c>
      <c r="I1217" s="16">
        <f>IF(HistoricalStockProgress[[#This Row],[No. of Shares]]&lt;&gt;0,HistoricalStockProgress[[#This Row],[Price of Shares]]*HistoricalStockProgress[[#This Row],[No. of Shares]],0)</f>
        <v>8393.07</v>
      </c>
      <c r="J1217" s="16">
        <f>IF(HistoricalStockProgress[[#This Row],[No. of Shares]]&lt;&gt;0,HistoricalStockProgress[[#This Row],[Price of Shares]]-HistoricalStockProgress[[#This Row],[Cost of Shares]]/HistoricalStockProgress[[#This Row],[No. of Shares]],0)</f>
        <v>60.389124950491308</v>
      </c>
      <c r="K1217" s="17">
        <f>IF(HistoricalStockProgress[[#This Row],[Total Price of Shares]]&lt;&gt;0,HistoricalStockProgress[[#This Row],[Total Price of Shares]]-HistoricalStockProgress[[#This Row],[Cost of Shares]],0)</f>
        <v>3079.845372475057</v>
      </c>
      <c r="L1217" s="34" t="b" cm="1">
        <f t="array" ref="L1217">IFERROR(IF(HistoricalStockProgress[[#This Row],[Price of Shares]]="",_xlfn.STOCKHISTORY(HistoricalStockProgress[[#This Row],[Full Company Name]],HistoricalStockProgress[[#This Row],[Date]],,2,0,1)),0)</f>
        <v>0</v>
      </c>
      <c r="M1217" s="34">
        <f>YEAR(HistoricalStockProgress[[#This Row],[Date]])</f>
        <v>2022</v>
      </c>
      <c r="N1217" s="34">
        <f>MONTH(HistoricalStockProgress[[#This Row],[Date]])</f>
        <v>2</v>
      </c>
    </row>
    <row r="1218" spans="2:14">
      <c r="B1218" s="15">
        <v>44620</v>
      </c>
      <c r="C1218" s="34" t="s">
        <v>86</v>
      </c>
      <c r="D1218" s="34" t="e" vm="8">
        <f>_xlfn.XLOOKUP(HistoricalStockProgress[[#This Row],[Company Ticker]],CompanyDetailsList[Company Ticker],CompanyDetailsList[Official Name],,0)</f>
        <v>#VALUE!</v>
      </c>
      <c r="E12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2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218" s="17">
        <f>IFERROR(HistoricalStockProgress[[#This Row],[Cost of Shares]]/HistoricalStockProgress[[#This Row],[No. of Shares]],0)</f>
        <v>92.636161128673535</v>
      </c>
      <c r="H1218" s="16" vm="1736">
        <v>147.77000000000001</v>
      </c>
      <c r="I1218" s="16">
        <f>IF(HistoricalStockProgress[[#This Row],[No. of Shares]]&lt;&gt;0,HistoricalStockProgress[[#This Row],[Price of Shares]]*HistoricalStockProgress[[#This Row],[No. of Shares]],0)</f>
        <v>16845.780000000002</v>
      </c>
      <c r="J1218" s="16">
        <f>IF(HistoricalStockProgress[[#This Row],[No. of Shares]]&lt;&gt;0,HistoricalStockProgress[[#This Row],[Price of Shares]]-HistoricalStockProgress[[#This Row],[Cost of Shares]]/HistoricalStockProgress[[#This Row],[No. of Shares]],0)</f>
        <v>55.133838871326475</v>
      </c>
      <c r="K1218" s="17">
        <f>IF(HistoricalStockProgress[[#This Row],[Total Price of Shares]]&lt;&gt;0,HistoricalStockProgress[[#This Row],[Total Price of Shares]]-HistoricalStockProgress[[#This Row],[Cost of Shares]],0)</f>
        <v>6285.2576313312202</v>
      </c>
      <c r="L1218" s="34" t="b" cm="1">
        <f t="array" ref="L1218">IFERROR(IF(HistoricalStockProgress[[#This Row],[Price of Shares]]="",_xlfn.STOCKHISTORY(HistoricalStockProgress[[#This Row],[Full Company Name]],HistoricalStockProgress[[#This Row],[Date]],,2,0,1)),0)</f>
        <v>0</v>
      </c>
      <c r="M1218" s="34">
        <f>YEAR(HistoricalStockProgress[[#This Row],[Date]])</f>
        <v>2022</v>
      </c>
      <c r="N1218" s="34">
        <f>MONTH(HistoricalStockProgress[[#This Row],[Date]])</f>
        <v>2</v>
      </c>
    </row>
    <row r="1219" spans="2:14">
      <c r="B1219" s="15">
        <v>44620</v>
      </c>
      <c r="C1219" s="34" t="s">
        <v>88</v>
      </c>
      <c r="D1219" s="34" t="e" vm="9">
        <f>_xlfn.XLOOKUP(HistoricalStockProgress[[#This Row],[Company Ticker]],CompanyDetailsList[Company Ticker],CompanyDetailsList[Official Name],,0)</f>
        <v>#VALUE!</v>
      </c>
      <c r="E12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2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219" s="17">
        <f>IFERROR(HistoricalStockProgress[[#This Row],[Cost of Shares]]/HistoricalStockProgress[[#This Row],[No. of Shares]],0)</f>
        <v>187.727755253422</v>
      </c>
      <c r="H1219" s="16" vm="1737">
        <v>244.77</v>
      </c>
      <c r="I1219" s="16">
        <f>IF(HistoricalStockProgress[[#This Row],[No. of Shares]]&lt;&gt;0,HistoricalStockProgress[[#This Row],[Price of Shares]]*HistoricalStockProgress[[#This Row],[No. of Shares]],0)</f>
        <v>14441.43</v>
      </c>
      <c r="J1219" s="16">
        <f>IF(HistoricalStockProgress[[#This Row],[No. of Shares]]&lt;&gt;0,HistoricalStockProgress[[#This Row],[Price of Shares]]-HistoricalStockProgress[[#This Row],[Cost of Shares]]/HistoricalStockProgress[[#This Row],[No. of Shares]],0)</f>
        <v>57.042244746578007</v>
      </c>
      <c r="K1219" s="17">
        <f>IF(HistoricalStockProgress[[#This Row],[Total Price of Shares]]&lt;&gt;0,HistoricalStockProgress[[#This Row],[Total Price of Shares]]-HistoricalStockProgress[[#This Row],[Cost of Shares]],0)</f>
        <v>3365.4924400481013</v>
      </c>
      <c r="L1219" s="34" t="b" cm="1">
        <f t="array" ref="L1219">IFERROR(IF(HistoricalStockProgress[[#This Row],[Price of Shares]]="",_xlfn.STOCKHISTORY(HistoricalStockProgress[[#This Row],[Full Company Name]],HistoricalStockProgress[[#This Row],[Date]],,2,0,1)),0)</f>
        <v>0</v>
      </c>
      <c r="M1219" s="34">
        <f>YEAR(HistoricalStockProgress[[#This Row],[Date]])</f>
        <v>2022</v>
      </c>
      <c r="N1219" s="34">
        <f>MONTH(HistoricalStockProgress[[#This Row],[Date]])</f>
        <v>2</v>
      </c>
    </row>
    <row r="1220" spans="2:14">
      <c r="B1220" s="15">
        <v>44620</v>
      </c>
      <c r="C1220" s="34" t="s">
        <v>22</v>
      </c>
      <c r="D1220" s="34" t="e" vm="10">
        <f>_xlfn.XLOOKUP(HistoricalStockProgress[[#This Row],[Company Ticker]],CompanyDetailsList[Company Ticker],CompanyDetailsList[Official Name],,0)</f>
        <v>#VALUE!</v>
      </c>
      <c r="E12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12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13175.976249073738</v>
      </c>
      <c r="G1220" s="17">
        <f>IFERROR(HistoricalStockProgress[[#This Row],[Cost of Shares]]/HistoricalStockProgress[[#This Row],[No. of Shares]],0)</f>
        <v>124.30166272711074</v>
      </c>
      <c r="H1220" s="16" vm="1738">
        <v>187.58</v>
      </c>
      <c r="I1220" s="16">
        <f>IF(HistoricalStockProgress[[#This Row],[No. of Shares]]&lt;&gt;0,HistoricalStockProgress[[#This Row],[Price of Shares]]*HistoricalStockProgress[[#This Row],[No. of Shares]],0)</f>
        <v>19883.48</v>
      </c>
      <c r="J1220" s="16">
        <f>IF(HistoricalStockProgress[[#This Row],[No. of Shares]]&lt;&gt;0,HistoricalStockProgress[[#This Row],[Price of Shares]]-HistoricalStockProgress[[#This Row],[Cost of Shares]]/HistoricalStockProgress[[#This Row],[No. of Shares]],0)</f>
        <v>63.278337272889274</v>
      </c>
      <c r="K1220" s="17">
        <f>IF(HistoricalStockProgress[[#This Row],[Total Price of Shares]]&lt;&gt;0,HistoricalStockProgress[[#This Row],[Total Price of Shares]]-HistoricalStockProgress[[#This Row],[Cost of Shares]],0)</f>
        <v>6707.503750926262</v>
      </c>
      <c r="L1220" s="34" t="b" cm="1">
        <f t="array" ref="L1220">IFERROR(IF(HistoricalStockProgress[[#This Row],[Price of Shares]]="",_xlfn.STOCKHISTORY(HistoricalStockProgress[[#This Row],[Full Company Name]],HistoricalStockProgress[[#This Row],[Date]],,2,0,1)),0)</f>
        <v>0</v>
      </c>
      <c r="M1220" s="34">
        <f>YEAR(HistoricalStockProgress[[#This Row],[Date]])</f>
        <v>2022</v>
      </c>
      <c r="N1220" s="34">
        <f>MONTH(HistoricalStockProgress[[#This Row],[Date]])</f>
        <v>2</v>
      </c>
    </row>
    <row r="1221" spans="2:14">
      <c r="B1221" s="15">
        <v>44620</v>
      </c>
      <c r="C1221" s="34" t="s">
        <v>91</v>
      </c>
      <c r="D1221" s="34" t="e" vm="11">
        <f>_xlfn.XLOOKUP(HistoricalStockProgress[[#This Row],[Company Ticker]],CompanyDetailsList[Company Ticker],CompanyDetailsList[Official Name],,0)</f>
        <v>#VALUE!</v>
      </c>
      <c r="E12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12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1221" s="17">
        <f>IFERROR(HistoricalStockProgress[[#This Row],[Cost of Shares]]/HistoricalStockProgress[[#This Row],[No. of Shares]],0)</f>
        <v>100.94993172657422</v>
      </c>
      <c r="H1221" s="16" vm="1739">
        <v>298.79000000000002</v>
      </c>
      <c r="I1221" s="16">
        <f>IF(HistoricalStockProgress[[#This Row],[No. of Shares]]&lt;&gt;0,HistoricalStockProgress[[#This Row],[Price of Shares]]*HistoricalStockProgress[[#This Row],[No. of Shares]],0)</f>
        <v>43922.130000000005</v>
      </c>
      <c r="J1221" s="16">
        <f>IF(HistoricalStockProgress[[#This Row],[No. of Shares]]&lt;&gt;0,HistoricalStockProgress[[#This Row],[Price of Shares]]-HistoricalStockProgress[[#This Row],[Cost of Shares]]/HistoricalStockProgress[[#This Row],[No. of Shares]],0)</f>
        <v>197.8400682734258</v>
      </c>
      <c r="K1221" s="17">
        <f>IF(HistoricalStockProgress[[#This Row],[Total Price of Shares]]&lt;&gt;0,HistoricalStockProgress[[#This Row],[Total Price of Shares]]-HistoricalStockProgress[[#This Row],[Cost of Shares]],0)</f>
        <v>29082.490036193594</v>
      </c>
      <c r="L1221" s="34" t="b" cm="1">
        <f t="array" ref="L1221">IFERROR(IF(HistoricalStockProgress[[#This Row],[Price of Shares]]="",_xlfn.STOCKHISTORY(HistoricalStockProgress[[#This Row],[Full Company Name]],HistoricalStockProgress[[#This Row],[Date]],,2,0,1)),0)</f>
        <v>0</v>
      </c>
      <c r="M1221" s="34">
        <f>YEAR(HistoricalStockProgress[[#This Row],[Date]])</f>
        <v>2022</v>
      </c>
      <c r="N1221" s="34">
        <f>MONTH(HistoricalStockProgress[[#This Row],[Date]])</f>
        <v>2</v>
      </c>
    </row>
    <row r="1222" spans="2:14">
      <c r="B1222" s="15">
        <v>44620</v>
      </c>
      <c r="C1222" s="34" t="s">
        <v>16</v>
      </c>
      <c r="D1222" s="34" t="e" vm="12">
        <f>_xlfn.XLOOKUP(HistoricalStockProgress[[#This Row],[Company Ticker]],CompanyDetailsList[Company Ticker],CompanyDetailsList[Official Name],,0)</f>
        <v>#VALUE!</v>
      </c>
      <c r="E12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2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222" s="17">
        <f>IFERROR(HistoricalStockProgress[[#This Row],[Cost of Shares]]/HistoricalStockProgress[[#This Row],[No. of Shares]],0)</f>
        <v>75.117698177311837</v>
      </c>
      <c r="H1222" s="16" vm="1740">
        <v>78.42</v>
      </c>
      <c r="I1222" s="16">
        <f>IF(HistoricalStockProgress[[#This Row],[No. of Shares]]&lt;&gt;0,HistoricalStockProgress[[#This Row],[Price of Shares]]*HistoricalStockProgress[[#This Row],[No. of Shares]],0)</f>
        <v>14507.7</v>
      </c>
      <c r="J1222" s="16">
        <f>IF(HistoricalStockProgress[[#This Row],[No. of Shares]]&lt;&gt;0,HistoricalStockProgress[[#This Row],[Price of Shares]]-HistoricalStockProgress[[#This Row],[Cost of Shares]]/HistoricalStockProgress[[#This Row],[No. of Shares]],0)</f>
        <v>3.3023018226881646</v>
      </c>
      <c r="K1222" s="17">
        <f>IF(HistoricalStockProgress[[#This Row],[Total Price of Shares]]&lt;&gt;0,HistoricalStockProgress[[#This Row],[Total Price of Shares]]-HistoricalStockProgress[[#This Row],[Cost of Shares]],0)</f>
        <v>610.92583719731192</v>
      </c>
      <c r="L1222" s="34" t="b" cm="1">
        <f t="array" ref="L1222">IFERROR(IF(HistoricalStockProgress[[#This Row],[Price of Shares]]="",_xlfn.STOCKHISTORY(HistoricalStockProgress[[#This Row],[Full Company Name]],HistoricalStockProgress[[#This Row],[Date]],,2,0,1)),0)</f>
        <v>0</v>
      </c>
      <c r="M1222" s="34">
        <f>YEAR(HistoricalStockProgress[[#This Row],[Date]])</f>
        <v>2022</v>
      </c>
      <c r="N1222" s="34">
        <f>MONTH(HistoricalStockProgress[[#This Row],[Date]])</f>
        <v>2</v>
      </c>
    </row>
    <row r="1223" spans="2:14">
      <c r="B1223" s="15">
        <v>44620</v>
      </c>
      <c r="C1223" s="34" t="s">
        <v>95</v>
      </c>
      <c r="D1223" s="34" t="e" vm="13">
        <f>_xlfn.XLOOKUP(HistoricalStockProgress[[#This Row],[Company Ticker]],CompanyDetailsList[Company Ticker],CompanyDetailsList[Official Name],,0)</f>
        <v>#VALUE!</v>
      </c>
      <c r="E12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2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10324.055787336294</v>
      </c>
      <c r="G1223" s="17">
        <f>IFERROR(HistoricalStockProgress[[#This Row],[Cost of Shares]]/HistoricalStockProgress[[#This Row],[No. of Shares]],0)</f>
        <v>184.35813905957667</v>
      </c>
      <c r="H1223" s="16" vm="1741">
        <v>315.83</v>
      </c>
      <c r="I1223" s="16">
        <f>IF(HistoricalStockProgress[[#This Row],[No. of Shares]]&lt;&gt;0,HistoricalStockProgress[[#This Row],[Price of Shares]]*HistoricalStockProgress[[#This Row],[No. of Shares]],0)</f>
        <v>17686.48</v>
      </c>
      <c r="J1223" s="16">
        <f>IF(HistoricalStockProgress[[#This Row],[No. of Shares]]&lt;&gt;0,HistoricalStockProgress[[#This Row],[Price of Shares]]-HistoricalStockProgress[[#This Row],[Cost of Shares]]/HistoricalStockProgress[[#This Row],[No. of Shares]],0)</f>
        <v>131.47186094042331</v>
      </c>
      <c r="K1223" s="17">
        <f>IF(HistoricalStockProgress[[#This Row],[Total Price of Shares]]&lt;&gt;0,HistoricalStockProgress[[#This Row],[Total Price of Shares]]-HistoricalStockProgress[[#This Row],[Cost of Shares]],0)</f>
        <v>7362.4242126637055</v>
      </c>
      <c r="L1223" s="34" t="b" cm="1">
        <f t="array" ref="L1223">IFERROR(IF(HistoricalStockProgress[[#This Row],[Price of Shares]]="",_xlfn.STOCKHISTORY(HistoricalStockProgress[[#This Row],[Full Company Name]],HistoricalStockProgress[[#This Row],[Date]],,2,0,1)),0)</f>
        <v>0</v>
      </c>
      <c r="M1223" s="34">
        <f>YEAR(HistoricalStockProgress[[#This Row],[Date]])</f>
        <v>2022</v>
      </c>
      <c r="N1223" s="34">
        <f>MONTH(HistoricalStockProgress[[#This Row],[Date]])</f>
        <v>2</v>
      </c>
    </row>
    <row r="1224" spans="2:14">
      <c r="B1224" s="15">
        <v>44620</v>
      </c>
      <c r="C1224" s="34" t="s">
        <v>17</v>
      </c>
      <c r="D1224" s="34" t="e" vm="14">
        <f>_xlfn.XLOOKUP(HistoricalStockProgress[[#This Row],[Company Ticker]],CompanyDetailsList[Company Ticker],CompanyDetailsList[Official Name],,0)</f>
        <v>#VALUE!</v>
      </c>
      <c r="E12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173</v>
      </c>
      <c r="F12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23678.070828870346</v>
      </c>
      <c r="G1224" s="17">
        <f>IFERROR(HistoricalStockProgress[[#This Row],[Cost of Shares]]/HistoricalStockProgress[[#This Row],[No. of Shares]],0)</f>
        <v>136.86746143855692</v>
      </c>
      <c r="H1224" s="16" vm="1742">
        <v>122.51</v>
      </c>
      <c r="I1224" s="16">
        <f>IF(HistoricalStockProgress[[#This Row],[No. of Shares]]&lt;&gt;0,HistoricalStockProgress[[#This Row],[Price of Shares]]*HistoricalStockProgress[[#This Row],[No. of Shares]],0)</f>
        <v>21194.23</v>
      </c>
      <c r="J1224" s="16">
        <f>IF(HistoricalStockProgress[[#This Row],[No. of Shares]]&lt;&gt;0,HistoricalStockProgress[[#This Row],[Price of Shares]]-HistoricalStockProgress[[#This Row],[Cost of Shares]]/HistoricalStockProgress[[#This Row],[No. of Shares]],0)</f>
        <v>-14.357461438556911</v>
      </c>
      <c r="K1224" s="17">
        <f>IF(HistoricalStockProgress[[#This Row],[Total Price of Shares]]&lt;&gt;0,HistoricalStockProgress[[#This Row],[Total Price of Shares]]-HistoricalStockProgress[[#This Row],[Cost of Shares]],0)</f>
        <v>-2483.8408288703467</v>
      </c>
      <c r="L1224" s="34" t="b" cm="1">
        <f t="array" ref="L1224">IFERROR(IF(HistoricalStockProgress[[#This Row],[Price of Shares]]="",_xlfn.STOCKHISTORY(HistoricalStockProgress[[#This Row],[Full Company Name]],HistoricalStockProgress[[#This Row],[Date]],,2,0,1)),0)</f>
        <v>0</v>
      </c>
      <c r="M1224" s="34">
        <f>YEAR(HistoricalStockProgress[[#This Row],[Date]])</f>
        <v>2022</v>
      </c>
      <c r="N1224" s="34">
        <f>MONTH(HistoricalStockProgress[[#This Row],[Date]])</f>
        <v>2</v>
      </c>
    </row>
    <row r="1225" spans="2:14">
      <c r="B1225" s="15">
        <v>44620</v>
      </c>
      <c r="C1225" s="34" t="s">
        <v>98</v>
      </c>
      <c r="D1225" s="34" t="e" vm="15">
        <f>_xlfn.XLOOKUP(HistoricalStockProgress[[#This Row],[Company Ticker]],CompanyDetailsList[Company Ticker],CompanyDetailsList[Official Name],,0)</f>
        <v>#VALUE!</v>
      </c>
      <c r="E12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108</v>
      </c>
      <c r="F12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5486.2959177385774</v>
      </c>
      <c r="G1225" s="17">
        <f>IFERROR(HistoricalStockProgress[[#This Row],[Cost of Shares]]/HistoricalStockProgress[[#This Row],[No. of Shares]],0)</f>
        <v>50.799036275357196</v>
      </c>
      <c r="H1225" s="16" vm="1743">
        <v>78.27</v>
      </c>
      <c r="I1225" s="16">
        <f>IF(HistoricalStockProgress[[#This Row],[No. of Shares]]&lt;&gt;0,HistoricalStockProgress[[#This Row],[Price of Shares]]*HistoricalStockProgress[[#This Row],[No. of Shares]],0)</f>
        <v>8453.16</v>
      </c>
      <c r="J1225" s="16">
        <f>IF(HistoricalStockProgress[[#This Row],[No. of Shares]]&lt;&gt;0,HistoricalStockProgress[[#This Row],[Price of Shares]]-HistoricalStockProgress[[#This Row],[Cost of Shares]]/HistoricalStockProgress[[#This Row],[No. of Shares]],0)</f>
        <v>27.4709637246428</v>
      </c>
      <c r="K1225" s="17">
        <f>IF(HistoricalStockProgress[[#This Row],[Total Price of Shares]]&lt;&gt;0,HistoricalStockProgress[[#This Row],[Total Price of Shares]]-HistoricalStockProgress[[#This Row],[Cost of Shares]],0)</f>
        <v>2966.8640822614225</v>
      </c>
      <c r="L1225" s="34" t="b" cm="1">
        <f t="array" ref="L1225">IFERROR(IF(HistoricalStockProgress[[#This Row],[Price of Shares]]="",_xlfn.STOCKHISTORY(HistoricalStockProgress[[#This Row],[Full Company Name]],HistoricalStockProgress[[#This Row],[Date]],,2,0,1)),0)</f>
        <v>0</v>
      </c>
      <c r="M1225" s="34">
        <f>YEAR(HistoricalStockProgress[[#This Row],[Date]])</f>
        <v>2022</v>
      </c>
      <c r="N1225" s="34">
        <f>MONTH(HistoricalStockProgress[[#This Row],[Date]])</f>
        <v>2</v>
      </c>
    </row>
    <row r="1226" spans="2:14">
      <c r="B1226" s="15">
        <v>44620</v>
      </c>
      <c r="C1226" s="34" t="s">
        <v>100</v>
      </c>
      <c r="D1226" s="34" t="e" vm="16">
        <f>_xlfn.XLOOKUP(HistoricalStockProgress[[#This Row],[Company Ticker]],CompanyDetailsList[Company Ticker],CompanyDetailsList[Official Name],,0)</f>
        <v>#VALUE!</v>
      </c>
      <c r="E12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12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12257.793853370842</v>
      </c>
      <c r="G1226" s="17">
        <f>IFERROR(HistoricalStockProgress[[#This Row],[Cost of Shares]]/HistoricalStockProgress[[#This Row],[No. of Shares]],0)</f>
        <v>87.555670381220295</v>
      </c>
      <c r="H1226" s="16" vm="1744">
        <v>100.41</v>
      </c>
      <c r="I1226" s="16">
        <f>IF(HistoricalStockProgress[[#This Row],[No. of Shares]]&lt;&gt;0,HistoricalStockProgress[[#This Row],[Price of Shares]]*HistoricalStockProgress[[#This Row],[No. of Shares]],0)</f>
        <v>14057.4</v>
      </c>
      <c r="J1226" s="16">
        <f>IF(HistoricalStockProgress[[#This Row],[No. of Shares]]&lt;&gt;0,HistoricalStockProgress[[#This Row],[Price of Shares]]-HistoricalStockProgress[[#This Row],[Cost of Shares]]/HistoricalStockProgress[[#This Row],[No. of Shares]],0)</f>
        <v>12.854329618779701</v>
      </c>
      <c r="K1226" s="17">
        <f>IF(HistoricalStockProgress[[#This Row],[Total Price of Shares]]&lt;&gt;0,HistoricalStockProgress[[#This Row],[Total Price of Shares]]-HistoricalStockProgress[[#This Row],[Cost of Shares]],0)</f>
        <v>1799.6061466291576</v>
      </c>
      <c r="L1226" s="34" t="b" cm="1">
        <f t="array" ref="L1226">IFERROR(IF(HistoricalStockProgress[[#This Row],[Price of Shares]]="",_xlfn.STOCKHISTORY(HistoricalStockProgress[[#This Row],[Full Company Name]],HistoricalStockProgress[[#This Row],[Date]],,2,0,1)),0)</f>
        <v>0</v>
      </c>
      <c r="M1226" s="34">
        <f>YEAR(HistoricalStockProgress[[#This Row],[Date]])</f>
        <v>2022</v>
      </c>
      <c r="N1226" s="34">
        <f>MONTH(HistoricalStockProgress[[#This Row],[Date]])</f>
        <v>2</v>
      </c>
    </row>
    <row r="1227" spans="2:14">
      <c r="B1227" s="15">
        <v>44620</v>
      </c>
      <c r="C1227" s="34" t="s">
        <v>15</v>
      </c>
      <c r="D1227" s="34" t="e" vm="17">
        <f>_xlfn.XLOOKUP(HistoricalStockProgress[[#This Row],[Company Ticker]],CompanyDetailsList[Company Ticker],CompanyDetailsList[Official Name],,0)</f>
        <v>#VALUE!</v>
      </c>
      <c r="E12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2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227" s="17">
        <f>IFERROR(HistoricalStockProgress[[#This Row],[Cost of Shares]]/HistoricalStockProgress[[#This Row],[No. of Shares]],0)</f>
        <v>26.081956457072195</v>
      </c>
      <c r="H1227" s="16" vm="1745">
        <v>17.8902</v>
      </c>
      <c r="I1227" s="16">
        <f>IF(HistoricalStockProgress[[#This Row],[No. of Shares]]&lt;&gt;0,HistoricalStockProgress[[#This Row],[Price of Shares]]*HistoricalStockProgress[[#This Row],[No. of Shares]],0)</f>
        <v>2218.3847999999998</v>
      </c>
      <c r="J1227" s="16">
        <f>IF(HistoricalStockProgress[[#This Row],[No. of Shares]]&lt;&gt;0,HistoricalStockProgress[[#This Row],[Price of Shares]]-HistoricalStockProgress[[#This Row],[Cost of Shares]]/HistoricalStockProgress[[#This Row],[No. of Shares]],0)</f>
        <v>-8.191756457072195</v>
      </c>
      <c r="K1227" s="17">
        <f>IF(HistoricalStockProgress[[#This Row],[Total Price of Shares]]&lt;&gt;0,HistoricalStockProgress[[#This Row],[Total Price of Shares]]-HistoricalStockProgress[[#This Row],[Cost of Shares]],0)</f>
        <v>-1015.7778006769522</v>
      </c>
      <c r="L1227" s="34" t="b" cm="1">
        <f t="array" ref="L1227">IFERROR(IF(HistoricalStockProgress[[#This Row],[Price of Shares]]="",_xlfn.STOCKHISTORY(HistoricalStockProgress[[#This Row],[Full Company Name]],HistoricalStockProgress[[#This Row],[Date]],,2,0,1)),0)</f>
        <v>0</v>
      </c>
      <c r="M1227" s="34">
        <f>YEAR(HistoricalStockProgress[[#This Row],[Date]])</f>
        <v>2022</v>
      </c>
      <c r="N1227" s="34">
        <f>MONTH(HistoricalStockProgress[[#This Row],[Date]])</f>
        <v>2</v>
      </c>
    </row>
    <row r="1228" spans="2:14">
      <c r="B1228" s="15">
        <v>44620</v>
      </c>
      <c r="C1228" s="34" t="s">
        <v>13</v>
      </c>
      <c r="D1228" s="34" t="e" vm="18">
        <f>_xlfn.XLOOKUP(HistoricalStockProgress[[#This Row],[Company Ticker]],CompanyDetailsList[Company Ticker],CompanyDetailsList[Official Name],,0)</f>
        <v>#VALUE!</v>
      </c>
      <c r="E12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2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228" s="17">
        <f>IFERROR(HistoricalStockProgress[[#This Row],[Cost of Shares]]/HistoricalStockProgress[[#This Row],[No. of Shares]],0)</f>
        <v>35.846938938346874</v>
      </c>
      <c r="H1228" s="16" vm="1746">
        <v>46.94</v>
      </c>
      <c r="I1228" s="16">
        <f>IF(HistoricalStockProgress[[#This Row],[No. of Shares]]&lt;&gt;0,HistoricalStockProgress[[#This Row],[Price of Shares]]*HistoricalStockProgress[[#This Row],[No. of Shares]],0)</f>
        <v>2581.6999999999998</v>
      </c>
      <c r="J1228" s="16">
        <f>IF(HistoricalStockProgress[[#This Row],[No. of Shares]]&lt;&gt;0,HistoricalStockProgress[[#This Row],[Price of Shares]]-HistoricalStockProgress[[#This Row],[Cost of Shares]]/HistoricalStockProgress[[#This Row],[No. of Shares]],0)</f>
        <v>11.093061061653124</v>
      </c>
      <c r="K1228" s="17">
        <f>IF(HistoricalStockProgress[[#This Row],[Total Price of Shares]]&lt;&gt;0,HistoricalStockProgress[[#This Row],[Total Price of Shares]]-HistoricalStockProgress[[#This Row],[Cost of Shares]],0)</f>
        <v>610.11835839092168</v>
      </c>
      <c r="L1228" s="34" t="b" cm="1">
        <f t="array" ref="L1228">IFERROR(IF(HistoricalStockProgress[[#This Row],[Price of Shares]]="",_xlfn.STOCKHISTORY(HistoricalStockProgress[[#This Row],[Full Company Name]],HistoricalStockProgress[[#This Row],[Date]],,2,0,1)),0)</f>
        <v>0</v>
      </c>
      <c r="M1228" s="34">
        <f>YEAR(HistoricalStockProgress[[#This Row],[Date]])</f>
        <v>2022</v>
      </c>
      <c r="N1228" s="34">
        <f>MONTH(HistoricalStockProgress[[#This Row],[Date]])</f>
        <v>2</v>
      </c>
    </row>
    <row r="1229" spans="2:14">
      <c r="B1229" s="15">
        <v>44620</v>
      </c>
      <c r="C1229" s="34" t="s">
        <v>20</v>
      </c>
      <c r="D1229" s="34" t="e" vm="19">
        <f>_xlfn.XLOOKUP(HistoricalStockProgress[[#This Row],[Company Ticker]],CompanyDetailsList[Company Ticker],CompanyDetailsList[Official Name],,0)</f>
        <v>#VALUE!</v>
      </c>
      <c r="E12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93</v>
      </c>
      <c r="F12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9585.7274858109122</v>
      </c>
      <c r="G1229" s="17">
        <f>IFERROR(HistoricalStockProgress[[#This Row],[Cost of Shares]]/HistoricalStockProgress[[#This Row],[No. of Shares]],0)</f>
        <v>103.07233855710658</v>
      </c>
      <c r="H1229" s="16" vm="1747">
        <v>141.80000000000001</v>
      </c>
      <c r="I1229" s="16">
        <f>IF(HistoricalStockProgress[[#This Row],[No. of Shares]]&lt;&gt;0,HistoricalStockProgress[[#This Row],[Price of Shares]]*HistoricalStockProgress[[#This Row],[No. of Shares]],0)</f>
        <v>13187.400000000001</v>
      </c>
      <c r="J1229" s="16">
        <f>IF(HistoricalStockProgress[[#This Row],[No. of Shares]]&lt;&gt;0,HistoricalStockProgress[[#This Row],[Price of Shares]]-HistoricalStockProgress[[#This Row],[Cost of Shares]]/HistoricalStockProgress[[#This Row],[No. of Shares]],0)</f>
        <v>38.727661442893435</v>
      </c>
      <c r="K1229" s="17">
        <f>IF(HistoricalStockProgress[[#This Row],[Total Price of Shares]]&lt;&gt;0,HistoricalStockProgress[[#This Row],[Total Price of Shares]]-HistoricalStockProgress[[#This Row],[Cost of Shares]],0)</f>
        <v>3601.6725141890893</v>
      </c>
      <c r="L1229" s="34" t="b" cm="1">
        <f t="array" ref="L1229">IFERROR(IF(HistoricalStockProgress[[#This Row],[Price of Shares]]="",_xlfn.STOCKHISTORY(HistoricalStockProgress[[#This Row],[Full Company Name]],HistoricalStockProgress[[#This Row],[Date]],,2,0,1)),0)</f>
        <v>0</v>
      </c>
      <c r="M1229" s="34">
        <f>YEAR(HistoricalStockProgress[[#This Row],[Date]])</f>
        <v>2022</v>
      </c>
      <c r="N1229" s="34">
        <f>MONTH(HistoricalStockProgress[[#This Row],[Date]])</f>
        <v>2</v>
      </c>
    </row>
    <row r="1230" spans="2:14">
      <c r="B1230" s="15">
        <v>44620</v>
      </c>
      <c r="C1230" s="34" t="s">
        <v>106</v>
      </c>
      <c r="D1230" s="34" t="e" vm="20">
        <f>_xlfn.XLOOKUP(HistoricalStockProgress[[#This Row],[Company Ticker]],CompanyDetailsList[Company Ticker],CompanyDetailsList[Official Name],,0)</f>
        <v>#VALUE!</v>
      </c>
      <c r="E12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2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230" s="17">
        <f>IFERROR(HistoricalStockProgress[[#This Row],[Cost of Shares]]/HistoricalStockProgress[[#This Row],[No. of Shares]],0)</f>
        <v>108.54870748680406</v>
      </c>
      <c r="H1230" s="16" vm="1748">
        <v>133.44999999999999</v>
      </c>
      <c r="I1230" s="16">
        <f>IF(HistoricalStockProgress[[#This Row],[No. of Shares]]&lt;&gt;0,HistoricalStockProgress[[#This Row],[Price of Shares]]*HistoricalStockProgress[[#This Row],[No. of Shares]],0)</f>
        <v>11743.599999999999</v>
      </c>
      <c r="J1230" s="16">
        <f>IF(HistoricalStockProgress[[#This Row],[No. of Shares]]&lt;&gt;0,HistoricalStockProgress[[#This Row],[Price of Shares]]-HistoricalStockProgress[[#This Row],[Cost of Shares]]/HistoricalStockProgress[[#This Row],[No. of Shares]],0)</f>
        <v>24.901292513195926</v>
      </c>
      <c r="K1230" s="17">
        <f>IF(HistoricalStockProgress[[#This Row],[Total Price of Shares]]&lt;&gt;0,HistoricalStockProgress[[#This Row],[Total Price of Shares]]-HistoricalStockProgress[[#This Row],[Cost of Shares]],0)</f>
        <v>2191.3137411612406</v>
      </c>
      <c r="L1230" s="34" t="b" cm="1">
        <f t="array" ref="L1230">IFERROR(IF(HistoricalStockProgress[[#This Row],[Price of Shares]]="",_xlfn.STOCKHISTORY(HistoricalStockProgress[[#This Row],[Full Company Name]],HistoricalStockProgress[[#This Row],[Date]],,2,0,1)),0)</f>
        <v>0</v>
      </c>
      <c r="M1230" s="34">
        <f>YEAR(HistoricalStockProgress[[#This Row],[Date]])</f>
        <v>2022</v>
      </c>
      <c r="N1230" s="34">
        <f>MONTH(HistoricalStockProgress[[#This Row],[Date]])</f>
        <v>2</v>
      </c>
    </row>
    <row r="1231" spans="2:14">
      <c r="B1231" s="15">
        <v>44651</v>
      </c>
      <c r="C1231" s="34" t="s">
        <v>12</v>
      </c>
      <c r="D1231" s="34" t="e" vm="1">
        <f>_xlfn.XLOOKUP(HistoricalStockProgress[[#This Row],[Company Ticker]],CompanyDetailsList[Company Ticker],CompanyDetailsList[Official Name],,0)</f>
        <v>#VALUE!</v>
      </c>
      <c r="E12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12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1231" s="17">
        <f>IFERROR(HistoricalStockProgress[[#This Row],[Cost of Shares]]/HistoricalStockProgress[[#This Row],[No. of Shares]],0)</f>
        <v>63.845182519411239</v>
      </c>
      <c r="H1231" s="16" vm="1749">
        <v>69.3</v>
      </c>
      <c r="I1231" s="16">
        <f>IF(HistoricalStockProgress[[#This Row],[No. of Shares]]&lt;&gt;0,HistoricalStockProgress[[#This Row],[Price of Shares]]*HistoricalStockProgress[[#This Row],[No. of Shares]],0)</f>
        <v>4435.2</v>
      </c>
      <c r="J1231" s="16">
        <f>IF(HistoricalStockProgress[[#This Row],[No. of Shares]]&lt;&gt;0,HistoricalStockProgress[[#This Row],[Price of Shares]]-HistoricalStockProgress[[#This Row],[Cost of Shares]]/HistoricalStockProgress[[#This Row],[No. of Shares]],0)</f>
        <v>5.4548174805887584</v>
      </c>
      <c r="K1231" s="17">
        <f>IF(HistoricalStockProgress[[#This Row],[Total Price of Shares]]&lt;&gt;0,HistoricalStockProgress[[#This Row],[Total Price of Shares]]-HistoricalStockProgress[[#This Row],[Cost of Shares]],0)</f>
        <v>349.10831875768054</v>
      </c>
      <c r="L1231" s="34" t="b" cm="1">
        <f t="array" ref="L1231">IFERROR(IF(HistoricalStockProgress[[#This Row],[Price of Shares]]="",_xlfn.STOCKHISTORY(HistoricalStockProgress[[#This Row],[Full Company Name]],HistoricalStockProgress[[#This Row],[Date]],,2,0,1)),0)</f>
        <v>0</v>
      </c>
      <c r="M1231" s="34">
        <f>YEAR(HistoricalStockProgress[[#This Row],[Date]])</f>
        <v>2022</v>
      </c>
      <c r="N1231" s="34">
        <f>MONTH(HistoricalStockProgress[[#This Row],[Date]])</f>
        <v>3</v>
      </c>
    </row>
    <row r="1232" spans="2:14">
      <c r="B1232" s="15">
        <v>44651</v>
      </c>
      <c r="C1232" s="34" t="s">
        <v>14</v>
      </c>
      <c r="D1232" s="34" t="e" vm="2">
        <f>_xlfn.XLOOKUP(HistoricalStockProgress[[#This Row],[Company Ticker]],CompanyDetailsList[Company Ticker],CompanyDetailsList[Official Name],,0)</f>
        <v>#VALUE!</v>
      </c>
      <c r="E12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2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232" s="17">
        <f>IFERROR(HistoricalStockProgress[[#This Row],[Cost of Shares]]/HistoricalStockProgress[[#This Row],[No. of Shares]],0)</f>
        <v>31.580112511620161</v>
      </c>
      <c r="H1232" s="16" vm="1750">
        <v>36.51</v>
      </c>
      <c r="I1232" s="16">
        <f>IF(HistoricalStockProgress[[#This Row],[No. of Shares]]&lt;&gt;0,HistoricalStockProgress[[#This Row],[Price of Shares]]*HistoricalStockProgress[[#This Row],[No. of Shares]],0)</f>
        <v>1022.28</v>
      </c>
      <c r="J1232" s="16">
        <f>IF(HistoricalStockProgress[[#This Row],[No. of Shares]]&lt;&gt;0,HistoricalStockProgress[[#This Row],[Price of Shares]]-HistoricalStockProgress[[#This Row],[Cost of Shares]]/HistoricalStockProgress[[#This Row],[No. of Shares]],0)</f>
        <v>4.9298874883798369</v>
      </c>
      <c r="K1232" s="17">
        <f>IF(HistoricalStockProgress[[#This Row],[Total Price of Shares]]&lt;&gt;0,HistoricalStockProgress[[#This Row],[Total Price of Shares]]-HistoricalStockProgress[[#This Row],[Cost of Shares]],0)</f>
        <v>138.0368496746355</v>
      </c>
      <c r="L1232" s="34" t="b" cm="1">
        <f t="array" ref="L1232">IFERROR(IF(HistoricalStockProgress[[#This Row],[Price of Shares]]="",_xlfn.STOCKHISTORY(HistoricalStockProgress[[#This Row],[Full Company Name]],HistoricalStockProgress[[#This Row],[Date]],,2,0,1)),0)</f>
        <v>0</v>
      </c>
      <c r="M1232" s="34">
        <f>YEAR(HistoricalStockProgress[[#This Row],[Date]])</f>
        <v>2022</v>
      </c>
      <c r="N1232" s="34">
        <f>MONTH(HistoricalStockProgress[[#This Row],[Date]])</f>
        <v>3</v>
      </c>
    </row>
    <row r="1233" spans="2:14">
      <c r="B1233" s="15">
        <v>44651</v>
      </c>
      <c r="C1233" s="34" t="s">
        <v>19</v>
      </c>
      <c r="D1233" s="34" t="e" vm="3">
        <f>_xlfn.XLOOKUP(HistoricalStockProgress[[#This Row],[Company Ticker]],CompanyDetailsList[Company Ticker],CompanyDetailsList[Official Name],,0)</f>
        <v>#VALUE!</v>
      </c>
      <c r="E12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2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233" s="17">
        <f>IFERROR(HistoricalStockProgress[[#This Row],[Cost of Shares]]/HistoricalStockProgress[[#This Row],[No. of Shares]],0)</f>
        <v>158.45739987816083</v>
      </c>
      <c r="H1233" s="16" vm="1194">
        <v>139.03</v>
      </c>
      <c r="I1233" s="16">
        <f>IF(HistoricalStockProgress[[#This Row],[No. of Shares]]&lt;&gt;0,HistoricalStockProgress[[#This Row],[Price of Shares]]*HistoricalStockProgress[[#This Row],[No. of Shares]],0)</f>
        <v>7924.71</v>
      </c>
      <c r="J1233" s="16">
        <f>IF(HistoricalStockProgress[[#This Row],[No. of Shares]]&lt;&gt;0,HistoricalStockProgress[[#This Row],[Price of Shares]]-HistoricalStockProgress[[#This Row],[Cost of Shares]]/HistoricalStockProgress[[#This Row],[No. of Shares]],0)</f>
        <v>-19.427399878160827</v>
      </c>
      <c r="K1233" s="17">
        <f>IF(HistoricalStockProgress[[#This Row],[Total Price of Shares]]&lt;&gt;0,HistoricalStockProgress[[#This Row],[Total Price of Shares]]-HistoricalStockProgress[[#This Row],[Cost of Shares]],0)</f>
        <v>-1107.3617930551673</v>
      </c>
      <c r="L1233" s="34" t="b" cm="1">
        <f t="array" ref="L1233">IFERROR(IF(HistoricalStockProgress[[#This Row],[Price of Shares]]="",_xlfn.STOCKHISTORY(HistoricalStockProgress[[#This Row],[Full Company Name]],HistoricalStockProgress[[#This Row],[Date]],,2,0,1)),0)</f>
        <v>0</v>
      </c>
      <c r="M1233" s="34">
        <f>YEAR(HistoricalStockProgress[[#This Row],[Date]])</f>
        <v>2022</v>
      </c>
      <c r="N1233" s="34">
        <f>MONTH(HistoricalStockProgress[[#This Row],[Date]])</f>
        <v>3</v>
      </c>
    </row>
    <row r="1234" spans="2:14">
      <c r="B1234" s="15">
        <v>44651</v>
      </c>
      <c r="C1234" s="34" t="s">
        <v>23</v>
      </c>
      <c r="D1234" s="34" t="e" vm="4">
        <f>_xlfn.XLOOKUP(HistoricalStockProgress[[#This Row],[Company Ticker]],CompanyDetailsList[Company Ticker],CompanyDetailsList[Official Name],,0)</f>
        <v>#VALUE!</v>
      </c>
      <c r="E12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80</v>
      </c>
      <c r="F12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3888.0556776173789</v>
      </c>
      <c r="G1234" s="17">
        <f>IFERROR(HistoricalStockProgress[[#This Row],[Cost of Shares]]/HistoricalStockProgress[[#This Row],[No. of Shares]],0)</f>
        <v>48.600695970217238</v>
      </c>
      <c r="H1234" s="16" vm="1751">
        <v>62</v>
      </c>
      <c r="I1234" s="16">
        <f>IF(HistoricalStockProgress[[#This Row],[No. of Shares]]&lt;&gt;0,HistoricalStockProgress[[#This Row],[Price of Shares]]*HistoricalStockProgress[[#This Row],[No. of Shares]],0)</f>
        <v>4960</v>
      </c>
      <c r="J1234" s="16">
        <f>IF(HistoricalStockProgress[[#This Row],[No. of Shares]]&lt;&gt;0,HistoricalStockProgress[[#This Row],[Price of Shares]]-HistoricalStockProgress[[#This Row],[Cost of Shares]]/HistoricalStockProgress[[#This Row],[No. of Shares]],0)</f>
        <v>13.399304029782762</v>
      </c>
      <c r="K1234" s="17">
        <f>IF(HistoricalStockProgress[[#This Row],[Total Price of Shares]]&lt;&gt;0,HistoricalStockProgress[[#This Row],[Total Price of Shares]]-HistoricalStockProgress[[#This Row],[Cost of Shares]],0)</f>
        <v>1071.9443223826211</v>
      </c>
      <c r="L1234" s="34" t="b" cm="1">
        <f t="array" ref="L1234">IFERROR(IF(HistoricalStockProgress[[#This Row],[Price of Shares]]="",_xlfn.STOCKHISTORY(HistoricalStockProgress[[#This Row],[Full Company Name]],HistoricalStockProgress[[#This Row],[Date]],,2,0,1)),0)</f>
        <v>0</v>
      </c>
      <c r="M1234" s="34">
        <f>YEAR(HistoricalStockProgress[[#This Row],[Date]])</f>
        <v>2022</v>
      </c>
      <c r="N1234" s="34">
        <f>MONTH(HistoricalStockProgress[[#This Row],[Date]])</f>
        <v>3</v>
      </c>
    </row>
    <row r="1235" spans="2:14">
      <c r="B1235" s="15">
        <v>44651</v>
      </c>
      <c r="C1235" s="34" t="s">
        <v>18</v>
      </c>
      <c r="D1235" s="34" t="e" vm="5">
        <f>_xlfn.XLOOKUP(HistoricalStockProgress[[#This Row],[Company Ticker]],CompanyDetailsList[Company Ticker],CompanyDetailsList[Official Name],,0)</f>
        <v>#VALUE!</v>
      </c>
      <c r="E12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2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235" s="17">
        <f>IFERROR(HistoricalStockProgress[[#This Row],[Cost of Shares]]/HistoricalStockProgress[[#This Row],[No. of Shares]],0)</f>
        <v>160.8859607546234</v>
      </c>
      <c r="H1235" s="16" vm="505">
        <v>167.38</v>
      </c>
      <c r="I1235" s="16">
        <f>IF(HistoricalStockProgress[[#This Row],[No. of Shares]]&lt;&gt;0,HistoricalStockProgress[[#This Row],[Price of Shares]]*HistoricalStockProgress[[#This Row],[No. of Shares]],0)</f>
        <v>7197.34</v>
      </c>
      <c r="J1235" s="16">
        <f>IF(HistoricalStockProgress[[#This Row],[No. of Shares]]&lt;&gt;0,HistoricalStockProgress[[#This Row],[Price of Shares]]-HistoricalStockProgress[[#This Row],[Cost of Shares]]/HistoricalStockProgress[[#This Row],[No. of Shares]],0)</f>
        <v>6.494039245376598</v>
      </c>
      <c r="K1235" s="17">
        <f>IF(HistoricalStockProgress[[#This Row],[Total Price of Shares]]&lt;&gt;0,HistoricalStockProgress[[#This Row],[Total Price of Shares]]-HistoricalStockProgress[[#This Row],[Cost of Shares]],0)</f>
        <v>279.24368755119394</v>
      </c>
      <c r="L1235" s="34" t="b" cm="1">
        <f t="array" ref="L1235">IFERROR(IF(HistoricalStockProgress[[#This Row],[Price of Shares]]="",_xlfn.STOCKHISTORY(HistoricalStockProgress[[#This Row],[Full Company Name]],HistoricalStockProgress[[#This Row],[Date]],,2,0,1)),0)</f>
        <v>0</v>
      </c>
      <c r="M1235" s="34">
        <f>YEAR(HistoricalStockProgress[[#This Row],[Date]])</f>
        <v>2022</v>
      </c>
      <c r="N1235" s="34">
        <f>MONTH(HistoricalStockProgress[[#This Row],[Date]])</f>
        <v>3</v>
      </c>
    </row>
    <row r="1236" spans="2:14">
      <c r="B1236" s="15">
        <v>44651</v>
      </c>
      <c r="C1236" s="34" t="s">
        <v>21</v>
      </c>
      <c r="D1236" s="34" t="e" vm="6">
        <f>_xlfn.XLOOKUP(HistoricalStockProgress[[#This Row],[Company Ticker]],CompanyDetailsList[Company Ticker],CompanyDetailsList[Official Name],,0)</f>
        <v>#VALUE!</v>
      </c>
      <c r="E12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2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236" s="17">
        <f>IFERROR(HistoricalStockProgress[[#This Row],[Cost of Shares]]/HistoricalStockProgress[[#This Row],[No. of Shares]],0)</f>
        <v>139.68700010204148</v>
      </c>
      <c r="H1236" s="16" vm="1752">
        <v>152.80000000000001</v>
      </c>
      <c r="I1236" s="16">
        <f>IF(HistoricalStockProgress[[#This Row],[No. of Shares]]&lt;&gt;0,HistoricalStockProgress[[#This Row],[Price of Shares]]*HistoricalStockProgress[[#This Row],[No. of Shares]],0)</f>
        <v>6417.6</v>
      </c>
      <c r="J1236" s="16">
        <f>IF(HistoricalStockProgress[[#This Row],[No. of Shares]]&lt;&gt;0,HistoricalStockProgress[[#This Row],[Price of Shares]]-HistoricalStockProgress[[#This Row],[Cost of Shares]]/HistoricalStockProgress[[#This Row],[No. of Shares]],0)</f>
        <v>13.112999897958531</v>
      </c>
      <c r="K1236" s="17">
        <f>IF(HistoricalStockProgress[[#This Row],[Total Price of Shares]]&lt;&gt;0,HistoricalStockProgress[[#This Row],[Total Price of Shares]]-HistoricalStockProgress[[#This Row],[Cost of Shares]],0)</f>
        <v>550.74599571425824</v>
      </c>
      <c r="L1236" s="34" t="b" cm="1">
        <f t="array" ref="L1236">IFERROR(IF(HistoricalStockProgress[[#This Row],[Price of Shares]]="",_xlfn.STOCKHISTORY(HistoricalStockProgress[[#This Row],[Full Company Name]],HistoricalStockProgress[[#This Row],[Date]],,2,0,1)),0)</f>
        <v>0</v>
      </c>
      <c r="M1236" s="34">
        <f>YEAR(HistoricalStockProgress[[#This Row],[Date]])</f>
        <v>2022</v>
      </c>
      <c r="N1236" s="34">
        <f>MONTH(HistoricalStockProgress[[#This Row],[Date]])</f>
        <v>3</v>
      </c>
    </row>
    <row r="1237" spans="2:14">
      <c r="B1237" s="15">
        <v>44651</v>
      </c>
      <c r="C1237" s="34" t="s">
        <v>84</v>
      </c>
      <c r="D1237" s="34" t="e" vm="7">
        <f>_xlfn.XLOOKUP(HistoricalStockProgress[[#This Row],[Company Ticker]],CompanyDetailsList[Company Ticker],CompanyDetailsList[Official Name],,0)</f>
        <v>#VALUE!</v>
      </c>
      <c r="E12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2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237" s="17">
        <f>IFERROR(HistoricalStockProgress[[#This Row],[Cost of Shares]]/HistoricalStockProgress[[#This Row],[No. of Shares]],0)</f>
        <v>104.18087504950869</v>
      </c>
      <c r="H1237" s="16" vm="1753">
        <v>177.23</v>
      </c>
      <c r="I1237" s="16">
        <f>IF(HistoricalStockProgress[[#This Row],[No. of Shares]]&lt;&gt;0,HistoricalStockProgress[[#This Row],[Price of Shares]]*HistoricalStockProgress[[#This Row],[No. of Shares]],0)</f>
        <v>9038.73</v>
      </c>
      <c r="J1237" s="16">
        <f>IF(HistoricalStockProgress[[#This Row],[No. of Shares]]&lt;&gt;0,HistoricalStockProgress[[#This Row],[Price of Shares]]-HistoricalStockProgress[[#This Row],[Cost of Shares]]/HistoricalStockProgress[[#This Row],[No. of Shares]],0)</f>
        <v>73.049124950491304</v>
      </c>
      <c r="K1237" s="17">
        <f>IF(HistoricalStockProgress[[#This Row],[Total Price of Shares]]&lt;&gt;0,HistoricalStockProgress[[#This Row],[Total Price of Shares]]-HistoricalStockProgress[[#This Row],[Cost of Shares]],0)</f>
        <v>3725.5053724750569</v>
      </c>
      <c r="L1237" s="34" t="b" cm="1">
        <f t="array" ref="L1237">IFERROR(IF(HistoricalStockProgress[[#This Row],[Price of Shares]]="",_xlfn.STOCKHISTORY(HistoricalStockProgress[[#This Row],[Full Company Name]],HistoricalStockProgress[[#This Row],[Date]],,2,0,1)),0)</f>
        <v>0</v>
      </c>
      <c r="M1237" s="34">
        <f>YEAR(HistoricalStockProgress[[#This Row],[Date]])</f>
        <v>2022</v>
      </c>
      <c r="N1237" s="34">
        <f>MONTH(HistoricalStockProgress[[#This Row],[Date]])</f>
        <v>3</v>
      </c>
    </row>
    <row r="1238" spans="2:14">
      <c r="B1238" s="15">
        <v>44651</v>
      </c>
      <c r="C1238" s="34" t="s">
        <v>86</v>
      </c>
      <c r="D1238" s="34" t="e" vm="8">
        <f>_xlfn.XLOOKUP(HistoricalStockProgress[[#This Row],[Company Ticker]],CompanyDetailsList[Company Ticker],CompanyDetailsList[Official Name],,0)</f>
        <v>#VALUE!</v>
      </c>
      <c r="E12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2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238" s="17">
        <f>IFERROR(HistoricalStockProgress[[#This Row],[Cost of Shares]]/HistoricalStockProgress[[#This Row],[No. of Shares]],0)</f>
        <v>92.636161128673535</v>
      </c>
      <c r="H1238" s="16" vm="1754">
        <v>162.11000000000001</v>
      </c>
      <c r="I1238" s="16">
        <f>IF(HistoricalStockProgress[[#This Row],[No. of Shares]]&lt;&gt;0,HistoricalStockProgress[[#This Row],[Price of Shares]]*HistoricalStockProgress[[#This Row],[No. of Shares]],0)</f>
        <v>18480.54</v>
      </c>
      <c r="J1238" s="16">
        <f>IF(HistoricalStockProgress[[#This Row],[No. of Shares]]&lt;&gt;0,HistoricalStockProgress[[#This Row],[Price of Shares]]-HistoricalStockProgress[[#This Row],[Cost of Shares]]/HistoricalStockProgress[[#This Row],[No. of Shares]],0)</f>
        <v>69.473838871326478</v>
      </c>
      <c r="K1238" s="17">
        <f>IF(HistoricalStockProgress[[#This Row],[Total Price of Shares]]&lt;&gt;0,HistoricalStockProgress[[#This Row],[Total Price of Shares]]-HistoricalStockProgress[[#This Row],[Cost of Shares]],0)</f>
        <v>7920.0176313312186</v>
      </c>
      <c r="L1238" s="34" t="b" cm="1">
        <f t="array" ref="L1238">IFERROR(IF(HistoricalStockProgress[[#This Row],[Price of Shares]]="",_xlfn.STOCKHISTORY(HistoricalStockProgress[[#This Row],[Full Company Name]],HistoricalStockProgress[[#This Row],[Date]],,2,0,1)),0)</f>
        <v>0</v>
      </c>
      <c r="M1238" s="34">
        <f>YEAR(HistoricalStockProgress[[#This Row],[Date]])</f>
        <v>2022</v>
      </c>
      <c r="N1238" s="34">
        <f>MONTH(HistoricalStockProgress[[#This Row],[Date]])</f>
        <v>3</v>
      </c>
    </row>
    <row r="1239" spans="2:14">
      <c r="B1239" s="15">
        <v>44651</v>
      </c>
      <c r="C1239" s="34" t="s">
        <v>88</v>
      </c>
      <c r="D1239" s="34" t="e" vm="9">
        <f>_xlfn.XLOOKUP(HistoricalStockProgress[[#This Row],[Company Ticker]],CompanyDetailsList[Company Ticker],CompanyDetailsList[Official Name],,0)</f>
        <v>#VALUE!</v>
      </c>
      <c r="E12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2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239" s="17">
        <f>IFERROR(HistoricalStockProgress[[#This Row],[Cost of Shares]]/HistoricalStockProgress[[#This Row],[No. of Shares]],0)</f>
        <v>187.727755253422</v>
      </c>
      <c r="H1239" s="16" vm="1755">
        <v>247.28</v>
      </c>
      <c r="I1239" s="16">
        <f>IF(HistoricalStockProgress[[#This Row],[No. of Shares]]&lt;&gt;0,HistoricalStockProgress[[#This Row],[Price of Shares]]*HistoricalStockProgress[[#This Row],[No. of Shares]],0)</f>
        <v>14589.52</v>
      </c>
      <c r="J1239" s="16">
        <f>IF(HistoricalStockProgress[[#This Row],[No. of Shares]]&lt;&gt;0,HistoricalStockProgress[[#This Row],[Price of Shares]]-HistoricalStockProgress[[#This Row],[Cost of Shares]]/HistoricalStockProgress[[#This Row],[No. of Shares]],0)</f>
        <v>59.552244746577998</v>
      </c>
      <c r="K1239" s="17">
        <f>IF(HistoricalStockProgress[[#This Row],[Total Price of Shares]]&lt;&gt;0,HistoricalStockProgress[[#This Row],[Total Price of Shares]]-HistoricalStockProgress[[#This Row],[Cost of Shares]],0)</f>
        <v>3513.5824400481015</v>
      </c>
      <c r="L1239" s="34" t="b" cm="1">
        <f t="array" ref="L1239">IFERROR(IF(HistoricalStockProgress[[#This Row],[Price of Shares]]="",_xlfn.STOCKHISTORY(HistoricalStockProgress[[#This Row],[Full Company Name]],HistoricalStockProgress[[#This Row],[Date]],,2,0,1)),0)</f>
        <v>0</v>
      </c>
      <c r="M1239" s="34">
        <f>YEAR(HistoricalStockProgress[[#This Row],[Date]])</f>
        <v>2022</v>
      </c>
      <c r="N1239" s="34">
        <f>MONTH(HistoricalStockProgress[[#This Row],[Date]])</f>
        <v>3</v>
      </c>
    </row>
    <row r="1240" spans="2:14">
      <c r="B1240" s="15">
        <v>44651</v>
      </c>
      <c r="C1240" s="34" t="s">
        <v>22</v>
      </c>
      <c r="D1240" s="34" t="e" vm="10">
        <f>_xlfn.XLOOKUP(HistoricalStockProgress[[#This Row],[Company Ticker]],CompanyDetailsList[Company Ticker],CompanyDetailsList[Official Name],,0)</f>
        <v>#VALUE!</v>
      </c>
      <c r="E12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12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13175.976249073738</v>
      </c>
      <c r="G1240" s="17">
        <f>IFERROR(HistoricalStockProgress[[#This Row],[Cost of Shares]]/HistoricalStockProgress[[#This Row],[No. of Shares]],0)</f>
        <v>124.30166272711074</v>
      </c>
      <c r="H1240" s="16" vm="1756">
        <v>222.82</v>
      </c>
      <c r="I1240" s="16">
        <f>IF(HistoricalStockProgress[[#This Row],[No. of Shares]]&lt;&gt;0,HistoricalStockProgress[[#This Row],[Price of Shares]]*HistoricalStockProgress[[#This Row],[No. of Shares]],0)</f>
        <v>23618.92</v>
      </c>
      <c r="J1240" s="16">
        <f>IF(HistoricalStockProgress[[#This Row],[No. of Shares]]&lt;&gt;0,HistoricalStockProgress[[#This Row],[Price of Shares]]-HistoricalStockProgress[[#This Row],[Cost of Shares]]/HistoricalStockProgress[[#This Row],[No. of Shares]],0)</f>
        <v>98.518337272889255</v>
      </c>
      <c r="K1240" s="17">
        <f>IF(HistoricalStockProgress[[#This Row],[Total Price of Shares]]&lt;&gt;0,HistoricalStockProgress[[#This Row],[Total Price of Shares]]-HistoricalStockProgress[[#This Row],[Cost of Shares]],0)</f>
        <v>10442.943750926261</v>
      </c>
      <c r="L1240" s="34" t="b" cm="1">
        <f t="array" ref="L1240">IFERROR(IF(HistoricalStockProgress[[#This Row],[Price of Shares]]="",_xlfn.STOCKHISTORY(HistoricalStockProgress[[#This Row],[Full Company Name]],HistoricalStockProgress[[#This Row],[Date]],,2,0,1)),0)</f>
        <v>0</v>
      </c>
      <c r="M1240" s="34">
        <f>YEAR(HistoricalStockProgress[[#This Row],[Date]])</f>
        <v>2022</v>
      </c>
      <c r="N1240" s="34">
        <f>MONTH(HistoricalStockProgress[[#This Row],[Date]])</f>
        <v>3</v>
      </c>
    </row>
    <row r="1241" spans="2:14">
      <c r="B1241" s="15">
        <v>44651</v>
      </c>
      <c r="C1241" s="34" t="s">
        <v>91</v>
      </c>
      <c r="D1241" s="34" t="e" vm="11">
        <f>_xlfn.XLOOKUP(HistoricalStockProgress[[#This Row],[Company Ticker]],CompanyDetailsList[Company Ticker],CompanyDetailsList[Official Name],,0)</f>
        <v>#VALUE!</v>
      </c>
      <c r="E12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12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1241" s="17">
        <f>IFERROR(HistoricalStockProgress[[#This Row],[Cost of Shares]]/HistoricalStockProgress[[#This Row],[No. of Shares]],0)</f>
        <v>100.94993172657422</v>
      </c>
      <c r="H1241" s="16" vm="1757">
        <v>308.31</v>
      </c>
      <c r="I1241" s="16">
        <f>IF(HistoricalStockProgress[[#This Row],[No. of Shares]]&lt;&gt;0,HistoricalStockProgress[[#This Row],[Price of Shares]]*HistoricalStockProgress[[#This Row],[No. of Shares]],0)</f>
        <v>45321.57</v>
      </c>
      <c r="J1241" s="16">
        <f>IF(HistoricalStockProgress[[#This Row],[No. of Shares]]&lt;&gt;0,HistoricalStockProgress[[#This Row],[Price of Shares]]-HistoricalStockProgress[[#This Row],[Cost of Shares]]/HistoricalStockProgress[[#This Row],[No. of Shares]],0)</f>
        <v>207.36006827342578</v>
      </c>
      <c r="K1241" s="17">
        <f>IF(HistoricalStockProgress[[#This Row],[Total Price of Shares]]&lt;&gt;0,HistoricalStockProgress[[#This Row],[Total Price of Shares]]-HistoricalStockProgress[[#This Row],[Cost of Shares]],0)</f>
        <v>30481.930036193589</v>
      </c>
      <c r="L1241" s="34" t="b" cm="1">
        <f t="array" ref="L1241">IFERROR(IF(HistoricalStockProgress[[#This Row],[Price of Shares]]="",_xlfn.STOCKHISTORY(HistoricalStockProgress[[#This Row],[Full Company Name]],HistoricalStockProgress[[#This Row],[Date]],,2,0,1)),0)</f>
        <v>0</v>
      </c>
      <c r="M1241" s="34">
        <f>YEAR(HistoricalStockProgress[[#This Row],[Date]])</f>
        <v>2022</v>
      </c>
      <c r="N1241" s="34">
        <f>MONTH(HistoricalStockProgress[[#This Row],[Date]])</f>
        <v>3</v>
      </c>
    </row>
    <row r="1242" spans="2:14">
      <c r="B1242" s="15">
        <v>44651</v>
      </c>
      <c r="C1242" s="34" t="s">
        <v>16</v>
      </c>
      <c r="D1242" s="34" t="e" vm="12">
        <f>_xlfn.XLOOKUP(HistoricalStockProgress[[#This Row],[Company Ticker]],CompanyDetailsList[Company Ticker],CompanyDetailsList[Official Name],,0)</f>
        <v>#VALUE!</v>
      </c>
      <c r="E12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2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242" s="17">
        <f>IFERROR(HistoricalStockProgress[[#This Row],[Cost of Shares]]/HistoricalStockProgress[[#This Row],[No. of Shares]],0)</f>
        <v>75.117698177311837</v>
      </c>
      <c r="H1242" s="16" vm="1758">
        <v>82.59</v>
      </c>
      <c r="I1242" s="16">
        <f>IF(HistoricalStockProgress[[#This Row],[No. of Shares]]&lt;&gt;0,HistoricalStockProgress[[#This Row],[Price of Shares]]*HistoricalStockProgress[[#This Row],[No. of Shares]],0)</f>
        <v>15279.150000000001</v>
      </c>
      <c r="J1242" s="16">
        <f>IF(HistoricalStockProgress[[#This Row],[No. of Shares]]&lt;&gt;0,HistoricalStockProgress[[#This Row],[Price of Shares]]-HistoricalStockProgress[[#This Row],[Cost of Shares]]/HistoricalStockProgress[[#This Row],[No. of Shares]],0)</f>
        <v>7.4723018226881663</v>
      </c>
      <c r="K1242" s="17">
        <f>IF(HistoricalStockProgress[[#This Row],[Total Price of Shares]]&lt;&gt;0,HistoricalStockProgress[[#This Row],[Total Price of Shares]]-HistoricalStockProgress[[#This Row],[Cost of Shares]],0)</f>
        <v>1382.3758371973126</v>
      </c>
      <c r="L1242" s="34" t="b" cm="1">
        <f t="array" ref="L1242">IFERROR(IF(HistoricalStockProgress[[#This Row],[Price of Shares]]="",_xlfn.STOCKHISTORY(HistoricalStockProgress[[#This Row],[Full Company Name]],HistoricalStockProgress[[#This Row],[Date]],,2,0,1)),0)</f>
        <v>0</v>
      </c>
      <c r="M1242" s="34">
        <f>YEAR(HistoricalStockProgress[[#This Row],[Date]])</f>
        <v>2022</v>
      </c>
      <c r="N1242" s="34">
        <f>MONTH(HistoricalStockProgress[[#This Row],[Date]])</f>
        <v>3</v>
      </c>
    </row>
    <row r="1243" spans="2:14">
      <c r="B1243" s="15">
        <v>44651</v>
      </c>
      <c r="C1243" s="34" t="s">
        <v>95</v>
      </c>
      <c r="D1243" s="34" t="e" vm="13">
        <f>_xlfn.XLOOKUP(HistoricalStockProgress[[#This Row],[Company Ticker]],CompanyDetailsList[Company Ticker],CompanyDetailsList[Official Name],,0)</f>
        <v>#VALUE!</v>
      </c>
      <c r="E12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2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10324.055787336294</v>
      </c>
      <c r="G1243" s="17">
        <f>IFERROR(HistoricalStockProgress[[#This Row],[Cost of Shares]]/HistoricalStockProgress[[#This Row],[No. of Shares]],0)</f>
        <v>184.35813905957667</v>
      </c>
      <c r="H1243" s="16" vm="1759">
        <v>299.33</v>
      </c>
      <c r="I1243" s="16">
        <f>IF(HistoricalStockProgress[[#This Row],[No. of Shares]]&lt;&gt;0,HistoricalStockProgress[[#This Row],[Price of Shares]]*HistoricalStockProgress[[#This Row],[No. of Shares]],0)</f>
        <v>16762.48</v>
      </c>
      <c r="J1243" s="16">
        <f>IF(HistoricalStockProgress[[#This Row],[No. of Shares]]&lt;&gt;0,HistoricalStockProgress[[#This Row],[Price of Shares]]-HistoricalStockProgress[[#This Row],[Cost of Shares]]/HistoricalStockProgress[[#This Row],[No. of Shares]],0)</f>
        <v>114.97186094042331</v>
      </c>
      <c r="K1243" s="17">
        <f>IF(HistoricalStockProgress[[#This Row],[Total Price of Shares]]&lt;&gt;0,HistoricalStockProgress[[#This Row],[Total Price of Shares]]-HistoricalStockProgress[[#This Row],[Cost of Shares]],0)</f>
        <v>6438.4242126637055</v>
      </c>
      <c r="L1243" s="34" t="b" cm="1">
        <f t="array" ref="L1243">IFERROR(IF(HistoricalStockProgress[[#This Row],[Price of Shares]]="",_xlfn.STOCKHISTORY(HistoricalStockProgress[[#This Row],[Full Company Name]],HistoricalStockProgress[[#This Row],[Date]],,2,0,1)),0)</f>
        <v>0</v>
      </c>
      <c r="M1243" s="34">
        <f>YEAR(HistoricalStockProgress[[#This Row],[Date]])</f>
        <v>2022</v>
      </c>
      <c r="N1243" s="34">
        <f>MONTH(HistoricalStockProgress[[#This Row],[Date]])</f>
        <v>3</v>
      </c>
    </row>
    <row r="1244" spans="2:14">
      <c r="B1244" s="15">
        <v>44651</v>
      </c>
      <c r="C1244" s="34" t="s">
        <v>17</v>
      </c>
      <c r="D1244" s="34" t="e" vm="14">
        <f>_xlfn.XLOOKUP(HistoricalStockProgress[[#This Row],[Company Ticker]],CompanyDetailsList[Company Ticker],CompanyDetailsList[Official Name],,0)</f>
        <v>#VALUE!</v>
      </c>
      <c r="E12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173</v>
      </c>
      <c r="F12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23678.070828870346</v>
      </c>
      <c r="G1244" s="17">
        <f>IFERROR(HistoricalStockProgress[[#This Row],[Cost of Shares]]/HistoricalStockProgress[[#This Row],[No. of Shares]],0)</f>
        <v>136.86746143855692</v>
      </c>
      <c r="H1244" s="16" vm="1760">
        <v>130.02000000000001</v>
      </c>
      <c r="I1244" s="16">
        <f>IF(HistoricalStockProgress[[#This Row],[No. of Shares]]&lt;&gt;0,HistoricalStockProgress[[#This Row],[Price of Shares]]*HistoricalStockProgress[[#This Row],[No. of Shares]],0)</f>
        <v>22493.460000000003</v>
      </c>
      <c r="J1244" s="16">
        <f>IF(HistoricalStockProgress[[#This Row],[No. of Shares]]&lt;&gt;0,HistoricalStockProgress[[#This Row],[Price of Shares]]-HistoricalStockProgress[[#This Row],[Cost of Shares]]/HistoricalStockProgress[[#This Row],[No. of Shares]],0)</f>
        <v>-6.8474614385569055</v>
      </c>
      <c r="K1244" s="17">
        <f>IF(HistoricalStockProgress[[#This Row],[Total Price of Shares]]&lt;&gt;0,HistoricalStockProgress[[#This Row],[Total Price of Shares]]-HistoricalStockProgress[[#This Row],[Cost of Shares]],0)</f>
        <v>-1184.6108288703435</v>
      </c>
      <c r="L1244" s="34" t="b" cm="1">
        <f t="array" ref="L1244">IFERROR(IF(HistoricalStockProgress[[#This Row],[Price of Shares]]="",_xlfn.STOCKHISTORY(HistoricalStockProgress[[#This Row],[Full Company Name]],HistoricalStockProgress[[#This Row],[Date]],,2,0,1)),0)</f>
        <v>0</v>
      </c>
      <c r="M1244" s="34">
        <f>YEAR(HistoricalStockProgress[[#This Row],[Date]])</f>
        <v>2022</v>
      </c>
      <c r="N1244" s="34">
        <f>MONTH(HistoricalStockProgress[[#This Row],[Date]])</f>
        <v>3</v>
      </c>
    </row>
    <row r="1245" spans="2:14">
      <c r="B1245" s="15">
        <v>44651</v>
      </c>
      <c r="C1245" s="34" t="s">
        <v>98</v>
      </c>
      <c r="D1245" s="34" t="e" vm="15">
        <f>_xlfn.XLOOKUP(HistoricalStockProgress[[#This Row],[Company Ticker]],CompanyDetailsList[Company Ticker],CompanyDetailsList[Official Name],,0)</f>
        <v>#VALUE!</v>
      </c>
      <c r="E12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108</v>
      </c>
      <c r="F12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5486.2959177385774</v>
      </c>
      <c r="G1245" s="17">
        <f>IFERROR(HistoricalStockProgress[[#This Row],[Cost of Shares]]/HistoricalStockProgress[[#This Row],[No. of Shares]],0)</f>
        <v>50.799036275357196</v>
      </c>
      <c r="H1245" s="16" vm="1761">
        <v>84.71</v>
      </c>
      <c r="I1245" s="16">
        <f>IF(HistoricalStockProgress[[#This Row],[No. of Shares]]&lt;&gt;0,HistoricalStockProgress[[#This Row],[Price of Shares]]*HistoricalStockProgress[[#This Row],[No. of Shares]],0)</f>
        <v>9148.6799999999985</v>
      </c>
      <c r="J1245" s="16">
        <f>IF(HistoricalStockProgress[[#This Row],[No. of Shares]]&lt;&gt;0,HistoricalStockProgress[[#This Row],[Price of Shares]]-HistoricalStockProgress[[#This Row],[Cost of Shares]]/HistoricalStockProgress[[#This Row],[No. of Shares]],0)</f>
        <v>33.910963724642798</v>
      </c>
      <c r="K1245" s="17">
        <f>IF(HistoricalStockProgress[[#This Row],[Total Price of Shares]]&lt;&gt;0,HistoricalStockProgress[[#This Row],[Total Price of Shares]]-HistoricalStockProgress[[#This Row],[Cost of Shares]],0)</f>
        <v>3662.3840822614211</v>
      </c>
      <c r="L1245" s="34" t="b" cm="1">
        <f t="array" ref="L1245">IFERROR(IF(HistoricalStockProgress[[#This Row],[Price of Shares]]="",_xlfn.STOCKHISTORY(HistoricalStockProgress[[#This Row],[Full Company Name]],HistoricalStockProgress[[#This Row],[Date]],,2,0,1)),0)</f>
        <v>0</v>
      </c>
      <c r="M1245" s="34">
        <f>YEAR(HistoricalStockProgress[[#This Row],[Date]])</f>
        <v>2022</v>
      </c>
      <c r="N1245" s="34">
        <f>MONTH(HistoricalStockProgress[[#This Row],[Date]])</f>
        <v>3</v>
      </c>
    </row>
    <row r="1246" spans="2:14">
      <c r="B1246" s="15">
        <v>44651</v>
      </c>
      <c r="C1246" s="34" t="s">
        <v>100</v>
      </c>
      <c r="D1246" s="34" t="e" vm="16">
        <f>_xlfn.XLOOKUP(HistoricalStockProgress[[#This Row],[Company Ticker]],CompanyDetailsList[Company Ticker],CompanyDetailsList[Official Name],,0)</f>
        <v>#VALUE!</v>
      </c>
      <c r="E12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12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12257.793853370842</v>
      </c>
      <c r="G1246" s="17">
        <f>IFERROR(HistoricalStockProgress[[#This Row],[Cost of Shares]]/HistoricalStockProgress[[#This Row],[No. of Shares]],0)</f>
        <v>87.555670381220295</v>
      </c>
      <c r="H1246" s="16" vm="1429">
        <v>111.66</v>
      </c>
      <c r="I1246" s="16">
        <f>IF(HistoricalStockProgress[[#This Row],[No. of Shares]]&lt;&gt;0,HistoricalStockProgress[[#This Row],[Price of Shares]]*HistoricalStockProgress[[#This Row],[No. of Shares]],0)</f>
        <v>15632.4</v>
      </c>
      <c r="J1246" s="16">
        <f>IF(HistoricalStockProgress[[#This Row],[No. of Shares]]&lt;&gt;0,HistoricalStockProgress[[#This Row],[Price of Shares]]-HistoricalStockProgress[[#This Row],[Cost of Shares]]/HistoricalStockProgress[[#This Row],[No. of Shares]],0)</f>
        <v>24.104329618779701</v>
      </c>
      <c r="K1246" s="17">
        <f>IF(HistoricalStockProgress[[#This Row],[Total Price of Shares]]&lt;&gt;0,HistoricalStockProgress[[#This Row],[Total Price of Shares]]-HistoricalStockProgress[[#This Row],[Cost of Shares]],0)</f>
        <v>3374.6061466291576</v>
      </c>
      <c r="L1246" s="34" t="b" cm="1">
        <f t="array" ref="L1246">IFERROR(IF(HistoricalStockProgress[[#This Row],[Price of Shares]]="",_xlfn.STOCKHISTORY(HistoricalStockProgress[[#This Row],[Full Company Name]],HistoricalStockProgress[[#This Row],[Date]],,2,0,1)),0)</f>
        <v>0</v>
      </c>
      <c r="M1246" s="34">
        <f>YEAR(HistoricalStockProgress[[#This Row],[Date]])</f>
        <v>2022</v>
      </c>
      <c r="N1246" s="34">
        <f>MONTH(HistoricalStockProgress[[#This Row],[Date]])</f>
        <v>3</v>
      </c>
    </row>
    <row r="1247" spans="2:14">
      <c r="B1247" s="15">
        <v>44651</v>
      </c>
      <c r="C1247" s="34" t="s">
        <v>15</v>
      </c>
      <c r="D1247" s="34" t="e" vm="17">
        <f>_xlfn.XLOOKUP(HistoricalStockProgress[[#This Row],[Company Ticker]],CompanyDetailsList[Company Ticker],CompanyDetailsList[Official Name],,0)</f>
        <v>#VALUE!</v>
      </c>
      <c r="E12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2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247" s="17">
        <f>IFERROR(HistoricalStockProgress[[#This Row],[Cost of Shares]]/HistoricalStockProgress[[#This Row],[No. of Shares]],0)</f>
        <v>26.081956457072195</v>
      </c>
      <c r="H1247" s="16" vm="1762">
        <v>17.844899999999999</v>
      </c>
      <c r="I1247" s="16">
        <f>IF(HistoricalStockProgress[[#This Row],[No. of Shares]]&lt;&gt;0,HistoricalStockProgress[[#This Row],[Price of Shares]]*HistoricalStockProgress[[#This Row],[No. of Shares]],0)</f>
        <v>2212.7675999999997</v>
      </c>
      <c r="J1247" s="16">
        <f>IF(HistoricalStockProgress[[#This Row],[No. of Shares]]&lt;&gt;0,HistoricalStockProgress[[#This Row],[Price of Shares]]-HistoricalStockProgress[[#This Row],[Cost of Shares]]/HistoricalStockProgress[[#This Row],[No. of Shares]],0)</f>
        <v>-8.237056457072196</v>
      </c>
      <c r="K1247" s="17">
        <f>IF(HistoricalStockProgress[[#This Row],[Total Price of Shares]]&lt;&gt;0,HistoricalStockProgress[[#This Row],[Total Price of Shares]]-HistoricalStockProgress[[#This Row],[Cost of Shares]],0)</f>
        <v>-1021.3950006769523</v>
      </c>
      <c r="L1247" s="34" t="b" cm="1">
        <f t="array" ref="L1247">IFERROR(IF(HistoricalStockProgress[[#This Row],[Price of Shares]]="",_xlfn.STOCKHISTORY(HistoricalStockProgress[[#This Row],[Full Company Name]],HistoricalStockProgress[[#This Row],[Date]],,2,0,1)),0)</f>
        <v>0</v>
      </c>
      <c r="M1247" s="34">
        <f>YEAR(HistoricalStockProgress[[#This Row],[Date]])</f>
        <v>2022</v>
      </c>
      <c r="N1247" s="34">
        <f>MONTH(HistoricalStockProgress[[#This Row],[Date]])</f>
        <v>3</v>
      </c>
    </row>
    <row r="1248" spans="2:14">
      <c r="B1248" s="15">
        <v>44651</v>
      </c>
      <c r="C1248" s="34" t="s">
        <v>13</v>
      </c>
      <c r="D1248" s="34" t="e" vm="18">
        <f>_xlfn.XLOOKUP(HistoricalStockProgress[[#This Row],[Company Ticker]],CompanyDetailsList[Company Ticker],CompanyDetailsList[Official Name],,0)</f>
        <v>#VALUE!</v>
      </c>
      <c r="E12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2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248" s="17">
        <f>IFERROR(HistoricalStockProgress[[#This Row],[Cost of Shares]]/HistoricalStockProgress[[#This Row],[No. of Shares]],0)</f>
        <v>35.846938938346874</v>
      </c>
      <c r="H1248" s="16" vm="1763">
        <v>51.77</v>
      </c>
      <c r="I1248" s="16">
        <f>IF(HistoricalStockProgress[[#This Row],[No. of Shares]]&lt;&gt;0,HistoricalStockProgress[[#This Row],[Price of Shares]]*HistoricalStockProgress[[#This Row],[No. of Shares]],0)</f>
        <v>2847.3500000000004</v>
      </c>
      <c r="J1248" s="16">
        <f>IF(HistoricalStockProgress[[#This Row],[No. of Shares]]&lt;&gt;0,HistoricalStockProgress[[#This Row],[Price of Shares]]-HistoricalStockProgress[[#This Row],[Cost of Shares]]/HistoricalStockProgress[[#This Row],[No. of Shares]],0)</f>
        <v>15.923061061653129</v>
      </c>
      <c r="K1248" s="17">
        <f>IF(HistoricalStockProgress[[#This Row],[Total Price of Shares]]&lt;&gt;0,HistoricalStockProgress[[#This Row],[Total Price of Shares]]-HistoricalStockProgress[[#This Row],[Cost of Shares]],0)</f>
        <v>875.76835839092223</v>
      </c>
      <c r="L1248" s="34" t="b" cm="1">
        <f t="array" ref="L1248">IFERROR(IF(HistoricalStockProgress[[#This Row],[Price of Shares]]="",_xlfn.STOCKHISTORY(HistoricalStockProgress[[#This Row],[Full Company Name]],HistoricalStockProgress[[#This Row],[Date]],,2,0,1)),0)</f>
        <v>0</v>
      </c>
      <c r="M1248" s="34">
        <f>YEAR(HistoricalStockProgress[[#This Row],[Date]])</f>
        <v>2022</v>
      </c>
      <c r="N1248" s="34">
        <f>MONTH(HistoricalStockProgress[[#This Row],[Date]])</f>
        <v>3</v>
      </c>
    </row>
    <row r="1249" spans="2:14">
      <c r="B1249" s="15">
        <v>44651</v>
      </c>
      <c r="C1249" s="34" t="s">
        <v>20</v>
      </c>
      <c r="D1249" s="34" t="e" vm="19">
        <f>_xlfn.XLOOKUP(HistoricalStockProgress[[#This Row],[Company Ticker]],CompanyDetailsList[Company Ticker],CompanyDetailsList[Official Name],,0)</f>
        <v>#VALUE!</v>
      </c>
      <c r="E12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93</v>
      </c>
      <c r="F12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9585.7274858109122</v>
      </c>
      <c r="G1249" s="17">
        <f>IFERROR(HistoricalStockProgress[[#This Row],[Cost of Shares]]/HistoricalStockProgress[[#This Row],[No. of Shares]],0)</f>
        <v>103.07233855710658</v>
      </c>
      <c r="H1249" s="16" vm="1764">
        <v>136.32</v>
      </c>
      <c r="I1249" s="16">
        <f>IF(HistoricalStockProgress[[#This Row],[No. of Shares]]&lt;&gt;0,HistoricalStockProgress[[#This Row],[Price of Shares]]*HistoricalStockProgress[[#This Row],[No. of Shares]],0)</f>
        <v>12677.76</v>
      </c>
      <c r="J1249" s="16">
        <f>IF(HistoricalStockProgress[[#This Row],[No. of Shares]]&lt;&gt;0,HistoricalStockProgress[[#This Row],[Price of Shares]]-HistoricalStockProgress[[#This Row],[Cost of Shares]]/HistoricalStockProgress[[#This Row],[No. of Shares]],0)</f>
        <v>33.247661442893417</v>
      </c>
      <c r="K1249" s="17">
        <f>IF(HistoricalStockProgress[[#This Row],[Total Price of Shares]]&lt;&gt;0,HistoricalStockProgress[[#This Row],[Total Price of Shares]]-HistoricalStockProgress[[#This Row],[Cost of Shares]],0)</f>
        <v>3092.032514189088</v>
      </c>
      <c r="L1249" s="34" t="b" cm="1">
        <f t="array" ref="L1249">IFERROR(IF(HistoricalStockProgress[[#This Row],[Price of Shares]]="",_xlfn.STOCKHISTORY(HistoricalStockProgress[[#This Row],[Full Company Name]],HistoricalStockProgress[[#This Row],[Date]],,2,0,1)),0)</f>
        <v>0</v>
      </c>
      <c r="M1249" s="34">
        <f>YEAR(HistoricalStockProgress[[#This Row],[Date]])</f>
        <v>2022</v>
      </c>
      <c r="N1249" s="34">
        <f>MONTH(HistoricalStockProgress[[#This Row],[Date]])</f>
        <v>3</v>
      </c>
    </row>
    <row r="1250" spans="2:14">
      <c r="B1250" s="15">
        <v>44651</v>
      </c>
      <c r="C1250" s="34" t="s">
        <v>106</v>
      </c>
      <c r="D1250" s="34" t="e" vm="20">
        <f>_xlfn.XLOOKUP(HistoricalStockProgress[[#This Row],[Company Ticker]],CompanyDetailsList[Company Ticker],CompanyDetailsList[Official Name],,0)</f>
        <v>#VALUE!</v>
      </c>
      <c r="E12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2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250" s="17">
        <f>IFERROR(HistoricalStockProgress[[#This Row],[Cost of Shares]]/HistoricalStockProgress[[#This Row],[No. of Shares]],0)</f>
        <v>108.54870748680406</v>
      </c>
      <c r="H1250" s="16" vm="1765">
        <v>131.07</v>
      </c>
      <c r="I1250" s="16">
        <f>IF(HistoricalStockProgress[[#This Row],[No. of Shares]]&lt;&gt;0,HistoricalStockProgress[[#This Row],[Price of Shares]]*HistoricalStockProgress[[#This Row],[No. of Shares]],0)</f>
        <v>11534.16</v>
      </c>
      <c r="J1250" s="16">
        <f>IF(HistoricalStockProgress[[#This Row],[No. of Shares]]&lt;&gt;0,HistoricalStockProgress[[#This Row],[Price of Shares]]-HistoricalStockProgress[[#This Row],[Cost of Shares]]/HistoricalStockProgress[[#This Row],[No. of Shares]],0)</f>
        <v>22.521292513195931</v>
      </c>
      <c r="K1250" s="17">
        <f>IF(HistoricalStockProgress[[#This Row],[Total Price of Shares]]&lt;&gt;0,HistoricalStockProgress[[#This Row],[Total Price of Shares]]-HistoricalStockProgress[[#This Row],[Cost of Shares]],0)</f>
        <v>1981.8737411612419</v>
      </c>
      <c r="L1250" s="34" t="b" cm="1">
        <f t="array" ref="L1250">IFERROR(IF(HistoricalStockProgress[[#This Row],[Price of Shares]]="",_xlfn.STOCKHISTORY(HistoricalStockProgress[[#This Row],[Full Company Name]],HistoricalStockProgress[[#This Row],[Date]],,2,0,1)),0)</f>
        <v>0</v>
      </c>
      <c r="M1250" s="34">
        <f>YEAR(HistoricalStockProgress[[#This Row],[Date]])</f>
        <v>2022</v>
      </c>
      <c r="N1250" s="34">
        <f>MONTH(HistoricalStockProgress[[#This Row],[Date]])</f>
        <v>3</v>
      </c>
    </row>
    <row r="1251" spans="2:14">
      <c r="B1251" s="15">
        <v>44681</v>
      </c>
      <c r="C1251" s="34" t="s">
        <v>12</v>
      </c>
      <c r="D1251" s="34" t="e" vm="1">
        <f>_xlfn.XLOOKUP(HistoricalStockProgress[[#This Row],[Company Ticker]],CompanyDetailsList[Company Ticker],CompanyDetailsList[Official Name],,0)</f>
        <v>#VALUE!</v>
      </c>
      <c r="E12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12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1251" s="17">
        <f>IFERROR(HistoricalStockProgress[[#This Row],[Cost of Shares]]/HistoricalStockProgress[[#This Row],[No. of Shares]],0)</f>
        <v>63.845182519411239</v>
      </c>
      <c r="H1251" s="16" vm="1766">
        <v>69.36</v>
      </c>
      <c r="I1251" s="16">
        <f>IF(HistoricalStockProgress[[#This Row],[No. of Shares]]&lt;&gt;0,HistoricalStockProgress[[#This Row],[Price of Shares]]*HistoricalStockProgress[[#This Row],[No. of Shares]],0)</f>
        <v>4439.04</v>
      </c>
      <c r="J1251" s="16">
        <f>IF(HistoricalStockProgress[[#This Row],[No. of Shares]]&lt;&gt;0,HistoricalStockProgress[[#This Row],[Price of Shares]]-HistoricalStockProgress[[#This Row],[Cost of Shares]]/HistoricalStockProgress[[#This Row],[No. of Shares]],0)</f>
        <v>5.5148174805887606</v>
      </c>
      <c r="K1251" s="17">
        <f>IF(HistoricalStockProgress[[#This Row],[Total Price of Shares]]&lt;&gt;0,HistoricalStockProgress[[#This Row],[Total Price of Shares]]-HistoricalStockProgress[[#This Row],[Cost of Shares]],0)</f>
        <v>352.94831875768068</v>
      </c>
      <c r="L1251" s="34" t="b" cm="1">
        <f t="array" ref="L1251">IFERROR(IF(HistoricalStockProgress[[#This Row],[Price of Shares]]="",_xlfn.STOCKHISTORY(HistoricalStockProgress[[#This Row],[Full Company Name]],HistoricalStockProgress[[#This Row],[Date]],,2,0,1)),0)</f>
        <v>0</v>
      </c>
      <c r="M1251" s="34">
        <f>YEAR(HistoricalStockProgress[[#This Row],[Date]])</f>
        <v>2022</v>
      </c>
      <c r="N1251" s="34">
        <f>MONTH(HistoricalStockProgress[[#This Row],[Date]])</f>
        <v>4</v>
      </c>
    </row>
    <row r="1252" spans="2:14">
      <c r="B1252" s="15">
        <v>44681</v>
      </c>
      <c r="C1252" s="34" t="s">
        <v>14</v>
      </c>
      <c r="D1252" s="34" t="e" vm="2">
        <f>_xlfn.XLOOKUP(HistoricalStockProgress[[#This Row],[Company Ticker]],CompanyDetailsList[Company Ticker],CompanyDetailsList[Official Name],,0)</f>
        <v>#VALUE!</v>
      </c>
      <c r="E12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2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252" s="17">
        <f>IFERROR(HistoricalStockProgress[[#This Row],[Cost of Shares]]/HistoricalStockProgress[[#This Row],[No. of Shares]],0)</f>
        <v>31.580112511620161</v>
      </c>
      <c r="H1252" s="16" vm="1767">
        <v>30.53</v>
      </c>
      <c r="I1252" s="16">
        <f>IF(HistoricalStockProgress[[#This Row],[No. of Shares]]&lt;&gt;0,HistoricalStockProgress[[#This Row],[Price of Shares]]*HistoricalStockProgress[[#This Row],[No. of Shares]],0)</f>
        <v>854.84</v>
      </c>
      <c r="J1252" s="16">
        <f>IF(HistoricalStockProgress[[#This Row],[No. of Shares]]&lt;&gt;0,HistoricalStockProgress[[#This Row],[Price of Shares]]-HistoricalStockProgress[[#This Row],[Cost of Shares]]/HistoricalStockProgress[[#This Row],[No. of Shares]],0)</f>
        <v>-1.0501125116201599</v>
      </c>
      <c r="K1252" s="17">
        <f>IF(HistoricalStockProgress[[#This Row],[Total Price of Shares]]&lt;&gt;0,HistoricalStockProgress[[#This Row],[Total Price of Shares]]-HistoricalStockProgress[[#This Row],[Cost of Shares]],0)</f>
        <v>-29.403150325364436</v>
      </c>
      <c r="L1252" s="34" t="b" cm="1">
        <f t="array" ref="L1252">IFERROR(IF(HistoricalStockProgress[[#This Row],[Price of Shares]]="",_xlfn.STOCKHISTORY(HistoricalStockProgress[[#This Row],[Full Company Name]],HistoricalStockProgress[[#This Row],[Date]],,2,0,1)),0)</f>
        <v>0</v>
      </c>
      <c r="M1252" s="34">
        <f>YEAR(HistoricalStockProgress[[#This Row],[Date]])</f>
        <v>2022</v>
      </c>
      <c r="N1252" s="34">
        <f>MONTH(HistoricalStockProgress[[#This Row],[Date]])</f>
        <v>4</v>
      </c>
    </row>
    <row r="1253" spans="2:14">
      <c r="B1253" s="15">
        <v>44681</v>
      </c>
      <c r="C1253" s="34" t="s">
        <v>19</v>
      </c>
      <c r="D1253" s="34" t="e" vm="3">
        <f>_xlfn.XLOOKUP(HistoricalStockProgress[[#This Row],[Company Ticker]],CompanyDetailsList[Company Ticker],CompanyDetailsList[Official Name],,0)</f>
        <v>#VALUE!</v>
      </c>
      <c r="E12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2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253" s="17">
        <f>IFERROR(HistoricalStockProgress[[#This Row],[Cost of Shares]]/HistoricalStockProgress[[#This Row],[No. of Shares]],0)</f>
        <v>158.45739987816083</v>
      </c>
      <c r="H1253" s="16" vm="1768">
        <v>143.47</v>
      </c>
      <c r="I1253" s="16">
        <f>IF(HistoricalStockProgress[[#This Row],[No. of Shares]]&lt;&gt;0,HistoricalStockProgress[[#This Row],[Price of Shares]]*HistoricalStockProgress[[#This Row],[No. of Shares]],0)</f>
        <v>8177.79</v>
      </c>
      <c r="J1253" s="16">
        <f>IF(HistoricalStockProgress[[#This Row],[No. of Shares]]&lt;&gt;0,HistoricalStockProgress[[#This Row],[Price of Shares]]-HistoricalStockProgress[[#This Row],[Cost of Shares]]/HistoricalStockProgress[[#This Row],[No. of Shares]],0)</f>
        <v>-14.987399878160829</v>
      </c>
      <c r="K1253" s="17">
        <f>IF(HistoricalStockProgress[[#This Row],[Total Price of Shares]]&lt;&gt;0,HistoricalStockProgress[[#This Row],[Total Price of Shares]]-HistoricalStockProgress[[#This Row],[Cost of Shares]],0)</f>
        <v>-854.28179305516733</v>
      </c>
      <c r="L1253" s="34" t="b" cm="1">
        <f t="array" ref="L1253">IFERROR(IF(HistoricalStockProgress[[#This Row],[Price of Shares]]="",_xlfn.STOCKHISTORY(HistoricalStockProgress[[#This Row],[Full Company Name]],HistoricalStockProgress[[#This Row],[Date]],,2,0,1)),0)</f>
        <v>0</v>
      </c>
      <c r="M1253" s="34">
        <f>YEAR(HistoricalStockProgress[[#This Row],[Date]])</f>
        <v>2022</v>
      </c>
      <c r="N1253" s="34">
        <f>MONTH(HistoricalStockProgress[[#This Row],[Date]])</f>
        <v>4</v>
      </c>
    </row>
    <row r="1254" spans="2:14">
      <c r="B1254" s="15">
        <v>44681</v>
      </c>
      <c r="C1254" s="34" t="s">
        <v>23</v>
      </c>
      <c r="D1254" s="34" t="e" vm="4">
        <f>_xlfn.XLOOKUP(HistoricalStockProgress[[#This Row],[Company Ticker]],CompanyDetailsList[Company Ticker],CompanyDetailsList[Official Name],,0)</f>
        <v>#VALUE!</v>
      </c>
      <c r="E12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85</v>
      </c>
      <c r="F12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4210.4106468589489</v>
      </c>
      <c r="G1254" s="17">
        <f>IFERROR(HistoricalStockProgress[[#This Row],[Cost of Shares]]/HistoricalStockProgress[[#This Row],[No. of Shares]],0)</f>
        <v>49.534242904222928</v>
      </c>
      <c r="H1254" s="16" vm="1769">
        <v>64.61</v>
      </c>
      <c r="I1254" s="16">
        <f>IF(HistoricalStockProgress[[#This Row],[No. of Shares]]&lt;&gt;0,HistoricalStockProgress[[#This Row],[Price of Shares]]*HistoricalStockProgress[[#This Row],[No. of Shares]],0)</f>
        <v>5491.85</v>
      </c>
      <c r="J1254" s="16">
        <f>IF(HistoricalStockProgress[[#This Row],[No. of Shares]]&lt;&gt;0,HistoricalStockProgress[[#This Row],[Price of Shares]]-HistoricalStockProgress[[#This Row],[Cost of Shares]]/HistoricalStockProgress[[#This Row],[No. of Shares]],0)</f>
        <v>15.075757095777071</v>
      </c>
      <c r="K1254" s="17">
        <f>IF(HistoricalStockProgress[[#This Row],[Total Price of Shares]]&lt;&gt;0,HistoricalStockProgress[[#This Row],[Total Price of Shares]]-HistoricalStockProgress[[#This Row],[Cost of Shares]],0)</f>
        <v>1281.4393531410515</v>
      </c>
      <c r="L1254" s="34" t="b" cm="1">
        <f t="array" ref="L1254">IFERROR(IF(HistoricalStockProgress[[#This Row],[Price of Shares]]="",_xlfn.STOCKHISTORY(HistoricalStockProgress[[#This Row],[Full Company Name]],HistoricalStockProgress[[#This Row],[Date]],,2,0,1)),0)</f>
        <v>0</v>
      </c>
      <c r="M1254" s="34">
        <f>YEAR(HistoricalStockProgress[[#This Row],[Date]])</f>
        <v>2022</v>
      </c>
      <c r="N1254" s="34">
        <f>MONTH(HistoricalStockProgress[[#This Row],[Date]])</f>
        <v>4</v>
      </c>
    </row>
    <row r="1255" spans="2:14">
      <c r="B1255" s="15">
        <v>44681</v>
      </c>
      <c r="C1255" s="34" t="s">
        <v>18</v>
      </c>
      <c r="D1255" s="34" t="e" vm="5">
        <f>_xlfn.XLOOKUP(HistoricalStockProgress[[#This Row],[Company Ticker]],CompanyDetailsList[Company Ticker],CompanyDetailsList[Official Name],,0)</f>
        <v>#VALUE!</v>
      </c>
      <c r="E12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2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255" s="17">
        <f>IFERROR(HistoricalStockProgress[[#This Row],[Cost of Shares]]/HistoricalStockProgress[[#This Row],[No. of Shares]],0)</f>
        <v>160.8859607546234</v>
      </c>
      <c r="H1255" s="16" vm="1770">
        <v>171.71</v>
      </c>
      <c r="I1255" s="16">
        <f>IF(HistoricalStockProgress[[#This Row],[No. of Shares]]&lt;&gt;0,HistoricalStockProgress[[#This Row],[Price of Shares]]*HistoricalStockProgress[[#This Row],[No. of Shares]],0)</f>
        <v>7383.5300000000007</v>
      </c>
      <c r="J1255" s="16">
        <f>IF(HistoricalStockProgress[[#This Row],[No. of Shares]]&lt;&gt;0,HistoricalStockProgress[[#This Row],[Price of Shares]]-HistoricalStockProgress[[#This Row],[Cost of Shares]]/HistoricalStockProgress[[#This Row],[No. of Shares]],0)</f>
        <v>10.824039245376611</v>
      </c>
      <c r="K1255" s="17">
        <f>IF(HistoricalStockProgress[[#This Row],[Total Price of Shares]]&lt;&gt;0,HistoricalStockProgress[[#This Row],[Total Price of Shares]]-HistoricalStockProgress[[#This Row],[Cost of Shares]],0)</f>
        <v>465.43368755119445</v>
      </c>
      <c r="L1255" s="34" t="b" cm="1">
        <f t="array" ref="L1255">IFERROR(IF(HistoricalStockProgress[[#This Row],[Price of Shares]]="",_xlfn.STOCKHISTORY(HistoricalStockProgress[[#This Row],[Full Company Name]],HistoricalStockProgress[[#This Row],[Date]],,2,0,1)),0)</f>
        <v>0</v>
      </c>
      <c r="M1255" s="34">
        <f>YEAR(HistoricalStockProgress[[#This Row],[Date]])</f>
        <v>2022</v>
      </c>
      <c r="N1255" s="34">
        <f>MONTH(HistoricalStockProgress[[#This Row],[Date]])</f>
        <v>4</v>
      </c>
    </row>
    <row r="1256" spans="2:14">
      <c r="B1256" s="15">
        <v>44681</v>
      </c>
      <c r="C1256" s="34" t="s">
        <v>21</v>
      </c>
      <c r="D1256" s="34" t="e" vm="6">
        <f>_xlfn.XLOOKUP(HistoricalStockProgress[[#This Row],[Company Ticker]],CompanyDetailsList[Company Ticker],CompanyDetailsList[Official Name],,0)</f>
        <v>#VALUE!</v>
      </c>
      <c r="E12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2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256" s="17">
        <f>IFERROR(HistoricalStockProgress[[#This Row],[Cost of Shares]]/HistoricalStockProgress[[#This Row],[No. of Shares]],0)</f>
        <v>139.68700010204148</v>
      </c>
      <c r="H1256" s="16" vm="1771">
        <v>160.55000000000001</v>
      </c>
      <c r="I1256" s="16">
        <f>IF(HistoricalStockProgress[[#This Row],[No. of Shares]]&lt;&gt;0,HistoricalStockProgress[[#This Row],[Price of Shares]]*HistoricalStockProgress[[#This Row],[No. of Shares]],0)</f>
        <v>6743.1</v>
      </c>
      <c r="J1256" s="16">
        <f>IF(HistoricalStockProgress[[#This Row],[No. of Shares]]&lt;&gt;0,HistoricalStockProgress[[#This Row],[Price of Shares]]-HistoricalStockProgress[[#This Row],[Cost of Shares]]/HistoricalStockProgress[[#This Row],[No. of Shares]],0)</f>
        <v>20.862999897958531</v>
      </c>
      <c r="K1256" s="17">
        <f>IF(HistoricalStockProgress[[#This Row],[Total Price of Shares]]&lt;&gt;0,HistoricalStockProgress[[#This Row],[Total Price of Shares]]-HistoricalStockProgress[[#This Row],[Cost of Shares]],0)</f>
        <v>876.24599571425824</v>
      </c>
      <c r="L1256" s="34" t="b" cm="1">
        <f t="array" ref="L1256">IFERROR(IF(HistoricalStockProgress[[#This Row],[Price of Shares]]="",_xlfn.STOCKHISTORY(HistoricalStockProgress[[#This Row],[Full Company Name]],HistoricalStockProgress[[#This Row],[Date]],,2,0,1)),0)</f>
        <v>0</v>
      </c>
      <c r="M1256" s="34">
        <f>YEAR(HistoricalStockProgress[[#This Row],[Date]])</f>
        <v>2022</v>
      </c>
      <c r="N1256" s="34">
        <f>MONTH(HistoricalStockProgress[[#This Row],[Date]])</f>
        <v>4</v>
      </c>
    </row>
    <row r="1257" spans="2:14">
      <c r="B1257" s="15">
        <v>44681</v>
      </c>
      <c r="C1257" s="34" t="s">
        <v>84</v>
      </c>
      <c r="D1257" s="34" t="e" vm="7">
        <f>_xlfn.XLOOKUP(HistoricalStockProgress[[#This Row],[Company Ticker]],CompanyDetailsList[Company Ticker],CompanyDetailsList[Official Name],,0)</f>
        <v>#VALUE!</v>
      </c>
      <c r="E12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2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257" s="17">
        <f>IFERROR(HistoricalStockProgress[[#This Row],[Cost of Shares]]/HistoricalStockProgress[[#This Row],[No. of Shares]],0)</f>
        <v>104.18087504950869</v>
      </c>
      <c r="H1257" s="16" vm="1772">
        <v>180.46</v>
      </c>
      <c r="I1257" s="16">
        <f>IF(HistoricalStockProgress[[#This Row],[No. of Shares]]&lt;&gt;0,HistoricalStockProgress[[#This Row],[Price of Shares]]*HistoricalStockProgress[[#This Row],[No. of Shares]],0)</f>
        <v>9203.4600000000009</v>
      </c>
      <c r="J1257" s="16">
        <f>IF(HistoricalStockProgress[[#This Row],[No. of Shares]]&lt;&gt;0,HistoricalStockProgress[[#This Row],[Price of Shares]]-HistoricalStockProgress[[#This Row],[Cost of Shares]]/HistoricalStockProgress[[#This Row],[No. of Shares]],0)</f>
        <v>76.279124950491322</v>
      </c>
      <c r="K1257" s="17">
        <f>IF(HistoricalStockProgress[[#This Row],[Total Price of Shares]]&lt;&gt;0,HistoricalStockProgress[[#This Row],[Total Price of Shares]]-HistoricalStockProgress[[#This Row],[Cost of Shares]],0)</f>
        <v>3890.2353724750583</v>
      </c>
      <c r="L1257" s="34" t="b" cm="1">
        <f t="array" ref="L1257">IFERROR(IF(HistoricalStockProgress[[#This Row],[Price of Shares]]="",_xlfn.STOCKHISTORY(HistoricalStockProgress[[#This Row],[Full Company Name]],HistoricalStockProgress[[#This Row],[Date]],,2,0,1)),0)</f>
        <v>0</v>
      </c>
      <c r="M1257" s="34">
        <f>YEAR(HistoricalStockProgress[[#This Row],[Date]])</f>
        <v>2022</v>
      </c>
      <c r="N1257" s="34">
        <f>MONTH(HistoricalStockProgress[[#This Row],[Date]])</f>
        <v>4</v>
      </c>
    </row>
    <row r="1258" spans="2:14">
      <c r="B1258" s="15">
        <v>44681</v>
      </c>
      <c r="C1258" s="34" t="s">
        <v>86</v>
      </c>
      <c r="D1258" s="34" t="e" vm="8">
        <f>_xlfn.XLOOKUP(HistoricalStockProgress[[#This Row],[Company Ticker]],CompanyDetailsList[Company Ticker],CompanyDetailsList[Official Name],,0)</f>
        <v>#VALUE!</v>
      </c>
      <c r="E12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2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258" s="17">
        <f>IFERROR(HistoricalStockProgress[[#This Row],[Cost of Shares]]/HistoricalStockProgress[[#This Row],[No. of Shares]],0)</f>
        <v>92.636161128673535</v>
      </c>
      <c r="H1258" s="16" vm="1773">
        <v>146.88</v>
      </c>
      <c r="I1258" s="16">
        <f>IF(HistoricalStockProgress[[#This Row],[No. of Shares]]&lt;&gt;0,HistoricalStockProgress[[#This Row],[Price of Shares]]*HistoricalStockProgress[[#This Row],[No. of Shares]],0)</f>
        <v>16744.32</v>
      </c>
      <c r="J1258" s="16">
        <f>IF(HistoricalStockProgress[[#This Row],[No. of Shares]]&lt;&gt;0,HistoricalStockProgress[[#This Row],[Price of Shares]]-HistoricalStockProgress[[#This Row],[Cost of Shares]]/HistoricalStockProgress[[#This Row],[No. of Shares]],0)</f>
        <v>54.24383887132646</v>
      </c>
      <c r="K1258" s="17">
        <f>IF(HistoricalStockProgress[[#This Row],[Total Price of Shares]]&lt;&gt;0,HistoricalStockProgress[[#This Row],[Total Price of Shares]]-HistoricalStockProgress[[#This Row],[Cost of Shares]],0)</f>
        <v>6183.7976313312174</v>
      </c>
      <c r="L1258" s="34" t="b" cm="1">
        <f t="array" ref="L1258">IFERROR(IF(HistoricalStockProgress[[#This Row],[Price of Shares]]="",_xlfn.STOCKHISTORY(HistoricalStockProgress[[#This Row],[Full Company Name]],HistoricalStockProgress[[#This Row],[Date]],,2,0,1)),0)</f>
        <v>0</v>
      </c>
      <c r="M1258" s="34">
        <f>YEAR(HistoricalStockProgress[[#This Row],[Date]])</f>
        <v>2022</v>
      </c>
      <c r="N1258" s="34">
        <f>MONTH(HistoricalStockProgress[[#This Row],[Date]])</f>
        <v>4</v>
      </c>
    </row>
    <row r="1259" spans="2:14">
      <c r="B1259" s="15">
        <v>44681</v>
      </c>
      <c r="C1259" s="34" t="s">
        <v>88</v>
      </c>
      <c r="D1259" s="34" t="e" vm="9">
        <f>_xlfn.XLOOKUP(HistoricalStockProgress[[#This Row],[Company Ticker]],CompanyDetailsList[Company Ticker],CompanyDetailsList[Official Name],,0)</f>
        <v>#VALUE!</v>
      </c>
      <c r="E12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2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259" s="17">
        <f>IFERROR(HistoricalStockProgress[[#This Row],[Cost of Shares]]/HistoricalStockProgress[[#This Row],[No. of Shares]],0)</f>
        <v>187.727755253422</v>
      </c>
      <c r="H1259" s="16" vm="1774">
        <v>249.16</v>
      </c>
      <c r="I1259" s="16">
        <f>IF(HistoricalStockProgress[[#This Row],[No. of Shares]]&lt;&gt;0,HistoricalStockProgress[[#This Row],[Price of Shares]]*HistoricalStockProgress[[#This Row],[No. of Shares]],0)</f>
        <v>14700.44</v>
      </c>
      <c r="J1259" s="16">
        <f>IF(HistoricalStockProgress[[#This Row],[No. of Shares]]&lt;&gt;0,HistoricalStockProgress[[#This Row],[Price of Shares]]-HistoricalStockProgress[[#This Row],[Cost of Shares]]/HistoricalStockProgress[[#This Row],[No. of Shares]],0)</f>
        <v>61.432244746577993</v>
      </c>
      <c r="K1259" s="17">
        <f>IF(HistoricalStockProgress[[#This Row],[Total Price of Shares]]&lt;&gt;0,HistoricalStockProgress[[#This Row],[Total Price of Shares]]-HistoricalStockProgress[[#This Row],[Cost of Shares]],0)</f>
        <v>3624.5024400481016</v>
      </c>
      <c r="L1259" s="34" t="b" cm="1">
        <f t="array" ref="L1259">IFERROR(IF(HistoricalStockProgress[[#This Row],[Price of Shares]]="",_xlfn.STOCKHISTORY(HistoricalStockProgress[[#This Row],[Full Company Name]],HistoricalStockProgress[[#This Row],[Date]],,2,0,1)),0)</f>
        <v>0</v>
      </c>
      <c r="M1259" s="34">
        <f>YEAR(HistoricalStockProgress[[#This Row],[Date]])</f>
        <v>2022</v>
      </c>
      <c r="N1259" s="34">
        <f>MONTH(HistoricalStockProgress[[#This Row],[Date]])</f>
        <v>4</v>
      </c>
    </row>
    <row r="1260" spans="2:14">
      <c r="B1260" s="15">
        <v>44681</v>
      </c>
      <c r="C1260" s="34" t="s">
        <v>22</v>
      </c>
      <c r="D1260" s="34" t="e" vm="10">
        <f>_xlfn.XLOOKUP(HistoricalStockProgress[[#This Row],[Company Ticker]],CompanyDetailsList[Company Ticker],CompanyDetailsList[Official Name],,0)</f>
        <v>#VALUE!</v>
      </c>
      <c r="E12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12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13175.976249073738</v>
      </c>
      <c r="G1260" s="17">
        <f>IFERROR(HistoricalStockProgress[[#This Row],[Cost of Shares]]/HistoricalStockProgress[[#This Row],[No. of Shares]],0)</f>
        <v>124.30166272711074</v>
      </c>
      <c r="H1260" s="16" vm="1775">
        <v>210.54</v>
      </c>
      <c r="I1260" s="16">
        <f>IF(HistoricalStockProgress[[#This Row],[No. of Shares]]&lt;&gt;0,HistoricalStockProgress[[#This Row],[Price of Shares]]*HistoricalStockProgress[[#This Row],[No. of Shares]],0)</f>
        <v>22317.239999999998</v>
      </c>
      <c r="J1260" s="16">
        <f>IF(HistoricalStockProgress[[#This Row],[No. of Shares]]&lt;&gt;0,HistoricalStockProgress[[#This Row],[Price of Shares]]-HistoricalStockProgress[[#This Row],[Cost of Shares]]/HistoricalStockProgress[[#This Row],[No. of Shares]],0)</f>
        <v>86.238337272889254</v>
      </c>
      <c r="K1260" s="17">
        <f>IF(HistoricalStockProgress[[#This Row],[Total Price of Shares]]&lt;&gt;0,HistoricalStockProgress[[#This Row],[Total Price of Shares]]-HistoricalStockProgress[[#This Row],[Cost of Shares]],0)</f>
        <v>9141.2637509262604</v>
      </c>
      <c r="L1260" s="34" t="b" cm="1">
        <f t="array" ref="L1260">IFERROR(IF(HistoricalStockProgress[[#This Row],[Price of Shares]]="",_xlfn.STOCKHISTORY(HistoricalStockProgress[[#This Row],[Full Company Name]],HistoricalStockProgress[[#This Row],[Date]],,2,0,1)),0)</f>
        <v>0</v>
      </c>
      <c r="M1260" s="34">
        <f>YEAR(HistoricalStockProgress[[#This Row],[Date]])</f>
        <v>2022</v>
      </c>
      <c r="N1260" s="34">
        <f>MONTH(HistoricalStockProgress[[#This Row],[Date]])</f>
        <v>4</v>
      </c>
    </row>
    <row r="1261" spans="2:14">
      <c r="B1261" s="15">
        <v>44681</v>
      </c>
      <c r="C1261" s="34" t="s">
        <v>91</v>
      </c>
      <c r="D1261" s="34" t="e" vm="11">
        <f>_xlfn.XLOOKUP(HistoricalStockProgress[[#This Row],[Company Ticker]],CompanyDetailsList[Company Ticker],CompanyDetailsList[Official Name],,0)</f>
        <v>#VALUE!</v>
      </c>
      <c r="E12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12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1261" s="17">
        <f>IFERROR(HistoricalStockProgress[[#This Row],[Cost of Shares]]/HistoricalStockProgress[[#This Row],[No. of Shares]],0)</f>
        <v>100.94993172657422</v>
      </c>
      <c r="H1261" s="16" vm="1776">
        <v>277.52</v>
      </c>
      <c r="I1261" s="16">
        <f>IF(HistoricalStockProgress[[#This Row],[No. of Shares]]&lt;&gt;0,HistoricalStockProgress[[#This Row],[Price of Shares]]*HistoricalStockProgress[[#This Row],[No. of Shares]],0)</f>
        <v>40795.439999999995</v>
      </c>
      <c r="J1261" s="16">
        <f>IF(HistoricalStockProgress[[#This Row],[No. of Shares]]&lt;&gt;0,HistoricalStockProgress[[#This Row],[Price of Shares]]-HistoricalStockProgress[[#This Row],[Cost of Shares]]/HistoricalStockProgress[[#This Row],[No. of Shares]],0)</f>
        <v>176.57006827342576</v>
      </c>
      <c r="K1261" s="17">
        <f>IF(HistoricalStockProgress[[#This Row],[Total Price of Shares]]&lt;&gt;0,HistoricalStockProgress[[#This Row],[Total Price of Shares]]-HistoricalStockProgress[[#This Row],[Cost of Shares]],0)</f>
        <v>25955.800036193585</v>
      </c>
      <c r="L1261" s="34" t="b" cm="1">
        <f t="array" ref="L1261">IFERROR(IF(HistoricalStockProgress[[#This Row],[Price of Shares]]="",_xlfn.STOCKHISTORY(HistoricalStockProgress[[#This Row],[Full Company Name]],HistoricalStockProgress[[#This Row],[Date]],,2,0,1)),0)</f>
        <v>0</v>
      </c>
      <c r="M1261" s="34">
        <f>YEAR(HistoricalStockProgress[[#This Row],[Date]])</f>
        <v>2022</v>
      </c>
      <c r="N1261" s="34">
        <f>MONTH(HistoricalStockProgress[[#This Row],[Date]])</f>
        <v>4</v>
      </c>
    </row>
    <row r="1262" spans="2:14">
      <c r="B1262" s="15">
        <v>44681</v>
      </c>
      <c r="C1262" s="34" t="s">
        <v>16</v>
      </c>
      <c r="D1262" s="34" t="e" vm="12">
        <f>_xlfn.XLOOKUP(HistoricalStockProgress[[#This Row],[Company Ticker]],CompanyDetailsList[Company Ticker],CompanyDetailsList[Official Name],,0)</f>
        <v>#VALUE!</v>
      </c>
      <c r="E12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2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262" s="17">
        <f>IFERROR(HistoricalStockProgress[[#This Row],[Cost of Shares]]/HistoricalStockProgress[[#This Row],[No. of Shares]],0)</f>
        <v>75.117698177311837</v>
      </c>
      <c r="H1262" s="16" vm="1777">
        <v>85.25</v>
      </c>
      <c r="I1262" s="16">
        <f>IF(HistoricalStockProgress[[#This Row],[No. of Shares]]&lt;&gt;0,HistoricalStockProgress[[#This Row],[Price of Shares]]*HistoricalStockProgress[[#This Row],[No. of Shares]],0)</f>
        <v>15771.25</v>
      </c>
      <c r="J1262" s="16">
        <f>IF(HistoricalStockProgress[[#This Row],[No. of Shares]]&lt;&gt;0,HistoricalStockProgress[[#This Row],[Price of Shares]]-HistoricalStockProgress[[#This Row],[Cost of Shares]]/HistoricalStockProgress[[#This Row],[No. of Shares]],0)</f>
        <v>10.132301822688163</v>
      </c>
      <c r="K1262" s="17">
        <f>IF(HistoricalStockProgress[[#This Row],[Total Price of Shares]]&lt;&gt;0,HistoricalStockProgress[[#This Row],[Total Price of Shares]]-HistoricalStockProgress[[#This Row],[Cost of Shares]],0)</f>
        <v>1874.4758371973112</v>
      </c>
      <c r="L1262" s="34" t="b" cm="1">
        <f t="array" ref="L1262">IFERROR(IF(HistoricalStockProgress[[#This Row],[Price of Shares]]="",_xlfn.STOCKHISTORY(HistoricalStockProgress[[#This Row],[Full Company Name]],HistoricalStockProgress[[#This Row],[Date]],,2,0,1)),0)</f>
        <v>0</v>
      </c>
      <c r="M1262" s="34">
        <f>YEAR(HistoricalStockProgress[[#This Row],[Date]])</f>
        <v>2022</v>
      </c>
      <c r="N1262" s="34">
        <f>MONTH(HistoricalStockProgress[[#This Row],[Date]])</f>
        <v>4</v>
      </c>
    </row>
    <row r="1263" spans="2:14">
      <c r="B1263" s="15">
        <v>44681</v>
      </c>
      <c r="C1263" s="34" t="s">
        <v>95</v>
      </c>
      <c r="D1263" s="34" t="e" vm="13">
        <f>_xlfn.XLOOKUP(HistoricalStockProgress[[#This Row],[Company Ticker]],CompanyDetailsList[Company Ticker],CompanyDetailsList[Official Name],,0)</f>
        <v>#VALUE!</v>
      </c>
      <c r="E12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56</v>
      </c>
      <c r="F12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10324.055787336294</v>
      </c>
      <c r="G1263" s="17">
        <f>IFERROR(HistoricalStockProgress[[#This Row],[Cost of Shares]]/HistoricalStockProgress[[#This Row],[No. of Shares]],0)</f>
        <v>184.35813905957667</v>
      </c>
      <c r="H1263" s="16" vm="1778">
        <v>300.39999999999998</v>
      </c>
      <c r="I1263" s="16">
        <f>IF(HistoricalStockProgress[[#This Row],[No. of Shares]]&lt;&gt;0,HistoricalStockProgress[[#This Row],[Price of Shares]]*HistoricalStockProgress[[#This Row],[No. of Shares]],0)</f>
        <v>16822.399999999998</v>
      </c>
      <c r="J1263" s="16">
        <f>IF(HistoricalStockProgress[[#This Row],[No. of Shares]]&lt;&gt;0,HistoricalStockProgress[[#This Row],[Price of Shares]]-HistoricalStockProgress[[#This Row],[Cost of Shares]]/HistoricalStockProgress[[#This Row],[No. of Shares]],0)</f>
        <v>116.04186094042331</v>
      </c>
      <c r="K1263" s="17">
        <f>IF(HistoricalStockProgress[[#This Row],[Total Price of Shares]]&lt;&gt;0,HistoricalStockProgress[[#This Row],[Total Price of Shares]]-HistoricalStockProgress[[#This Row],[Cost of Shares]],0)</f>
        <v>6498.3442126637037</v>
      </c>
      <c r="L1263" s="34" t="b" cm="1">
        <f t="array" ref="L1263">IFERROR(IF(HistoricalStockProgress[[#This Row],[Price of Shares]]="",_xlfn.STOCKHISTORY(HistoricalStockProgress[[#This Row],[Full Company Name]],HistoricalStockProgress[[#This Row],[Date]],,2,0,1)),0)</f>
        <v>0</v>
      </c>
      <c r="M1263" s="34">
        <f>YEAR(HistoricalStockProgress[[#This Row],[Date]])</f>
        <v>2022</v>
      </c>
      <c r="N1263" s="34">
        <f>MONTH(HistoricalStockProgress[[#This Row],[Date]])</f>
        <v>4</v>
      </c>
    </row>
    <row r="1264" spans="2:14">
      <c r="B1264" s="15">
        <v>44681</v>
      </c>
      <c r="C1264" s="34" t="s">
        <v>17</v>
      </c>
      <c r="D1264" s="34" t="e" vm="14">
        <f>_xlfn.XLOOKUP(HistoricalStockProgress[[#This Row],[Company Ticker]],CompanyDetailsList[Company Ticker],CompanyDetailsList[Official Name],,0)</f>
        <v>#VALUE!</v>
      </c>
      <c r="E12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173</v>
      </c>
      <c r="F12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23678.070828870346</v>
      </c>
      <c r="G1264" s="17">
        <f>IFERROR(HistoricalStockProgress[[#This Row],[Cost of Shares]]/HistoricalStockProgress[[#This Row],[No. of Shares]],0)</f>
        <v>136.86746143855692</v>
      </c>
      <c r="H1264" s="16" vm="1779">
        <v>132.21</v>
      </c>
      <c r="I1264" s="16">
        <f>IF(HistoricalStockProgress[[#This Row],[No. of Shares]]&lt;&gt;0,HistoricalStockProgress[[#This Row],[Price of Shares]]*HistoricalStockProgress[[#This Row],[No. of Shares]],0)</f>
        <v>22872.33</v>
      </c>
      <c r="J1264" s="16">
        <f>IF(HistoricalStockProgress[[#This Row],[No. of Shares]]&lt;&gt;0,HistoricalStockProgress[[#This Row],[Price of Shares]]-HistoricalStockProgress[[#This Row],[Cost of Shares]]/HistoricalStockProgress[[#This Row],[No. of Shares]],0)</f>
        <v>-4.6574614385569078</v>
      </c>
      <c r="K1264" s="17">
        <f>IF(HistoricalStockProgress[[#This Row],[Total Price of Shares]]&lt;&gt;0,HistoricalStockProgress[[#This Row],[Total Price of Shares]]-HistoricalStockProgress[[#This Row],[Cost of Shares]],0)</f>
        <v>-805.74082887034456</v>
      </c>
      <c r="L1264" s="34" t="b" cm="1">
        <f t="array" ref="L1264">IFERROR(IF(HistoricalStockProgress[[#This Row],[Price of Shares]]="",_xlfn.STOCKHISTORY(HistoricalStockProgress[[#This Row],[Full Company Name]],HistoricalStockProgress[[#This Row],[Date]],,2,0,1)),0)</f>
        <v>0</v>
      </c>
      <c r="M1264" s="34">
        <f>YEAR(HistoricalStockProgress[[#This Row],[Date]])</f>
        <v>2022</v>
      </c>
      <c r="N1264" s="34">
        <f>MONTH(HistoricalStockProgress[[#This Row],[Date]])</f>
        <v>4</v>
      </c>
    </row>
    <row r="1265" spans="2:14">
      <c r="B1265" s="15">
        <v>44681</v>
      </c>
      <c r="C1265" s="34" t="s">
        <v>98</v>
      </c>
      <c r="D1265" s="34" t="e" vm="15">
        <f>_xlfn.XLOOKUP(HistoricalStockProgress[[#This Row],[Company Ticker]],CompanyDetailsList[Company Ticker],CompanyDetailsList[Official Name],,0)</f>
        <v>#VALUE!</v>
      </c>
      <c r="E12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108</v>
      </c>
      <c r="F12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5486.2959177385774</v>
      </c>
      <c r="G1265" s="17">
        <f>IFERROR(HistoricalStockProgress[[#This Row],[Cost of Shares]]/HistoricalStockProgress[[#This Row],[No. of Shares]],0)</f>
        <v>50.799036275357196</v>
      </c>
      <c r="H1265" s="16" vm="1780">
        <v>71.02</v>
      </c>
      <c r="I1265" s="16">
        <f>IF(HistoricalStockProgress[[#This Row],[No. of Shares]]&lt;&gt;0,HistoricalStockProgress[[#This Row],[Price of Shares]]*HistoricalStockProgress[[#This Row],[No. of Shares]],0)</f>
        <v>7670.16</v>
      </c>
      <c r="J1265" s="16">
        <f>IF(HistoricalStockProgress[[#This Row],[No. of Shares]]&lt;&gt;0,HistoricalStockProgress[[#This Row],[Price of Shares]]-HistoricalStockProgress[[#This Row],[Cost of Shares]]/HistoricalStockProgress[[#This Row],[No. of Shares]],0)</f>
        <v>20.2209637246428</v>
      </c>
      <c r="K1265" s="17">
        <f>IF(HistoricalStockProgress[[#This Row],[Total Price of Shares]]&lt;&gt;0,HistoricalStockProgress[[#This Row],[Total Price of Shares]]-HistoricalStockProgress[[#This Row],[Cost of Shares]],0)</f>
        <v>2183.8640822614225</v>
      </c>
      <c r="L1265" s="34" t="b" cm="1">
        <f t="array" ref="L1265">IFERROR(IF(HistoricalStockProgress[[#This Row],[Price of Shares]]="",_xlfn.STOCKHISTORY(HistoricalStockProgress[[#This Row],[Full Company Name]],HistoricalStockProgress[[#This Row],[Date]],,2,0,1)),0)</f>
        <v>0</v>
      </c>
      <c r="M1265" s="34">
        <f>YEAR(HistoricalStockProgress[[#This Row],[Date]])</f>
        <v>2022</v>
      </c>
      <c r="N1265" s="34">
        <f>MONTH(HistoricalStockProgress[[#This Row],[Date]])</f>
        <v>4</v>
      </c>
    </row>
    <row r="1266" spans="2:14">
      <c r="B1266" s="15">
        <v>44681</v>
      </c>
      <c r="C1266" s="34" t="s">
        <v>100</v>
      </c>
      <c r="D1266" s="34" t="e" vm="16">
        <f>_xlfn.XLOOKUP(HistoricalStockProgress[[#This Row],[Company Ticker]],CompanyDetailsList[Company Ticker],CompanyDetailsList[Official Name],,0)</f>
        <v>#VALUE!</v>
      </c>
      <c r="E12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12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12257.793853370842</v>
      </c>
      <c r="G1266" s="17">
        <f>IFERROR(HistoricalStockProgress[[#This Row],[Cost of Shares]]/HistoricalStockProgress[[#This Row],[No. of Shares]],0)</f>
        <v>87.555670381220295</v>
      </c>
      <c r="H1266" s="16" vm="1781">
        <v>110.16</v>
      </c>
      <c r="I1266" s="16">
        <f>IF(HistoricalStockProgress[[#This Row],[No. of Shares]]&lt;&gt;0,HistoricalStockProgress[[#This Row],[Price of Shares]]*HistoricalStockProgress[[#This Row],[No. of Shares]],0)</f>
        <v>15422.4</v>
      </c>
      <c r="J1266" s="16">
        <f>IF(HistoricalStockProgress[[#This Row],[No. of Shares]]&lt;&gt;0,HistoricalStockProgress[[#This Row],[Price of Shares]]-HistoricalStockProgress[[#This Row],[Cost of Shares]]/HistoricalStockProgress[[#This Row],[No. of Shares]],0)</f>
        <v>22.604329618779701</v>
      </c>
      <c r="K1266" s="17">
        <f>IF(HistoricalStockProgress[[#This Row],[Total Price of Shares]]&lt;&gt;0,HistoricalStockProgress[[#This Row],[Total Price of Shares]]-HistoricalStockProgress[[#This Row],[Cost of Shares]],0)</f>
        <v>3164.6061466291576</v>
      </c>
      <c r="L1266" s="34" t="b" cm="1">
        <f t="array" ref="L1266">IFERROR(IF(HistoricalStockProgress[[#This Row],[Price of Shares]]="",_xlfn.STOCKHISTORY(HistoricalStockProgress[[#This Row],[Full Company Name]],HistoricalStockProgress[[#This Row],[Date]],,2,0,1)),0)</f>
        <v>0</v>
      </c>
      <c r="M1266" s="34">
        <f>YEAR(HistoricalStockProgress[[#This Row],[Date]])</f>
        <v>2022</v>
      </c>
      <c r="N1266" s="34">
        <f>MONTH(HistoricalStockProgress[[#This Row],[Date]])</f>
        <v>4</v>
      </c>
    </row>
    <row r="1267" spans="2:14">
      <c r="B1267" s="15">
        <v>44681</v>
      </c>
      <c r="C1267" s="34" t="s">
        <v>15</v>
      </c>
      <c r="D1267" s="34" t="e" vm="17">
        <f>_xlfn.XLOOKUP(HistoricalStockProgress[[#This Row],[Company Ticker]],CompanyDetailsList[Company Ticker],CompanyDetailsList[Official Name],,0)</f>
        <v>#VALUE!</v>
      </c>
      <c r="E12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2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267" s="17">
        <f>IFERROR(HistoricalStockProgress[[#This Row],[Cost of Shares]]/HistoricalStockProgress[[#This Row],[No. of Shares]],0)</f>
        <v>26.081956457072195</v>
      </c>
      <c r="H1267" s="16" vm="1782">
        <v>18.86</v>
      </c>
      <c r="I1267" s="16">
        <f>IF(HistoricalStockProgress[[#This Row],[No. of Shares]]&lt;&gt;0,HistoricalStockProgress[[#This Row],[Price of Shares]]*HistoricalStockProgress[[#This Row],[No. of Shares]],0)</f>
        <v>2338.64</v>
      </c>
      <c r="J1267" s="16">
        <f>IF(HistoricalStockProgress[[#This Row],[No. of Shares]]&lt;&gt;0,HistoricalStockProgress[[#This Row],[Price of Shares]]-HistoricalStockProgress[[#This Row],[Cost of Shares]]/HistoricalStockProgress[[#This Row],[No. of Shares]],0)</f>
        <v>-7.2219564570721957</v>
      </c>
      <c r="K1267" s="17">
        <f>IF(HistoricalStockProgress[[#This Row],[Total Price of Shares]]&lt;&gt;0,HistoricalStockProgress[[#This Row],[Total Price of Shares]]-HistoricalStockProgress[[#This Row],[Cost of Shares]],0)</f>
        <v>-895.52260067695215</v>
      </c>
      <c r="L1267" s="34" t="b" cm="1">
        <f t="array" ref="L1267">IFERROR(IF(HistoricalStockProgress[[#This Row],[Price of Shares]]="",_xlfn.STOCKHISTORY(HistoricalStockProgress[[#This Row],[Full Company Name]],HistoricalStockProgress[[#This Row],[Date]],,2,0,1)),0)</f>
        <v>0</v>
      </c>
      <c r="M1267" s="34">
        <f>YEAR(HistoricalStockProgress[[#This Row],[Date]])</f>
        <v>2022</v>
      </c>
      <c r="N1267" s="34">
        <f>MONTH(HistoricalStockProgress[[#This Row],[Date]])</f>
        <v>4</v>
      </c>
    </row>
    <row r="1268" spans="2:14">
      <c r="B1268" s="15">
        <v>44681</v>
      </c>
      <c r="C1268" s="34" t="s">
        <v>13</v>
      </c>
      <c r="D1268" s="34" t="e" vm="18">
        <f>_xlfn.XLOOKUP(HistoricalStockProgress[[#This Row],[Company Ticker]],CompanyDetailsList[Company Ticker],CompanyDetailsList[Official Name],,0)</f>
        <v>#VALUE!</v>
      </c>
      <c r="E12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2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268" s="17">
        <f>IFERROR(HistoricalStockProgress[[#This Row],[Cost of Shares]]/HistoricalStockProgress[[#This Row],[No. of Shares]],0)</f>
        <v>35.846938938346874</v>
      </c>
      <c r="H1268" s="16" vm="1783">
        <v>49.07</v>
      </c>
      <c r="I1268" s="16">
        <f>IF(HistoricalStockProgress[[#This Row],[No. of Shares]]&lt;&gt;0,HistoricalStockProgress[[#This Row],[Price of Shares]]*HistoricalStockProgress[[#This Row],[No. of Shares]],0)</f>
        <v>2698.85</v>
      </c>
      <c r="J1268" s="16">
        <f>IF(HistoricalStockProgress[[#This Row],[No. of Shares]]&lt;&gt;0,HistoricalStockProgress[[#This Row],[Price of Shares]]-HistoricalStockProgress[[#This Row],[Cost of Shares]]/HistoricalStockProgress[[#This Row],[No. of Shares]],0)</f>
        <v>13.223061061653127</v>
      </c>
      <c r="K1268" s="17">
        <f>IF(HistoricalStockProgress[[#This Row],[Total Price of Shares]]&lt;&gt;0,HistoricalStockProgress[[#This Row],[Total Price of Shares]]-HistoricalStockProgress[[#This Row],[Cost of Shares]],0)</f>
        <v>727.26835839092178</v>
      </c>
      <c r="L1268" s="34" t="b" cm="1">
        <f t="array" ref="L1268">IFERROR(IF(HistoricalStockProgress[[#This Row],[Price of Shares]]="",_xlfn.STOCKHISTORY(HistoricalStockProgress[[#This Row],[Full Company Name]],HistoricalStockProgress[[#This Row],[Date]],,2,0,1)),0)</f>
        <v>0</v>
      </c>
      <c r="M1268" s="34">
        <f>YEAR(HistoricalStockProgress[[#This Row],[Date]])</f>
        <v>2022</v>
      </c>
      <c r="N1268" s="34">
        <f>MONTH(HistoricalStockProgress[[#This Row],[Date]])</f>
        <v>4</v>
      </c>
    </row>
    <row r="1269" spans="2:14">
      <c r="B1269" s="15">
        <v>44681</v>
      </c>
      <c r="C1269" s="34" t="s">
        <v>20</v>
      </c>
      <c r="D1269" s="34" t="e" vm="19">
        <f>_xlfn.XLOOKUP(HistoricalStockProgress[[#This Row],[Company Ticker]],CompanyDetailsList[Company Ticker],CompanyDetailsList[Official Name],,0)</f>
        <v>#VALUE!</v>
      </c>
      <c r="E12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93</v>
      </c>
      <c r="F12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9585.7274858109122</v>
      </c>
      <c r="G1269" s="17">
        <f>IFERROR(HistoricalStockProgress[[#This Row],[Cost of Shares]]/HistoricalStockProgress[[#This Row],[No. of Shares]],0)</f>
        <v>103.07233855710658</v>
      </c>
      <c r="H1269" s="16" vm="1784">
        <v>119.36</v>
      </c>
      <c r="I1269" s="16">
        <f>IF(HistoricalStockProgress[[#This Row],[No. of Shares]]&lt;&gt;0,HistoricalStockProgress[[#This Row],[Price of Shares]]*HistoricalStockProgress[[#This Row],[No. of Shares]],0)</f>
        <v>11100.48</v>
      </c>
      <c r="J1269" s="16">
        <f>IF(HistoricalStockProgress[[#This Row],[No. of Shares]]&lt;&gt;0,HistoricalStockProgress[[#This Row],[Price of Shares]]-HistoricalStockProgress[[#This Row],[Cost of Shares]]/HistoricalStockProgress[[#This Row],[No. of Shares]],0)</f>
        <v>16.287661442893423</v>
      </c>
      <c r="K1269" s="17">
        <f>IF(HistoricalStockProgress[[#This Row],[Total Price of Shares]]&lt;&gt;0,HistoricalStockProgress[[#This Row],[Total Price of Shares]]-HistoricalStockProgress[[#This Row],[Cost of Shares]],0)</f>
        <v>1514.7525141890874</v>
      </c>
      <c r="L1269" s="34" t="b" cm="1">
        <f t="array" ref="L1269">IFERROR(IF(HistoricalStockProgress[[#This Row],[Price of Shares]]="",_xlfn.STOCKHISTORY(HistoricalStockProgress[[#This Row],[Full Company Name]],HistoricalStockProgress[[#This Row],[Date]],,2,0,1)),0)</f>
        <v>0</v>
      </c>
      <c r="M1269" s="34">
        <f>YEAR(HistoricalStockProgress[[#This Row],[Date]])</f>
        <v>2022</v>
      </c>
      <c r="N1269" s="34">
        <f>MONTH(HistoricalStockProgress[[#This Row],[Date]])</f>
        <v>4</v>
      </c>
    </row>
    <row r="1270" spans="2:14">
      <c r="B1270" s="15">
        <v>44681</v>
      </c>
      <c r="C1270" s="34" t="s">
        <v>106</v>
      </c>
      <c r="D1270" s="34" t="e" vm="20">
        <f>_xlfn.XLOOKUP(HistoricalStockProgress[[#This Row],[Company Ticker]],CompanyDetailsList[Company Ticker],CompanyDetailsList[Official Name],,0)</f>
        <v>#VALUE!</v>
      </c>
      <c r="E12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2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270" s="17">
        <f>IFERROR(HistoricalStockProgress[[#This Row],[Cost of Shares]]/HistoricalStockProgress[[#This Row],[No. of Shares]],0)</f>
        <v>108.54870748680406</v>
      </c>
      <c r="H1270" s="16" vm="1785">
        <v>127.99</v>
      </c>
      <c r="I1270" s="16">
        <f>IF(HistoricalStockProgress[[#This Row],[No. of Shares]]&lt;&gt;0,HistoricalStockProgress[[#This Row],[Price of Shares]]*HistoricalStockProgress[[#This Row],[No. of Shares]],0)</f>
        <v>11263.119999999999</v>
      </c>
      <c r="J1270" s="16">
        <f>IF(HistoricalStockProgress[[#This Row],[No. of Shares]]&lt;&gt;0,HistoricalStockProgress[[#This Row],[Price of Shares]]-HistoricalStockProgress[[#This Row],[Cost of Shares]]/HistoricalStockProgress[[#This Row],[No. of Shares]],0)</f>
        <v>19.441292513195933</v>
      </c>
      <c r="K1270" s="17">
        <f>IF(HistoricalStockProgress[[#This Row],[Total Price of Shares]]&lt;&gt;0,HistoricalStockProgress[[#This Row],[Total Price of Shares]]-HistoricalStockProgress[[#This Row],[Cost of Shares]],0)</f>
        <v>1710.8337411612411</v>
      </c>
      <c r="L1270" s="34" t="b" cm="1">
        <f t="array" ref="L1270">IFERROR(IF(HistoricalStockProgress[[#This Row],[Price of Shares]]="",_xlfn.STOCKHISTORY(HistoricalStockProgress[[#This Row],[Full Company Name]],HistoricalStockProgress[[#This Row],[Date]],,2,0,1)),0)</f>
        <v>0</v>
      </c>
      <c r="M1270" s="34">
        <f>YEAR(HistoricalStockProgress[[#This Row],[Date]])</f>
        <v>2022</v>
      </c>
      <c r="N1270" s="34">
        <f>MONTH(HistoricalStockProgress[[#This Row],[Date]])</f>
        <v>4</v>
      </c>
    </row>
    <row r="1271" spans="2:14">
      <c r="B1271" s="15">
        <v>44712</v>
      </c>
      <c r="C1271" s="34" t="s">
        <v>12</v>
      </c>
      <c r="D1271" s="34" t="e" vm="1">
        <f>_xlfn.XLOOKUP(HistoricalStockProgress[[#This Row],[Company Ticker]],CompanyDetailsList[Company Ticker],CompanyDetailsList[Official Name],,0)</f>
        <v>#VALUE!</v>
      </c>
      <c r="E12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12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1271" s="17">
        <f>IFERROR(HistoricalStockProgress[[#This Row],[Cost of Shares]]/HistoricalStockProgress[[#This Row],[No. of Shares]],0)</f>
        <v>63.845182519411239</v>
      </c>
      <c r="H1271" s="16" vm="1786">
        <v>68.22</v>
      </c>
      <c r="I1271" s="16">
        <f>IF(HistoricalStockProgress[[#This Row],[No. of Shares]]&lt;&gt;0,HistoricalStockProgress[[#This Row],[Price of Shares]]*HistoricalStockProgress[[#This Row],[No. of Shares]],0)</f>
        <v>4366.08</v>
      </c>
      <c r="J1271" s="16">
        <f>IF(HistoricalStockProgress[[#This Row],[No. of Shares]]&lt;&gt;0,HistoricalStockProgress[[#This Row],[Price of Shares]]-HistoricalStockProgress[[#This Row],[Cost of Shares]]/HistoricalStockProgress[[#This Row],[No. of Shares]],0)</f>
        <v>4.3748174805887601</v>
      </c>
      <c r="K1271" s="17">
        <f>IF(HistoricalStockProgress[[#This Row],[Total Price of Shares]]&lt;&gt;0,HistoricalStockProgress[[#This Row],[Total Price of Shares]]-HistoricalStockProgress[[#This Row],[Cost of Shares]],0)</f>
        <v>279.98831875768064</v>
      </c>
      <c r="L1271" s="34" t="b" cm="1">
        <f t="array" ref="L1271">IFERROR(IF(HistoricalStockProgress[[#This Row],[Price of Shares]]="",_xlfn.STOCKHISTORY(HistoricalStockProgress[[#This Row],[Full Company Name]],HistoricalStockProgress[[#This Row],[Date]],,2,0,1)),0)</f>
        <v>0</v>
      </c>
      <c r="M1271" s="34">
        <f>YEAR(HistoricalStockProgress[[#This Row],[Date]])</f>
        <v>2022</v>
      </c>
      <c r="N1271" s="34">
        <f>MONTH(HistoricalStockProgress[[#This Row],[Date]])</f>
        <v>5</v>
      </c>
    </row>
    <row r="1272" spans="2:14">
      <c r="B1272" s="15">
        <v>44712</v>
      </c>
      <c r="C1272" s="34" t="s">
        <v>14</v>
      </c>
      <c r="D1272" s="34" t="e" vm="2">
        <f>_xlfn.XLOOKUP(HistoricalStockProgress[[#This Row],[Company Ticker]],CompanyDetailsList[Company Ticker],CompanyDetailsList[Official Name],,0)</f>
        <v>#VALUE!</v>
      </c>
      <c r="E12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2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272" s="17">
        <f>IFERROR(HistoricalStockProgress[[#This Row],[Cost of Shares]]/HistoricalStockProgress[[#This Row],[No. of Shares]],0)</f>
        <v>31.580112511620161</v>
      </c>
      <c r="H1272" s="16" vm="1787">
        <v>35.049999999999997</v>
      </c>
      <c r="I1272" s="16">
        <f>IF(HistoricalStockProgress[[#This Row],[No. of Shares]]&lt;&gt;0,HistoricalStockProgress[[#This Row],[Price of Shares]]*HistoricalStockProgress[[#This Row],[No. of Shares]],0)</f>
        <v>981.39999999999986</v>
      </c>
      <c r="J1272" s="16">
        <f>IF(HistoricalStockProgress[[#This Row],[No. of Shares]]&lt;&gt;0,HistoricalStockProgress[[#This Row],[Price of Shares]]-HistoricalStockProgress[[#This Row],[Cost of Shares]]/HistoricalStockProgress[[#This Row],[No. of Shares]],0)</f>
        <v>3.4698874883798361</v>
      </c>
      <c r="K1272" s="17">
        <f>IF(HistoricalStockProgress[[#This Row],[Total Price of Shares]]&lt;&gt;0,HistoricalStockProgress[[#This Row],[Total Price of Shares]]-HistoricalStockProgress[[#This Row],[Cost of Shares]],0)</f>
        <v>97.156849674635396</v>
      </c>
      <c r="L1272" s="34" t="b" cm="1">
        <f t="array" ref="L1272">IFERROR(IF(HistoricalStockProgress[[#This Row],[Price of Shares]]="",_xlfn.STOCKHISTORY(HistoricalStockProgress[[#This Row],[Full Company Name]],HistoricalStockProgress[[#This Row],[Date]],,2,0,1)),0)</f>
        <v>0</v>
      </c>
      <c r="M1272" s="34">
        <f>YEAR(HistoricalStockProgress[[#This Row],[Date]])</f>
        <v>2022</v>
      </c>
      <c r="N1272" s="34">
        <f>MONTH(HistoricalStockProgress[[#This Row],[Date]])</f>
        <v>5</v>
      </c>
    </row>
    <row r="1273" spans="2:14">
      <c r="B1273" s="15">
        <v>44712</v>
      </c>
      <c r="C1273" s="34" t="s">
        <v>19</v>
      </c>
      <c r="D1273" s="34" t="e" vm="3">
        <f>_xlfn.XLOOKUP(HistoricalStockProgress[[#This Row],[Company Ticker]],CompanyDetailsList[Company Ticker],CompanyDetailsList[Official Name],,0)</f>
        <v>#VALUE!</v>
      </c>
      <c r="E12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2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273" s="17">
        <f>IFERROR(HistoricalStockProgress[[#This Row],[Cost of Shares]]/HistoricalStockProgress[[#This Row],[No. of Shares]],0)</f>
        <v>158.45739987816083</v>
      </c>
      <c r="H1273" s="16" vm="1788">
        <v>145.36000000000001</v>
      </c>
      <c r="I1273" s="16">
        <f>IF(HistoricalStockProgress[[#This Row],[No. of Shares]]&lt;&gt;0,HistoricalStockProgress[[#This Row],[Price of Shares]]*HistoricalStockProgress[[#This Row],[No. of Shares]],0)</f>
        <v>8285.52</v>
      </c>
      <c r="J1273" s="16">
        <f>IF(HistoricalStockProgress[[#This Row],[No. of Shares]]&lt;&gt;0,HistoricalStockProgress[[#This Row],[Price of Shares]]-HistoricalStockProgress[[#This Row],[Cost of Shares]]/HistoricalStockProgress[[#This Row],[No. of Shares]],0)</f>
        <v>-13.097399878160815</v>
      </c>
      <c r="K1273" s="17">
        <f>IF(HistoricalStockProgress[[#This Row],[Total Price of Shares]]&lt;&gt;0,HistoricalStockProgress[[#This Row],[Total Price of Shares]]-HistoricalStockProgress[[#This Row],[Cost of Shares]],0)</f>
        <v>-746.55179305516685</v>
      </c>
      <c r="L1273" s="34" t="b" cm="1">
        <f t="array" ref="L1273">IFERROR(IF(HistoricalStockProgress[[#This Row],[Price of Shares]]="",_xlfn.STOCKHISTORY(HistoricalStockProgress[[#This Row],[Full Company Name]],HistoricalStockProgress[[#This Row],[Date]],,2,0,1)),0)</f>
        <v>0</v>
      </c>
      <c r="M1273" s="34">
        <f>YEAR(HistoricalStockProgress[[#This Row],[Date]])</f>
        <v>2022</v>
      </c>
      <c r="N1273" s="34">
        <f>MONTH(HistoricalStockProgress[[#This Row],[Date]])</f>
        <v>5</v>
      </c>
    </row>
    <row r="1274" spans="2:14">
      <c r="B1274" s="15">
        <v>44712</v>
      </c>
      <c r="C1274" s="34" t="s">
        <v>23</v>
      </c>
      <c r="D1274" s="34" t="e" vm="4">
        <f>_xlfn.XLOOKUP(HistoricalStockProgress[[#This Row],[Company Ticker]],CompanyDetailsList[Company Ticker],CompanyDetailsList[Official Name],,0)</f>
        <v>#VALUE!</v>
      </c>
      <c r="E12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85</v>
      </c>
      <c r="F12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4210.4106468589489</v>
      </c>
      <c r="G1274" s="17">
        <f>IFERROR(HistoricalStockProgress[[#This Row],[Cost of Shares]]/HistoricalStockProgress[[#This Row],[No. of Shares]],0)</f>
        <v>49.534242904222928</v>
      </c>
      <c r="H1274" s="16" vm="1789">
        <v>63.38</v>
      </c>
      <c r="I1274" s="16">
        <f>IF(HistoricalStockProgress[[#This Row],[No. of Shares]]&lt;&gt;0,HistoricalStockProgress[[#This Row],[Price of Shares]]*HistoricalStockProgress[[#This Row],[No. of Shares]],0)</f>
        <v>5387.3</v>
      </c>
      <c r="J1274" s="16">
        <f>IF(HistoricalStockProgress[[#This Row],[No. of Shares]]&lt;&gt;0,HistoricalStockProgress[[#This Row],[Price of Shares]]-HistoricalStockProgress[[#This Row],[Cost of Shares]]/HistoricalStockProgress[[#This Row],[No. of Shares]],0)</f>
        <v>13.845757095777074</v>
      </c>
      <c r="K1274" s="17">
        <f>IF(HistoricalStockProgress[[#This Row],[Total Price of Shares]]&lt;&gt;0,HistoricalStockProgress[[#This Row],[Total Price of Shares]]-HistoricalStockProgress[[#This Row],[Cost of Shares]],0)</f>
        <v>1176.8893531410513</v>
      </c>
      <c r="L1274" s="34" t="b" cm="1">
        <f t="array" ref="L1274">IFERROR(IF(HistoricalStockProgress[[#This Row],[Price of Shares]]="",_xlfn.STOCKHISTORY(HistoricalStockProgress[[#This Row],[Full Company Name]],HistoricalStockProgress[[#This Row],[Date]],,2,0,1)),0)</f>
        <v>0</v>
      </c>
      <c r="M1274" s="34">
        <f>YEAR(HistoricalStockProgress[[#This Row],[Date]])</f>
        <v>2022</v>
      </c>
      <c r="N1274" s="34">
        <f>MONTH(HistoricalStockProgress[[#This Row],[Date]])</f>
        <v>5</v>
      </c>
    </row>
    <row r="1275" spans="2:14">
      <c r="B1275" s="15">
        <v>44712</v>
      </c>
      <c r="C1275" s="34" t="s">
        <v>18</v>
      </c>
      <c r="D1275" s="34" t="e" vm="5">
        <f>_xlfn.XLOOKUP(HistoricalStockProgress[[#This Row],[Company Ticker]],CompanyDetailsList[Company Ticker],CompanyDetailsList[Official Name],,0)</f>
        <v>#VALUE!</v>
      </c>
      <c r="E12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2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275" s="17">
        <f>IFERROR(HistoricalStockProgress[[#This Row],[Cost of Shares]]/HistoricalStockProgress[[#This Row],[No. of Shares]],0)</f>
        <v>160.8859607546234</v>
      </c>
      <c r="H1275" s="16" vm="1790">
        <v>167.75</v>
      </c>
      <c r="I1275" s="16">
        <f>IF(HistoricalStockProgress[[#This Row],[No. of Shares]]&lt;&gt;0,HistoricalStockProgress[[#This Row],[Price of Shares]]*HistoricalStockProgress[[#This Row],[No. of Shares]],0)</f>
        <v>7213.25</v>
      </c>
      <c r="J1275" s="16">
        <f>IF(HistoricalStockProgress[[#This Row],[No. of Shares]]&lt;&gt;0,HistoricalStockProgress[[#This Row],[Price of Shares]]-HistoricalStockProgress[[#This Row],[Cost of Shares]]/HistoricalStockProgress[[#This Row],[No. of Shares]],0)</f>
        <v>6.8640392453766026</v>
      </c>
      <c r="K1275" s="17">
        <f>IF(HistoricalStockProgress[[#This Row],[Total Price of Shares]]&lt;&gt;0,HistoricalStockProgress[[#This Row],[Total Price of Shares]]-HistoricalStockProgress[[#This Row],[Cost of Shares]],0)</f>
        <v>295.1536875511938</v>
      </c>
      <c r="L1275" s="34" t="b" cm="1">
        <f t="array" ref="L1275">IFERROR(IF(HistoricalStockProgress[[#This Row],[Price of Shares]]="",_xlfn.STOCKHISTORY(HistoricalStockProgress[[#This Row],[Full Company Name]],HistoricalStockProgress[[#This Row],[Date]],,2,0,1)),0)</f>
        <v>0</v>
      </c>
      <c r="M1275" s="34">
        <f>YEAR(HistoricalStockProgress[[#This Row],[Date]])</f>
        <v>2022</v>
      </c>
      <c r="N1275" s="34">
        <f>MONTH(HistoricalStockProgress[[#This Row],[Date]])</f>
        <v>5</v>
      </c>
    </row>
    <row r="1276" spans="2:14">
      <c r="B1276" s="15">
        <v>44712</v>
      </c>
      <c r="C1276" s="34" t="s">
        <v>21</v>
      </c>
      <c r="D1276" s="34" t="e" vm="6">
        <f>_xlfn.XLOOKUP(HistoricalStockProgress[[#This Row],[Company Ticker]],CompanyDetailsList[Company Ticker],CompanyDetailsList[Official Name],,0)</f>
        <v>#VALUE!</v>
      </c>
      <c r="E12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2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276" s="17">
        <f>IFERROR(HistoricalStockProgress[[#This Row],[Cost of Shares]]/HistoricalStockProgress[[#This Row],[No. of Shares]],0)</f>
        <v>139.68700010204148</v>
      </c>
      <c r="H1276" s="16" vm="1791">
        <v>147.88</v>
      </c>
      <c r="I1276" s="16">
        <f>IF(HistoricalStockProgress[[#This Row],[No. of Shares]]&lt;&gt;0,HistoricalStockProgress[[#This Row],[Price of Shares]]*HistoricalStockProgress[[#This Row],[No. of Shares]],0)</f>
        <v>6210.96</v>
      </c>
      <c r="J1276" s="16">
        <f>IF(HistoricalStockProgress[[#This Row],[No. of Shares]]&lt;&gt;0,HistoricalStockProgress[[#This Row],[Price of Shares]]-HistoricalStockProgress[[#This Row],[Cost of Shares]]/HistoricalStockProgress[[#This Row],[No. of Shares]],0)</f>
        <v>8.192999897958515</v>
      </c>
      <c r="K1276" s="17">
        <f>IF(HistoricalStockProgress[[#This Row],[Total Price of Shares]]&lt;&gt;0,HistoricalStockProgress[[#This Row],[Total Price of Shares]]-HistoricalStockProgress[[#This Row],[Cost of Shares]],0)</f>
        <v>344.10599571425792</v>
      </c>
      <c r="L1276" s="34" t="b" cm="1">
        <f t="array" ref="L1276">IFERROR(IF(HistoricalStockProgress[[#This Row],[Price of Shares]]="",_xlfn.STOCKHISTORY(HistoricalStockProgress[[#This Row],[Full Company Name]],HistoricalStockProgress[[#This Row],[Date]],,2,0,1)),0)</f>
        <v>0</v>
      </c>
      <c r="M1276" s="34">
        <f>YEAR(HistoricalStockProgress[[#This Row],[Date]])</f>
        <v>2022</v>
      </c>
      <c r="N1276" s="34">
        <f>MONTH(HistoricalStockProgress[[#This Row],[Date]])</f>
        <v>5</v>
      </c>
    </row>
    <row r="1277" spans="2:14">
      <c r="B1277" s="15">
        <v>44712</v>
      </c>
      <c r="C1277" s="34" t="s">
        <v>84</v>
      </c>
      <c r="D1277" s="34" t="e" vm="7">
        <f>_xlfn.XLOOKUP(HistoricalStockProgress[[#This Row],[Company Ticker]],CompanyDetailsList[Company Ticker],CompanyDetailsList[Official Name],,0)</f>
        <v>#VALUE!</v>
      </c>
      <c r="E12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2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277" s="17">
        <f>IFERROR(HistoricalStockProgress[[#This Row],[Cost of Shares]]/HistoricalStockProgress[[#This Row],[No. of Shares]],0)</f>
        <v>104.18087504950869</v>
      </c>
      <c r="H1277" s="16" vm="1792">
        <v>179.53</v>
      </c>
      <c r="I1277" s="16">
        <f>IF(HistoricalStockProgress[[#This Row],[No. of Shares]]&lt;&gt;0,HistoricalStockProgress[[#This Row],[Price of Shares]]*HistoricalStockProgress[[#This Row],[No. of Shares]],0)</f>
        <v>9156.0300000000007</v>
      </c>
      <c r="J1277" s="16">
        <f>IF(HistoricalStockProgress[[#This Row],[No. of Shares]]&lt;&gt;0,HistoricalStockProgress[[#This Row],[Price of Shares]]-HistoricalStockProgress[[#This Row],[Cost of Shares]]/HistoricalStockProgress[[#This Row],[No. of Shares]],0)</f>
        <v>75.349124950491316</v>
      </c>
      <c r="K1277" s="17">
        <f>IF(HistoricalStockProgress[[#This Row],[Total Price of Shares]]&lt;&gt;0,HistoricalStockProgress[[#This Row],[Total Price of Shares]]-HistoricalStockProgress[[#This Row],[Cost of Shares]],0)</f>
        <v>3842.805372475058</v>
      </c>
      <c r="L1277" s="34" t="b" cm="1">
        <f t="array" ref="L1277">IFERROR(IF(HistoricalStockProgress[[#This Row],[Price of Shares]]="",_xlfn.STOCKHISTORY(HistoricalStockProgress[[#This Row],[Full Company Name]],HistoricalStockProgress[[#This Row],[Date]],,2,0,1)),0)</f>
        <v>0</v>
      </c>
      <c r="M1277" s="34">
        <f>YEAR(HistoricalStockProgress[[#This Row],[Date]])</f>
        <v>2022</v>
      </c>
      <c r="N1277" s="34">
        <f>MONTH(HistoricalStockProgress[[#This Row],[Date]])</f>
        <v>5</v>
      </c>
    </row>
    <row r="1278" spans="2:14">
      <c r="B1278" s="15">
        <v>44712</v>
      </c>
      <c r="C1278" s="34" t="s">
        <v>86</v>
      </c>
      <c r="D1278" s="34" t="e" vm="8">
        <f>_xlfn.XLOOKUP(HistoricalStockProgress[[#This Row],[Company Ticker]],CompanyDetailsList[Company Ticker],CompanyDetailsList[Official Name],,0)</f>
        <v>#VALUE!</v>
      </c>
      <c r="E12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2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278" s="17">
        <f>IFERROR(HistoricalStockProgress[[#This Row],[Cost of Shares]]/HistoricalStockProgress[[#This Row],[No. of Shares]],0)</f>
        <v>92.636161128673535</v>
      </c>
      <c r="H1278" s="16" vm="1793">
        <v>147.37</v>
      </c>
      <c r="I1278" s="16">
        <f>IF(HistoricalStockProgress[[#This Row],[No. of Shares]]&lt;&gt;0,HistoricalStockProgress[[#This Row],[Price of Shares]]*HistoricalStockProgress[[#This Row],[No. of Shares]],0)</f>
        <v>16800.18</v>
      </c>
      <c r="J1278" s="16">
        <f>IF(HistoricalStockProgress[[#This Row],[No. of Shares]]&lt;&gt;0,HistoricalStockProgress[[#This Row],[Price of Shares]]-HistoricalStockProgress[[#This Row],[Cost of Shares]]/HistoricalStockProgress[[#This Row],[No. of Shares]],0)</f>
        <v>54.733838871326469</v>
      </c>
      <c r="K1278" s="17">
        <f>IF(HistoricalStockProgress[[#This Row],[Total Price of Shares]]&lt;&gt;0,HistoricalStockProgress[[#This Row],[Total Price of Shares]]-HistoricalStockProgress[[#This Row],[Cost of Shares]],0)</f>
        <v>6239.657631331218</v>
      </c>
      <c r="L1278" s="34" t="b" cm="1">
        <f t="array" ref="L1278">IFERROR(IF(HistoricalStockProgress[[#This Row],[Price of Shares]]="",_xlfn.STOCKHISTORY(HistoricalStockProgress[[#This Row],[Full Company Name]],HistoricalStockProgress[[#This Row],[Date]],,2,0,1)),0)</f>
        <v>0</v>
      </c>
      <c r="M1278" s="34">
        <f>YEAR(HistoricalStockProgress[[#This Row],[Date]])</f>
        <v>2022</v>
      </c>
      <c r="N1278" s="34">
        <f>MONTH(HistoricalStockProgress[[#This Row],[Date]])</f>
        <v>5</v>
      </c>
    </row>
    <row r="1279" spans="2:14">
      <c r="B1279" s="15">
        <v>44712</v>
      </c>
      <c r="C1279" s="34" t="s">
        <v>88</v>
      </c>
      <c r="D1279" s="34" t="e" vm="9">
        <f>_xlfn.XLOOKUP(HistoricalStockProgress[[#This Row],[Company Ticker]],CompanyDetailsList[Company Ticker],CompanyDetailsList[Official Name],,0)</f>
        <v>#VALUE!</v>
      </c>
      <c r="E12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2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279" s="17">
        <f>IFERROR(HistoricalStockProgress[[#This Row],[Cost of Shares]]/HistoricalStockProgress[[#This Row],[No. of Shares]],0)</f>
        <v>187.727755253422</v>
      </c>
      <c r="H1279" s="16" vm="1794">
        <v>252.21</v>
      </c>
      <c r="I1279" s="16">
        <f>IF(HistoricalStockProgress[[#This Row],[No. of Shares]]&lt;&gt;0,HistoricalStockProgress[[#This Row],[Price of Shares]]*HistoricalStockProgress[[#This Row],[No. of Shares]],0)</f>
        <v>14880.390000000001</v>
      </c>
      <c r="J1279" s="16">
        <f>IF(HistoricalStockProgress[[#This Row],[No. of Shares]]&lt;&gt;0,HistoricalStockProgress[[#This Row],[Price of Shares]]-HistoricalStockProgress[[#This Row],[Cost of Shares]]/HistoricalStockProgress[[#This Row],[No. of Shares]],0)</f>
        <v>64.482244746578004</v>
      </c>
      <c r="K1279" s="17">
        <f>IF(HistoricalStockProgress[[#This Row],[Total Price of Shares]]&lt;&gt;0,HistoricalStockProgress[[#This Row],[Total Price of Shares]]-HistoricalStockProgress[[#This Row],[Cost of Shares]],0)</f>
        <v>3804.4524400481023</v>
      </c>
      <c r="L1279" s="34" t="b" cm="1">
        <f t="array" ref="L1279">IFERROR(IF(HistoricalStockProgress[[#This Row],[Price of Shares]]="",_xlfn.STOCKHISTORY(HistoricalStockProgress[[#This Row],[Full Company Name]],HistoricalStockProgress[[#This Row],[Date]],,2,0,1)),0)</f>
        <v>0</v>
      </c>
      <c r="M1279" s="34">
        <f>YEAR(HistoricalStockProgress[[#This Row],[Date]])</f>
        <v>2022</v>
      </c>
      <c r="N1279" s="34">
        <f>MONTH(HistoricalStockProgress[[#This Row],[Date]])</f>
        <v>5</v>
      </c>
    </row>
    <row r="1280" spans="2:14">
      <c r="B1280" s="15">
        <v>44712</v>
      </c>
      <c r="C1280" s="34" t="s">
        <v>22</v>
      </c>
      <c r="D1280" s="34" t="e" vm="10">
        <f>_xlfn.XLOOKUP(HistoricalStockProgress[[#This Row],[Company Ticker]],CompanyDetailsList[Company Ticker],CompanyDetailsList[Official Name],,0)</f>
        <v>#VALUE!</v>
      </c>
      <c r="E12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12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13175.976249073738</v>
      </c>
      <c r="G1280" s="17">
        <f>IFERROR(HistoricalStockProgress[[#This Row],[Cost of Shares]]/HistoricalStockProgress[[#This Row],[No. of Shares]],0)</f>
        <v>124.30166272711074</v>
      </c>
      <c r="H1280" s="16" vm="1795">
        <v>215.85</v>
      </c>
      <c r="I1280" s="16">
        <f>IF(HistoricalStockProgress[[#This Row],[No. of Shares]]&lt;&gt;0,HistoricalStockProgress[[#This Row],[Price of Shares]]*HistoricalStockProgress[[#This Row],[No. of Shares]],0)</f>
        <v>22880.1</v>
      </c>
      <c r="J1280" s="16">
        <f>IF(HistoricalStockProgress[[#This Row],[No. of Shares]]&lt;&gt;0,HistoricalStockProgress[[#This Row],[Price of Shares]]-HistoricalStockProgress[[#This Row],[Cost of Shares]]/HistoricalStockProgress[[#This Row],[No. of Shares]],0)</f>
        <v>91.548337272889256</v>
      </c>
      <c r="K1280" s="17">
        <f>IF(HistoricalStockProgress[[#This Row],[Total Price of Shares]]&lt;&gt;0,HistoricalStockProgress[[#This Row],[Total Price of Shares]]-HistoricalStockProgress[[#This Row],[Cost of Shares]],0)</f>
        <v>9704.123750926261</v>
      </c>
      <c r="L1280" s="34" t="b" cm="1">
        <f t="array" ref="L1280">IFERROR(IF(HistoricalStockProgress[[#This Row],[Price of Shares]]="",_xlfn.STOCKHISTORY(HistoricalStockProgress[[#This Row],[Full Company Name]],HistoricalStockProgress[[#This Row],[Date]],,2,0,1)),0)</f>
        <v>0</v>
      </c>
      <c r="M1280" s="34">
        <f>YEAR(HistoricalStockProgress[[#This Row],[Date]])</f>
        <v>2022</v>
      </c>
      <c r="N1280" s="34">
        <f>MONTH(HistoricalStockProgress[[#This Row],[Date]])</f>
        <v>5</v>
      </c>
    </row>
    <row r="1281" spans="2:14">
      <c r="B1281" s="15">
        <v>44712</v>
      </c>
      <c r="C1281" s="34" t="s">
        <v>91</v>
      </c>
      <c r="D1281" s="34" t="e" vm="11">
        <f>_xlfn.XLOOKUP(HistoricalStockProgress[[#This Row],[Company Ticker]],CompanyDetailsList[Company Ticker],CompanyDetailsList[Official Name],,0)</f>
        <v>#VALUE!</v>
      </c>
      <c r="E12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147</v>
      </c>
      <c r="F12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14839.63996380641</v>
      </c>
      <c r="G1281" s="17">
        <f>IFERROR(HistoricalStockProgress[[#This Row],[Cost of Shares]]/HistoricalStockProgress[[#This Row],[No. of Shares]],0)</f>
        <v>100.94993172657422</v>
      </c>
      <c r="H1281" s="16" vm="1796">
        <v>271.87</v>
      </c>
      <c r="I1281" s="16">
        <f>IF(HistoricalStockProgress[[#This Row],[No. of Shares]]&lt;&gt;0,HistoricalStockProgress[[#This Row],[Price of Shares]]*HistoricalStockProgress[[#This Row],[No. of Shares]],0)</f>
        <v>39964.89</v>
      </c>
      <c r="J1281" s="16">
        <f>IF(HistoricalStockProgress[[#This Row],[No. of Shares]]&lt;&gt;0,HistoricalStockProgress[[#This Row],[Price of Shares]]-HistoricalStockProgress[[#This Row],[Cost of Shares]]/HistoricalStockProgress[[#This Row],[No. of Shares]],0)</f>
        <v>170.92006827342578</v>
      </c>
      <c r="K1281" s="17">
        <f>IF(HistoricalStockProgress[[#This Row],[Total Price of Shares]]&lt;&gt;0,HistoricalStockProgress[[#This Row],[Total Price of Shares]]-HistoricalStockProgress[[#This Row],[Cost of Shares]],0)</f>
        <v>25125.250036193589</v>
      </c>
      <c r="L1281" s="34" t="b" cm="1">
        <f t="array" ref="L1281">IFERROR(IF(HistoricalStockProgress[[#This Row],[Price of Shares]]="",_xlfn.STOCKHISTORY(HistoricalStockProgress[[#This Row],[Full Company Name]],HistoricalStockProgress[[#This Row],[Date]],,2,0,1)),0)</f>
        <v>0</v>
      </c>
      <c r="M1281" s="34">
        <f>YEAR(HistoricalStockProgress[[#This Row],[Date]])</f>
        <v>2022</v>
      </c>
      <c r="N1281" s="34">
        <f>MONTH(HistoricalStockProgress[[#This Row],[Date]])</f>
        <v>5</v>
      </c>
    </row>
    <row r="1282" spans="2:14">
      <c r="B1282" s="15">
        <v>44712</v>
      </c>
      <c r="C1282" s="34" t="s">
        <v>16</v>
      </c>
      <c r="D1282" s="34" t="e" vm="12">
        <f>_xlfn.XLOOKUP(HistoricalStockProgress[[#This Row],[Company Ticker]],CompanyDetailsList[Company Ticker],CompanyDetailsList[Official Name],,0)</f>
        <v>#VALUE!</v>
      </c>
      <c r="E12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2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282" s="17">
        <f>IFERROR(HistoricalStockProgress[[#This Row],[Cost of Shares]]/HistoricalStockProgress[[#This Row],[No. of Shares]],0)</f>
        <v>75.117698177311837</v>
      </c>
      <c r="H1282" s="16" vm="1797">
        <v>96</v>
      </c>
      <c r="I1282" s="16">
        <f>IF(HistoricalStockProgress[[#This Row],[No. of Shares]]&lt;&gt;0,HistoricalStockProgress[[#This Row],[Price of Shares]]*HistoricalStockProgress[[#This Row],[No. of Shares]],0)</f>
        <v>17760</v>
      </c>
      <c r="J1282" s="16">
        <f>IF(HistoricalStockProgress[[#This Row],[No. of Shares]]&lt;&gt;0,HistoricalStockProgress[[#This Row],[Price of Shares]]-HistoricalStockProgress[[#This Row],[Cost of Shares]]/HistoricalStockProgress[[#This Row],[No. of Shares]],0)</f>
        <v>20.882301822688163</v>
      </c>
      <c r="K1282" s="17">
        <f>IF(HistoricalStockProgress[[#This Row],[Total Price of Shares]]&lt;&gt;0,HistoricalStockProgress[[#This Row],[Total Price of Shares]]-HistoricalStockProgress[[#This Row],[Cost of Shares]],0)</f>
        <v>3863.2258371973112</v>
      </c>
      <c r="L1282" s="34" t="b" cm="1">
        <f t="array" ref="L1282">IFERROR(IF(HistoricalStockProgress[[#This Row],[Price of Shares]]="",_xlfn.STOCKHISTORY(HistoricalStockProgress[[#This Row],[Full Company Name]],HistoricalStockProgress[[#This Row],[Date]],,2,0,1)),0)</f>
        <v>0</v>
      </c>
      <c r="M1282" s="34">
        <f>YEAR(HistoricalStockProgress[[#This Row],[Date]])</f>
        <v>2022</v>
      </c>
      <c r="N1282" s="34">
        <f>MONTH(HistoricalStockProgress[[#This Row],[Date]])</f>
        <v>5</v>
      </c>
    </row>
    <row r="1283" spans="2:14">
      <c r="B1283" s="15">
        <v>44712</v>
      </c>
      <c r="C1283" s="34" t="s">
        <v>95</v>
      </c>
      <c r="D1283" s="34" t="e" vm="13">
        <f>_xlfn.XLOOKUP(HistoricalStockProgress[[#This Row],[Company Ticker]],CompanyDetailsList[Company Ticker],CompanyDetailsList[Official Name],,0)</f>
        <v>#VALUE!</v>
      </c>
      <c r="E12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12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16802.098395405912</v>
      </c>
      <c r="G1283" s="17">
        <f>IFERROR(HistoricalStockProgress[[#This Row],[Cost of Shares]]/HistoricalStockProgress[[#This Row],[No. of Shares]],0)</f>
        <v>215.41151788981938</v>
      </c>
      <c r="H1283" s="16" vm="1798">
        <v>302.75</v>
      </c>
      <c r="I1283" s="16">
        <f>IF(HistoricalStockProgress[[#This Row],[No. of Shares]]&lt;&gt;0,HistoricalStockProgress[[#This Row],[Price of Shares]]*HistoricalStockProgress[[#This Row],[No. of Shares]],0)</f>
        <v>23614.5</v>
      </c>
      <c r="J1283" s="16">
        <f>IF(HistoricalStockProgress[[#This Row],[No. of Shares]]&lt;&gt;0,HistoricalStockProgress[[#This Row],[Price of Shares]]-HistoricalStockProgress[[#This Row],[Cost of Shares]]/HistoricalStockProgress[[#This Row],[No. of Shares]],0)</f>
        <v>87.338482110180621</v>
      </c>
      <c r="K1283" s="17">
        <f>IF(HistoricalStockProgress[[#This Row],[Total Price of Shares]]&lt;&gt;0,HistoricalStockProgress[[#This Row],[Total Price of Shares]]-HistoricalStockProgress[[#This Row],[Cost of Shares]],0)</f>
        <v>6812.401604594088</v>
      </c>
      <c r="L1283" s="34" t="b" cm="1">
        <f t="array" ref="L1283">IFERROR(IF(HistoricalStockProgress[[#This Row],[Price of Shares]]="",_xlfn.STOCKHISTORY(HistoricalStockProgress[[#This Row],[Full Company Name]],HistoricalStockProgress[[#This Row],[Date]],,2,0,1)),0)</f>
        <v>0</v>
      </c>
      <c r="M1283" s="34">
        <f>YEAR(HistoricalStockProgress[[#This Row],[Date]])</f>
        <v>2022</v>
      </c>
      <c r="N1283" s="34">
        <f>MONTH(HistoricalStockProgress[[#This Row],[Date]])</f>
        <v>5</v>
      </c>
    </row>
    <row r="1284" spans="2:14">
      <c r="B1284" s="15">
        <v>44712</v>
      </c>
      <c r="C1284" s="34" t="s">
        <v>17</v>
      </c>
      <c r="D1284" s="34" t="e" vm="14">
        <f>_xlfn.XLOOKUP(HistoricalStockProgress[[#This Row],[Company Ticker]],CompanyDetailsList[Company Ticker],CompanyDetailsList[Official Name],,0)</f>
        <v>#VALUE!</v>
      </c>
      <c r="E12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173</v>
      </c>
      <c r="F12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23678.070828870346</v>
      </c>
      <c r="G1284" s="17">
        <f>IFERROR(HistoricalStockProgress[[#This Row],[Cost of Shares]]/HistoricalStockProgress[[#This Row],[No. of Shares]],0)</f>
        <v>136.86746143855692</v>
      </c>
      <c r="H1284" s="16" vm="1799">
        <v>138.84</v>
      </c>
      <c r="I1284" s="16">
        <f>IF(HistoricalStockProgress[[#This Row],[No. of Shares]]&lt;&gt;0,HistoricalStockProgress[[#This Row],[Price of Shares]]*HistoricalStockProgress[[#This Row],[No. of Shares]],0)</f>
        <v>24019.32</v>
      </c>
      <c r="J1284" s="16">
        <f>IF(HistoricalStockProgress[[#This Row],[No. of Shares]]&lt;&gt;0,HistoricalStockProgress[[#This Row],[Price of Shares]]-HistoricalStockProgress[[#This Row],[Cost of Shares]]/HistoricalStockProgress[[#This Row],[No. of Shares]],0)</f>
        <v>1.9725385614430877</v>
      </c>
      <c r="K1284" s="17">
        <f>IF(HistoricalStockProgress[[#This Row],[Total Price of Shares]]&lt;&gt;0,HistoricalStockProgress[[#This Row],[Total Price of Shares]]-HistoricalStockProgress[[#This Row],[Cost of Shares]],0)</f>
        <v>341.2491711296534</v>
      </c>
      <c r="L1284" s="34" t="b" cm="1">
        <f t="array" ref="L1284">IFERROR(IF(HistoricalStockProgress[[#This Row],[Price of Shares]]="",_xlfn.STOCKHISTORY(HistoricalStockProgress[[#This Row],[Full Company Name]],HistoricalStockProgress[[#This Row],[Date]],,2,0,1)),0)</f>
        <v>0</v>
      </c>
      <c r="M1284" s="34">
        <f>YEAR(HistoricalStockProgress[[#This Row],[Date]])</f>
        <v>2022</v>
      </c>
      <c r="N1284" s="34">
        <f>MONTH(HistoricalStockProgress[[#This Row],[Date]])</f>
        <v>5</v>
      </c>
    </row>
    <row r="1285" spans="2:14">
      <c r="B1285" s="15">
        <v>44712</v>
      </c>
      <c r="C1285" s="34" t="s">
        <v>98</v>
      </c>
      <c r="D1285" s="34" t="e" vm="15">
        <f>_xlfn.XLOOKUP(HistoricalStockProgress[[#This Row],[Company Ticker]],CompanyDetailsList[Company Ticker],CompanyDetailsList[Official Name],,0)</f>
        <v>#VALUE!</v>
      </c>
      <c r="E12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108</v>
      </c>
      <c r="F12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5486.2959177385774</v>
      </c>
      <c r="G1285" s="17">
        <f>IFERROR(HistoricalStockProgress[[#This Row],[Cost of Shares]]/HistoricalStockProgress[[#This Row],[No. of Shares]],0)</f>
        <v>50.799036275357196</v>
      </c>
      <c r="H1285" s="16" vm="1800">
        <v>75.69</v>
      </c>
      <c r="I1285" s="16">
        <f>IF(HistoricalStockProgress[[#This Row],[No. of Shares]]&lt;&gt;0,HistoricalStockProgress[[#This Row],[Price of Shares]]*HistoricalStockProgress[[#This Row],[No. of Shares]],0)</f>
        <v>8174.5199999999995</v>
      </c>
      <c r="J1285" s="16">
        <f>IF(HistoricalStockProgress[[#This Row],[No. of Shares]]&lt;&gt;0,HistoricalStockProgress[[#This Row],[Price of Shares]]-HistoricalStockProgress[[#This Row],[Cost of Shares]]/HistoricalStockProgress[[#This Row],[No. of Shares]],0)</f>
        <v>24.890963724642802</v>
      </c>
      <c r="K1285" s="17">
        <f>IF(HistoricalStockProgress[[#This Row],[Total Price of Shares]]&lt;&gt;0,HistoricalStockProgress[[#This Row],[Total Price of Shares]]-HistoricalStockProgress[[#This Row],[Cost of Shares]],0)</f>
        <v>2688.2240822614222</v>
      </c>
      <c r="L1285" s="34" t="b" cm="1">
        <f t="array" ref="L1285">IFERROR(IF(HistoricalStockProgress[[#This Row],[Price of Shares]]="",_xlfn.STOCKHISTORY(HistoricalStockProgress[[#This Row],[Full Company Name]],HistoricalStockProgress[[#This Row],[Date]],,2,0,1)),0)</f>
        <v>0</v>
      </c>
      <c r="M1285" s="34">
        <f>YEAR(HistoricalStockProgress[[#This Row],[Date]])</f>
        <v>2022</v>
      </c>
      <c r="N1285" s="34">
        <f>MONTH(HistoricalStockProgress[[#This Row],[Date]])</f>
        <v>5</v>
      </c>
    </row>
    <row r="1286" spans="2:14">
      <c r="B1286" s="15">
        <v>44712</v>
      </c>
      <c r="C1286" s="34" t="s">
        <v>100</v>
      </c>
      <c r="D1286" s="34" t="e" vm="16">
        <f>_xlfn.XLOOKUP(HistoricalStockProgress[[#This Row],[Company Ticker]],CompanyDetailsList[Company Ticker],CompanyDetailsList[Official Name],,0)</f>
        <v>#VALUE!</v>
      </c>
      <c r="E12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12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12257.793853370842</v>
      </c>
      <c r="G1286" s="17">
        <f>IFERROR(HistoricalStockProgress[[#This Row],[Cost of Shares]]/HistoricalStockProgress[[#This Row],[No. of Shares]],0)</f>
        <v>87.555670381220295</v>
      </c>
      <c r="H1286" s="16" vm="1801">
        <v>112.52</v>
      </c>
      <c r="I1286" s="16">
        <f>IF(HistoricalStockProgress[[#This Row],[No. of Shares]]&lt;&gt;0,HistoricalStockProgress[[#This Row],[Price of Shares]]*HistoricalStockProgress[[#This Row],[No. of Shares]],0)</f>
        <v>15752.8</v>
      </c>
      <c r="J1286" s="16">
        <f>IF(HistoricalStockProgress[[#This Row],[No. of Shares]]&lt;&gt;0,HistoricalStockProgress[[#This Row],[Price of Shares]]-HistoricalStockProgress[[#This Row],[Cost of Shares]]/HistoricalStockProgress[[#This Row],[No. of Shares]],0)</f>
        <v>24.964329618779701</v>
      </c>
      <c r="K1286" s="17">
        <f>IF(HistoricalStockProgress[[#This Row],[Total Price of Shares]]&lt;&gt;0,HistoricalStockProgress[[#This Row],[Total Price of Shares]]-HistoricalStockProgress[[#This Row],[Cost of Shares]],0)</f>
        <v>3495.0061466291572</v>
      </c>
      <c r="L1286" s="34" t="b" cm="1">
        <f t="array" ref="L1286">IFERROR(IF(HistoricalStockProgress[[#This Row],[Price of Shares]]="",_xlfn.STOCKHISTORY(HistoricalStockProgress[[#This Row],[Full Company Name]],HistoricalStockProgress[[#This Row],[Date]],,2,0,1)),0)</f>
        <v>0</v>
      </c>
      <c r="M1286" s="34">
        <f>YEAR(HistoricalStockProgress[[#This Row],[Date]])</f>
        <v>2022</v>
      </c>
      <c r="N1286" s="34">
        <f>MONTH(HistoricalStockProgress[[#This Row],[Date]])</f>
        <v>5</v>
      </c>
    </row>
    <row r="1287" spans="2:14">
      <c r="B1287" s="15">
        <v>44712</v>
      </c>
      <c r="C1287" s="34" t="s">
        <v>15</v>
      </c>
      <c r="D1287" s="34" t="e" vm="17">
        <f>_xlfn.XLOOKUP(HistoricalStockProgress[[#This Row],[Company Ticker]],CompanyDetailsList[Company Ticker],CompanyDetailsList[Official Name],,0)</f>
        <v>#VALUE!</v>
      </c>
      <c r="E12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2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287" s="17">
        <f>IFERROR(HistoricalStockProgress[[#This Row],[Cost of Shares]]/HistoricalStockProgress[[#This Row],[No. of Shares]],0)</f>
        <v>26.081956457072195</v>
      </c>
      <c r="H1287" s="16" vm="1802">
        <v>21.29</v>
      </c>
      <c r="I1287" s="16">
        <f>IF(HistoricalStockProgress[[#This Row],[No. of Shares]]&lt;&gt;0,HistoricalStockProgress[[#This Row],[Price of Shares]]*HistoricalStockProgress[[#This Row],[No. of Shares]],0)</f>
        <v>2639.96</v>
      </c>
      <c r="J1287" s="16">
        <f>IF(HistoricalStockProgress[[#This Row],[No. of Shares]]&lt;&gt;0,HistoricalStockProgress[[#This Row],[Price of Shares]]-HistoricalStockProgress[[#This Row],[Cost of Shares]]/HistoricalStockProgress[[#This Row],[No. of Shares]],0)</f>
        <v>-4.791956457072196</v>
      </c>
      <c r="K1287" s="17">
        <f>IF(HistoricalStockProgress[[#This Row],[Total Price of Shares]]&lt;&gt;0,HistoricalStockProgress[[#This Row],[Total Price of Shares]]-HistoricalStockProgress[[#This Row],[Cost of Shares]],0)</f>
        <v>-594.20260067695199</v>
      </c>
      <c r="L1287" s="34" t="b" cm="1">
        <f t="array" ref="L1287">IFERROR(IF(HistoricalStockProgress[[#This Row],[Price of Shares]]="",_xlfn.STOCKHISTORY(HistoricalStockProgress[[#This Row],[Full Company Name]],HistoricalStockProgress[[#This Row],[Date]],,2,0,1)),0)</f>
        <v>0</v>
      </c>
      <c r="M1287" s="34">
        <f>YEAR(HistoricalStockProgress[[#This Row],[Date]])</f>
        <v>2022</v>
      </c>
      <c r="N1287" s="34">
        <f>MONTH(HistoricalStockProgress[[#This Row],[Date]])</f>
        <v>5</v>
      </c>
    </row>
    <row r="1288" spans="2:14">
      <c r="B1288" s="15">
        <v>44712</v>
      </c>
      <c r="C1288" s="34" t="s">
        <v>13</v>
      </c>
      <c r="D1288" s="34" t="e" vm="18">
        <f>_xlfn.XLOOKUP(HistoricalStockProgress[[#This Row],[Company Ticker]],CompanyDetailsList[Company Ticker],CompanyDetailsList[Official Name],,0)</f>
        <v>#VALUE!</v>
      </c>
      <c r="E12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2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288" s="17">
        <f>IFERROR(HistoricalStockProgress[[#This Row],[Cost of Shares]]/HistoricalStockProgress[[#This Row],[No. of Shares]],0)</f>
        <v>35.846938938346874</v>
      </c>
      <c r="H1288" s="16" vm="1803">
        <v>53.04</v>
      </c>
      <c r="I1288" s="16">
        <f>IF(HistoricalStockProgress[[#This Row],[No. of Shares]]&lt;&gt;0,HistoricalStockProgress[[#This Row],[Price of Shares]]*HistoricalStockProgress[[#This Row],[No. of Shares]],0)</f>
        <v>2917.2</v>
      </c>
      <c r="J1288" s="16">
        <f>IF(HistoricalStockProgress[[#This Row],[No. of Shares]]&lt;&gt;0,HistoricalStockProgress[[#This Row],[Price of Shares]]-HistoricalStockProgress[[#This Row],[Cost of Shares]]/HistoricalStockProgress[[#This Row],[No. of Shares]],0)</f>
        <v>17.193061061653125</v>
      </c>
      <c r="K1288" s="17">
        <f>IF(HistoricalStockProgress[[#This Row],[Total Price of Shares]]&lt;&gt;0,HistoricalStockProgress[[#This Row],[Total Price of Shares]]-HistoricalStockProgress[[#This Row],[Cost of Shares]],0)</f>
        <v>945.61835839092168</v>
      </c>
      <c r="L1288" s="34" t="b" cm="1">
        <f t="array" ref="L1288">IFERROR(IF(HistoricalStockProgress[[#This Row],[Price of Shares]]="",_xlfn.STOCKHISTORY(HistoricalStockProgress[[#This Row],[Full Company Name]],HistoricalStockProgress[[#This Row],[Date]],,2,0,1)),0)</f>
        <v>0</v>
      </c>
      <c r="M1288" s="34">
        <f>YEAR(HistoricalStockProgress[[#This Row],[Date]])</f>
        <v>2022</v>
      </c>
      <c r="N1288" s="34">
        <f>MONTH(HistoricalStockProgress[[#This Row],[Date]])</f>
        <v>5</v>
      </c>
    </row>
    <row r="1289" spans="2:14">
      <c r="B1289" s="15">
        <v>44712</v>
      </c>
      <c r="C1289" s="34" t="s">
        <v>20</v>
      </c>
      <c r="D1289" s="34" t="e" vm="19">
        <f>_xlfn.XLOOKUP(HistoricalStockProgress[[#This Row],[Company Ticker]],CompanyDetailsList[Company Ticker],CompanyDetailsList[Official Name],,0)</f>
        <v>#VALUE!</v>
      </c>
      <c r="E12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93</v>
      </c>
      <c r="F12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9585.7274858109122</v>
      </c>
      <c r="G1289" s="17">
        <f>IFERROR(HistoricalStockProgress[[#This Row],[Cost of Shares]]/HistoricalStockProgress[[#This Row],[No. of Shares]],0)</f>
        <v>103.07233855710658</v>
      </c>
      <c r="H1289" s="16" vm="1804">
        <v>132.22999999999999</v>
      </c>
      <c r="I1289" s="16">
        <f>IF(HistoricalStockProgress[[#This Row],[No. of Shares]]&lt;&gt;0,HistoricalStockProgress[[#This Row],[Price of Shares]]*HistoricalStockProgress[[#This Row],[No. of Shares]],0)</f>
        <v>12297.39</v>
      </c>
      <c r="J1289" s="16">
        <f>IF(HistoricalStockProgress[[#This Row],[No. of Shares]]&lt;&gt;0,HistoricalStockProgress[[#This Row],[Price of Shares]]-HistoricalStockProgress[[#This Row],[Cost of Shares]]/HistoricalStockProgress[[#This Row],[No. of Shares]],0)</f>
        <v>29.157661442893414</v>
      </c>
      <c r="K1289" s="17">
        <f>IF(HistoricalStockProgress[[#This Row],[Total Price of Shares]]&lt;&gt;0,HistoricalStockProgress[[#This Row],[Total Price of Shares]]-HistoricalStockProgress[[#This Row],[Cost of Shares]],0)</f>
        <v>2711.6625141890872</v>
      </c>
      <c r="L1289" s="34" t="b" cm="1">
        <f t="array" ref="L1289">IFERROR(IF(HistoricalStockProgress[[#This Row],[Price of Shares]]="",_xlfn.STOCKHISTORY(HistoricalStockProgress[[#This Row],[Full Company Name]],HistoricalStockProgress[[#This Row],[Date]],,2,0,1)),0)</f>
        <v>0</v>
      </c>
      <c r="M1289" s="34">
        <f>YEAR(HistoricalStockProgress[[#This Row],[Date]])</f>
        <v>2022</v>
      </c>
      <c r="N1289" s="34">
        <f>MONTH(HistoricalStockProgress[[#This Row],[Date]])</f>
        <v>5</v>
      </c>
    </row>
    <row r="1290" spans="2:14">
      <c r="B1290" s="15">
        <v>44712</v>
      </c>
      <c r="C1290" s="34" t="s">
        <v>106</v>
      </c>
      <c r="D1290" s="34" t="e" vm="20">
        <f>_xlfn.XLOOKUP(HistoricalStockProgress[[#This Row],[Company Ticker]],CompanyDetailsList[Company Ticker],CompanyDetailsList[Official Name],,0)</f>
        <v>#VALUE!</v>
      </c>
      <c r="E12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2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290" s="17">
        <f>IFERROR(HistoricalStockProgress[[#This Row],[Cost of Shares]]/HistoricalStockProgress[[#This Row],[No. of Shares]],0)</f>
        <v>108.54870748680406</v>
      </c>
      <c r="H1290" s="16" vm="939">
        <v>126.49</v>
      </c>
      <c r="I1290" s="16">
        <f>IF(HistoricalStockProgress[[#This Row],[No. of Shares]]&lt;&gt;0,HistoricalStockProgress[[#This Row],[Price of Shares]]*HistoricalStockProgress[[#This Row],[No. of Shares]],0)</f>
        <v>11131.119999999999</v>
      </c>
      <c r="J1290" s="16">
        <f>IF(HistoricalStockProgress[[#This Row],[No. of Shares]]&lt;&gt;0,HistoricalStockProgress[[#This Row],[Price of Shares]]-HistoricalStockProgress[[#This Row],[Cost of Shares]]/HistoricalStockProgress[[#This Row],[No. of Shares]],0)</f>
        <v>17.941292513195933</v>
      </c>
      <c r="K1290" s="17">
        <f>IF(HistoricalStockProgress[[#This Row],[Total Price of Shares]]&lt;&gt;0,HistoricalStockProgress[[#This Row],[Total Price of Shares]]-HistoricalStockProgress[[#This Row],[Cost of Shares]],0)</f>
        <v>1578.8337411612411</v>
      </c>
      <c r="L1290" s="34" t="b" cm="1">
        <f t="array" ref="L1290">IFERROR(IF(HistoricalStockProgress[[#This Row],[Price of Shares]]="",_xlfn.STOCKHISTORY(HistoricalStockProgress[[#This Row],[Full Company Name]],HistoricalStockProgress[[#This Row],[Date]],,2,0,1)),0)</f>
        <v>0</v>
      </c>
      <c r="M1290" s="34">
        <f>YEAR(HistoricalStockProgress[[#This Row],[Date]])</f>
        <v>2022</v>
      </c>
      <c r="N1290" s="34">
        <f>MONTH(HistoricalStockProgress[[#This Row],[Date]])</f>
        <v>5</v>
      </c>
    </row>
    <row r="1291" spans="2:14">
      <c r="B1291" s="15">
        <v>44742</v>
      </c>
      <c r="C1291" s="34" t="s">
        <v>12</v>
      </c>
      <c r="D1291" s="34" t="e" vm="1">
        <f>_xlfn.XLOOKUP(HistoricalStockProgress[[#This Row],[Company Ticker]],CompanyDetailsList[Company Ticker],CompanyDetailsList[Official Name],,0)</f>
        <v>#VALUE!</v>
      </c>
      <c r="E12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12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1291" s="17">
        <f>IFERROR(HistoricalStockProgress[[#This Row],[Cost of Shares]]/HistoricalStockProgress[[#This Row],[No. of Shares]],0)</f>
        <v>63.845182519411239</v>
      </c>
      <c r="H1291" s="16" vm="1805">
        <v>68.260000000000005</v>
      </c>
      <c r="I1291" s="16">
        <f>IF(HistoricalStockProgress[[#This Row],[No. of Shares]]&lt;&gt;0,HistoricalStockProgress[[#This Row],[Price of Shares]]*HistoricalStockProgress[[#This Row],[No. of Shares]],0)</f>
        <v>4368.6400000000003</v>
      </c>
      <c r="J1291" s="16">
        <f>IF(HistoricalStockProgress[[#This Row],[No. of Shares]]&lt;&gt;0,HistoricalStockProgress[[#This Row],[Price of Shares]]-HistoricalStockProgress[[#This Row],[Cost of Shares]]/HistoricalStockProgress[[#This Row],[No. of Shares]],0)</f>
        <v>4.4148174805887663</v>
      </c>
      <c r="K1291" s="17">
        <f>IF(HistoricalStockProgress[[#This Row],[Total Price of Shares]]&lt;&gt;0,HistoricalStockProgress[[#This Row],[Total Price of Shares]]-HistoricalStockProgress[[#This Row],[Cost of Shares]],0)</f>
        <v>282.54831875768105</v>
      </c>
      <c r="L1291" s="34" t="b" cm="1">
        <f t="array" ref="L1291">IFERROR(IF(HistoricalStockProgress[[#This Row],[Price of Shares]]="",_xlfn.STOCKHISTORY(HistoricalStockProgress[[#This Row],[Full Company Name]],HistoricalStockProgress[[#This Row],[Date]],,2,0,1)),0)</f>
        <v>0</v>
      </c>
      <c r="M1291" s="34">
        <f>YEAR(HistoricalStockProgress[[#This Row],[Date]])</f>
        <v>2022</v>
      </c>
      <c r="N1291" s="34">
        <f>MONTH(HistoricalStockProgress[[#This Row],[Date]])</f>
        <v>6</v>
      </c>
    </row>
    <row r="1292" spans="2:14">
      <c r="B1292" s="15">
        <v>44742</v>
      </c>
      <c r="C1292" s="34" t="s">
        <v>14</v>
      </c>
      <c r="D1292" s="34" t="e" vm="2">
        <f>_xlfn.XLOOKUP(HistoricalStockProgress[[#This Row],[Company Ticker]],CompanyDetailsList[Company Ticker],CompanyDetailsList[Official Name],,0)</f>
        <v>#VALUE!</v>
      </c>
      <c r="E12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2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292" s="17">
        <f>IFERROR(HistoricalStockProgress[[#This Row],[Cost of Shares]]/HistoricalStockProgress[[#This Row],[No. of Shares]],0)</f>
        <v>31.580112511620161</v>
      </c>
      <c r="H1292" s="16" vm="1806">
        <v>34.840000000000003</v>
      </c>
      <c r="I1292" s="16">
        <f>IF(HistoricalStockProgress[[#This Row],[No. of Shares]]&lt;&gt;0,HistoricalStockProgress[[#This Row],[Price of Shares]]*HistoricalStockProgress[[#This Row],[No. of Shares]],0)</f>
        <v>975.5200000000001</v>
      </c>
      <c r="J1292" s="16">
        <f>IF(HistoricalStockProgress[[#This Row],[No. of Shares]]&lt;&gt;0,HistoricalStockProgress[[#This Row],[Price of Shares]]-HistoricalStockProgress[[#This Row],[Cost of Shares]]/HistoricalStockProgress[[#This Row],[No. of Shares]],0)</f>
        <v>3.2598874883798423</v>
      </c>
      <c r="K1292" s="17">
        <f>IF(HistoricalStockProgress[[#This Row],[Total Price of Shares]]&lt;&gt;0,HistoricalStockProgress[[#This Row],[Total Price of Shares]]-HistoricalStockProgress[[#This Row],[Cost of Shares]],0)</f>
        <v>91.276849674635628</v>
      </c>
      <c r="L1292" s="34" t="b" cm="1">
        <f t="array" ref="L1292">IFERROR(IF(HistoricalStockProgress[[#This Row],[Price of Shares]]="",_xlfn.STOCKHISTORY(HistoricalStockProgress[[#This Row],[Full Company Name]],HistoricalStockProgress[[#This Row],[Date]],,2,0,1)),0)</f>
        <v>0</v>
      </c>
      <c r="M1292" s="34">
        <f>YEAR(HistoricalStockProgress[[#This Row],[Date]])</f>
        <v>2022</v>
      </c>
      <c r="N1292" s="34">
        <f>MONTH(HistoricalStockProgress[[#This Row],[Date]])</f>
        <v>6</v>
      </c>
    </row>
    <row r="1293" spans="2:14">
      <c r="B1293" s="15">
        <v>44742</v>
      </c>
      <c r="C1293" s="34" t="s">
        <v>19</v>
      </c>
      <c r="D1293" s="34" t="e" vm="3">
        <f>_xlfn.XLOOKUP(HistoricalStockProgress[[#This Row],[Company Ticker]],CompanyDetailsList[Company Ticker],CompanyDetailsList[Official Name],,0)</f>
        <v>#VALUE!</v>
      </c>
      <c r="E12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2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293" s="17">
        <f>IFERROR(HistoricalStockProgress[[#This Row],[Cost of Shares]]/HistoricalStockProgress[[#This Row],[No. of Shares]],0)</f>
        <v>158.45739987816083</v>
      </c>
      <c r="H1293" s="16" vm="1807">
        <v>140.97999999999999</v>
      </c>
      <c r="I1293" s="16">
        <f>IF(HistoricalStockProgress[[#This Row],[No. of Shares]]&lt;&gt;0,HistoricalStockProgress[[#This Row],[Price of Shares]]*HistoricalStockProgress[[#This Row],[No. of Shares]],0)</f>
        <v>8035.86</v>
      </c>
      <c r="J1293" s="16">
        <f>IF(HistoricalStockProgress[[#This Row],[No. of Shares]]&lt;&gt;0,HistoricalStockProgress[[#This Row],[Price of Shares]]-HistoricalStockProgress[[#This Row],[Cost of Shares]]/HistoricalStockProgress[[#This Row],[No. of Shares]],0)</f>
        <v>-17.477399878160838</v>
      </c>
      <c r="K1293" s="17">
        <f>IF(HistoricalStockProgress[[#This Row],[Total Price of Shares]]&lt;&gt;0,HistoricalStockProgress[[#This Row],[Total Price of Shares]]-HistoricalStockProgress[[#This Row],[Cost of Shares]],0)</f>
        <v>-996.21179305516762</v>
      </c>
      <c r="L1293" s="34" t="b" cm="1">
        <f t="array" ref="L1293">IFERROR(IF(HistoricalStockProgress[[#This Row],[Price of Shares]]="",_xlfn.STOCKHISTORY(HistoricalStockProgress[[#This Row],[Full Company Name]],HistoricalStockProgress[[#This Row],[Date]],,2,0,1)),0)</f>
        <v>0</v>
      </c>
      <c r="M1293" s="34">
        <f>YEAR(HistoricalStockProgress[[#This Row],[Date]])</f>
        <v>2022</v>
      </c>
      <c r="N1293" s="34">
        <f>MONTH(HistoricalStockProgress[[#This Row],[Date]])</f>
        <v>6</v>
      </c>
    </row>
    <row r="1294" spans="2:14">
      <c r="B1294" s="15">
        <v>44742</v>
      </c>
      <c r="C1294" s="34" t="s">
        <v>23</v>
      </c>
      <c r="D1294" s="34" t="e" vm="4">
        <f>_xlfn.XLOOKUP(HistoricalStockProgress[[#This Row],[Company Ticker]],CompanyDetailsList[Company Ticker],CompanyDetailsList[Official Name],,0)</f>
        <v>#VALUE!</v>
      </c>
      <c r="E12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85</v>
      </c>
      <c r="F12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4210.4106468589489</v>
      </c>
      <c r="G1294" s="17">
        <f>IFERROR(HistoricalStockProgress[[#This Row],[Cost of Shares]]/HistoricalStockProgress[[#This Row],[No. of Shares]],0)</f>
        <v>49.534242904222928</v>
      </c>
      <c r="H1294" s="16" vm="1808">
        <v>62.91</v>
      </c>
      <c r="I1294" s="16">
        <f>IF(HistoricalStockProgress[[#This Row],[No. of Shares]]&lt;&gt;0,HistoricalStockProgress[[#This Row],[Price of Shares]]*HistoricalStockProgress[[#This Row],[No. of Shares]],0)</f>
        <v>5347.3499999999995</v>
      </c>
      <c r="J1294" s="16">
        <f>IF(HistoricalStockProgress[[#This Row],[No. of Shares]]&lt;&gt;0,HistoricalStockProgress[[#This Row],[Price of Shares]]-HistoricalStockProgress[[#This Row],[Cost of Shares]]/HistoricalStockProgress[[#This Row],[No. of Shares]],0)</f>
        <v>13.375757095777068</v>
      </c>
      <c r="K1294" s="17">
        <f>IF(HistoricalStockProgress[[#This Row],[Total Price of Shares]]&lt;&gt;0,HistoricalStockProgress[[#This Row],[Total Price of Shares]]-HistoricalStockProgress[[#This Row],[Cost of Shares]],0)</f>
        <v>1136.9393531410506</v>
      </c>
      <c r="L1294" s="34" t="b" cm="1">
        <f t="array" ref="L1294">IFERROR(IF(HistoricalStockProgress[[#This Row],[Price of Shares]]="",_xlfn.STOCKHISTORY(HistoricalStockProgress[[#This Row],[Full Company Name]],HistoricalStockProgress[[#This Row],[Date]],,2,0,1)),0)</f>
        <v>0</v>
      </c>
      <c r="M1294" s="34">
        <f>YEAR(HistoricalStockProgress[[#This Row],[Date]])</f>
        <v>2022</v>
      </c>
      <c r="N1294" s="34">
        <f>MONTH(HistoricalStockProgress[[#This Row],[Date]])</f>
        <v>6</v>
      </c>
    </row>
    <row r="1295" spans="2:14">
      <c r="B1295" s="15">
        <v>44742</v>
      </c>
      <c r="C1295" s="34" t="s">
        <v>18</v>
      </c>
      <c r="D1295" s="34" t="e" vm="5">
        <f>_xlfn.XLOOKUP(HistoricalStockProgress[[#This Row],[Company Ticker]],CompanyDetailsList[Company Ticker],CompanyDetailsList[Official Name],,0)</f>
        <v>#VALUE!</v>
      </c>
      <c r="E12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2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295" s="17">
        <f>IFERROR(HistoricalStockProgress[[#This Row],[Cost of Shares]]/HistoricalStockProgress[[#This Row],[No. of Shares]],0)</f>
        <v>160.8859607546234</v>
      </c>
      <c r="H1295" s="16" vm="1809">
        <v>166.66</v>
      </c>
      <c r="I1295" s="16">
        <f>IF(HistoricalStockProgress[[#This Row],[No. of Shares]]&lt;&gt;0,HistoricalStockProgress[[#This Row],[Price of Shares]]*HistoricalStockProgress[[#This Row],[No. of Shares]],0)</f>
        <v>7166.38</v>
      </c>
      <c r="J1295" s="16">
        <f>IF(HistoricalStockProgress[[#This Row],[No. of Shares]]&lt;&gt;0,HistoricalStockProgress[[#This Row],[Price of Shares]]-HistoricalStockProgress[[#This Row],[Cost of Shares]]/HistoricalStockProgress[[#This Row],[No. of Shares]],0)</f>
        <v>5.7740392453765992</v>
      </c>
      <c r="K1295" s="17">
        <f>IF(HistoricalStockProgress[[#This Row],[Total Price of Shares]]&lt;&gt;0,HistoricalStockProgress[[#This Row],[Total Price of Shares]]-HistoricalStockProgress[[#This Row],[Cost of Shares]],0)</f>
        <v>248.28368755119391</v>
      </c>
      <c r="L1295" s="34" t="b" cm="1">
        <f t="array" ref="L1295">IFERROR(IF(HistoricalStockProgress[[#This Row],[Price of Shares]]="",_xlfn.STOCKHISTORY(HistoricalStockProgress[[#This Row],[Full Company Name]],HistoricalStockProgress[[#This Row],[Date]],,2,0,1)),0)</f>
        <v>0</v>
      </c>
      <c r="M1295" s="34">
        <f>YEAR(HistoricalStockProgress[[#This Row],[Date]])</f>
        <v>2022</v>
      </c>
      <c r="N1295" s="34">
        <f>MONTH(HistoricalStockProgress[[#This Row],[Date]])</f>
        <v>6</v>
      </c>
    </row>
    <row r="1296" spans="2:14">
      <c r="B1296" s="15">
        <v>44742</v>
      </c>
      <c r="C1296" s="34" t="s">
        <v>21</v>
      </c>
      <c r="D1296" s="34" t="e" vm="6">
        <f>_xlfn.XLOOKUP(HistoricalStockProgress[[#This Row],[Company Ticker]],CompanyDetailsList[Company Ticker],CompanyDetailsList[Official Name],,0)</f>
        <v>#VALUE!</v>
      </c>
      <c r="E12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2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296" s="17">
        <f>IFERROR(HistoricalStockProgress[[#This Row],[Cost of Shares]]/HistoricalStockProgress[[#This Row],[No. of Shares]],0)</f>
        <v>139.68700010204148</v>
      </c>
      <c r="H1296" s="16" vm="1810">
        <v>143.79</v>
      </c>
      <c r="I1296" s="16">
        <f>IF(HistoricalStockProgress[[#This Row],[No. of Shares]]&lt;&gt;0,HistoricalStockProgress[[#This Row],[Price of Shares]]*HistoricalStockProgress[[#This Row],[No. of Shares]],0)</f>
        <v>6039.1799999999994</v>
      </c>
      <c r="J1296" s="16">
        <f>IF(HistoricalStockProgress[[#This Row],[No. of Shares]]&lt;&gt;0,HistoricalStockProgress[[#This Row],[Price of Shares]]-HistoricalStockProgress[[#This Row],[Cost of Shares]]/HistoricalStockProgress[[#This Row],[No. of Shares]],0)</f>
        <v>4.1029998979585116</v>
      </c>
      <c r="K1296" s="17">
        <f>IF(HistoricalStockProgress[[#This Row],[Total Price of Shares]]&lt;&gt;0,HistoricalStockProgress[[#This Row],[Total Price of Shares]]-HistoricalStockProgress[[#This Row],[Cost of Shares]],0)</f>
        <v>172.32599571425726</v>
      </c>
      <c r="L1296" s="34" t="b" cm="1">
        <f t="array" ref="L1296">IFERROR(IF(HistoricalStockProgress[[#This Row],[Price of Shares]]="",_xlfn.STOCKHISTORY(HistoricalStockProgress[[#This Row],[Full Company Name]],HistoricalStockProgress[[#This Row],[Date]],,2,0,1)),0)</f>
        <v>0</v>
      </c>
      <c r="M1296" s="34">
        <f>YEAR(HistoricalStockProgress[[#This Row],[Date]])</f>
        <v>2022</v>
      </c>
      <c r="N1296" s="34">
        <f>MONTH(HistoricalStockProgress[[#This Row],[Date]])</f>
        <v>6</v>
      </c>
    </row>
    <row r="1297" spans="2:14">
      <c r="B1297" s="15">
        <v>44742</v>
      </c>
      <c r="C1297" s="34" t="s">
        <v>84</v>
      </c>
      <c r="D1297" s="34" t="e" vm="7">
        <f>_xlfn.XLOOKUP(HistoricalStockProgress[[#This Row],[Company Ticker]],CompanyDetailsList[Company Ticker],CompanyDetailsList[Official Name],,0)</f>
        <v>#VALUE!</v>
      </c>
      <c r="E12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2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297" s="17">
        <f>IFERROR(HistoricalStockProgress[[#This Row],[Cost of Shares]]/HistoricalStockProgress[[#This Row],[No. of Shares]],0)</f>
        <v>104.18087504950869</v>
      </c>
      <c r="H1297" s="16" vm="1811">
        <v>177.51</v>
      </c>
      <c r="I1297" s="16">
        <f>IF(HistoricalStockProgress[[#This Row],[No. of Shares]]&lt;&gt;0,HistoricalStockProgress[[#This Row],[Price of Shares]]*HistoricalStockProgress[[#This Row],[No. of Shares]],0)</f>
        <v>9053.01</v>
      </c>
      <c r="J1297" s="16">
        <f>IF(HistoricalStockProgress[[#This Row],[No. of Shares]]&lt;&gt;0,HistoricalStockProgress[[#This Row],[Price of Shares]]-HistoricalStockProgress[[#This Row],[Cost of Shares]]/HistoricalStockProgress[[#This Row],[No. of Shares]],0)</f>
        <v>73.329124950491305</v>
      </c>
      <c r="K1297" s="17">
        <f>IF(HistoricalStockProgress[[#This Row],[Total Price of Shares]]&lt;&gt;0,HistoricalStockProgress[[#This Row],[Total Price of Shares]]-HistoricalStockProgress[[#This Row],[Cost of Shares]],0)</f>
        <v>3739.7853724750576</v>
      </c>
      <c r="L1297" s="34" t="b" cm="1">
        <f t="array" ref="L1297">IFERROR(IF(HistoricalStockProgress[[#This Row],[Price of Shares]]="",_xlfn.STOCKHISTORY(HistoricalStockProgress[[#This Row],[Full Company Name]],HistoricalStockProgress[[#This Row],[Date]],,2,0,1)),0)</f>
        <v>0</v>
      </c>
      <c r="M1297" s="34">
        <f>YEAR(HistoricalStockProgress[[#This Row],[Date]])</f>
        <v>2022</v>
      </c>
      <c r="N1297" s="34">
        <f>MONTH(HistoricalStockProgress[[#This Row],[Date]])</f>
        <v>6</v>
      </c>
    </row>
    <row r="1298" spans="2:14">
      <c r="B1298" s="15">
        <v>44742</v>
      </c>
      <c r="C1298" s="34" t="s">
        <v>86</v>
      </c>
      <c r="D1298" s="34" t="e" vm="8">
        <f>_xlfn.XLOOKUP(HistoricalStockProgress[[#This Row],[Company Ticker]],CompanyDetailsList[Company Ticker],CompanyDetailsList[Official Name],,0)</f>
        <v>#VALUE!</v>
      </c>
      <c r="E12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2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298" s="17">
        <f>IFERROR(HistoricalStockProgress[[#This Row],[Cost of Shares]]/HistoricalStockProgress[[#This Row],[No. of Shares]],0)</f>
        <v>92.636161128673535</v>
      </c>
      <c r="H1298" s="16" vm="1812">
        <v>153.16</v>
      </c>
      <c r="I1298" s="16">
        <f>IF(HistoricalStockProgress[[#This Row],[No. of Shares]]&lt;&gt;0,HistoricalStockProgress[[#This Row],[Price of Shares]]*HistoricalStockProgress[[#This Row],[No. of Shares]],0)</f>
        <v>17460.239999999998</v>
      </c>
      <c r="J1298" s="16">
        <f>IF(HistoricalStockProgress[[#This Row],[No. of Shares]]&lt;&gt;0,HistoricalStockProgress[[#This Row],[Price of Shares]]-HistoricalStockProgress[[#This Row],[Cost of Shares]]/HistoricalStockProgress[[#This Row],[No. of Shares]],0)</f>
        <v>60.523838871326461</v>
      </c>
      <c r="K1298" s="17">
        <f>IF(HistoricalStockProgress[[#This Row],[Total Price of Shares]]&lt;&gt;0,HistoricalStockProgress[[#This Row],[Total Price of Shares]]-HistoricalStockProgress[[#This Row],[Cost of Shares]],0)</f>
        <v>6899.7176313312157</v>
      </c>
      <c r="L1298" s="34" t="b" cm="1">
        <f t="array" ref="L1298">IFERROR(IF(HistoricalStockProgress[[#This Row],[Price of Shares]]="",_xlfn.STOCKHISTORY(HistoricalStockProgress[[#This Row],[Full Company Name]],HistoricalStockProgress[[#This Row],[Date]],,2,0,1)),0)</f>
        <v>0</v>
      </c>
      <c r="M1298" s="34">
        <f>YEAR(HistoricalStockProgress[[#This Row],[Date]])</f>
        <v>2022</v>
      </c>
      <c r="N1298" s="34">
        <f>MONTH(HistoricalStockProgress[[#This Row],[Date]])</f>
        <v>6</v>
      </c>
    </row>
    <row r="1299" spans="2:14">
      <c r="B1299" s="15">
        <v>44742</v>
      </c>
      <c r="C1299" s="34" t="s">
        <v>88</v>
      </c>
      <c r="D1299" s="34" t="e" vm="9">
        <f>_xlfn.XLOOKUP(HistoricalStockProgress[[#This Row],[Company Ticker]],CompanyDetailsList[Company Ticker],CompanyDetailsList[Official Name],,0)</f>
        <v>#VALUE!</v>
      </c>
      <c r="E12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2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299" s="17">
        <f>IFERROR(HistoricalStockProgress[[#This Row],[Cost of Shares]]/HistoricalStockProgress[[#This Row],[No. of Shares]],0)</f>
        <v>187.727755253422</v>
      </c>
      <c r="H1299" s="16" vm="1813">
        <v>246.88</v>
      </c>
      <c r="I1299" s="16">
        <f>IF(HistoricalStockProgress[[#This Row],[No. of Shares]]&lt;&gt;0,HistoricalStockProgress[[#This Row],[Price of Shares]]*HistoricalStockProgress[[#This Row],[No. of Shares]],0)</f>
        <v>14565.92</v>
      </c>
      <c r="J1299" s="16">
        <f>IF(HistoricalStockProgress[[#This Row],[No. of Shares]]&lt;&gt;0,HistoricalStockProgress[[#This Row],[Price of Shares]]-HistoricalStockProgress[[#This Row],[Cost of Shares]]/HistoricalStockProgress[[#This Row],[No. of Shares]],0)</f>
        <v>59.152244746577992</v>
      </c>
      <c r="K1299" s="17">
        <f>IF(HistoricalStockProgress[[#This Row],[Total Price of Shares]]&lt;&gt;0,HistoricalStockProgress[[#This Row],[Total Price of Shares]]-HistoricalStockProgress[[#This Row],[Cost of Shares]],0)</f>
        <v>3489.9824400481011</v>
      </c>
      <c r="L1299" s="34" t="b" cm="1">
        <f t="array" ref="L1299">IFERROR(IF(HistoricalStockProgress[[#This Row],[Price of Shares]]="",_xlfn.STOCKHISTORY(HistoricalStockProgress[[#This Row],[Full Company Name]],HistoricalStockProgress[[#This Row],[Date]],,2,0,1)),0)</f>
        <v>0</v>
      </c>
      <c r="M1299" s="34">
        <f>YEAR(HistoricalStockProgress[[#This Row],[Date]])</f>
        <v>2022</v>
      </c>
      <c r="N1299" s="34">
        <f>MONTH(HistoricalStockProgress[[#This Row],[Date]])</f>
        <v>6</v>
      </c>
    </row>
    <row r="1300" spans="2:14">
      <c r="B1300" s="15">
        <v>44742</v>
      </c>
      <c r="C1300" s="34" t="s">
        <v>22</v>
      </c>
      <c r="D1300" s="34" t="e" vm="10">
        <f>_xlfn.XLOOKUP(HistoricalStockProgress[[#This Row],[Company Ticker]],CompanyDetailsList[Company Ticker],CompanyDetailsList[Official Name],,0)</f>
        <v>#VALUE!</v>
      </c>
      <c r="E13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13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13175.976249073738</v>
      </c>
      <c r="G1300" s="17">
        <f>IFERROR(HistoricalStockProgress[[#This Row],[Cost of Shares]]/HistoricalStockProgress[[#This Row],[No. of Shares]],0)</f>
        <v>124.30166272711074</v>
      </c>
      <c r="H1300" s="16" vm="1814">
        <v>178.76</v>
      </c>
      <c r="I1300" s="16">
        <f>IF(HistoricalStockProgress[[#This Row],[No. of Shares]]&lt;&gt;0,HistoricalStockProgress[[#This Row],[Price of Shares]]*HistoricalStockProgress[[#This Row],[No. of Shares]],0)</f>
        <v>18948.559999999998</v>
      </c>
      <c r="J1300" s="16">
        <f>IF(HistoricalStockProgress[[#This Row],[No. of Shares]]&lt;&gt;0,HistoricalStockProgress[[#This Row],[Price of Shares]]-HistoricalStockProgress[[#This Row],[Cost of Shares]]/HistoricalStockProgress[[#This Row],[No. of Shares]],0)</f>
        <v>54.458337272889253</v>
      </c>
      <c r="K1300" s="17">
        <f>IF(HistoricalStockProgress[[#This Row],[Total Price of Shares]]&lt;&gt;0,HistoricalStockProgress[[#This Row],[Total Price of Shares]]-HistoricalStockProgress[[#This Row],[Cost of Shares]],0)</f>
        <v>5772.5837509262601</v>
      </c>
      <c r="L1300" s="34" t="b" cm="1">
        <f t="array" ref="L1300">IFERROR(IF(HistoricalStockProgress[[#This Row],[Price of Shares]]="",_xlfn.STOCKHISTORY(HistoricalStockProgress[[#This Row],[Full Company Name]],HistoricalStockProgress[[#This Row],[Date]],,2,0,1)),0)</f>
        <v>0</v>
      </c>
      <c r="M1300" s="34">
        <f>YEAR(HistoricalStockProgress[[#This Row],[Date]])</f>
        <v>2022</v>
      </c>
      <c r="N1300" s="34">
        <f>MONTH(HistoricalStockProgress[[#This Row],[Date]])</f>
        <v>6</v>
      </c>
    </row>
    <row r="1301" spans="2:14">
      <c r="B1301" s="15">
        <v>44742</v>
      </c>
      <c r="C1301" s="34" t="s">
        <v>91</v>
      </c>
      <c r="D1301" s="34" t="e" vm="11">
        <f>_xlfn.XLOOKUP(HistoricalStockProgress[[#This Row],[Company Ticker]],CompanyDetailsList[Company Ticker],CompanyDetailsList[Official Name],,0)</f>
        <v>#VALUE!</v>
      </c>
      <c r="E13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158</v>
      </c>
      <c r="F13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17535.625541779413</v>
      </c>
      <c r="G1301" s="17">
        <f>IFERROR(HistoricalStockProgress[[#This Row],[Cost of Shares]]/HistoricalStockProgress[[#This Row],[No. of Shares]],0)</f>
        <v>110.98497178341401</v>
      </c>
      <c r="H1301" s="16" vm="1815">
        <v>256.83</v>
      </c>
      <c r="I1301" s="16">
        <f>IF(HistoricalStockProgress[[#This Row],[No. of Shares]]&lt;&gt;0,HistoricalStockProgress[[#This Row],[Price of Shares]]*HistoricalStockProgress[[#This Row],[No. of Shares]],0)</f>
        <v>40579.14</v>
      </c>
      <c r="J1301" s="16">
        <f>IF(HistoricalStockProgress[[#This Row],[No. of Shares]]&lt;&gt;0,HistoricalStockProgress[[#This Row],[Price of Shares]]-HistoricalStockProgress[[#This Row],[Cost of Shares]]/HistoricalStockProgress[[#This Row],[No. of Shares]],0)</f>
        <v>145.84502821658597</v>
      </c>
      <c r="K1301" s="17">
        <f>IF(HistoricalStockProgress[[#This Row],[Total Price of Shares]]&lt;&gt;0,HistoricalStockProgress[[#This Row],[Total Price of Shares]]-HistoricalStockProgress[[#This Row],[Cost of Shares]],0)</f>
        <v>23043.514458220587</v>
      </c>
      <c r="L1301" s="34" t="b" cm="1">
        <f t="array" ref="L1301">IFERROR(IF(HistoricalStockProgress[[#This Row],[Price of Shares]]="",_xlfn.STOCKHISTORY(HistoricalStockProgress[[#This Row],[Full Company Name]],HistoricalStockProgress[[#This Row],[Date]],,2,0,1)),0)</f>
        <v>0</v>
      </c>
      <c r="M1301" s="34">
        <f>YEAR(HistoricalStockProgress[[#This Row],[Date]])</f>
        <v>2022</v>
      </c>
      <c r="N1301" s="34">
        <f>MONTH(HistoricalStockProgress[[#This Row],[Date]])</f>
        <v>6</v>
      </c>
    </row>
    <row r="1302" spans="2:14">
      <c r="B1302" s="15">
        <v>44742</v>
      </c>
      <c r="C1302" s="34" t="s">
        <v>16</v>
      </c>
      <c r="D1302" s="34" t="e" vm="12">
        <f>_xlfn.XLOOKUP(HistoricalStockProgress[[#This Row],[Company Ticker]],CompanyDetailsList[Company Ticker],CompanyDetailsList[Official Name],,0)</f>
        <v>#VALUE!</v>
      </c>
      <c r="E13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3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302" s="17">
        <f>IFERROR(HistoricalStockProgress[[#This Row],[Cost of Shares]]/HistoricalStockProgress[[#This Row],[No. of Shares]],0)</f>
        <v>75.117698177311837</v>
      </c>
      <c r="H1302" s="16" vm="1816">
        <v>85.64</v>
      </c>
      <c r="I1302" s="16">
        <f>IF(HistoricalStockProgress[[#This Row],[No. of Shares]]&lt;&gt;0,HistoricalStockProgress[[#This Row],[Price of Shares]]*HistoricalStockProgress[[#This Row],[No. of Shares]],0)</f>
        <v>15843.4</v>
      </c>
      <c r="J1302" s="16">
        <f>IF(HistoricalStockProgress[[#This Row],[No. of Shares]]&lt;&gt;0,HistoricalStockProgress[[#This Row],[Price of Shares]]-HistoricalStockProgress[[#This Row],[Cost of Shares]]/HistoricalStockProgress[[#This Row],[No. of Shares]],0)</f>
        <v>10.522301822688163</v>
      </c>
      <c r="K1302" s="17">
        <f>IF(HistoricalStockProgress[[#This Row],[Total Price of Shares]]&lt;&gt;0,HistoricalStockProgress[[#This Row],[Total Price of Shares]]-HistoricalStockProgress[[#This Row],[Cost of Shares]],0)</f>
        <v>1946.6258371973108</v>
      </c>
      <c r="L1302" s="34" t="b" cm="1">
        <f t="array" ref="L1302">IFERROR(IF(HistoricalStockProgress[[#This Row],[Price of Shares]]="",_xlfn.STOCKHISTORY(HistoricalStockProgress[[#This Row],[Full Company Name]],HistoricalStockProgress[[#This Row],[Date]],,2,0,1)),0)</f>
        <v>0</v>
      </c>
      <c r="M1302" s="34">
        <f>YEAR(HistoricalStockProgress[[#This Row],[Date]])</f>
        <v>2022</v>
      </c>
      <c r="N1302" s="34">
        <f>MONTH(HistoricalStockProgress[[#This Row],[Date]])</f>
        <v>6</v>
      </c>
    </row>
    <row r="1303" spans="2:14">
      <c r="B1303" s="15">
        <v>44742</v>
      </c>
      <c r="C1303" s="34" t="s">
        <v>95</v>
      </c>
      <c r="D1303" s="34" t="e" vm="13">
        <f>_xlfn.XLOOKUP(HistoricalStockProgress[[#This Row],[Company Ticker]],CompanyDetailsList[Company Ticker],CompanyDetailsList[Official Name],,0)</f>
        <v>#VALUE!</v>
      </c>
      <c r="E13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13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16802.098395405912</v>
      </c>
      <c r="G1303" s="17">
        <f>IFERROR(HistoricalStockProgress[[#This Row],[Cost of Shares]]/HistoricalStockProgress[[#This Row],[No. of Shares]],0)</f>
        <v>215.41151788981938</v>
      </c>
      <c r="H1303" s="16" vm="1817">
        <v>274.27</v>
      </c>
      <c r="I1303" s="16">
        <f>IF(HistoricalStockProgress[[#This Row],[No. of Shares]]&lt;&gt;0,HistoricalStockProgress[[#This Row],[Price of Shares]]*HistoricalStockProgress[[#This Row],[No. of Shares]],0)</f>
        <v>21393.059999999998</v>
      </c>
      <c r="J1303" s="16">
        <f>IF(HistoricalStockProgress[[#This Row],[No. of Shares]]&lt;&gt;0,HistoricalStockProgress[[#This Row],[Price of Shares]]-HistoricalStockProgress[[#This Row],[Cost of Shares]]/HistoricalStockProgress[[#This Row],[No. of Shares]],0)</f>
        <v>58.858482110180603</v>
      </c>
      <c r="K1303" s="17">
        <f>IF(HistoricalStockProgress[[#This Row],[Total Price of Shares]]&lt;&gt;0,HistoricalStockProgress[[#This Row],[Total Price of Shares]]-HistoricalStockProgress[[#This Row],[Cost of Shares]],0)</f>
        <v>4590.9616045940857</v>
      </c>
      <c r="L1303" s="34" t="b" cm="1">
        <f t="array" ref="L1303">IFERROR(IF(HistoricalStockProgress[[#This Row],[Price of Shares]]="",_xlfn.STOCKHISTORY(HistoricalStockProgress[[#This Row],[Full Company Name]],HistoricalStockProgress[[#This Row],[Date]],,2,0,1)),0)</f>
        <v>0</v>
      </c>
      <c r="M1303" s="34">
        <f>YEAR(HistoricalStockProgress[[#This Row],[Date]])</f>
        <v>2022</v>
      </c>
      <c r="N1303" s="34">
        <f>MONTH(HistoricalStockProgress[[#This Row],[Date]])</f>
        <v>6</v>
      </c>
    </row>
    <row r="1304" spans="2:14">
      <c r="B1304" s="15">
        <v>44742</v>
      </c>
      <c r="C1304" s="34" t="s">
        <v>17</v>
      </c>
      <c r="D1304" s="34" t="e" vm="14">
        <f>_xlfn.XLOOKUP(HistoricalStockProgress[[#This Row],[Company Ticker]],CompanyDetailsList[Company Ticker],CompanyDetailsList[Official Name],,0)</f>
        <v>#VALUE!</v>
      </c>
      <c r="E13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173</v>
      </c>
      <c r="F13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23678.070828870346</v>
      </c>
      <c r="G1304" s="17">
        <f>IFERROR(HistoricalStockProgress[[#This Row],[Cost of Shares]]/HistoricalStockProgress[[#This Row],[No. of Shares]],0)</f>
        <v>136.86746143855692</v>
      </c>
      <c r="H1304" s="16" vm="1818">
        <v>141.19</v>
      </c>
      <c r="I1304" s="16">
        <f>IF(HistoricalStockProgress[[#This Row],[No. of Shares]]&lt;&gt;0,HistoricalStockProgress[[#This Row],[Price of Shares]]*HistoricalStockProgress[[#This Row],[No. of Shares]],0)</f>
        <v>24425.87</v>
      </c>
      <c r="J1304" s="16">
        <f>IF(HistoricalStockProgress[[#This Row],[No. of Shares]]&lt;&gt;0,HistoricalStockProgress[[#This Row],[Price of Shares]]-HistoricalStockProgress[[#This Row],[Cost of Shares]]/HistoricalStockProgress[[#This Row],[No. of Shares]],0)</f>
        <v>4.322538561443082</v>
      </c>
      <c r="K1304" s="17">
        <f>IF(HistoricalStockProgress[[#This Row],[Total Price of Shares]]&lt;&gt;0,HistoricalStockProgress[[#This Row],[Total Price of Shares]]-HistoricalStockProgress[[#This Row],[Cost of Shares]],0)</f>
        <v>747.79917112965268</v>
      </c>
      <c r="L1304" s="34" t="b" cm="1">
        <f t="array" ref="L1304">IFERROR(IF(HistoricalStockProgress[[#This Row],[Price of Shares]]="",_xlfn.STOCKHISTORY(HistoricalStockProgress[[#This Row],[Full Company Name]],HistoricalStockProgress[[#This Row],[Date]],,2,0,1)),0)</f>
        <v>0</v>
      </c>
      <c r="M1304" s="34">
        <f>YEAR(HistoricalStockProgress[[#This Row],[Date]])</f>
        <v>2022</v>
      </c>
      <c r="N1304" s="34">
        <f>MONTH(HistoricalStockProgress[[#This Row],[Date]])</f>
        <v>6</v>
      </c>
    </row>
    <row r="1305" spans="2:14">
      <c r="B1305" s="15">
        <v>44742</v>
      </c>
      <c r="C1305" s="34" t="s">
        <v>98</v>
      </c>
      <c r="D1305" s="34" t="e" vm="15">
        <f>_xlfn.XLOOKUP(HistoricalStockProgress[[#This Row],[Company Ticker]],CompanyDetailsList[Company Ticker],CompanyDetailsList[Official Name],,0)</f>
        <v>#VALUE!</v>
      </c>
      <c r="E13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108</v>
      </c>
      <c r="F13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5486.2959177385774</v>
      </c>
      <c r="G1305" s="17">
        <f>IFERROR(HistoricalStockProgress[[#This Row],[Cost of Shares]]/HistoricalStockProgress[[#This Row],[No. of Shares]],0)</f>
        <v>50.799036275357196</v>
      </c>
      <c r="H1305" s="16" vm="1819">
        <v>77.459999999999994</v>
      </c>
      <c r="I1305" s="16">
        <f>IF(HistoricalStockProgress[[#This Row],[No. of Shares]]&lt;&gt;0,HistoricalStockProgress[[#This Row],[Price of Shares]]*HistoricalStockProgress[[#This Row],[No. of Shares]],0)</f>
        <v>8365.6799999999985</v>
      </c>
      <c r="J1305" s="16">
        <f>IF(HistoricalStockProgress[[#This Row],[No. of Shares]]&lt;&gt;0,HistoricalStockProgress[[#This Row],[Price of Shares]]-HistoricalStockProgress[[#This Row],[Cost of Shares]]/HistoricalStockProgress[[#This Row],[No. of Shares]],0)</f>
        <v>26.660963724642798</v>
      </c>
      <c r="K1305" s="17">
        <f>IF(HistoricalStockProgress[[#This Row],[Total Price of Shares]]&lt;&gt;0,HistoricalStockProgress[[#This Row],[Total Price of Shares]]-HistoricalStockProgress[[#This Row],[Cost of Shares]],0)</f>
        <v>2879.3840822614211</v>
      </c>
      <c r="L1305" s="34" t="b" cm="1">
        <f t="array" ref="L1305">IFERROR(IF(HistoricalStockProgress[[#This Row],[Price of Shares]]="",_xlfn.STOCKHISTORY(HistoricalStockProgress[[#This Row],[Full Company Name]],HistoricalStockProgress[[#This Row],[Date]],,2,0,1)),0)</f>
        <v>0</v>
      </c>
      <c r="M1305" s="34">
        <f>YEAR(HistoricalStockProgress[[#This Row],[Date]])</f>
        <v>2022</v>
      </c>
      <c r="N1305" s="34">
        <f>MONTH(HistoricalStockProgress[[#This Row],[Date]])</f>
        <v>6</v>
      </c>
    </row>
    <row r="1306" spans="2:14">
      <c r="B1306" s="15">
        <v>44742</v>
      </c>
      <c r="C1306" s="34" t="s">
        <v>100</v>
      </c>
      <c r="D1306" s="34" t="e" vm="16">
        <f>_xlfn.XLOOKUP(HistoricalStockProgress[[#This Row],[Company Ticker]],CompanyDetailsList[Company Ticker],CompanyDetailsList[Official Name],,0)</f>
        <v>#VALUE!</v>
      </c>
      <c r="E13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13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12257.793853370842</v>
      </c>
      <c r="G1306" s="17">
        <f>IFERROR(HistoricalStockProgress[[#This Row],[Cost of Shares]]/HistoricalStockProgress[[#This Row],[No. of Shares]],0)</f>
        <v>87.555670381220295</v>
      </c>
      <c r="H1306" s="16" vm="1820">
        <v>107.21</v>
      </c>
      <c r="I1306" s="16">
        <f>IF(HistoricalStockProgress[[#This Row],[No. of Shares]]&lt;&gt;0,HistoricalStockProgress[[#This Row],[Price of Shares]]*HistoricalStockProgress[[#This Row],[No. of Shares]],0)</f>
        <v>15009.4</v>
      </c>
      <c r="J1306" s="16">
        <f>IF(HistoricalStockProgress[[#This Row],[No. of Shares]]&lt;&gt;0,HistoricalStockProgress[[#This Row],[Price of Shares]]-HistoricalStockProgress[[#This Row],[Cost of Shares]]/HistoricalStockProgress[[#This Row],[No. of Shares]],0)</f>
        <v>19.654329618779698</v>
      </c>
      <c r="K1306" s="17">
        <f>IF(HistoricalStockProgress[[#This Row],[Total Price of Shares]]&lt;&gt;0,HistoricalStockProgress[[#This Row],[Total Price of Shares]]-HistoricalStockProgress[[#This Row],[Cost of Shares]],0)</f>
        <v>2751.6061466291576</v>
      </c>
      <c r="L1306" s="34" t="b" cm="1">
        <f t="array" ref="L1306">IFERROR(IF(HistoricalStockProgress[[#This Row],[Price of Shares]]="",_xlfn.STOCKHISTORY(HistoricalStockProgress[[#This Row],[Full Company Name]],HistoricalStockProgress[[#This Row],[Date]],,2,0,1)),0)</f>
        <v>0</v>
      </c>
      <c r="M1306" s="34">
        <f>YEAR(HistoricalStockProgress[[#This Row],[Date]])</f>
        <v>2022</v>
      </c>
      <c r="N1306" s="34">
        <f>MONTH(HistoricalStockProgress[[#This Row],[Date]])</f>
        <v>6</v>
      </c>
    </row>
    <row r="1307" spans="2:14">
      <c r="B1307" s="15">
        <v>44742</v>
      </c>
      <c r="C1307" s="34" t="s">
        <v>15</v>
      </c>
      <c r="D1307" s="34" t="e" vm="17">
        <f>_xlfn.XLOOKUP(HistoricalStockProgress[[#This Row],[Company Ticker]],CompanyDetailsList[Company Ticker],CompanyDetailsList[Official Name],,0)</f>
        <v>#VALUE!</v>
      </c>
      <c r="E13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3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307" s="17">
        <f>IFERROR(HistoricalStockProgress[[#This Row],[Cost of Shares]]/HistoricalStockProgress[[#This Row],[No. of Shares]],0)</f>
        <v>26.081956457072195</v>
      </c>
      <c r="H1307" s="16" vm="1821">
        <v>20.96</v>
      </c>
      <c r="I1307" s="16">
        <f>IF(HistoricalStockProgress[[#This Row],[No. of Shares]]&lt;&gt;0,HistoricalStockProgress[[#This Row],[Price of Shares]]*HistoricalStockProgress[[#This Row],[No. of Shares]],0)</f>
        <v>2599.04</v>
      </c>
      <c r="J1307" s="16">
        <f>IF(HistoricalStockProgress[[#This Row],[No. of Shares]]&lt;&gt;0,HistoricalStockProgress[[#This Row],[Price of Shares]]-HistoricalStockProgress[[#This Row],[Cost of Shares]]/HistoricalStockProgress[[#This Row],[No. of Shares]],0)</f>
        <v>-5.1219564570721943</v>
      </c>
      <c r="K1307" s="17">
        <f>IF(HistoricalStockProgress[[#This Row],[Total Price of Shares]]&lt;&gt;0,HistoricalStockProgress[[#This Row],[Total Price of Shares]]-HistoricalStockProgress[[#This Row],[Cost of Shares]],0)</f>
        <v>-635.12260067695206</v>
      </c>
      <c r="L1307" s="34" t="b" cm="1">
        <f t="array" ref="L1307">IFERROR(IF(HistoricalStockProgress[[#This Row],[Price of Shares]]="",_xlfn.STOCKHISTORY(HistoricalStockProgress[[#This Row],[Full Company Name]],HistoricalStockProgress[[#This Row],[Date]],,2,0,1)),0)</f>
        <v>0</v>
      </c>
      <c r="M1307" s="34">
        <f>YEAR(HistoricalStockProgress[[#This Row],[Date]])</f>
        <v>2022</v>
      </c>
      <c r="N1307" s="34">
        <f>MONTH(HistoricalStockProgress[[#This Row],[Date]])</f>
        <v>6</v>
      </c>
    </row>
    <row r="1308" spans="2:14">
      <c r="B1308" s="15">
        <v>44742</v>
      </c>
      <c r="C1308" s="34" t="s">
        <v>13</v>
      </c>
      <c r="D1308" s="34" t="e" vm="18">
        <f>_xlfn.XLOOKUP(HistoricalStockProgress[[#This Row],[Company Ticker]],CompanyDetailsList[Company Ticker],CompanyDetailsList[Official Name],,0)</f>
        <v>#VALUE!</v>
      </c>
      <c r="E13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3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308" s="17">
        <f>IFERROR(HistoricalStockProgress[[#This Row],[Cost of Shares]]/HistoricalStockProgress[[#This Row],[No. of Shares]],0)</f>
        <v>35.846938938346874</v>
      </c>
      <c r="H1308" s="16" vm="1822">
        <v>52.43</v>
      </c>
      <c r="I1308" s="16">
        <f>IF(HistoricalStockProgress[[#This Row],[No. of Shares]]&lt;&gt;0,HistoricalStockProgress[[#This Row],[Price of Shares]]*HistoricalStockProgress[[#This Row],[No. of Shares]],0)</f>
        <v>2883.65</v>
      </c>
      <c r="J1308" s="16">
        <f>IF(HistoricalStockProgress[[#This Row],[No. of Shares]]&lt;&gt;0,HistoricalStockProgress[[#This Row],[Price of Shares]]-HistoricalStockProgress[[#This Row],[Cost of Shares]]/HistoricalStockProgress[[#This Row],[No. of Shares]],0)</f>
        <v>16.583061061653126</v>
      </c>
      <c r="K1308" s="17">
        <f>IF(HistoricalStockProgress[[#This Row],[Total Price of Shares]]&lt;&gt;0,HistoricalStockProgress[[#This Row],[Total Price of Shares]]-HistoricalStockProgress[[#This Row],[Cost of Shares]],0)</f>
        <v>912.06835839092196</v>
      </c>
      <c r="L1308" s="34" t="b" cm="1">
        <f t="array" ref="L1308">IFERROR(IF(HistoricalStockProgress[[#This Row],[Price of Shares]]="",_xlfn.STOCKHISTORY(HistoricalStockProgress[[#This Row],[Full Company Name]],HistoricalStockProgress[[#This Row],[Date]],,2,0,1)),0)</f>
        <v>0</v>
      </c>
      <c r="M1308" s="34">
        <f>YEAR(HistoricalStockProgress[[#This Row],[Date]])</f>
        <v>2022</v>
      </c>
      <c r="N1308" s="34">
        <f>MONTH(HistoricalStockProgress[[#This Row],[Date]])</f>
        <v>6</v>
      </c>
    </row>
    <row r="1309" spans="2:14">
      <c r="B1309" s="15">
        <v>44742</v>
      </c>
      <c r="C1309" s="34" t="s">
        <v>20</v>
      </c>
      <c r="D1309" s="34" t="e" vm="19">
        <f>_xlfn.XLOOKUP(HistoricalStockProgress[[#This Row],[Company Ticker]],CompanyDetailsList[Company Ticker],CompanyDetailsList[Official Name],,0)</f>
        <v>#VALUE!</v>
      </c>
      <c r="E13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93</v>
      </c>
      <c r="F13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9585.7274858109122</v>
      </c>
      <c r="G1309" s="17">
        <f>IFERROR(HistoricalStockProgress[[#This Row],[Cost of Shares]]/HistoricalStockProgress[[#This Row],[No. of Shares]],0)</f>
        <v>103.07233855710658</v>
      </c>
      <c r="H1309" s="16" vm="1823">
        <v>112.61</v>
      </c>
      <c r="I1309" s="16">
        <f>IF(HistoricalStockProgress[[#This Row],[No. of Shares]]&lt;&gt;0,HistoricalStockProgress[[#This Row],[Price of Shares]]*HistoricalStockProgress[[#This Row],[No. of Shares]],0)</f>
        <v>10472.73</v>
      </c>
      <c r="J1309" s="16">
        <f>IF(HistoricalStockProgress[[#This Row],[No. of Shares]]&lt;&gt;0,HistoricalStockProgress[[#This Row],[Price of Shares]]-HistoricalStockProgress[[#This Row],[Cost of Shares]]/HistoricalStockProgress[[#This Row],[No. of Shares]],0)</f>
        <v>9.5376614428934232</v>
      </c>
      <c r="K1309" s="17">
        <f>IF(HistoricalStockProgress[[#This Row],[Total Price of Shares]]&lt;&gt;0,HistoricalStockProgress[[#This Row],[Total Price of Shares]]-HistoricalStockProgress[[#This Row],[Cost of Shares]],0)</f>
        <v>887.00251418908738</v>
      </c>
      <c r="L1309" s="34" t="b" cm="1">
        <f t="array" ref="L1309">IFERROR(IF(HistoricalStockProgress[[#This Row],[Price of Shares]]="",_xlfn.STOCKHISTORY(HistoricalStockProgress[[#This Row],[Full Company Name]],HistoricalStockProgress[[#This Row],[Date]],,2,0,1)),0)</f>
        <v>0</v>
      </c>
      <c r="M1309" s="34">
        <f>YEAR(HistoricalStockProgress[[#This Row],[Date]])</f>
        <v>2022</v>
      </c>
      <c r="N1309" s="34">
        <f>MONTH(HistoricalStockProgress[[#This Row],[Date]])</f>
        <v>6</v>
      </c>
    </row>
    <row r="1310" spans="2:14">
      <c r="B1310" s="15">
        <v>44742</v>
      </c>
      <c r="C1310" s="34" t="s">
        <v>106</v>
      </c>
      <c r="D1310" s="34" t="e" vm="20">
        <f>_xlfn.XLOOKUP(HistoricalStockProgress[[#This Row],[Company Ticker]],CompanyDetailsList[Company Ticker],CompanyDetailsList[Official Name],,0)</f>
        <v>#VALUE!</v>
      </c>
      <c r="E13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3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310" s="17">
        <f>IFERROR(HistoricalStockProgress[[#This Row],[Cost of Shares]]/HistoricalStockProgress[[#This Row],[No. of Shares]],0)</f>
        <v>108.54870748680406</v>
      </c>
      <c r="H1310" s="16" vm="1824">
        <v>114.34</v>
      </c>
      <c r="I1310" s="16">
        <f>IF(HistoricalStockProgress[[#This Row],[No. of Shares]]&lt;&gt;0,HistoricalStockProgress[[#This Row],[Price of Shares]]*HistoricalStockProgress[[#This Row],[No. of Shares]],0)</f>
        <v>10061.92</v>
      </c>
      <c r="J1310" s="16">
        <f>IF(HistoricalStockProgress[[#This Row],[No. of Shares]]&lt;&gt;0,HistoricalStockProgress[[#This Row],[Price of Shares]]-HistoricalStockProgress[[#This Row],[Cost of Shares]]/HistoricalStockProgress[[#This Row],[No. of Shares]],0)</f>
        <v>5.7912925131959412</v>
      </c>
      <c r="K1310" s="17">
        <f>IF(HistoricalStockProgress[[#This Row],[Total Price of Shares]]&lt;&gt;0,HistoricalStockProgress[[#This Row],[Total Price of Shares]]-HistoricalStockProgress[[#This Row],[Cost of Shares]],0)</f>
        <v>509.63374116124214</v>
      </c>
      <c r="L1310" s="34" t="b" cm="1">
        <f t="array" ref="L1310">IFERROR(IF(HistoricalStockProgress[[#This Row],[Price of Shares]]="",_xlfn.STOCKHISTORY(HistoricalStockProgress[[#This Row],[Full Company Name]],HistoricalStockProgress[[#This Row],[Date]],,2,0,1)),0)</f>
        <v>0</v>
      </c>
      <c r="M1310" s="34">
        <f>YEAR(HistoricalStockProgress[[#This Row],[Date]])</f>
        <v>2022</v>
      </c>
      <c r="N1310" s="34">
        <f>MONTH(HistoricalStockProgress[[#This Row],[Date]])</f>
        <v>6</v>
      </c>
    </row>
    <row r="1311" spans="2:14">
      <c r="B1311" s="15">
        <v>44773</v>
      </c>
      <c r="C1311" s="34" t="s">
        <v>12</v>
      </c>
      <c r="D1311" s="34" t="e" vm="1">
        <f>_xlfn.XLOOKUP(HistoricalStockProgress[[#This Row],[Company Ticker]],CompanyDetailsList[Company Ticker],CompanyDetailsList[Official Name],,0)</f>
        <v>#VALUE!</v>
      </c>
      <c r="E13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13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1311" s="17">
        <f>IFERROR(HistoricalStockProgress[[#This Row],[Cost of Shares]]/HistoricalStockProgress[[#This Row],[No. of Shares]],0)</f>
        <v>63.845182519411239</v>
      </c>
      <c r="H1311" s="16" vm="1825">
        <v>73.989999999999995</v>
      </c>
      <c r="I1311" s="16">
        <f>IF(HistoricalStockProgress[[#This Row],[No. of Shares]]&lt;&gt;0,HistoricalStockProgress[[#This Row],[Price of Shares]]*HistoricalStockProgress[[#This Row],[No. of Shares]],0)</f>
        <v>4735.3599999999997</v>
      </c>
      <c r="J1311" s="16">
        <f>IF(HistoricalStockProgress[[#This Row],[No. of Shares]]&lt;&gt;0,HistoricalStockProgress[[#This Row],[Price of Shares]]-HistoricalStockProgress[[#This Row],[Cost of Shares]]/HistoricalStockProgress[[#This Row],[No. of Shares]],0)</f>
        <v>10.144817480588756</v>
      </c>
      <c r="K1311" s="17">
        <f>IF(HistoricalStockProgress[[#This Row],[Total Price of Shares]]&lt;&gt;0,HistoricalStockProgress[[#This Row],[Total Price of Shares]]-HistoricalStockProgress[[#This Row],[Cost of Shares]],0)</f>
        <v>649.26831875768039</v>
      </c>
      <c r="L1311" s="34" t="b" cm="1">
        <f t="array" ref="L1311">IFERROR(IF(HistoricalStockProgress[[#This Row],[Price of Shares]]="",_xlfn.STOCKHISTORY(HistoricalStockProgress[[#This Row],[Full Company Name]],HistoricalStockProgress[[#This Row],[Date]],,2,0,1)),0)</f>
        <v>0</v>
      </c>
      <c r="M1311" s="34">
        <f>YEAR(HistoricalStockProgress[[#This Row],[Date]])</f>
        <v>2022</v>
      </c>
      <c r="N1311" s="34">
        <f>MONTH(HistoricalStockProgress[[#This Row],[Date]])</f>
        <v>7</v>
      </c>
    </row>
    <row r="1312" spans="2:14">
      <c r="B1312" s="15">
        <v>44773</v>
      </c>
      <c r="C1312" s="34" t="s">
        <v>14</v>
      </c>
      <c r="D1312" s="34" t="e" vm="2">
        <f>_xlfn.XLOOKUP(HistoricalStockProgress[[#This Row],[Company Ticker]],CompanyDetailsList[Company Ticker],CompanyDetailsList[Official Name],,0)</f>
        <v>#VALUE!</v>
      </c>
      <c r="E13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3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312" s="17">
        <f>IFERROR(HistoricalStockProgress[[#This Row],[Cost of Shares]]/HistoricalStockProgress[[#This Row],[No. of Shares]],0)</f>
        <v>31.580112511620161</v>
      </c>
      <c r="H1312" s="16" vm="1826">
        <v>37.54</v>
      </c>
      <c r="I1312" s="16">
        <f>IF(HistoricalStockProgress[[#This Row],[No. of Shares]]&lt;&gt;0,HistoricalStockProgress[[#This Row],[Price of Shares]]*HistoricalStockProgress[[#This Row],[No. of Shares]],0)</f>
        <v>1051.1199999999999</v>
      </c>
      <c r="J1312" s="16">
        <f>IF(HistoricalStockProgress[[#This Row],[No. of Shares]]&lt;&gt;0,HistoricalStockProgress[[#This Row],[Price of Shares]]-HistoricalStockProgress[[#This Row],[Cost of Shares]]/HistoricalStockProgress[[#This Row],[No. of Shares]],0)</f>
        <v>5.9598874883798381</v>
      </c>
      <c r="K1312" s="17">
        <f>IF(HistoricalStockProgress[[#This Row],[Total Price of Shares]]&lt;&gt;0,HistoricalStockProgress[[#This Row],[Total Price of Shares]]-HistoricalStockProgress[[#This Row],[Cost of Shares]],0)</f>
        <v>166.87684967463542</v>
      </c>
      <c r="L1312" s="34" t="b" cm="1">
        <f t="array" ref="L1312">IFERROR(IF(HistoricalStockProgress[[#This Row],[Price of Shares]]="",_xlfn.STOCKHISTORY(HistoricalStockProgress[[#This Row],[Full Company Name]],HistoricalStockProgress[[#This Row],[Date]],,2,0,1)),0)</f>
        <v>0</v>
      </c>
      <c r="M1312" s="34">
        <f>YEAR(HistoricalStockProgress[[#This Row],[Date]])</f>
        <v>2022</v>
      </c>
      <c r="N1312" s="34">
        <f>MONTH(HistoricalStockProgress[[#This Row],[Date]])</f>
        <v>7</v>
      </c>
    </row>
    <row r="1313" spans="2:14">
      <c r="B1313" s="15">
        <v>44773</v>
      </c>
      <c r="C1313" s="34" t="s">
        <v>19</v>
      </c>
      <c r="D1313" s="34" t="e" vm="3">
        <f>_xlfn.XLOOKUP(HistoricalStockProgress[[#This Row],[Company Ticker]],CompanyDetailsList[Company Ticker],CompanyDetailsList[Official Name],,0)</f>
        <v>#VALUE!</v>
      </c>
      <c r="E13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3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313" s="17">
        <f>IFERROR(HistoricalStockProgress[[#This Row],[Cost of Shares]]/HistoricalStockProgress[[#This Row],[No. of Shares]],0)</f>
        <v>158.45739987816083</v>
      </c>
      <c r="H1313" s="16" vm="1827">
        <v>141.84</v>
      </c>
      <c r="I1313" s="16">
        <f>IF(HistoricalStockProgress[[#This Row],[No. of Shares]]&lt;&gt;0,HistoricalStockProgress[[#This Row],[Price of Shares]]*HistoricalStockProgress[[#This Row],[No. of Shares]],0)</f>
        <v>8084.88</v>
      </c>
      <c r="J1313" s="16">
        <f>IF(HistoricalStockProgress[[#This Row],[No. of Shares]]&lt;&gt;0,HistoricalStockProgress[[#This Row],[Price of Shares]]-HistoricalStockProgress[[#This Row],[Cost of Shares]]/HistoricalStockProgress[[#This Row],[No. of Shares]],0)</f>
        <v>-16.617399878160825</v>
      </c>
      <c r="K1313" s="17">
        <f>IF(HistoricalStockProgress[[#This Row],[Total Price of Shares]]&lt;&gt;0,HistoricalStockProgress[[#This Row],[Total Price of Shares]]-HistoricalStockProgress[[#This Row],[Cost of Shares]],0)</f>
        <v>-947.19179305516718</v>
      </c>
      <c r="L1313" s="34" t="b" cm="1">
        <f t="array" ref="L1313">IFERROR(IF(HistoricalStockProgress[[#This Row],[Price of Shares]]="",_xlfn.STOCKHISTORY(HistoricalStockProgress[[#This Row],[Full Company Name]],HistoricalStockProgress[[#This Row],[Date]],,2,0,1)),0)</f>
        <v>0</v>
      </c>
      <c r="M1313" s="34">
        <f>YEAR(HistoricalStockProgress[[#This Row],[Date]])</f>
        <v>2022</v>
      </c>
      <c r="N1313" s="34">
        <f>MONTH(HistoricalStockProgress[[#This Row],[Date]])</f>
        <v>7</v>
      </c>
    </row>
    <row r="1314" spans="2:14">
      <c r="B1314" s="15">
        <v>44773</v>
      </c>
      <c r="C1314" s="34" t="s">
        <v>23</v>
      </c>
      <c r="D1314" s="34" t="e" vm="4">
        <f>_xlfn.XLOOKUP(HistoricalStockProgress[[#This Row],[Company Ticker]],CompanyDetailsList[Company Ticker],CompanyDetailsList[Official Name],,0)</f>
        <v>#VALUE!</v>
      </c>
      <c r="E13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85</v>
      </c>
      <c r="F13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4210.4106468589489</v>
      </c>
      <c r="G1314" s="17">
        <f>IFERROR(HistoricalStockProgress[[#This Row],[Cost of Shares]]/HistoricalStockProgress[[#This Row],[No. of Shares]],0)</f>
        <v>49.534242904222928</v>
      </c>
      <c r="H1314" s="16" vm="1828">
        <v>64.17</v>
      </c>
      <c r="I1314" s="16">
        <f>IF(HistoricalStockProgress[[#This Row],[No. of Shares]]&lt;&gt;0,HistoricalStockProgress[[#This Row],[Price of Shares]]*HistoricalStockProgress[[#This Row],[No. of Shares]],0)</f>
        <v>5454.45</v>
      </c>
      <c r="J1314" s="16">
        <f>IF(HistoricalStockProgress[[#This Row],[No. of Shares]]&lt;&gt;0,HistoricalStockProgress[[#This Row],[Price of Shares]]-HistoricalStockProgress[[#This Row],[Cost of Shares]]/HistoricalStockProgress[[#This Row],[No. of Shares]],0)</f>
        <v>14.635757095777073</v>
      </c>
      <c r="K1314" s="17">
        <f>IF(HistoricalStockProgress[[#This Row],[Total Price of Shares]]&lt;&gt;0,HistoricalStockProgress[[#This Row],[Total Price of Shares]]-HistoricalStockProgress[[#This Row],[Cost of Shares]],0)</f>
        <v>1244.0393531410509</v>
      </c>
      <c r="L1314" s="34" t="b" cm="1">
        <f t="array" ref="L1314">IFERROR(IF(HistoricalStockProgress[[#This Row],[Price of Shares]]="",_xlfn.STOCKHISTORY(HistoricalStockProgress[[#This Row],[Full Company Name]],HistoricalStockProgress[[#This Row],[Date]],,2,0,1)),0)</f>
        <v>0</v>
      </c>
      <c r="M1314" s="34">
        <f>YEAR(HistoricalStockProgress[[#This Row],[Date]])</f>
        <v>2022</v>
      </c>
      <c r="N1314" s="34">
        <f>MONTH(HistoricalStockProgress[[#This Row],[Date]])</f>
        <v>7</v>
      </c>
    </row>
    <row r="1315" spans="2:14">
      <c r="B1315" s="15">
        <v>44773</v>
      </c>
      <c r="C1315" s="34" t="s">
        <v>18</v>
      </c>
      <c r="D1315" s="34" t="e" vm="5">
        <f>_xlfn.XLOOKUP(HistoricalStockProgress[[#This Row],[Company Ticker]],CompanyDetailsList[Company Ticker],CompanyDetailsList[Official Name],,0)</f>
        <v>#VALUE!</v>
      </c>
      <c r="E13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3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315" s="17">
        <f>IFERROR(HistoricalStockProgress[[#This Row],[Cost of Shares]]/HistoricalStockProgress[[#This Row],[No. of Shares]],0)</f>
        <v>160.8859607546234</v>
      </c>
      <c r="H1315" s="16" vm="1829">
        <v>174.96</v>
      </c>
      <c r="I1315" s="16">
        <f>IF(HistoricalStockProgress[[#This Row],[No. of Shares]]&lt;&gt;0,HistoricalStockProgress[[#This Row],[Price of Shares]]*HistoricalStockProgress[[#This Row],[No. of Shares]],0)</f>
        <v>7523.2800000000007</v>
      </c>
      <c r="J1315" s="16">
        <f>IF(HistoricalStockProgress[[#This Row],[No. of Shares]]&lt;&gt;0,HistoricalStockProgress[[#This Row],[Price of Shares]]-HistoricalStockProgress[[#This Row],[Cost of Shares]]/HistoricalStockProgress[[#This Row],[No. of Shares]],0)</f>
        <v>14.074039245376611</v>
      </c>
      <c r="K1315" s="17">
        <f>IF(HistoricalStockProgress[[#This Row],[Total Price of Shares]]&lt;&gt;0,HistoricalStockProgress[[#This Row],[Total Price of Shares]]-HistoricalStockProgress[[#This Row],[Cost of Shares]],0)</f>
        <v>605.18368755119445</v>
      </c>
      <c r="L1315" s="34" t="b" cm="1">
        <f t="array" ref="L1315">IFERROR(IF(HistoricalStockProgress[[#This Row],[Price of Shares]]="",_xlfn.STOCKHISTORY(HistoricalStockProgress[[#This Row],[Full Company Name]],HistoricalStockProgress[[#This Row],[Date]],,2,0,1)),0)</f>
        <v>0</v>
      </c>
      <c r="M1315" s="34">
        <f>YEAR(HistoricalStockProgress[[#This Row],[Date]])</f>
        <v>2022</v>
      </c>
      <c r="N1315" s="34">
        <f>MONTH(HistoricalStockProgress[[#This Row],[Date]])</f>
        <v>7</v>
      </c>
    </row>
    <row r="1316" spans="2:14">
      <c r="B1316" s="15">
        <v>44773</v>
      </c>
      <c r="C1316" s="34" t="s">
        <v>21</v>
      </c>
      <c r="D1316" s="34" t="e" vm="6">
        <f>_xlfn.XLOOKUP(HistoricalStockProgress[[#This Row],[Company Ticker]],CompanyDetailsList[Company Ticker],CompanyDetailsList[Official Name],,0)</f>
        <v>#VALUE!</v>
      </c>
      <c r="E13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3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316" s="17">
        <f>IFERROR(HistoricalStockProgress[[#This Row],[Cost of Shares]]/HistoricalStockProgress[[#This Row],[No. of Shares]],0)</f>
        <v>139.68700010204148</v>
      </c>
      <c r="H1316" s="16" vm="1830">
        <v>138.91</v>
      </c>
      <c r="I1316" s="16">
        <f>IF(HistoricalStockProgress[[#This Row],[No. of Shares]]&lt;&gt;0,HistoricalStockProgress[[#This Row],[Price of Shares]]*HistoricalStockProgress[[#This Row],[No. of Shares]],0)</f>
        <v>5834.22</v>
      </c>
      <c r="J1316" s="16">
        <f>IF(HistoricalStockProgress[[#This Row],[No. of Shares]]&lt;&gt;0,HistoricalStockProgress[[#This Row],[Price of Shares]]-HistoricalStockProgress[[#This Row],[Cost of Shares]]/HistoricalStockProgress[[#This Row],[No. of Shares]],0)</f>
        <v>-0.77700010204148384</v>
      </c>
      <c r="K1316" s="17">
        <f>IF(HistoricalStockProgress[[#This Row],[Total Price of Shares]]&lt;&gt;0,HistoricalStockProgress[[#This Row],[Total Price of Shares]]-HistoricalStockProgress[[#This Row],[Cost of Shares]],0)</f>
        <v>-32.634004285741867</v>
      </c>
      <c r="L1316" s="34" t="b" cm="1">
        <f t="array" ref="L1316">IFERROR(IF(HistoricalStockProgress[[#This Row],[Price of Shares]]="",_xlfn.STOCKHISTORY(HistoricalStockProgress[[#This Row],[Full Company Name]],HistoricalStockProgress[[#This Row],[Date]],,2,0,1)),0)</f>
        <v>0</v>
      </c>
      <c r="M1316" s="34">
        <f>YEAR(HistoricalStockProgress[[#This Row],[Date]])</f>
        <v>2022</v>
      </c>
      <c r="N1316" s="34">
        <f>MONTH(HistoricalStockProgress[[#This Row],[Date]])</f>
        <v>7</v>
      </c>
    </row>
    <row r="1317" spans="2:14">
      <c r="B1317" s="15">
        <v>44773</v>
      </c>
      <c r="C1317" s="34" t="s">
        <v>84</v>
      </c>
      <c r="D1317" s="34" t="e" vm="7">
        <f>_xlfn.XLOOKUP(HistoricalStockProgress[[#This Row],[Company Ticker]],CompanyDetailsList[Company Ticker],CompanyDetailsList[Official Name],,0)</f>
        <v>#VALUE!</v>
      </c>
      <c r="E13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3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317" s="17">
        <f>IFERROR(HistoricalStockProgress[[#This Row],[Cost of Shares]]/HistoricalStockProgress[[#This Row],[No. of Shares]],0)</f>
        <v>104.18087504950869</v>
      </c>
      <c r="H1317" s="16" vm="754">
        <v>174.52</v>
      </c>
      <c r="I1317" s="16">
        <f>IF(HistoricalStockProgress[[#This Row],[No. of Shares]]&lt;&gt;0,HistoricalStockProgress[[#This Row],[Price of Shares]]*HistoricalStockProgress[[#This Row],[No. of Shares]],0)</f>
        <v>8900.52</v>
      </c>
      <c r="J1317" s="16">
        <f>IF(HistoricalStockProgress[[#This Row],[No. of Shares]]&lt;&gt;0,HistoricalStockProgress[[#This Row],[Price of Shares]]-HistoricalStockProgress[[#This Row],[Cost of Shares]]/HistoricalStockProgress[[#This Row],[No. of Shares]],0)</f>
        <v>70.339124950491325</v>
      </c>
      <c r="K1317" s="17">
        <f>IF(HistoricalStockProgress[[#This Row],[Total Price of Shares]]&lt;&gt;0,HistoricalStockProgress[[#This Row],[Total Price of Shares]]-HistoricalStockProgress[[#This Row],[Cost of Shares]],0)</f>
        <v>3587.2953724750578</v>
      </c>
      <c r="L1317" s="34" t="b" cm="1">
        <f t="array" ref="L1317">IFERROR(IF(HistoricalStockProgress[[#This Row],[Price of Shares]]="",_xlfn.STOCKHISTORY(HistoricalStockProgress[[#This Row],[Full Company Name]],HistoricalStockProgress[[#This Row],[Date]],,2,0,1)),0)</f>
        <v>0</v>
      </c>
      <c r="M1317" s="34">
        <f>YEAR(HistoricalStockProgress[[#This Row],[Date]])</f>
        <v>2022</v>
      </c>
      <c r="N1317" s="34">
        <f>MONTH(HistoricalStockProgress[[#This Row],[Date]])</f>
        <v>7</v>
      </c>
    </row>
    <row r="1318" spans="2:14">
      <c r="B1318" s="15">
        <v>44773</v>
      </c>
      <c r="C1318" s="34" t="s">
        <v>86</v>
      </c>
      <c r="D1318" s="34" t="e" vm="8">
        <f>_xlfn.XLOOKUP(HistoricalStockProgress[[#This Row],[Company Ticker]],CompanyDetailsList[Company Ticker],CompanyDetailsList[Official Name],,0)</f>
        <v>#VALUE!</v>
      </c>
      <c r="E13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3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318" s="17">
        <f>IFERROR(HistoricalStockProgress[[#This Row],[Cost of Shares]]/HistoricalStockProgress[[#This Row],[No. of Shares]],0)</f>
        <v>92.636161128673535</v>
      </c>
      <c r="H1318" s="16" vm="1831">
        <v>143.51</v>
      </c>
      <c r="I1318" s="16">
        <f>IF(HistoricalStockProgress[[#This Row],[No. of Shares]]&lt;&gt;0,HistoricalStockProgress[[#This Row],[Price of Shares]]*HistoricalStockProgress[[#This Row],[No. of Shares]],0)</f>
        <v>16360.14</v>
      </c>
      <c r="J1318" s="16">
        <f>IF(HistoricalStockProgress[[#This Row],[No. of Shares]]&lt;&gt;0,HistoricalStockProgress[[#This Row],[Price of Shares]]-HistoricalStockProgress[[#This Row],[Cost of Shares]]/HistoricalStockProgress[[#This Row],[No. of Shares]],0)</f>
        <v>50.873838871326456</v>
      </c>
      <c r="K1318" s="17">
        <f>IF(HistoricalStockProgress[[#This Row],[Total Price of Shares]]&lt;&gt;0,HistoricalStockProgress[[#This Row],[Total Price of Shares]]-HistoricalStockProgress[[#This Row],[Cost of Shares]],0)</f>
        <v>5799.6176313312171</v>
      </c>
      <c r="L1318" s="34" t="b" cm="1">
        <f t="array" ref="L1318">IFERROR(IF(HistoricalStockProgress[[#This Row],[Price of Shares]]="",_xlfn.STOCKHISTORY(HistoricalStockProgress[[#This Row],[Full Company Name]],HistoricalStockProgress[[#This Row],[Date]],,2,0,1)),0)</f>
        <v>0</v>
      </c>
      <c r="M1318" s="34">
        <f>YEAR(HistoricalStockProgress[[#This Row],[Date]])</f>
        <v>2022</v>
      </c>
      <c r="N1318" s="34">
        <f>MONTH(HistoricalStockProgress[[#This Row],[Date]])</f>
        <v>7</v>
      </c>
    </row>
    <row r="1319" spans="2:14">
      <c r="B1319" s="15">
        <v>44773</v>
      </c>
      <c r="C1319" s="34" t="s">
        <v>88</v>
      </c>
      <c r="D1319" s="34" t="e" vm="9">
        <f>_xlfn.XLOOKUP(HistoricalStockProgress[[#This Row],[Company Ticker]],CompanyDetailsList[Company Ticker],CompanyDetailsList[Official Name],,0)</f>
        <v>#VALUE!</v>
      </c>
      <c r="E13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3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319" s="17">
        <f>IFERROR(HistoricalStockProgress[[#This Row],[Cost of Shares]]/HistoricalStockProgress[[#This Row],[No. of Shares]],0)</f>
        <v>187.727755253422</v>
      </c>
      <c r="H1319" s="16" vm="1832">
        <v>263.37</v>
      </c>
      <c r="I1319" s="16">
        <f>IF(HistoricalStockProgress[[#This Row],[No. of Shares]]&lt;&gt;0,HistoricalStockProgress[[#This Row],[Price of Shares]]*HistoricalStockProgress[[#This Row],[No. of Shares]],0)</f>
        <v>15538.83</v>
      </c>
      <c r="J1319" s="16">
        <f>IF(HistoricalStockProgress[[#This Row],[No. of Shares]]&lt;&gt;0,HistoricalStockProgress[[#This Row],[Price of Shares]]-HistoricalStockProgress[[#This Row],[Cost of Shares]]/HistoricalStockProgress[[#This Row],[No. of Shares]],0)</f>
        <v>75.642244746578001</v>
      </c>
      <c r="K1319" s="17">
        <f>IF(HistoricalStockProgress[[#This Row],[Total Price of Shares]]&lt;&gt;0,HistoricalStockProgress[[#This Row],[Total Price of Shares]]-HistoricalStockProgress[[#This Row],[Cost of Shares]],0)</f>
        <v>4462.892440048101</v>
      </c>
      <c r="L1319" s="34" t="b" cm="1">
        <f t="array" ref="L1319">IFERROR(IF(HistoricalStockProgress[[#This Row],[Price of Shares]]="",_xlfn.STOCKHISTORY(HistoricalStockProgress[[#This Row],[Full Company Name]],HistoricalStockProgress[[#This Row],[Date]],,2,0,1)),0)</f>
        <v>0</v>
      </c>
      <c r="M1319" s="34">
        <f>YEAR(HistoricalStockProgress[[#This Row],[Date]])</f>
        <v>2022</v>
      </c>
      <c r="N1319" s="34">
        <f>MONTH(HistoricalStockProgress[[#This Row],[Date]])</f>
        <v>7</v>
      </c>
    </row>
    <row r="1320" spans="2:14">
      <c r="B1320" s="15">
        <v>44773</v>
      </c>
      <c r="C1320" s="34" t="s">
        <v>22</v>
      </c>
      <c r="D1320" s="34" t="e" vm="10">
        <f>_xlfn.XLOOKUP(HistoricalStockProgress[[#This Row],[Company Ticker]],CompanyDetailsList[Company Ticker],CompanyDetailsList[Official Name],,0)</f>
        <v>#VALUE!</v>
      </c>
      <c r="E13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13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13175.976249073738</v>
      </c>
      <c r="G1320" s="17">
        <f>IFERROR(HistoricalStockProgress[[#This Row],[Cost of Shares]]/HistoricalStockProgress[[#This Row],[No. of Shares]],0)</f>
        <v>124.30166272711074</v>
      </c>
      <c r="H1320" s="16" vm="1833">
        <v>198.25</v>
      </c>
      <c r="I1320" s="16">
        <f>IF(HistoricalStockProgress[[#This Row],[No. of Shares]]&lt;&gt;0,HistoricalStockProgress[[#This Row],[Price of Shares]]*HistoricalStockProgress[[#This Row],[No. of Shares]],0)</f>
        <v>21014.5</v>
      </c>
      <c r="J1320" s="16">
        <f>IF(HistoricalStockProgress[[#This Row],[No. of Shares]]&lt;&gt;0,HistoricalStockProgress[[#This Row],[Price of Shares]]-HistoricalStockProgress[[#This Row],[Cost of Shares]]/HistoricalStockProgress[[#This Row],[No. of Shares]],0)</f>
        <v>73.948337272889262</v>
      </c>
      <c r="K1320" s="17">
        <f>IF(HistoricalStockProgress[[#This Row],[Total Price of Shares]]&lt;&gt;0,HistoricalStockProgress[[#This Row],[Total Price of Shares]]-HistoricalStockProgress[[#This Row],[Cost of Shares]],0)</f>
        <v>7838.5237509262624</v>
      </c>
      <c r="L1320" s="34" t="b" cm="1">
        <f t="array" ref="L1320">IFERROR(IF(HistoricalStockProgress[[#This Row],[Price of Shares]]="",_xlfn.STOCKHISTORY(HistoricalStockProgress[[#This Row],[Full Company Name]],HistoricalStockProgress[[#This Row],[Date]],,2,0,1)),0)</f>
        <v>0</v>
      </c>
      <c r="M1320" s="34">
        <f>YEAR(HistoricalStockProgress[[#This Row],[Date]])</f>
        <v>2022</v>
      </c>
      <c r="N1320" s="34">
        <f>MONTH(HistoricalStockProgress[[#This Row],[Date]])</f>
        <v>7</v>
      </c>
    </row>
    <row r="1321" spans="2:14">
      <c r="B1321" s="15">
        <v>44773</v>
      </c>
      <c r="C1321" s="34" t="s">
        <v>91</v>
      </c>
      <c r="D1321" s="34" t="e" vm="11">
        <f>_xlfn.XLOOKUP(HistoricalStockProgress[[#This Row],[Company Ticker]],CompanyDetailsList[Company Ticker],CompanyDetailsList[Official Name],,0)</f>
        <v>#VALUE!</v>
      </c>
      <c r="E13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176</v>
      </c>
      <c r="F13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22591.11028368511</v>
      </c>
      <c r="G1321" s="17">
        <f>IFERROR(HistoricalStockProgress[[#This Row],[Cost of Shares]]/HistoricalStockProgress[[#This Row],[No. of Shares]],0)</f>
        <v>128.35858115730176</v>
      </c>
      <c r="H1321" s="16" vm="509">
        <v>280.74</v>
      </c>
      <c r="I1321" s="16">
        <f>IF(HistoricalStockProgress[[#This Row],[No. of Shares]]&lt;&gt;0,HistoricalStockProgress[[#This Row],[Price of Shares]]*HistoricalStockProgress[[#This Row],[No. of Shares]],0)</f>
        <v>49410.240000000005</v>
      </c>
      <c r="J1321" s="16">
        <f>IF(HistoricalStockProgress[[#This Row],[No. of Shares]]&lt;&gt;0,HistoricalStockProgress[[#This Row],[Price of Shares]]-HistoricalStockProgress[[#This Row],[Cost of Shares]]/HistoricalStockProgress[[#This Row],[No. of Shares]],0)</f>
        <v>152.38141884269825</v>
      </c>
      <c r="K1321" s="17">
        <f>IF(HistoricalStockProgress[[#This Row],[Total Price of Shares]]&lt;&gt;0,HistoricalStockProgress[[#This Row],[Total Price of Shares]]-HistoricalStockProgress[[#This Row],[Cost of Shares]],0)</f>
        <v>26819.129716314896</v>
      </c>
      <c r="L1321" s="34" t="b" cm="1">
        <f t="array" ref="L1321">IFERROR(IF(HistoricalStockProgress[[#This Row],[Price of Shares]]="",_xlfn.STOCKHISTORY(HistoricalStockProgress[[#This Row],[Full Company Name]],HistoricalStockProgress[[#This Row],[Date]],,2,0,1)),0)</f>
        <v>0</v>
      </c>
      <c r="M1321" s="34">
        <f>YEAR(HistoricalStockProgress[[#This Row],[Date]])</f>
        <v>2022</v>
      </c>
      <c r="N1321" s="34">
        <f>MONTH(HistoricalStockProgress[[#This Row],[Date]])</f>
        <v>7</v>
      </c>
    </row>
    <row r="1322" spans="2:14">
      <c r="B1322" s="15">
        <v>44773</v>
      </c>
      <c r="C1322" s="34" t="s">
        <v>16</v>
      </c>
      <c r="D1322" s="34" t="e" vm="12">
        <f>_xlfn.XLOOKUP(HistoricalStockProgress[[#This Row],[Company Ticker]],CompanyDetailsList[Company Ticker],CompanyDetailsList[Official Name],,0)</f>
        <v>#VALUE!</v>
      </c>
      <c r="E13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3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322" s="17">
        <f>IFERROR(HistoricalStockProgress[[#This Row],[Cost of Shares]]/HistoricalStockProgress[[#This Row],[No. of Shares]],0)</f>
        <v>75.117698177311837</v>
      </c>
      <c r="H1322" s="16" vm="1834">
        <v>96.93</v>
      </c>
      <c r="I1322" s="16">
        <f>IF(HistoricalStockProgress[[#This Row],[No. of Shares]]&lt;&gt;0,HistoricalStockProgress[[#This Row],[Price of Shares]]*HistoricalStockProgress[[#This Row],[No. of Shares]],0)</f>
        <v>17932.050000000003</v>
      </c>
      <c r="J1322" s="16">
        <f>IF(HistoricalStockProgress[[#This Row],[No. of Shares]]&lt;&gt;0,HistoricalStockProgress[[#This Row],[Price of Shares]]-HistoricalStockProgress[[#This Row],[Cost of Shares]]/HistoricalStockProgress[[#This Row],[No. of Shares]],0)</f>
        <v>21.81230182268817</v>
      </c>
      <c r="K1322" s="17">
        <f>IF(HistoricalStockProgress[[#This Row],[Total Price of Shares]]&lt;&gt;0,HistoricalStockProgress[[#This Row],[Total Price of Shares]]-HistoricalStockProgress[[#This Row],[Cost of Shares]],0)</f>
        <v>4035.2758371973141</v>
      </c>
      <c r="L1322" s="34" t="b" cm="1">
        <f t="array" ref="L1322">IFERROR(IF(HistoricalStockProgress[[#This Row],[Price of Shares]]="",_xlfn.STOCKHISTORY(HistoricalStockProgress[[#This Row],[Full Company Name]],HistoricalStockProgress[[#This Row],[Date]],,2,0,1)),0)</f>
        <v>0</v>
      </c>
      <c r="M1322" s="34">
        <f>YEAR(HistoricalStockProgress[[#This Row],[Date]])</f>
        <v>2022</v>
      </c>
      <c r="N1322" s="34">
        <f>MONTH(HistoricalStockProgress[[#This Row],[Date]])</f>
        <v>7</v>
      </c>
    </row>
    <row r="1323" spans="2:14">
      <c r="B1323" s="15">
        <v>44773</v>
      </c>
      <c r="C1323" s="34" t="s">
        <v>95</v>
      </c>
      <c r="D1323" s="34" t="e" vm="13">
        <f>_xlfn.XLOOKUP(HistoricalStockProgress[[#This Row],[Company Ticker]],CompanyDetailsList[Company Ticker],CompanyDetailsList[Official Name],,0)</f>
        <v>#VALUE!</v>
      </c>
      <c r="E13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13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16802.098395405912</v>
      </c>
      <c r="G1323" s="17">
        <f>IFERROR(HistoricalStockProgress[[#This Row],[Cost of Shares]]/HistoricalStockProgress[[#This Row],[No. of Shares]],0)</f>
        <v>215.41151788981938</v>
      </c>
      <c r="H1323" s="16" vm="1835">
        <v>300.94</v>
      </c>
      <c r="I1323" s="16">
        <f>IF(HistoricalStockProgress[[#This Row],[No. of Shares]]&lt;&gt;0,HistoricalStockProgress[[#This Row],[Price of Shares]]*HistoricalStockProgress[[#This Row],[No. of Shares]],0)</f>
        <v>23473.32</v>
      </c>
      <c r="J1323" s="16">
        <f>IF(HistoricalStockProgress[[#This Row],[No. of Shares]]&lt;&gt;0,HistoricalStockProgress[[#This Row],[Price of Shares]]-HistoricalStockProgress[[#This Row],[Cost of Shares]]/HistoricalStockProgress[[#This Row],[No. of Shares]],0)</f>
        <v>85.528482110180619</v>
      </c>
      <c r="K1323" s="17">
        <f>IF(HistoricalStockProgress[[#This Row],[Total Price of Shares]]&lt;&gt;0,HistoricalStockProgress[[#This Row],[Total Price of Shares]]-HistoricalStockProgress[[#This Row],[Cost of Shares]],0)</f>
        <v>6671.2216045940877</v>
      </c>
      <c r="L1323" s="34" t="b" cm="1">
        <f t="array" ref="L1323">IFERROR(IF(HistoricalStockProgress[[#This Row],[Price of Shares]]="",_xlfn.STOCKHISTORY(HistoricalStockProgress[[#This Row],[Full Company Name]],HistoricalStockProgress[[#This Row],[Date]],,2,0,1)),0)</f>
        <v>0</v>
      </c>
      <c r="M1323" s="34">
        <f>YEAR(HistoricalStockProgress[[#This Row],[Date]])</f>
        <v>2022</v>
      </c>
      <c r="N1323" s="34">
        <f>MONTH(HistoricalStockProgress[[#This Row],[Date]])</f>
        <v>7</v>
      </c>
    </row>
    <row r="1324" spans="2:14">
      <c r="B1324" s="15">
        <v>44773</v>
      </c>
      <c r="C1324" s="34" t="s">
        <v>17</v>
      </c>
      <c r="D1324" s="34" t="e" vm="14">
        <f>_xlfn.XLOOKUP(HistoricalStockProgress[[#This Row],[Company Ticker]],CompanyDetailsList[Company Ticker],CompanyDetailsList[Official Name],,0)</f>
        <v>#VALUE!</v>
      </c>
      <c r="E13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173</v>
      </c>
      <c r="F13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23678.070828870346</v>
      </c>
      <c r="G1324" s="17">
        <f>IFERROR(HistoricalStockProgress[[#This Row],[Cost of Shares]]/HistoricalStockProgress[[#This Row],[No. of Shares]],0)</f>
        <v>136.86746143855692</v>
      </c>
      <c r="H1324" s="16" vm="1836">
        <v>130.79</v>
      </c>
      <c r="I1324" s="16">
        <f>IF(HistoricalStockProgress[[#This Row],[No. of Shares]]&lt;&gt;0,HistoricalStockProgress[[#This Row],[Price of Shares]]*HistoricalStockProgress[[#This Row],[No. of Shares]],0)</f>
        <v>22626.67</v>
      </c>
      <c r="J1324" s="16">
        <f>IF(HistoricalStockProgress[[#This Row],[No. of Shares]]&lt;&gt;0,HistoricalStockProgress[[#This Row],[Price of Shares]]-HistoricalStockProgress[[#This Row],[Cost of Shares]]/HistoricalStockProgress[[#This Row],[No. of Shares]],0)</f>
        <v>-6.0774614385569237</v>
      </c>
      <c r="K1324" s="17">
        <f>IF(HistoricalStockProgress[[#This Row],[Total Price of Shares]]&lt;&gt;0,HistoricalStockProgress[[#This Row],[Total Price of Shares]]-HistoricalStockProgress[[#This Row],[Cost of Shares]],0)</f>
        <v>-1051.4008288703481</v>
      </c>
      <c r="L1324" s="34" t="b" cm="1">
        <f t="array" ref="L1324">IFERROR(IF(HistoricalStockProgress[[#This Row],[Price of Shares]]="",_xlfn.STOCKHISTORY(HistoricalStockProgress[[#This Row],[Full Company Name]],HistoricalStockProgress[[#This Row],[Date]],,2,0,1)),0)</f>
        <v>0</v>
      </c>
      <c r="M1324" s="34">
        <f>YEAR(HistoricalStockProgress[[#This Row],[Date]])</f>
        <v>2022</v>
      </c>
      <c r="N1324" s="34">
        <f>MONTH(HistoricalStockProgress[[#This Row],[Date]])</f>
        <v>7</v>
      </c>
    </row>
    <row r="1325" spans="2:14">
      <c r="B1325" s="15">
        <v>44773</v>
      </c>
      <c r="C1325" s="34" t="s">
        <v>98</v>
      </c>
      <c r="D1325" s="34" t="e" vm="15">
        <f>_xlfn.XLOOKUP(HistoricalStockProgress[[#This Row],[Company Ticker]],CompanyDetailsList[Company Ticker],CompanyDetailsList[Official Name],,0)</f>
        <v>#VALUE!</v>
      </c>
      <c r="E13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108</v>
      </c>
      <c r="F13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5486.2959177385774</v>
      </c>
      <c r="G1325" s="17">
        <f>IFERROR(HistoricalStockProgress[[#This Row],[Cost of Shares]]/HistoricalStockProgress[[#This Row],[No. of Shares]],0)</f>
        <v>50.799036275357196</v>
      </c>
      <c r="H1325" s="16" vm="1837">
        <v>84.49</v>
      </c>
      <c r="I1325" s="16">
        <f>IF(HistoricalStockProgress[[#This Row],[No. of Shares]]&lt;&gt;0,HistoricalStockProgress[[#This Row],[Price of Shares]]*HistoricalStockProgress[[#This Row],[No. of Shares]],0)</f>
        <v>9124.92</v>
      </c>
      <c r="J1325" s="16">
        <f>IF(HistoricalStockProgress[[#This Row],[No. of Shares]]&lt;&gt;0,HistoricalStockProgress[[#This Row],[Price of Shares]]-HistoricalStockProgress[[#This Row],[Cost of Shares]]/HistoricalStockProgress[[#This Row],[No. of Shares]],0)</f>
        <v>33.690963724642799</v>
      </c>
      <c r="K1325" s="17">
        <f>IF(HistoricalStockProgress[[#This Row],[Total Price of Shares]]&lt;&gt;0,HistoricalStockProgress[[#This Row],[Total Price of Shares]]-HistoricalStockProgress[[#This Row],[Cost of Shares]],0)</f>
        <v>3638.6240822614227</v>
      </c>
      <c r="L1325" s="34" t="b" cm="1">
        <f t="array" ref="L1325">IFERROR(IF(HistoricalStockProgress[[#This Row],[Price of Shares]]="",_xlfn.STOCKHISTORY(HistoricalStockProgress[[#This Row],[Full Company Name]],HistoricalStockProgress[[#This Row],[Date]],,2,0,1)),0)</f>
        <v>0</v>
      </c>
      <c r="M1325" s="34">
        <f>YEAR(HistoricalStockProgress[[#This Row],[Date]])</f>
        <v>2022</v>
      </c>
      <c r="N1325" s="34">
        <f>MONTH(HistoricalStockProgress[[#This Row],[Date]])</f>
        <v>7</v>
      </c>
    </row>
    <row r="1326" spans="2:14">
      <c r="B1326" s="15">
        <v>44773</v>
      </c>
      <c r="C1326" s="34" t="s">
        <v>100</v>
      </c>
      <c r="D1326" s="34" t="e" vm="16">
        <f>_xlfn.XLOOKUP(HistoricalStockProgress[[#This Row],[Company Ticker]],CompanyDetailsList[Company Ticker],CompanyDetailsList[Official Name],,0)</f>
        <v>#VALUE!</v>
      </c>
      <c r="E13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13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12257.793853370842</v>
      </c>
      <c r="G1326" s="17">
        <f>IFERROR(HistoricalStockProgress[[#This Row],[Cost of Shares]]/HistoricalStockProgress[[#This Row],[No. of Shares]],0)</f>
        <v>87.555670381220295</v>
      </c>
      <c r="H1326" s="16" vm="1838">
        <v>109.93</v>
      </c>
      <c r="I1326" s="16">
        <f>IF(HistoricalStockProgress[[#This Row],[No. of Shares]]&lt;&gt;0,HistoricalStockProgress[[#This Row],[Price of Shares]]*HistoricalStockProgress[[#This Row],[No. of Shares]],0)</f>
        <v>15390.2</v>
      </c>
      <c r="J1326" s="16">
        <f>IF(HistoricalStockProgress[[#This Row],[No. of Shares]]&lt;&gt;0,HistoricalStockProgress[[#This Row],[Price of Shares]]-HistoricalStockProgress[[#This Row],[Cost of Shares]]/HistoricalStockProgress[[#This Row],[No. of Shares]],0)</f>
        <v>22.374329618779711</v>
      </c>
      <c r="K1326" s="17">
        <f>IF(HistoricalStockProgress[[#This Row],[Total Price of Shares]]&lt;&gt;0,HistoricalStockProgress[[#This Row],[Total Price of Shares]]-HistoricalStockProgress[[#This Row],[Cost of Shares]],0)</f>
        <v>3132.4061466291587</v>
      </c>
      <c r="L1326" s="34" t="b" cm="1">
        <f t="array" ref="L1326">IFERROR(IF(HistoricalStockProgress[[#This Row],[Price of Shares]]="",_xlfn.STOCKHISTORY(HistoricalStockProgress[[#This Row],[Full Company Name]],HistoricalStockProgress[[#This Row],[Date]],,2,0,1)),0)</f>
        <v>0</v>
      </c>
      <c r="M1326" s="34">
        <f>YEAR(HistoricalStockProgress[[#This Row],[Date]])</f>
        <v>2022</v>
      </c>
      <c r="N1326" s="34">
        <f>MONTH(HistoricalStockProgress[[#This Row],[Date]])</f>
        <v>7</v>
      </c>
    </row>
    <row r="1327" spans="2:14">
      <c r="B1327" s="15">
        <v>44773</v>
      </c>
      <c r="C1327" s="34" t="s">
        <v>15</v>
      </c>
      <c r="D1327" s="34" t="e" vm="17">
        <f>_xlfn.XLOOKUP(HistoricalStockProgress[[#This Row],[Company Ticker]],CompanyDetailsList[Company Ticker],CompanyDetailsList[Official Name],,0)</f>
        <v>#VALUE!</v>
      </c>
      <c r="E13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3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327" s="17">
        <f>IFERROR(HistoricalStockProgress[[#This Row],[Cost of Shares]]/HistoricalStockProgress[[#This Row],[No. of Shares]],0)</f>
        <v>26.081956457072195</v>
      </c>
      <c r="H1327" s="16" vm="1839">
        <v>18.78</v>
      </c>
      <c r="I1327" s="16">
        <f>IF(HistoricalStockProgress[[#This Row],[No. of Shares]]&lt;&gt;0,HistoricalStockProgress[[#This Row],[Price of Shares]]*HistoricalStockProgress[[#This Row],[No. of Shares]],0)</f>
        <v>2328.7200000000003</v>
      </c>
      <c r="J1327" s="16">
        <f>IF(HistoricalStockProgress[[#This Row],[No. of Shares]]&lt;&gt;0,HistoricalStockProgress[[#This Row],[Price of Shares]]-HistoricalStockProgress[[#This Row],[Cost of Shares]]/HistoricalStockProgress[[#This Row],[No. of Shares]],0)</f>
        <v>-7.301956457072194</v>
      </c>
      <c r="K1327" s="17">
        <f>IF(HistoricalStockProgress[[#This Row],[Total Price of Shares]]&lt;&gt;0,HistoricalStockProgress[[#This Row],[Total Price of Shares]]-HistoricalStockProgress[[#This Row],[Cost of Shares]],0)</f>
        <v>-905.44260067695177</v>
      </c>
      <c r="L1327" s="34" t="b" cm="1">
        <f t="array" ref="L1327">IFERROR(IF(HistoricalStockProgress[[#This Row],[Price of Shares]]="",_xlfn.STOCKHISTORY(HistoricalStockProgress[[#This Row],[Full Company Name]],HistoricalStockProgress[[#This Row],[Date]],,2,0,1)),0)</f>
        <v>0</v>
      </c>
      <c r="M1327" s="34">
        <f>YEAR(HistoricalStockProgress[[#This Row],[Date]])</f>
        <v>2022</v>
      </c>
      <c r="N1327" s="34">
        <f>MONTH(HistoricalStockProgress[[#This Row],[Date]])</f>
        <v>7</v>
      </c>
    </row>
    <row r="1328" spans="2:14">
      <c r="B1328" s="15">
        <v>44773</v>
      </c>
      <c r="C1328" s="34" t="s">
        <v>13</v>
      </c>
      <c r="D1328" s="34" t="e" vm="18">
        <f>_xlfn.XLOOKUP(HistoricalStockProgress[[#This Row],[Company Ticker]],CompanyDetailsList[Company Ticker],CompanyDetailsList[Official Name],,0)</f>
        <v>#VALUE!</v>
      </c>
      <c r="E13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3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328" s="17">
        <f>IFERROR(HistoricalStockProgress[[#This Row],[Cost of Shares]]/HistoricalStockProgress[[#This Row],[No. of Shares]],0)</f>
        <v>35.846938938346874</v>
      </c>
      <c r="H1328" s="16" vm="937">
        <v>50.51</v>
      </c>
      <c r="I1328" s="16">
        <f>IF(HistoricalStockProgress[[#This Row],[No. of Shares]]&lt;&gt;0,HistoricalStockProgress[[#This Row],[Price of Shares]]*HistoricalStockProgress[[#This Row],[No. of Shares]],0)</f>
        <v>2778.0499999999997</v>
      </c>
      <c r="J1328" s="16">
        <f>IF(HistoricalStockProgress[[#This Row],[No. of Shares]]&lt;&gt;0,HistoricalStockProgress[[#This Row],[Price of Shares]]-HistoricalStockProgress[[#This Row],[Cost of Shares]]/HistoricalStockProgress[[#This Row],[No. of Shares]],0)</f>
        <v>14.663061061653124</v>
      </c>
      <c r="K1328" s="17">
        <f>IF(HistoricalStockProgress[[#This Row],[Total Price of Shares]]&lt;&gt;0,HistoricalStockProgress[[#This Row],[Total Price of Shares]]-HistoricalStockProgress[[#This Row],[Cost of Shares]],0)</f>
        <v>806.46835839092159</v>
      </c>
      <c r="L1328" s="34" t="b" cm="1">
        <f t="array" ref="L1328">IFERROR(IF(HistoricalStockProgress[[#This Row],[Price of Shares]]="",_xlfn.STOCKHISTORY(HistoricalStockProgress[[#This Row],[Full Company Name]],HistoricalStockProgress[[#This Row],[Date]],,2,0,1)),0)</f>
        <v>0</v>
      </c>
      <c r="M1328" s="34">
        <f>YEAR(HistoricalStockProgress[[#This Row],[Date]])</f>
        <v>2022</v>
      </c>
      <c r="N1328" s="34">
        <f>MONTH(HistoricalStockProgress[[#This Row],[Date]])</f>
        <v>7</v>
      </c>
    </row>
    <row r="1329" spans="2:14">
      <c r="B1329" s="15">
        <v>44773</v>
      </c>
      <c r="C1329" s="34" t="s">
        <v>20</v>
      </c>
      <c r="D1329" s="34" t="e" vm="19">
        <f>_xlfn.XLOOKUP(HistoricalStockProgress[[#This Row],[Company Ticker]],CompanyDetailsList[Company Ticker],CompanyDetailsList[Official Name],,0)</f>
        <v>#VALUE!</v>
      </c>
      <c r="E13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93</v>
      </c>
      <c r="F13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9585.7274858109122</v>
      </c>
      <c r="G1329" s="17">
        <f>IFERROR(HistoricalStockProgress[[#This Row],[Cost of Shares]]/HistoricalStockProgress[[#This Row],[No. of Shares]],0)</f>
        <v>103.07233855710658</v>
      </c>
      <c r="H1329" s="16" vm="1840">
        <v>115.36</v>
      </c>
      <c r="I1329" s="16">
        <f>IF(HistoricalStockProgress[[#This Row],[No. of Shares]]&lt;&gt;0,HistoricalStockProgress[[#This Row],[Price of Shares]]*HistoricalStockProgress[[#This Row],[No. of Shares]],0)</f>
        <v>10728.48</v>
      </c>
      <c r="J1329" s="16">
        <f>IF(HistoricalStockProgress[[#This Row],[No. of Shares]]&lt;&gt;0,HistoricalStockProgress[[#This Row],[Price of Shares]]-HistoricalStockProgress[[#This Row],[Cost of Shares]]/HistoricalStockProgress[[#This Row],[No. of Shares]],0)</f>
        <v>12.287661442893423</v>
      </c>
      <c r="K1329" s="17">
        <f>IF(HistoricalStockProgress[[#This Row],[Total Price of Shares]]&lt;&gt;0,HistoricalStockProgress[[#This Row],[Total Price of Shares]]-HistoricalStockProgress[[#This Row],[Cost of Shares]],0)</f>
        <v>1142.7525141890874</v>
      </c>
      <c r="L1329" s="34" t="b" cm="1">
        <f t="array" ref="L1329">IFERROR(IF(HistoricalStockProgress[[#This Row],[Price of Shares]]="",_xlfn.STOCKHISTORY(HistoricalStockProgress[[#This Row],[Full Company Name]],HistoricalStockProgress[[#This Row],[Date]],,2,0,1)),0)</f>
        <v>0</v>
      </c>
      <c r="M1329" s="34">
        <f>YEAR(HistoricalStockProgress[[#This Row],[Date]])</f>
        <v>2022</v>
      </c>
      <c r="N1329" s="34">
        <f>MONTH(HistoricalStockProgress[[#This Row],[Date]])</f>
        <v>7</v>
      </c>
    </row>
    <row r="1330" spans="2:14">
      <c r="B1330" s="15">
        <v>44773</v>
      </c>
      <c r="C1330" s="34" t="s">
        <v>106</v>
      </c>
      <c r="D1330" s="34" t="e" vm="20">
        <f>_xlfn.XLOOKUP(HistoricalStockProgress[[#This Row],[Company Ticker]],CompanyDetailsList[Company Ticker],CompanyDetailsList[Official Name],,0)</f>
        <v>#VALUE!</v>
      </c>
      <c r="E13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3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330" s="17">
        <f>IFERROR(HistoricalStockProgress[[#This Row],[Cost of Shares]]/HistoricalStockProgress[[#This Row],[No. of Shares]],0)</f>
        <v>108.54870748680406</v>
      </c>
      <c r="H1330" s="16" vm="1841">
        <v>129.29</v>
      </c>
      <c r="I1330" s="16">
        <f>IF(HistoricalStockProgress[[#This Row],[No. of Shares]]&lt;&gt;0,HistoricalStockProgress[[#This Row],[Price of Shares]]*HistoricalStockProgress[[#This Row],[No. of Shares]],0)</f>
        <v>11377.519999999999</v>
      </c>
      <c r="J1330" s="16">
        <f>IF(HistoricalStockProgress[[#This Row],[No. of Shares]]&lt;&gt;0,HistoricalStockProgress[[#This Row],[Price of Shares]]-HistoricalStockProgress[[#This Row],[Cost of Shares]]/HistoricalStockProgress[[#This Row],[No. of Shares]],0)</f>
        <v>20.74129251319593</v>
      </c>
      <c r="K1330" s="17">
        <f>IF(HistoricalStockProgress[[#This Row],[Total Price of Shares]]&lt;&gt;0,HistoricalStockProgress[[#This Row],[Total Price of Shares]]-HistoricalStockProgress[[#This Row],[Cost of Shares]],0)</f>
        <v>1825.2337411612407</v>
      </c>
      <c r="L1330" s="34" t="b" cm="1">
        <f t="array" ref="L1330">IFERROR(IF(HistoricalStockProgress[[#This Row],[Price of Shares]]="",_xlfn.STOCKHISTORY(HistoricalStockProgress[[#This Row],[Full Company Name]],HistoricalStockProgress[[#This Row],[Date]],,2,0,1)),0)</f>
        <v>0</v>
      </c>
      <c r="M1330" s="34">
        <f>YEAR(HistoricalStockProgress[[#This Row],[Date]])</f>
        <v>2022</v>
      </c>
      <c r="N1330" s="34">
        <f>MONTH(HistoricalStockProgress[[#This Row],[Date]])</f>
        <v>7</v>
      </c>
    </row>
    <row r="1331" spans="2:14">
      <c r="B1331" s="15">
        <v>44804</v>
      </c>
      <c r="C1331" s="34" t="s">
        <v>12</v>
      </c>
      <c r="D1331" s="34" t="e" vm="1">
        <f>_xlfn.XLOOKUP(HistoricalStockProgress[[#This Row],[Company Ticker]],CompanyDetailsList[Company Ticker],CompanyDetailsList[Official Name],,0)</f>
        <v>#VALUE!</v>
      </c>
      <c r="E13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13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1331" s="17">
        <f>IFERROR(HistoricalStockProgress[[#This Row],[Cost of Shares]]/HistoricalStockProgress[[#This Row],[No. of Shares]],0)</f>
        <v>63.845182519411239</v>
      </c>
      <c r="H1331" s="16" vm="1842">
        <v>68.28</v>
      </c>
      <c r="I1331" s="16">
        <f>IF(HistoricalStockProgress[[#This Row],[No. of Shares]]&lt;&gt;0,HistoricalStockProgress[[#This Row],[Price of Shares]]*HistoricalStockProgress[[#This Row],[No. of Shares]],0)</f>
        <v>4369.92</v>
      </c>
      <c r="J1331" s="16">
        <f>IF(HistoricalStockProgress[[#This Row],[No. of Shares]]&lt;&gt;0,HistoricalStockProgress[[#This Row],[Price of Shares]]-HistoricalStockProgress[[#This Row],[Cost of Shares]]/HistoricalStockProgress[[#This Row],[No. of Shares]],0)</f>
        <v>4.4348174805887624</v>
      </c>
      <c r="K1331" s="17">
        <f>IF(HistoricalStockProgress[[#This Row],[Total Price of Shares]]&lt;&gt;0,HistoricalStockProgress[[#This Row],[Total Price of Shares]]-HistoricalStockProgress[[#This Row],[Cost of Shares]],0)</f>
        <v>283.82831875768079</v>
      </c>
      <c r="L1331" s="34" t="b" cm="1">
        <f t="array" ref="L1331">IFERROR(IF(HistoricalStockProgress[[#This Row],[Price of Shares]]="",_xlfn.STOCKHISTORY(HistoricalStockProgress[[#This Row],[Full Company Name]],HistoricalStockProgress[[#This Row],[Date]],,2,0,1)),0)</f>
        <v>0</v>
      </c>
      <c r="M1331" s="34">
        <f>YEAR(HistoricalStockProgress[[#This Row],[Date]])</f>
        <v>2022</v>
      </c>
      <c r="N1331" s="34">
        <f>MONTH(HistoricalStockProgress[[#This Row],[Date]])</f>
        <v>8</v>
      </c>
    </row>
    <row r="1332" spans="2:14">
      <c r="B1332" s="15">
        <v>44804</v>
      </c>
      <c r="C1332" s="34" t="s">
        <v>14</v>
      </c>
      <c r="D1332" s="34" t="e" vm="2">
        <f>_xlfn.XLOOKUP(HistoricalStockProgress[[#This Row],[Company Ticker]],CompanyDetailsList[Company Ticker],CompanyDetailsList[Official Name],,0)</f>
        <v>#VALUE!</v>
      </c>
      <c r="E13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3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332" s="17">
        <f>IFERROR(HistoricalStockProgress[[#This Row],[Cost of Shares]]/HistoricalStockProgress[[#This Row],[No. of Shares]],0)</f>
        <v>31.580112511620161</v>
      </c>
      <c r="H1332" s="16" vm="1843">
        <v>37.1</v>
      </c>
      <c r="I1332" s="16">
        <f>IF(HistoricalStockProgress[[#This Row],[No. of Shares]]&lt;&gt;0,HistoricalStockProgress[[#This Row],[Price of Shares]]*HistoricalStockProgress[[#This Row],[No. of Shares]],0)</f>
        <v>1038.8</v>
      </c>
      <c r="J1332" s="16">
        <f>IF(HistoricalStockProgress[[#This Row],[No. of Shares]]&lt;&gt;0,HistoricalStockProgress[[#This Row],[Price of Shares]]-HistoricalStockProgress[[#This Row],[Cost of Shares]]/HistoricalStockProgress[[#This Row],[No. of Shares]],0)</f>
        <v>5.5198874883798403</v>
      </c>
      <c r="K1332" s="17">
        <f>IF(HistoricalStockProgress[[#This Row],[Total Price of Shares]]&lt;&gt;0,HistoricalStockProgress[[#This Row],[Total Price of Shares]]-HistoricalStockProgress[[#This Row],[Cost of Shares]],0)</f>
        <v>154.55684967463549</v>
      </c>
      <c r="L1332" s="34" t="b" cm="1">
        <f t="array" ref="L1332">IFERROR(IF(HistoricalStockProgress[[#This Row],[Price of Shares]]="",_xlfn.STOCKHISTORY(HistoricalStockProgress[[#This Row],[Full Company Name]],HistoricalStockProgress[[#This Row],[Date]],,2,0,1)),0)</f>
        <v>0</v>
      </c>
      <c r="M1332" s="34">
        <f>YEAR(HistoricalStockProgress[[#This Row],[Date]])</f>
        <v>2022</v>
      </c>
      <c r="N1332" s="34">
        <f>MONTH(HistoricalStockProgress[[#This Row],[Date]])</f>
        <v>8</v>
      </c>
    </row>
    <row r="1333" spans="2:14">
      <c r="B1333" s="15">
        <v>44804</v>
      </c>
      <c r="C1333" s="34" t="s">
        <v>19</v>
      </c>
      <c r="D1333" s="34" t="e" vm="3">
        <f>_xlfn.XLOOKUP(HistoricalStockProgress[[#This Row],[Company Ticker]],CompanyDetailsList[Company Ticker],CompanyDetailsList[Official Name],,0)</f>
        <v>#VALUE!</v>
      </c>
      <c r="E13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3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333" s="17">
        <f>IFERROR(HistoricalStockProgress[[#This Row],[Cost of Shares]]/HistoricalStockProgress[[#This Row],[No. of Shares]],0)</f>
        <v>158.45739987816083</v>
      </c>
      <c r="H1333" s="16" vm="1844">
        <v>144.34</v>
      </c>
      <c r="I1333" s="16">
        <f>IF(HistoricalStockProgress[[#This Row],[No. of Shares]]&lt;&gt;0,HistoricalStockProgress[[#This Row],[Price of Shares]]*HistoricalStockProgress[[#This Row],[No. of Shares]],0)</f>
        <v>8227.380000000001</v>
      </c>
      <c r="J1333" s="16">
        <f>IF(HistoricalStockProgress[[#This Row],[No. of Shares]]&lt;&gt;0,HistoricalStockProgress[[#This Row],[Price of Shares]]-HistoricalStockProgress[[#This Row],[Cost of Shares]]/HistoricalStockProgress[[#This Row],[No. of Shares]],0)</f>
        <v>-14.117399878160825</v>
      </c>
      <c r="K1333" s="17">
        <f>IF(HistoricalStockProgress[[#This Row],[Total Price of Shares]]&lt;&gt;0,HistoricalStockProgress[[#This Row],[Total Price of Shares]]-HistoricalStockProgress[[#This Row],[Cost of Shares]],0)</f>
        <v>-804.69179305516627</v>
      </c>
      <c r="L1333" s="34" t="b" cm="1">
        <f t="array" ref="L1333">IFERROR(IF(HistoricalStockProgress[[#This Row],[Price of Shares]]="",_xlfn.STOCKHISTORY(HistoricalStockProgress[[#This Row],[Full Company Name]],HistoricalStockProgress[[#This Row],[Date]],,2,0,1)),0)</f>
        <v>0</v>
      </c>
      <c r="M1333" s="34">
        <f>YEAR(HistoricalStockProgress[[#This Row],[Date]])</f>
        <v>2022</v>
      </c>
      <c r="N1333" s="34">
        <f>MONTH(HistoricalStockProgress[[#This Row],[Date]])</f>
        <v>8</v>
      </c>
    </row>
    <row r="1334" spans="2:14">
      <c r="B1334" s="15">
        <v>44804</v>
      </c>
      <c r="C1334" s="34" t="s">
        <v>23</v>
      </c>
      <c r="D1334" s="34" t="e" vm="4">
        <f>_xlfn.XLOOKUP(HistoricalStockProgress[[#This Row],[Company Ticker]],CompanyDetailsList[Company Ticker],CompanyDetailsList[Official Name],,0)</f>
        <v>#VALUE!</v>
      </c>
      <c r="E13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85</v>
      </c>
      <c r="F13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4210.4106468589489</v>
      </c>
      <c r="G1334" s="17">
        <f>IFERROR(HistoricalStockProgress[[#This Row],[Cost of Shares]]/HistoricalStockProgress[[#This Row],[No. of Shares]],0)</f>
        <v>49.534242904222928</v>
      </c>
      <c r="H1334" s="16" vm="1845">
        <v>61.71</v>
      </c>
      <c r="I1334" s="16">
        <f>IF(HistoricalStockProgress[[#This Row],[No. of Shares]]&lt;&gt;0,HistoricalStockProgress[[#This Row],[Price of Shares]]*HistoricalStockProgress[[#This Row],[No. of Shares]],0)</f>
        <v>5245.35</v>
      </c>
      <c r="J1334" s="16">
        <f>IF(HistoricalStockProgress[[#This Row],[No. of Shares]]&lt;&gt;0,HistoricalStockProgress[[#This Row],[Price of Shares]]-HistoricalStockProgress[[#This Row],[Cost of Shares]]/HistoricalStockProgress[[#This Row],[No. of Shares]],0)</f>
        <v>12.175757095777072</v>
      </c>
      <c r="K1334" s="17">
        <f>IF(HistoricalStockProgress[[#This Row],[Total Price of Shares]]&lt;&gt;0,HistoricalStockProgress[[#This Row],[Total Price of Shares]]-HistoricalStockProgress[[#This Row],[Cost of Shares]],0)</f>
        <v>1034.9393531410515</v>
      </c>
      <c r="L1334" s="34" t="b" cm="1">
        <f t="array" ref="L1334">IFERROR(IF(HistoricalStockProgress[[#This Row],[Price of Shares]]="",_xlfn.STOCKHISTORY(HistoricalStockProgress[[#This Row],[Full Company Name]],HistoricalStockProgress[[#This Row],[Date]],,2,0,1)),0)</f>
        <v>0</v>
      </c>
      <c r="M1334" s="34">
        <f>YEAR(HistoricalStockProgress[[#This Row],[Date]])</f>
        <v>2022</v>
      </c>
      <c r="N1334" s="34">
        <f>MONTH(HistoricalStockProgress[[#This Row],[Date]])</f>
        <v>8</v>
      </c>
    </row>
    <row r="1335" spans="2:14">
      <c r="B1335" s="15">
        <v>44804</v>
      </c>
      <c r="C1335" s="34" t="s">
        <v>18</v>
      </c>
      <c r="D1335" s="34" t="e" vm="5">
        <f>_xlfn.XLOOKUP(HistoricalStockProgress[[#This Row],[Company Ticker]],CompanyDetailsList[Company Ticker],CompanyDetailsList[Official Name],,0)</f>
        <v>#VALUE!</v>
      </c>
      <c r="E13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3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335" s="17">
        <f>IFERROR(HistoricalStockProgress[[#This Row],[Cost of Shares]]/HistoricalStockProgress[[#This Row],[No. of Shares]],0)</f>
        <v>160.8859607546234</v>
      </c>
      <c r="H1335" s="16" vm="1846">
        <v>172.27</v>
      </c>
      <c r="I1335" s="16">
        <f>IF(HistoricalStockProgress[[#This Row],[No. of Shares]]&lt;&gt;0,HistoricalStockProgress[[#This Row],[Price of Shares]]*HistoricalStockProgress[[#This Row],[No. of Shares]],0)</f>
        <v>7407.6100000000006</v>
      </c>
      <c r="J1335" s="16">
        <f>IF(HistoricalStockProgress[[#This Row],[No. of Shares]]&lt;&gt;0,HistoricalStockProgress[[#This Row],[Price of Shares]]-HistoricalStockProgress[[#This Row],[Cost of Shares]]/HistoricalStockProgress[[#This Row],[No. of Shares]],0)</f>
        <v>11.384039245376613</v>
      </c>
      <c r="K1335" s="17">
        <f>IF(HistoricalStockProgress[[#This Row],[Total Price of Shares]]&lt;&gt;0,HistoricalStockProgress[[#This Row],[Total Price of Shares]]-HistoricalStockProgress[[#This Row],[Cost of Shares]],0)</f>
        <v>489.51368755119438</v>
      </c>
      <c r="L1335" s="34" t="b" cm="1">
        <f t="array" ref="L1335">IFERROR(IF(HistoricalStockProgress[[#This Row],[Price of Shares]]="",_xlfn.STOCKHISTORY(HistoricalStockProgress[[#This Row],[Full Company Name]],HistoricalStockProgress[[#This Row],[Date]],,2,0,1)),0)</f>
        <v>0</v>
      </c>
      <c r="M1335" s="34">
        <f>YEAR(HistoricalStockProgress[[#This Row],[Date]])</f>
        <v>2022</v>
      </c>
      <c r="N1335" s="34">
        <f>MONTH(HistoricalStockProgress[[#This Row],[Date]])</f>
        <v>8</v>
      </c>
    </row>
    <row r="1336" spans="2:14">
      <c r="B1336" s="15">
        <v>44804</v>
      </c>
      <c r="C1336" s="34" t="s">
        <v>21</v>
      </c>
      <c r="D1336" s="34" t="e" vm="6">
        <f>_xlfn.XLOOKUP(HistoricalStockProgress[[#This Row],[Company Ticker]],CompanyDetailsList[Company Ticker],CompanyDetailsList[Official Name],,0)</f>
        <v>#VALUE!</v>
      </c>
      <c r="E13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3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336" s="17">
        <f>IFERROR(HistoricalStockProgress[[#This Row],[Cost of Shares]]/HistoricalStockProgress[[#This Row],[No. of Shares]],0)</f>
        <v>139.68700010204148</v>
      </c>
      <c r="H1336" s="16" vm="1847">
        <v>137.94</v>
      </c>
      <c r="I1336" s="16">
        <f>IF(HistoricalStockProgress[[#This Row],[No. of Shares]]&lt;&gt;0,HistoricalStockProgress[[#This Row],[Price of Shares]]*HistoricalStockProgress[[#This Row],[No. of Shares]],0)</f>
        <v>5793.48</v>
      </c>
      <c r="J1336" s="16">
        <f>IF(HistoricalStockProgress[[#This Row],[No. of Shares]]&lt;&gt;0,HistoricalStockProgress[[#This Row],[Price of Shares]]-HistoricalStockProgress[[#This Row],[Cost of Shares]]/HistoricalStockProgress[[#This Row],[No. of Shares]],0)</f>
        <v>-1.7470001020414827</v>
      </c>
      <c r="K1336" s="17">
        <f>IF(HistoricalStockProgress[[#This Row],[Total Price of Shares]]&lt;&gt;0,HistoricalStockProgress[[#This Row],[Total Price of Shares]]-HistoricalStockProgress[[#This Row],[Cost of Shares]],0)</f>
        <v>-73.374004285742558</v>
      </c>
      <c r="L1336" s="34" t="b" cm="1">
        <f t="array" ref="L1336">IFERROR(IF(HistoricalStockProgress[[#This Row],[Price of Shares]]="",_xlfn.STOCKHISTORY(HistoricalStockProgress[[#This Row],[Full Company Name]],HistoricalStockProgress[[#This Row],[Date]],,2,0,1)),0)</f>
        <v>0</v>
      </c>
      <c r="M1336" s="34">
        <f>YEAR(HistoricalStockProgress[[#This Row],[Date]])</f>
        <v>2022</v>
      </c>
      <c r="N1336" s="34">
        <f>MONTH(HistoricalStockProgress[[#This Row],[Date]])</f>
        <v>8</v>
      </c>
    </row>
    <row r="1337" spans="2:14">
      <c r="B1337" s="15">
        <v>44804</v>
      </c>
      <c r="C1337" s="34" t="s">
        <v>84</v>
      </c>
      <c r="D1337" s="34" t="e" vm="7">
        <f>_xlfn.XLOOKUP(HistoricalStockProgress[[#This Row],[Company Ticker]],CompanyDetailsList[Company Ticker],CompanyDetailsList[Official Name],,0)</f>
        <v>#VALUE!</v>
      </c>
      <c r="E13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3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337" s="17">
        <f>IFERROR(HistoricalStockProgress[[#This Row],[Cost of Shares]]/HistoricalStockProgress[[#This Row],[No. of Shares]],0)</f>
        <v>104.18087504950869</v>
      </c>
      <c r="H1337" s="16" vm="1848">
        <v>161.34</v>
      </c>
      <c r="I1337" s="16">
        <f>IF(HistoricalStockProgress[[#This Row],[No. of Shares]]&lt;&gt;0,HistoricalStockProgress[[#This Row],[Price of Shares]]*HistoricalStockProgress[[#This Row],[No. of Shares]],0)</f>
        <v>8228.34</v>
      </c>
      <c r="J1337" s="16">
        <f>IF(HistoricalStockProgress[[#This Row],[No. of Shares]]&lt;&gt;0,HistoricalStockProgress[[#This Row],[Price of Shares]]-HistoricalStockProgress[[#This Row],[Cost of Shares]]/HistoricalStockProgress[[#This Row],[No. of Shares]],0)</f>
        <v>57.159124950491318</v>
      </c>
      <c r="K1337" s="17">
        <f>IF(HistoricalStockProgress[[#This Row],[Total Price of Shares]]&lt;&gt;0,HistoricalStockProgress[[#This Row],[Total Price of Shares]]-HistoricalStockProgress[[#This Row],[Cost of Shares]],0)</f>
        <v>2915.1153724750575</v>
      </c>
      <c r="L1337" s="34" t="b" cm="1">
        <f t="array" ref="L1337">IFERROR(IF(HistoricalStockProgress[[#This Row],[Price of Shares]]="",_xlfn.STOCKHISTORY(HistoricalStockProgress[[#This Row],[Full Company Name]],HistoricalStockProgress[[#This Row],[Date]],,2,0,1)),0)</f>
        <v>0</v>
      </c>
      <c r="M1337" s="34">
        <f>YEAR(HistoricalStockProgress[[#This Row],[Date]])</f>
        <v>2022</v>
      </c>
      <c r="N1337" s="34">
        <f>MONTH(HistoricalStockProgress[[#This Row],[Date]])</f>
        <v>8</v>
      </c>
    </row>
    <row r="1338" spans="2:14">
      <c r="B1338" s="15">
        <v>44804</v>
      </c>
      <c r="C1338" s="34" t="s">
        <v>86</v>
      </c>
      <c r="D1338" s="34" t="e" vm="8">
        <f>_xlfn.XLOOKUP(HistoricalStockProgress[[#This Row],[Company Ticker]],CompanyDetailsList[Company Ticker],CompanyDetailsList[Official Name],,0)</f>
        <v>#VALUE!</v>
      </c>
      <c r="E13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3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338" s="17">
        <f>IFERROR(HistoricalStockProgress[[#This Row],[Cost of Shares]]/HistoricalStockProgress[[#This Row],[No. of Shares]],0)</f>
        <v>92.636161128673535</v>
      </c>
      <c r="H1338" s="16" vm="1849">
        <v>134.46</v>
      </c>
      <c r="I1338" s="16">
        <f>IF(HistoricalStockProgress[[#This Row],[No. of Shares]]&lt;&gt;0,HistoricalStockProgress[[#This Row],[Price of Shares]]*HistoricalStockProgress[[#This Row],[No. of Shares]],0)</f>
        <v>15328.44</v>
      </c>
      <c r="J1338" s="16">
        <f>IF(HistoricalStockProgress[[#This Row],[No. of Shares]]&lt;&gt;0,HistoricalStockProgress[[#This Row],[Price of Shares]]-HistoricalStockProgress[[#This Row],[Cost of Shares]]/HistoricalStockProgress[[#This Row],[No. of Shares]],0)</f>
        <v>41.823838871326473</v>
      </c>
      <c r="K1338" s="17">
        <f>IF(HistoricalStockProgress[[#This Row],[Total Price of Shares]]&lt;&gt;0,HistoricalStockProgress[[#This Row],[Total Price of Shares]]-HistoricalStockProgress[[#This Row],[Cost of Shares]],0)</f>
        <v>4767.9176313312182</v>
      </c>
      <c r="L1338" s="34" t="b" cm="1">
        <f t="array" ref="L1338">IFERROR(IF(HistoricalStockProgress[[#This Row],[Price of Shares]]="",_xlfn.STOCKHISTORY(HistoricalStockProgress[[#This Row],[Full Company Name]],HistoricalStockProgress[[#This Row],[Date]],,2,0,1)),0)</f>
        <v>0</v>
      </c>
      <c r="M1338" s="34">
        <f>YEAR(HistoricalStockProgress[[#This Row],[Date]])</f>
        <v>2022</v>
      </c>
      <c r="N1338" s="34">
        <f>MONTH(HistoricalStockProgress[[#This Row],[Date]])</f>
        <v>8</v>
      </c>
    </row>
    <row r="1339" spans="2:14">
      <c r="B1339" s="15">
        <v>44804</v>
      </c>
      <c r="C1339" s="34" t="s">
        <v>88</v>
      </c>
      <c r="D1339" s="34" t="e" vm="9">
        <f>_xlfn.XLOOKUP(HistoricalStockProgress[[#This Row],[Company Ticker]],CompanyDetailsList[Company Ticker],CompanyDetailsList[Official Name],,0)</f>
        <v>#VALUE!</v>
      </c>
      <c r="E13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3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339" s="17">
        <f>IFERROR(HistoricalStockProgress[[#This Row],[Cost of Shares]]/HistoricalStockProgress[[#This Row],[No. of Shares]],0)</f>
        <v>187.727755253422</v>
      </c>
      <c r="H1339" s="16" vm="1850">
        <v>252.28</v>
      </c>
      <c r="I1339" s="16">
        <f>IF(HistoricalStockProgress[[#This Row],[No. of Shares]]&lt;&gt;0,HistoricalStockProgress[[#This Row],[Price of Shares]]*HistoricalStockProgress[[#This Row],[No. of Shares]],0)</f>
        <v>14884.52</v>
      </c>
      <c r="J1339" s="16">
        <f>IF(HistoricalStockProgress[[#This Row],[No. of Shares]]&lt;&gt;0,HistoricalStockProgress[[#This Row],[Price of Shares]]-HistoricalStockProgress[[#This Row],[Cost of Shares]]/HistoricalStockProgress[[#This Row],[No. of Shares]],0)</f>
        <v>64.552244746577998</v>
      </c>
      <c r="K1339" s="17">
        <f>IF(HistoricalStockProgress[[#This Row],[Total Price of Shares]]&lt;&gt;0,HistoricalStockProgress[[#This Row],[Total Price of Shares]]-HistoricalStockProgress[[#This Row],[Cost of Shares]],0)</f>
        <v>3808.5824400481015</v>
      </c>
      <c r="L1339" s="34" t="b" cm="1">
        <f t="array" ref="L1339">IFERROR(IF(HistoricalStockProgress[[#This Row],[Price of Shares]]="",_xlfn.STOCKHISTORY(HistoricalStockProgress[[#This Row],[Full Company Name]],HistoricalStockProgress[[#This Row],[Date]],,2,0,1)),0)</f>
        <v>0</v>
      </c>
      <c r="M1339" s="34">
        <f>YEAR(HistoricalStockProgress[[#This Row],[Date]])</f>
        <v>2022</v>
      </c>
      <c r="N1339" s="34">
        <f>MONTH(HistoricalStockProgress[[#This Row],[Date]])</f>
        <v>8</v>
      </c>
    </row>
    <row r="1340" spans="2:14">
      <c r="B1340" s="15">
        <v>44804</v>
      </c>
      <c r="C1340" s="34" t="s">
        <v>22</v>
      </c>
      <c r="D1340" s="34" t="e" vm="10">
        <f>_xlfn.XLOOKUP(HistoricalStockProgress[[#This Row],[Company Ticker]],CompanyDetailsList[Company Ticker],CompanyDetailsList[Official Name],,0)</f>
        <v>#VALUE!</v>
      </c>
      <c r="E13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13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13175.976249073738</v>
      </c>
      <c r="G1340" s="17">
        <f>IFERROR(HistoricalStockProgress[[#This Row],[Cost of Shares]]/HistoricalStockProgress[[#This Row],[No. of Shares]],0)</f>
        <v>124.30166272711074</v>
      </c>
      <c r="H1340" s="16" vm="1851">
        <v>184.71</v>
      </c>
      <c r="I1340" s="16">
        <f>IF(HistoricalStockProgress[[#This Row],[No. of Shares]]&lt;&gt;0,HistoricalStockProgress[[#This Row],[Price of Shares]]*HistoricalStockProgress[[#This Row],[No. of Shares]],0)</f>
        <v>19579.260000000002</v>
      </c>
      <c r="J1340" s="16">
        <f>IF(HistoricalStockProgress[[#This Row],[No. of Shares]]&lt;&gt;0,HistoricalStockProgress[[#This Row],[Price of Shares]]-HistoricalStockProgress[[#This Row],[Cost of Shares]]/HistoricalStockProgress[[#This Row],[No. of Shares]],0)</f>
        <v>60.40833727288927</v>
      </c>
      <c r="K1340" s="17">
        <f>IF(HistoricalStockProgress[[#This Row],[Total Price of Shares]]&lt;&gt;0,HistoricalStockProgress[[#This Row],[Total Price of Shares]]-HistoricalStockProgress[[#This Row],[Cost of Shares]],0)</f>
        <v>6403.2837509262645</v>
      </c>
      <c r="L1340" s="34" t="b" cm="1">
        <f t="array" ref="L1340">IFERROR(IF(HistoricalStockProgress[[#This Row],[Price of Shares]]="",_xlfn.STOCKHISTORY(HistoricalStockProgress[[#This Row],[Full Company Name]],HistoricalStockProgress[[#This Row],[Date]],,2,0,1)),0)</f>
        <v>0</v>
      </c>
      <c r="M1340" s="34">
        <f>YEAR(HistoricalStockProgress[[#This Row],[Date]])</f>
        <v>2022</v>
      </c>
      <c r="N1340" s="34">
        <f>MONTH(HistoricalStockProgress[[#This Row],[Date]])</f>
        <v>8</v>
      </c>
    </row>
    <row r="1341" spans="2:14">
      <c r="B1341" s="15">
        <v>44804</v>
      </c>
      <c r="C1341" s="34" t="s">
        <v>91</v>
      </c>
      <c r="D1341" s="34" t="e" vm="11">
        <f>_xlfn.XLOOKUP(HistoricalStockProgress[[#This Row],[Company Ticker]],CompanyDetailsList[Company Ticker],CompanyDetailsList[Official Name],,0)</f>
        <v>#VALUE!</v>
      </c>
      <c r="E13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176</v>
      </c>
      <c r="F13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22591.11028368511</v>
      </c>
      <c r="G1341" s="17">
        <f>IFERROR(HistoricalStockProgress[[#This Row],[Cost of Shares]]/HistoricalStockProgress[[#This Row],[No. of Shares]],0)</f>
        <v>128.35858115730176</v>
      </c>
      <c r="H1341" s="16" vm="1852">
        <v>261.47000000000003</v>
      </c>
      <c r="I1341" s="16">
        <f>IF(HistoricalStockProgress[[#This Row],[No. of Shares]]&lt;&gt;0,HistoricalStockProgress[[#This Row],[Price of Shares]]*HistoricalStockProgress[[#This Row],[No. of Shares]],0)</f>
        <v>46018.720000000001</v>
      </c>
      <c r="J1341" s="16">
        <f>IF(HistoricalStockProgress[[#This Row],[No. of Shares]]&lt;&gt;0,HistoricalStockProgress[[#This Row],[Price of Shares]]-HistoricalStockProgress[[#This Row],[Cost of Shares]]/HistoricalStockProgress[[#This Row],[No. of Shares]],0)</f>
        <v>133.11141884269827</v>
      </c>
      <c r="K1341" s="17">
        <f>IF(HistoricalStockProgress[[#This Row],[Total Price of Shares]]&lt;&gt;0,HistoricalStockProgress[[#This Row],[Total Price of Shares]]-HistoricalStockProgress[[#This Row],[Cost of Shares]],0)</f>
        <v>23427.609716314892</v>
      </c>
      <c r="L1341" s="34" t="b" cm="1">
        <f t="array" ref="L1341">IFERROR(IF(HistoricalStockProgress[[#This Row],[Price of Shares]]="",_xlfn.STOCKHISTORY(HistoricalStockProgress[[#This Row],[Full Company Name]],HistoricalStockProgress[[#This Row],[Date]],,2,0,1)),0)</f>
        <v>0</v>
      </c>
      <c r="M1341" s="34">
        <f>YEAR(HistoricalStockProgress[[#This Row],[Date]])</f>
        <v>2022</v>
      </c>
      <c r="N1341" s="34">
        <f>MONTH(HistoricalStockProgress[[#This Row],[Date]])</f>
        <v>8</v>
      </c>
    </row>
    <row r="1342" spans="2:14">
      <c r="B1342" s="15">
        <v>44804</v>
      </c>
      <c r="C1342" s="34" t="s">
        <v>16</v>
      </c>
      <c r="D1342" s="34" t="e" vm="12">
        <f>_xlfn.XLOOKUP(HistoricalStockProgress[[#This Row],[Company Ticker]],CompanyDetailsList[Company Ticker],CompanyDetailsList[Official Name],,0)</f>
        <v>#VALUE!</v>
      </c>
      <c r="E13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3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342" s="17">
        <f>IFERROR(HistoricalStockProgress[[#This Row],[Cost of Shares]]/HistoricalStockProgress[[#This Row],[No. of Shares]],0)</f>
        <v>75.117698177311837</v>
      </c>
      <c r="H1342" s="16" vm="1853">
        <v>95.59</v>
      </c>
      <c r="I1342" s="16">
        <f>IF(HistoricalStockProgress[[#This Row],[No. of Shares]]&lt;&gt;0,HistoricalStockProgress[[#This Row],[Price of Shares]]*HistoricalStockProgress[[#This Row],[No. of Shares]],0)</f>
        <v>17684.150000000001</v>
      </c>
      <c r="J1342" s="16">
        <f>IF(HistoricalStockProgress[[#This Row],[No. of Shares]]&lt;&gt;0,HistoricalStockProgress[[#This Row],[Price of Shares]]-HistoricalStockProgress[[#This Row],[Cost of Shares]]/HistoricalStockProgress[[#This Row],[No. of Shares]],0)</f>
        <v>20.472301822688166</v>
      </c>
      <c r="K1342" s="17">
        <f>IF(HistoricalStockProgress[[#This Row],[Total Price of Shares]]&lt;&gt;0,HistoricalStockProgress[[#This Row],[Total Price of Shares]]-HistoricalStockProgress[[#This Row],[Cost of Shares]],0)</f>
        <v>3787.3758371973126</v>
      </c>
      <c r="L1342" s="34" t="b" cm="1">
        <f t="array" ref="L1342">IFERROR(IF(HistoricalStockProgress[[#This Row],[Price of Shares]]="",_xlfn.STOCKHISTORY(HistoricalStockProgress[[#This Row],[Full Company Name]],HistoricalStockProgress[[#This Row],[Date]],,2,0,1)),0)</f>
        <v>0</v>
      </c>
      <c r="M1342" s="34">
        <f>YEAR(HistoricalStockProgress[[#This Row],[Date]])</f>
        <v>2022</v>
      </c>
      <c r="N1342" s="34">
        <f>MONTH(HistoricalStockProgress[[#This Row],[Date]])</f>
        <v>8</v>
      </c>
    </row>
    <row r="1343" spans="2:14">
      <c r="B1343" s="15">
        <v>44804</v>
      </c>
      <c r="C1343" s="34" t="s">
        <v>95</v>
      </c>
      <c r="D1343" s="34" t="e" vm="13">
        <f>_xlfn.XLOOKUP(HistoricalStockProgress[[#This Row],[Company Ticker]],CompanyDetailsList[Company Ticker],CompanyDetailsList[Official Name],,0)</f>
        <v>#VALUE!</v>
      </c>
      <c r="E13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78</v>
      </c>
      <c r="F13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16802.098395405912</v>
      </c>
      <c r="G1343" s="17">
        <f>IFERROR(HistoricalStockProgress[[#This Row],[Cost of Shares]]/HistoricalStockProgress[[#This Row],[No. of Shares]],0)</f>
        <v>215.41151788981938</v>
      </c>
      <c r="H1343" s="16" vm="1854">
        <v>288.42</v>
      </c>
      <c r="I1343" s="16">
        <f>IF(HistoricalStockProgress[[#This Row],[No. of Shares]]&lt;&gt;0,HistoricalStockProgress[[#This Row],[Price of Shares]]*HistoricalStockProgress[[#This Row],[No. of Shares]],0)</f>
        <v>22496.760000000002</v>
      </c>
      <c r="J1343" s="16">
        <f>IF(HistoricalStockProgress[[#This Row],[No. of Shares]]&lt;&gt;0,HistoricalStockProgress[[#This Row],[Price of Shares]]-HistoricalStockProgress[[#This Row],[Cost of Shares]]/HistoricalStockProgress[[#This Row],[No. of Shares]],0)</f>
        <v>73.008482110180637</v>
      </c>
      <c r="K1343" s="17">
        <f>IF(HistoricalStockProgress[[#This Row],[Total Price of Shares]]&lt;&gt;0,HistoricalStockProgress[[#This Row],[Total Price of Shares]]-HistoricalStockProgress[[#This Row],[Cost of Shares]],0)</f>
        <v>5694.66160459409</v>
      </c>
      <c r="L1343" s="34" t="b" cm="1">
        <f t="array" ref="L1343">IFERROR(IF(HistoricalStockProgress[[#This Row],[Price of Shares]]="",_xlfn.STOCKHISTORY(HistoricalStockProgress[[#This Row],[Full Company Name]],HistoricalStockProgress[[#This Row],[Date]],,2,0,1)),0)</f>
        <v>0</v>
      </c>
      <c r="M1343" s="34">
        <f>YEAR(HistoricalStockProgress[[#This Row],[Date]])</f>
        <v>2022</v>
      </c>
      <c r="N1343" s="34">
        <f>MONTH(HistoricalStockProgress[[#This Row],[Date]])</f>
        <v>8</v>
      </c>
    </row>
    <row r="1344" spans="2:14">
      <c r="B1344" s="15">
        <v>44804</v>
      </c>
      <c r="C1344" s="34" t="s">
        <v>17</v>
      </c>
      <c r="D1344" s="34" t="e" vm="14">
        <f>_xlfn.XLOOKUP(HistoricalStockProgress[[#This Row],[Company Ticker]],CompanyDetailsList[Company Ticker],CompanyDetailsList[Official Name],,0)</f>
        <v>#VALUE!</v>
      </c>
      <c r="E13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3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26400.485099161626</v>
      </c>
      <c r="G1344" s="17">
        <f>IFERROR(HistoricalStockProgress[[#This Row],[Cost of Shares]]/HistoricalStockProgress[[#This Row],[No. of Shares]],0)</f>
        <v>136.08497473794654</v>
      </c>
      <c r="H1344" s="16" vm="1855">
        <v>128.44999999999999</v>
      </c>
      <c r="I1344" s="16">
        <f>IF(HistoricalStockProgress[[#This Row],[No. of Shares]]&lt;&gt;0,HistoricalStockProgress[[#This Row],[Price of Shares]]*HistoricalStockProgress[[#This Row],[No. of Shares]],0)</f>
        <v>24919.3</v>
      </c>
      <c r="J1344" s="16">
        <f>IF(HistoricalStockProgress[[#This Row],[No. of Shares]]&lt;&gt;0,HistoricalStockProgress[[#This Row],[Price of Shares]]-HistoricalStockProgress[[#This Row],[Cost of Shares]]/HistoricalStockProgress[[#This Row],[No. of Shares]],0)</f>
        <v>-7.6349747379465498</v>
      </c>
      <c r="K1344" s="17">
        <f>IF(HistoricalStockProgress[[#This Row],[Total Price of Shares]]&lt;&gt;0,HistoricalStockProgress[[#This Row],[Total Price of Shares]]-HistoricalStockProgress[[#This Row],[Cost of Shares]],0)</f>
        <v>-1481.1850991616266</v>
      </c>
      <c r="L1344" s="34" t="b" cm="1">
        <f t="array" ref="L1344">IFERROR(IF(HistoricalStockProgress[[#This Row],[Price of Shares]]="",_xlfn.STOCKHISTORY(HistoricalStockProgress[[#This Row],[Full Company Name]],HistoricalStockProgress[[#This Row],[Date]],,2,0,1)),0)</f>
        <v>0</v>
      </c>
      <c r="M1344" s="34">
        <f>YEAR(HistoricalStockProgress[[#This Row],[Date]])</f>
        <v>2022</v>
      </c>
      <c r="N1344" s="34">
        <f>MONTH(HistoricalStockProgress[[#This Row],[Date]])</f>
        <v>8</v>
      </c>
    </row>
    <row r="1345" spans="2:14">
      <c r="B1345" s="15">
        <v>44804</v>
      </c>
      <c r="C1345" s="34" t="s">
        <v>98</v>
      </c>
      <c r="D1345" s="34" t="e" vm="15">
        <f>_xlfn.XLOOKUP(HistoricalStockProgress[[#This Row],[Company Ticker]],CompanyDetailsList[Company Ticker],CompanyDetailsList[Official Name],,0)</f>
        <v>#VALUE!</v>
      </c>
      <c r="E13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108</v>
      </c>
      <c r="F13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5486.2959177385774</v>
      </c>
      <c r="G1345" s="17">
        <f>IFERROR(HistoricalStockProgress[[#This Row],[Cost of Shares]]/HistoricalStockProgress[[#This Row],[No. of Shares]],0)</f>
        <v>50.799036275357196</v>
      </c>
      <c r="H1345" s="16" vm="1856">
        <v>85.06</v>
      </c>
      <c r="I1345" s="16">
        <f>IF(HistoricalStockProgress[[#This Row],[No. of Shares]]&lt;&gt;0,HistoricalStockProgress[[#This Row],[Price of Shares]]*HistoricalStockProgress[[#This Row],[No. of Shares]],0)</f>
        <v>9186.48</v>
      </c>
      <c r="J1345" s="16">
        <f>IF(HistoricalStockProgress[[#This Row],[No. of Shares]]&lt;&gt;0,HistoricalStockProgress[[#This Row],[Price of Shares]]-HistoricalStockProgress[[#This Row],[Cost of Shares]]/HistoricalStockProgress[[#This Row],[No. of Shares]],0)</f>
        <v>34.260963724642806</v>
      </c>
      <c r="K1345" s="17">
        <f>IF(HistoricalStockProgress[[#This Row],[Total Price of Shares]]&lt;&gt;0,HistoricalStockProgress[[#This Row],[Total Price of Shares]]-HistoricalStockProgress[[#This Row],[Cost of Shares]],0)</f>
        <v>3700.1840822614222</v>
      </c>
      <c r="L1345" s="34" t="b" cm="1">
        <f t="array" ref="L1345">IFERROR(IF(HistoricalStockProgress[[#This Row],[Price of Shares]]="",_xlfn.STOCKHISTORY(HistoricalStockProgress[[#This Row],[Full Company Name]],HistoricalStockProgress[[#This Row],[Date]],,2,0,1)),0)</f>
        <v>0</v>
      </c>
      <c r="M1345" s="34">
        <f>YEAR(HistoricalStockProgress[[#This Row],[Date]])</f>
        <v>2022</v>
      </c>
      <c r="N1345" s="34">
        <f>MONTH(HistoricalStockProgress[[#This Row],[Date]])</f>
        <v>8</v>
      </c>
    </row>
    <row r="1346" spans="2:14">
      <c r="B1346" s="15">
        <v>44804</v>
      </c>
      <c r="C1346" s="34" t="s">
        <v>100</v>
      </c>
      <c r="D1346" s="34" t="e" vm="16">
        <f>_xlfn.XLOOKUP(HistoricalStockProgress[[#This Row],[Company Ticker]],CompanyDetailsList[Company Ticker],CompanyDetailsList[Official Name],,0)</f>
        <v>#VALUE!</v>
      </c>
      <c r="E13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13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12257.793853370842</v>
      </c>
      <c r="G1346" s="17">
        <f>IFERROR(HistoricalStockProgress[[#This Row],[Cost of Shares]]/HistoricalStockProgress[[#This Row],[No. of Shares]],0)</f>
        <v>87.555670381220295</v>
      </c>
      <c r="H1346" s="16" vm="1857">
        <v>106.91</v>
      </c>
      <c r="I1346" s="16">
        <f>IF(HistoricalStockProgress[[#This Row],[No. of Shares]]&lt;&gt;0,HistoricalStockProgress[[#This Row],[Price of Shares]]*HistoricalStockProgress[[#This Row],[No. of Shares]],0)</f>
        <v>14967.4</v>
      </c>
      <c r="J1346" s="16">
        <f>IF(HistoricalStockProgress[[#This Row],[No. of Shares]]&lt;&gt;0,HistoricalStockProgress[[#This Row],[Price of Shares]]-HistoricalStockProgress[[#This Row],[Cost of Shares]]/HistoricalStockProgress[[#This Row],[No. of Shares]],0)</f>
        <v>19.354329618779701</v>
      </c>
      <c r="K1346" s="17">
        <f>IF(HistoricalStockProgress[[#This Row],[Total Price of Shares]]&lt;&gt;0,HistoricalStockProgress[[#This Row],[Total Price of Shares]]-HistoricalStockProgress[[#This Row],[Cost of Shares]],0)</f>
        <v>2709.6061466291576</v>
      </c>
      <c r="L1346" s="34" t="b" cm="1">
        <f t="array" ref="L1346">IFERROR(IF(HistoricalStockProgress[[#This Row],[Price of Shares]]="",_xlfn.STOCKHISTORY(HistoricalStockProgress[[#This Row],[Full Company Name]],HistoricalStockProgress[[#This Row],[Date]],,2,0,1)),0)</f>
        <v>0</v>
      </c>
      <c r="M1346" s="34">
        <f>YEAR(HistoricalStockProgress[[#This Row],[Date]])</f>
        <v>2022</v>
      </c>
      <c r="N1346" s="34">
        <f>MONTH(HistoricalStockProgress[[#This Row],[Date]])</f>
        <v>8</v>
      </c>
    </row>
    <row r="1347" spans="2:14">
      <c r="B1347" s="15">
        <v>44804</v>
      </c>
      <c r="C1347" s="34" t="s">
        <v>15</v>
      </c>
      <c r="D1347" s="34" t="e" vm="17">
        <f>_xlfn.XLOOKUP(HistoricalStockProgress[[#This Row],[Company Ticker]],CompanyDetailsList[Company Ticker],CompanyDetailsList[Official Name],,0)</f>
        <v>#VALUE!</v>
      </c>
      <c r="E13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3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347" s="17">
        <f>IFERROR(HistoricalStockProgress[[#This Row],[Cost of Shares]]/HistoricalStockProgress[[#This Row],[No. of Shares]],0)</f>
        <v>26.081956457072195</v>
      </c>
      <c r="H1347" s="16" vm="1858">
        <v>17.54</v>
      </c>
      <c r="I1347" s="16">
        <f>IF(HistoricalStockProgress[[#This Row],[No. of Shares]]&lt;&gt;0,HistoricalStockProgress[[#This Row],[Price of Shares]]*HistoricalStockProgress[[#This Row],[No. of Shares]],0)</f>
        <v>2174.96</v>
      </c>
      <c r="J1347" s="16">
        <f>IF(HistoricalStockProgress[[#This Row],[No. of Shares]]&lt;&gt;0,HistoricalStockProgress[[#This Row],[Price of Shares]]-HistoricalStockProgress[[#This Row],[Cost of Shares]]/HistoricalStockProgress[[#This Row],[No. of Shares]],0)</f>
        <v>-8.541956457072196</v>
      </c>
      <c r="K1347" s="17">
        <f>IF(HistoricalStockProgress[[#This Row],[Total Price of Shares]]&lt;&gt;0,HistoricalStockProgress[[#This Row],[Total Price of Shares]]-HistoricalStockProgress[[#This Row],[Cost of Shares]],0)</f>
        <v>-1059.202600676952</v>
      </c>
      <c r="L1347" s="34" t="b" cm="1">
        <f t="array" ref="L1347">IFERROR(IF(HistoricalStockProgress[[#This Row],[Price of Shares]]="",_xlfn.STOCKHISTORY(HistoricalStockProgress[[#This Row],[Full Company Name]],HistoricalStockProgress[[#This Row],[Date]],,2,0,1)),0)</f>
        <v>0</v>
      </c>
      <c r="M1347" s="34">
        <f>YEAR(HistoricalStockProgress[[#This Row],[Date]])</f>
        <v>2022</v>
      </c>
      <c r="N1347" s="34">
        <f>MONTH(HistoricalStockProgress[[#This Row],[Date]])</f>
        <v>8</v>
      </c>
    </row>
    <row r="1348" spans="2:14">
      <c r="B1348" s="15">
        <v>44804</v>
      </c>
      <c r="C1348" s="34" t="s">
        <v>13</v>
      </c>
      <c r="D1348" s="34" t="e" vm="18">
        <f>_xlfn.XLOOKUP(HistoricalStockProgress[[#This Row],[Company Ticker]],CompanyDetailsList[Company Ticker],CompanyDetailsList[Official Name],,0)</f>
        <v>#VALUE!</v>
      </c>
      <c r="E13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3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348" s="17">
        <f>IFERROR(HistoricalStockProgress[[#This Row],[Cost of Shares]]/HistoricalStockProgress[[#This Row],[No. of Shares]],0)</f>
        <v>35.846938938346874</v>
      </c>
      <c r="H1348" s="16" vm="1859">
        <v>45.23</v>
      </c>
      <c r="I1348" s="16">
        <f>IF(HistoricalStockProgress[[#This Row],[No. of Shares]]&lt;&gt;0,HistoricalStockProgress[[#This Row],[Price of Shares]]*HistoricalStockProgress[[#This Row],[No. of Shares]],0)</f>
        <v>2487.6499999999996</v>
      </c>
      <c r="J1348" s="16">
        <f>IF(HistoricalStockProgress[[#This Row],[No. of Shares]]&lt;&gt;0,HistoricalStockProgress[[#This Row],[Price of Shares]]-HistoricalStockProgress[[#This Row],[Cost of Shares]]/HistoricalStockProgress[[#This Row],[No. of Shares]],0)</f>
        <v>9.3830610616531231</v>
      </c>
      <c r="K1348" s="17">
        <f>IF(HistoricalStockProgress[[#This Row],[Total Price of Shares]]&lt;&gt;0,HistoricalStockProgress[[#This Row],[Total Price of Shares]]-HistoricalStockProgress[[#This Row],[Cost of Shares]],0)</f>
        <v>516.0683583909215</v>
      </c>
      <c r="L1348" s="34" t="b" cm="1">
        <f t="array" ref="L1348">IFERROR(IF(HistoricalStockProgress[[#This Row],[Price of Shares]]="",_xlfn.STOCKHISTORY(HistoricalStockProgress[[#This Row],[Full Company Name]],HistoricalStockProgress[[#This Row],[Date]],,2,0,1)),0)</f>
        <v>0</v>
      </c>
      <c r="M1348" s="34">
        <f>YEAR(HistoricalStockProgress[[#This Row],[Date]])</f>
        <v>2022</v>
      </c>
      <c r="N1348" s="34">
        <f>MONTH(HistoricalStockProgress[[#This Row],[Date]])</f>
        <v>8</v>
      </c>
    </row>
    <row r="1349" spans="2:14">
      <c r="B1349" s="15">
        <v>44804</v>
      </c>
      <c r="C1349" s="34" t="s">
        <v>20</v>
      </c>
      <c r="D1349" s="34" t="e" vm="19">
        <f>_xlfn.XLOOKUP(HistoricalStockProgress[[#This Row],[Company Ticker]],CompanyDetailsList[Company Ticker],CompanyDetailsList[Official Name],,0)</f>
        <v>#VALUE!</v>
      </c>
      <c r="E13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93</v>
      </c>
      <c r="F13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9585.7274858109122</v>
      </c>
      <c r="G1349" s="17">
        <f>IFERROR(HistoricalStockProgress[[#This Row],[Cost of Shares]]/HistoricalStockProgress[[#This Row],[No. of Shares]],0)</f>
        <v>103.07233855710658</v>
      </c>
      <c r="H1349" s="16" vm="1860">
        <v>113.73</v>
      </c>
      <c r="I1349" s="16">
        <f>IF(HistoricalStockProgress[[#This Row],[No. of Shares]]&lt;&gt;0,HistoricalStockProgress[[#This Row],[Price of Shares]]*HistoricalStockProgress[[#This Row],[No. of Shares]],0)</f>
        <v>10576.890000000001</v>
      </c>
      <c r="J1349" s="16">
        <f>IF(HistoricalStockProgress[[#This Row],[No. of Shares]]&lt;&gt;0,HistoricalStockProgress[[#This Row],[Price of Shares]]-HistoricalStockProgress[[#This Row],[Cost of Shares]]/HistoricalStockProgress[[#This Row],[No. of Shares]],0)</f>
        <v>10.657661442893428</v>
      </c>
      <c r="K1349" s="17">
        <f>IF(HistoricalStockProgress[[#This Row],[Total Price of Shares]]&lt;&gt;0,HistoricalStockProgress[[#This Row],[Total Price of Shares]]-HistoricalStockProgress[[#This Row],[Cost of Shares]],0)</f>
        <v>991.16251418908905</v>
      </c>
      <c r="L1349" s="34" t="b" cm="1">
        <f t="array" ref="L1349">IFERROR(IF(HistoricalStockProgress[[#This Row],[Price of Shares]]="",_xlfn.STOCKHISTORY(HistoricalStockProgress[[#This Row],[Full Company Name]],HistoricalStockProgress[[#This Row],[Date]],,2,0,1)),0)</f>
        <v>0</v>
      </c>
      <c r="M1349" s="34">
        <f>YEAR(HistoricalStockProgress[[#This Row],[Date]])</f>
        <v>2022</v>
      </c>
      <c r="N1349" s="34">
        <f>MONTH(HistoricalStockProgress[[#This Row],[Date]])</f>
        <v>8</v>
      </c>
    </row>
    <row r="1350" spans="2:14">
      <c r="B1350" s="15">
        <v>44804</v>
      </c>
      <c r="C1350" s="34" t="s">
        <v>106</v>
      </c>
      <c r="D1350" s="34" t="e" vm="20">
        <f>_xlfn.XLOOKUP(HistoricalStockProgress[[#This Row],[Company Ticker]],CompanyDetailsList[Company Ticker],CompanyDetailsList[Official Name],,0)</f>
        <v>#VALUE!</v>
      </c>
      <c r="E13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3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350" s="17">
        <f>IFERROR(HistoricalStockProgress[[#This Row],[Cost of Shares]]/HistoricalStockProgress[[#This Row],[No. of Shares]],0)</f>
        <v>108.54870748680406</v>
      </c>
      <c r="H1350" s="16" vm="1861">
        <v>126.98</v>
      </c>
      <c r="I1350" s="16">
        <f>IF(HistoricalStockProgress[[#This Row],[No. of Shares]]&lt;&gt;0,HistoricalStockProgress[[#This Row],[Price of Shares]]*HistoricalStockProgress[[#This Row],[No. of Shares]],0)</f>
        <v>11174.24</v>
      </c>
      <c r="J1350" s="16">
        <f>IF(HistoricalStockProgress[[#This Row],[No. of Shares]]&lt;&gt;0,HistoricalStockProgress[[#This Row],[Price of Shares]]-HistoricalStockProgress[[#This Row],[Cost of Shares]]/HistoricalStockProgress[[#This Row],[No. of Shares]],0)</f>
        <v>18.431292513195942</v>
      </c>
      <c r="K1350" s="17">
        <f>IF(HistoricalStockProgress[[#This Row],[Total Price of Shares]]&lt;&gt;0,HistoricalStockProgress[[#This Row],[Total Price of Shares]]-HistoricalStockProgress[[#This Row],[Cost of Shares]],0)</f>
        <v>1621.9537411612419</v>
      </c>
      <c r="L1350" s="34" t="b" cm="1">
        <f t="array" ref="L1350">IFERROR(IF(HistoricalStockProgress[[#This Row],[Price of Shares]]="",_xlfn.STOCKHISTORY(HistoricalStockProgress[[#This Row],[Full Company Name]],HistoricalStockProgress[[#This Row],[Date]],,2,0,1)),0)</f>
        <v>0</v>
      </c>
      <c r="M1350" s="34">
        <f>YEAR(HistoricalStockProgress[[#This Row],[Date]])</f>
        <v>2022</v>
      </c>
      <c r="N1350" s="34">
        <f>MONTH(HistoricalStockProgress[[#This Row],[Date]])</f>
        <v>8</v>
      </c>
    </row>
    <row r="1351" spans="2:14">
      <c r="B1351" s="15">
        <v>44834</v>
      </c>
      <c r="C1351" s="34" t="s">
        <v>12</v>
      </c>
      <c r="D1351" s="34" t="e" vm="1">
        <f>_xlfn.XLOOKUP(HistoricalStockProgress[[#This Row],[Company Ticker]],CompanyDetailsList[Company Ticker],CompanyDetailsList[Official Name],,0)</f>
        <v>#VALUE!</v>
      </c>
      <c r="E13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13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1351" s="17">
        <f>IFERROR(HistoricalStockProgress[[#This Row],[Cost of Shares]]/HistoricalStockProgress[[#This Row],[No. of Shares]],0)</f>
        <v>63.845182519411239</v>
      </c>
      <c r="H1351" s="16" vm="1862">
        <v>58.2</v>
      </c>
      <c r="I1351" s="16">
        <f>IF(HistoricalStockProgress[[#This Row],[No. of Shares]]&lt;&gt;0,HistoricalStockProgress[[#This Row],[Price of Shares]]*HistoricalStockProgress[[#This Row],[No. of Shares]],0)</f>
        <v>3724.8</v>
      </c>
      <c r="J1351" s="16">
        <f>IF(HistoricalStockProgress[[#This Row],[No. of Shares]]&lt;&gt;0,HistoricalStockProgress[[#This Row],[Price of Shares]]-HistoricalStockProgress[[#This Row],[Cost of Shares]]/HistoricalStockProgress[[#This Row],[No. of Shares]],0)</f>
        <v>-5.6451825194112359</v>
      </c>
      <c r="K1351" s="17">
        <f>IF(HistoricalStockProgress[[#This Row],[Total Price of Shares]]&lt;&gt;0,HistoricalStockProgress[[#This Row],[Total Price of Shares]]-HistoricalStockProgress[[#This Row],[Cost of Shares]],0)</f>
        <v>-361.2916812423191</v>
      </c>
      <c r="L1351" s="34" t="b" cm="1">
        <f t="array" ref="L1351">IFERROR(IF(HistoricalStockProgress[[#This Row],[Price of Shares]]="",_xlfn.STOCKHISTORY(HistoricalStockProgress[[#This Row],[Full Company Name]],HistoricalStockProgress[[#This Row],[Date]],,2,0,1)),0)</f>
        <v>0</v>
      </c>
      <c r="M1351" s="34">
        <f>YEAR(HistoricalStockProgress[[#This Row],[Date]])</f>
        <v>2022</v>
      </c>
      <c r="N1351" s="34">
        <f>MONTH(HistoricalStockProgress[[#This Row],[Date]])</f>
        <v>9</v>
      </c>
    </row>
    <row r="1352" spans="2:14">
      <c r="B1352" s="15">
        <v>44834</v>
      </c>
      <c r="C1352" s="34" t="s">
        <v>14</v>
      </c>
      <c r="D1352" s="34" t="e" vm="2">
        <f>_xlfn.XLOOKUP(HistoricalStockProgress[[#This Row],[Company Ticker]],CompanyDetailsList[Company Ticker],CompanyDetailsList[Official Name],,0)</f>
        <v>#VALUE!</v>
      </c>
      <c r="E13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3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352" s="17">
        <f>IFERROR(HistoricalStockProgress[[#This Row],[Cost of Shares]]/HistoricalStockProgress[[#This Row],[No. of Shares]],0)</f>
        <v>31.580112511620161</v>
      </c>
      <c r="H1352" s="16" vm="1863">
        <v>31.85</v>
      </c>
      <c r="I1352" s="16">
        <f>IF(HistoricalStockProgress[[#This Row],[No. of Shares]]&lt;&gt;0,HistoricalStockProgress[[#This Row],[Price of Shares]]*HistoricalStockProgress[[#This Row],[No. of Shares]],0)</f>
        <v>891.80000000000007</v>
      </c>
      <c r="J1352" s="16">
        <f>IF(HistoricalStockProgress[[#This Row],[No. of Shares]]&lt;&gt;0,HistoricalStockProgress[[#This Row],[Price of Shares]]-HistoricalStockProgress[[#This Row],[Cost of Shares]]/HistoricalStockProgress[[#This Row],[No. of Shares]],0)</f>
        <v>0.26988748837984033</v>
      </c>
      <c r="K1352" s="17">
        <f>IF(HistoricalStockProgress[[#This Row],[Total Price of Shares]]&lt;&gt;0,HistoricalStockProgress[[#This Row],[Total Price of Shares]]-HistoricalStockProgress[[#This Row],[Cost of Shares]],0)</f>
        <v>7.5568496746356004</v>
      </c>
      <c r="L1352" s="34" t="b" cm="1">
        <f t="array" ref="L1352">IFERROR(IF(HistoricalStockProgress[[#This Row],[Price of Shares]]="",_xlfn.STOCKHISTORY(HistoricalStockProgress[[#This Row],[Full Company Name]],HistoricalStockProgress[[#This Row],[Date]],,2,0,1)),0)</f>
        <v>0</v>
      </c>
      <c r="M1352" s="34">
        <f>YEAR(HistoricalStockProgress[[#This Row],[Date]])</f>
        <v>2022</v>
      </c>
      <c r="N1352" s="34">
        <f>MONTH(HistoricalStockProgress[[#This Row],[Date]])</f>
        <v>9</v>
      </c>
    </row>
    <row r="1353" spans="2:14">
      <c r="B1353" s="15">
        <v>44834</v>
      </c>
      <c r="C1353" s="34" t="s">
        <v>19</v>
      </c>
      <c r="D1353" s="34" t="e" vm="3">
        <f>_xlfn.XLOOKUP(HistoricalStockProgress[[#This Row],[Company Ticker]],CompanyDetailsList[Company Ticker],CompanyDetailsList[Official Name],,0)</f>
        <v>#VALUE!</v>
      </c>
      <c r="E13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3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353" s="17">
        <f>IFERROR(HistoricalStockProgress[[#This Row],[Cost of Shares]]/HistoricalStockProgress[[#This Row],[No. of Shares]],0)</f>
        <v>158.45739987816083</v>
      </c>
      <c r="H1353" s="16" vm="1864">
        <v>128.38999999999999</v>
      </c>
      <c r="I1353" s="16">
        <f>IF(HistoricalStockProgress[[#This Row],[No. of Shares]]&lt;&gt;0,HistoricalStockProgress[[#This Row],[Price of Shares]]*HistoricalStockProgress[[#This Row],[No. of Shares]],0)</f>
        <v>7318.23</v>
      </c>
      <c r="J1353" s="16">
        <f>IF(HistoricalStockProgress[[#This Row],[No. of Shares]]&lt;&gt;0,HistoricalStockProgress[[#This Row],[Price of Shares]]-HistoricalStockProgress[[#This Row],[Cost of Shares]]/HistoricalStockProgress[[#This Row],[No. of Shares]],0)</f>
        <v>-30.067399878160842</v>
      </c>
      <c r="K1353" s="17">
        <f>IF(HistoricalStockProgress[[#This Row],[Total Price of Shares]]&lt;&gt;0,HistoricalStockProgress[[#This Row],[Total Price of Shares]]-HistoricalStockProgress[[#This Row],[Cost of Shares]],0)</f>
        <v>-1713.8417930551677</v>
      </c>
      <c r="L1353" s="34" t="b" cm="1">
        <f t="array" ref="L1353">IFERROR(IF(HistoricalStockProgress[[#This Row],[Price of Shares]]="",_xlfn.STOCKHISTORY(HistoricalStockProgress[[#This Row],[Full Company Name]],HistoricalStockProgress[[#This Row],[Date]],,2,0,1)),0)</f>
        <v>0</v>
      </c>
      <c r="M1353" s="34">
        <f>YEAR(HistoricalStockProgress[[#This Row],[Date]])</f>
        <v>2022</v>
      </c>
      <c r="N1353" s="34">
        <f>MONTH(HistoricalStockProgress[[#This Row],[Date]])</f>
        <v>9</v>
      </c>
    </row>
    <row r="1354" spans="2:14">
      <c r="B1354" s="15">
        <v>44834</v>
      </c>
      <c r="C1354" s="34" t="s">
        <v>23</v>
      </c>
      <c r="D1354" s="34" t="e" vm="4">
        <f>_xlfn.XLOOKUP(HistoricalStockProgress[[#This Row],[Company Ticker]],CompanyDetailsList[Company Ticker],CompanyDetailsList[Official Name],,0)</f>
        <v>#VALUE!</v>
      </c>
      <c r="E13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85</v>
      </c>
      <c r="F13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4210.4106468589489</v>
      </c>
      <c r="G1354" s="17">
        <f>IFERROR(HistoricalStockProgress[[#This Row],[Cost of Shares]]/HistoricalStockProgress[[#This Row],[No. of Shares]],0)</f>
        <v>49.534242904222928</v>
      </c>
      <c r="H1354" s="16" vm="1865">
        <v>56.02</v>
      </c>
      <c r="I1354" s="16">
        <f>IF(HistoricalStockProgress[[#This Row],[No. of Shares]]&lt;&gt;0,HistoricalStockProgress[[#This Row],[Price of Shares]]*HistoricalStockProgress[[#This Row],[No. of Shares]],0)</f>
        <v>4761.7</v>
      </c>
      <c r="J1354" s="16">
        <f>IF(HistoricalStockProgress[[#This Row],[No. of Shares]]&lt;&gt;0,HistoricalStockProgress[[#This Row],[Price of Shares]]-HistoricalStockProgress[[#This Row],[Cost of Shares]]/HistoricalStockProgress[[#This Row],[No. of Shares]],0)</f>
        <v>6.4857570957770747</v>
      </c>
      <c r="K1354" s="17">
        <f>IF(HistoricalStockProgress[[#This Row],[Total Price of Shares]]&lt;&gt;0,HistoricalStockProgress[[#This Row],[Total Price of Shares]]-HistoricalStockProgress[[#This Row],[Cost of Shares]],0)</f>
        <v>551.28935314105092</v>
      </c>
      <c r="L1354" s="34" t="b" cm="1">
        <f t="array" ref="L1354">IFERROR(IF(HistoricalStockProgress[[#This Row],[Price of Shares]]="",_xlfn.STOCKHISTORY(HistoricalStockProgress[[#This Row],[Full Company Name]],HistoricalStockProgress[[#This Row],[Date]],,2,0,1)),0)</f>
        <v>0</v>
      </c>
      <c r="M1354" s="34">
        <f>YEAR(HistoricalStockProgress[[#This Row],[Date]])</f>
        <v>2022</v>
      </c>
      <c r="N1354" s="34">
        <f>MONTH(HistoricalStockProgress[[#This Row],[Date]])</f>
        <v>9</v>
      </c>
    </row>
    <row r="1355" spans="2:14">
      <c r="B1355" s="15">
        <v>44834</v>
      </c>
      <c r="C1355" s="34" t="s">
        <v>18</v>
      </c>
      <c r="D1355" s="34" t="e" vm="5">
        <f>_xlfn.XLOOKUP(HistoricalStockProgress[[#This Row],[Company Ticker]],CompanyDetailsList[Company Ticker],CompanyDetailsList[Official Name],,0)</f>
        <v>#VALUE!</v>
      </c>
      <c r="E13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3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355" s="17">
        <f>IFERROR(HistoricalStockProgress[[#This Row],[Cost of Shares]]/HistoricalStockProgress[[#This Row],[No. of Shares]],0)</f>
        <v>160.8859607546234</v>
      </c>
      <c r="H1355" s="16" vm="1866">
        <v>163.26</v>
      </c>
      <c r="I1355" s="16">
        <f>IF(HistoricalStockProgress[[#This Row],[No. of Shares]]&lt;&gt;0,HistoricalStockProgress[[#This Row],[Price of Shares]]*HistoricalStockProgress[[#This Row],[No. of Shares]],0)</f>
        <v>7020.1799999999994</v>
      </c>
      <c r="J1355" s="16">
        <f>IF(HistoricalStockProgress[[#This Row],[No. of Shares]]&lt;&gt;0,HistoricalStockProgress[[#This Row],[Price of Shares]]-HistoricalStockProgress[[#This Row],[Cost of Shares]]/HistoricalStockProgress[[#This Row],[No. of Shares]],0)</f>
        <v>2.3740392453765935</v>
      </c>
      <c r="K1355" s="17">
        <f>IF(HistoricalStockProgress[[#This Row],[Total Price of Shares]]&lt;&gt;0,HistoricalStockProgress[[#This Row],[Total Price of Shares]]-HistoricalStockProgress[[#This Row],[Cost of Shares]],0)</f>
        <v>102.08368755119318</v>
      </c>
      <c r="L1355" s="34" t="b" cm="1">
        <f t="array" ref="L1355">IFERROR(IF(HistoricalStockProgress[[#This Row],[Price of Shares]]="",_xlfn.STOCKHISTORY(HistoricalStockProgress[[#This Row],[Full Company Name]],HistoricalStockProgress[[#This Row],[Date]],,2,0,1)),0)</f>
        <v>0</v>
      </c>
      <c r="M1355" s="34">
        <f>YEAR(HistoricalStockProgress[[#This Row],[Date]])</f>
        <v>2022</v>
      </c>
      <c r="N1355" s="34">
        <f>MONTH(HistoricalStockProgress[[#This Row],[Date]])</f>
        <v>9</v>
      </c>
    </row>
    <row r="1356" spans="2:14">
      <c r="B1356" s="15">
        <v>44834</v>
      </c>
      <c r="C1356" s="34" t="s">
        <v>21</v>
      </c>
      <c r="D1356" s="34" t="e" vm="6">
        <f>_xlfn.XLOOKUP(HistoricalStockProgress[[#This Row],[Company Ticker]],CompanyDetailsList[Company Ticker],CompanyDetailsList[Official Name],,0)</f>
        <v>#VALUE!</v>
      </c>
      <c r="E13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3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356" s="17">
        <f>IFERROR(HistoricalStockProgress[[#This Row],[Cost of Shares]]/HistoricalStockProgress[[#This Row],[No. of Shares]],0)</f>
        <v>139.68700010204148</v>
      </c>
      <c r="H1356" s="16" vm="1867">
        <v>126.25</v>
      </c>
      <c r="I1356" s="16">
        <f>IF(HistoricalStockProgress[[#This Row],[No. of Shares]]&lt;&gt;0,HistoricalStockProgress[[#This Row],[Price of Shares]]*HistoricalStockProgress[[#This Row],[No. of Shares]],0)</f>
        <v>5302.5</v>
      </c>
      <c r="J1356" s="16">
        <f>IF(HistoricalStockProgress[[#This Row],[No. of Shares]]&lt;&gt;0,HistoricalStockProgress[[#This Row],[Price of Shares]]-HistoricalStockProgress[[#This Row],[Cost of Shares]]/HistoricalStockProgress[[#This Row],[No. of Shares]],0)</f>
        <v>-13.43700010204148</v>
      </c>
      <c r="K1356" s="17">
        <f>IF(HistoricalStockProgress[[#This Row],[Total Price of Shares]]&lt;&gt;0,HistoricalStockProgress[[#This Row],[Total Price of Shares]]-HistoricalStockProgress[[#This Row],[Cost of Shares]],0)</f>
        <v>-564.35400428574212</v>
      </c>
      <c r="L1356" s="34" t="b" cm="1">
        <f t="array" ref="L1356">IFERROR(IF(HistoricalStockProgress[[#This Row],[Price of Shares]]="",_xlfn.STOCKHISTORY(HistoricalStockProgress[[#This Row],[Full Company Name]],HistoricalStockProgress[[#This Row],[Date]],,2,0,1)),0)</f>
        <v>0</v>
      </c>
      <c r="M1356" s="34">
        <f>YEAR(HistoricalStockProgress[[#This Row],[Date]])</f>
        <v>2022</v>
      </c>
      <c r="N1356" s="34">
        <f>MONTH(HistoricalStockProgress[[#This Row],[Date]])</f>
        <v>9</v>
      </c>
    </row>
    <row r="1357" spans="2:14">
      <c r="B1357" s="15">
        <v>44834</v>
      </c>
      <c r="C1357" s="34" t="s">
        <v>84</v>
      </c>
      <c r="D1357" s="34" t="e" vm="7">
        <f>_xlfn.XLOOKUP(HistoricalStockProgress[[#This Row],[Company Ticker]],CompanyDetailsList[Company Ticker],CompanyDetailsList[Official Name],,0)</f>
        <v>#VALUE!</v>
      </c>
      <c r="E13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3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357" s="17">
        <f>IFERROR(HistoricalStockProgress[[#This Row],[Cost of Shares]]/HistoricalStockProgress[[#This Row],[No. of Shares]],0)</f>
        <v>104.18087504950869</v>
      </c>
      <c r="H1357" s="16" vm="1868">
        <v>163.36000000000001</v>
      </c>
      <c r="I1357" s="16">
        <f>IF(HistoricalStockProgress[[#This Row],[No. of Shares]]&lt;&gt;0,HistoricalStockProgress[[#This Row],[Price of Shares]]*HistoricalStockProgress[[#This Row],[No. of Shares]],0)</f>
        <v>8331.36</v>
      </c>
      <c r="J1357" s="16">
        <f>IF(HistoricalStockProgress[[#This Row],[No. of Shares]]&lt;&gt;0,HistoricalStockProgress[[#This Row],[Price of Shares]]-HistoricalStockProgress[[#This Row],[Cost of Shares]]/HistoricalStockProgress[[#This Row],[No. of Shares]],0)</f>
        <v>59.179124950491328</v>
      </c>
      <c r="K1357" s="17">
        <f>IF(HistoricalStockProgress[[#This Row],[Total Price of Shares]]&lt;&gt;0,HistoricalStockProgress[[#This Row],[Total Price of Shares]]-HistoricalStockProgress[[#This Row],[Cost of Shares]],0)</f>
        <v>3018.1353724750579</v>
      </c>
      <c r="L1357" s="34" t="b" cm="1">
        <f t="array" ref="L1357">IFERROR(IF(HistoricalStockProgress[[#This Row],[Price of Shares]]="",_xlfn.STOCKHISTORY(HistoricalStockProgress[[#This Row],[Full Company Name]],HistoricalStockProgress[[#This Row],[Date]],,2,0,1)),0)</f>
        <v>0</v>
      </c>
      <c r="M1357" s="34">
        <f>YEAR(HistoricalStockProgress[[#This Row],[Date]])</f>
        <v>2022</v>
      </c>
      <c r="N1357" s="34">
        <f>MONTH(HistoricalStockProgress[[#This Row],[Date]])</f>
        <v>9</v>
      </c>
    </row>
    <row r="1358" spans="2:14">
      <c r="B1358" s="15">
        <v>44834</v>
      </c>
      <c r="C1358" s="34" t="s">
        <v>86</v>
      </c>
      <c r="D1358" s="34" t="e" vm="8">
        <f>_xlfn.XLOOKUP(HistoricalStockProgress[[#This Row],[Company Ticker]],CompanyDetailsList[Company Ticker],CompanyDetailsList[Official Name],,0)</f>
        <v>#VALUE!</v>
      </c>
      <c r="E13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3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358" s="17">
        <f>IFERROR(HistoricalStockProgress[[#This Row],[Cost of Shares]]/HistoricalStockProgress[[#This Row],[No. of Shares]],0)</f>
        <v>92.636161128673535</v>
      </c>
      <c r="H1358" s="16" vm="1869">
        <v>134.21</v>
      </c>
      <c r="I1358" s="16">
        <f>IF(HistoricalStockProgress[[#This Row],[No. of Shares]]&lt;&gt;0,HistoricalStockProgress[[#This Row],[Price of Shares]]*HistoricalStockProgress[[#This Row],[No. of Shares]],0)</f>
        <v>15299.94</v>
      </c>
      <c r="J1358" s="16">
        <f>IF(HistoricalStockProgress[[#This Row],[No. of Shares]]&lt;&gt;0,HistoricalStockProgress[[#This Row],[Price of Shares]]-HistoricalStockProgress[[#This Row],[Cost of Shares]]/HistoricalStockProgress[[#This Row],[No. of Shares]],0)</f>
        <v>41.573838871326473</v>
      </c>
      <c r="K1358" s="17">
        <f>IF(HistoricalStockProgress[[#This Row],[Total Price of Shares]]&lt;&gt;0,HistoricalStockProgress[[#This Row],[Total Price of Shares]]-HistoricalStockProgress[[#This Row],[Cost of Shares]],0)</f>
        <v>4739.4176313312182</v>
      </c>
      <c r="L1358" s="34" t="b" cm="1">
        <f t="array" ref="L1358">IFERROR(IF(HistoricalStockProgress[[#This Row],[Price of Shares]]="",_xlfn.STOCKHISTORY(HistoricalStockProgress[[#This Row],[Full Company Name]],HistoricalStockProgress[[#This Row],[Date]],,2,0,1)),0)</f>
        <v>0</v>
      </c>
      <c r="M1358" s="34">
        <f>YEAR(HistoricalStockProgress[[#This Row],[Date]])</f>
        <v>2022</v>
      </c>
      <c r="N1358" s="34">
        <f>MONTH(HistoricalStockProgress[[#This Row],[Date]])</f>
        <v>9</v>
      </c>
    </row>
    <row r="1359" spans="2:14">
      <c r="B1359" s="15">
        <v>44834</v>
      </c>
      <c r="C1359" s="34" t="s">
        <v>88</v>
      </c>
      <c r="D1359" s="34" t="e" vm="9">
        <f>_xlfn.XLOOKUP(HistoricalStockProgress[[#This Row],[Company Ticker]],CompanyDetailsList[Company Ticker],CompanyDetailsList[Official Name],,0)</f>
        <v>#VALUE!</v>
      </c>
      <c r="E13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3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359" s="17">
        <f>IFERROR(HistoricalStockProgress[[#This Row],[Cost of Shares]]/HistoricalStockProgress[[#This Row],[No. of Shares]],0)</f>
        <v>187.727755253422</v>
      </c>
      <c r="H1359" s="16" vm="1870">
        <v>230.74</v>
      </c>
      <c r="I1359" s="16">
        <f>IF(HistoricalStockProgress[[#This Row],[No. of Shares]]&lt;&gt;0,HistoricalStockProgress[[#This Row],[Price of Shares]]*HistoricalStockProgress[[#This Row],[No. of Shares]],0)</f>
        <v>13613.66</v>
      </c>
      <c r="J1359" s="16">
        <f>IF(HistoricalStockProgress[[#This Row],[No. of Shares]]&lt;&gt;0,HistoricalStockProgress[[#This Row],[Price of Shares]]-HistoricalStockProgress[[#This Row],[Cost of Shares]]/HistoricalStockProgress[[#This Row],[No. of Shares]],0)</f>
        <v>43.012244746578006</v>
      </c>
      <c r="K1359" s="17">
        <f>IF(HistoricalStockProgress[[#This Row],[Total Price of Shares]]&lt;&gt;0,HistoricalStockProgress[[#This Row],[Total Price of Shares]]-HistoricalStockProgress[[#This Row],[Cost of Shares]],0)</f>
        <v>2537.7224400481009</v>
      </c>
      <c r="L1359" s="34" t="b" cm="1">
        <f t="array" ref="L1359">IFERROR(IF(HistoricalStockProgress[[#This Row],[Price of Shares]]="",_xlfn.STOCKHISTORY(HistoricalStockProgress[[#This Row],[Full Company Name]],HistoricalStockProgress[[#This Row],[Date]],,2,0,1)),0)</f>
        <v>0</v>
      </c>
      <c r="M1359" s="34">
        <f>YEAR(HistoricalStockProgress[[#This Row],[Date]])</f>
        <v>2022</v>
      </c>
      <c r="N1359" s="34">
        <f>MONTH(HistoricalStockProgress[[#This Row],[Date]])</f>
        <v>9</v>
      </c>
    </row>
    <row r="1360" spans="2:14">
      <c r="B1360" s="15">
        <v>44834</v>
      </c>
      <c r="C1360" s="34" t="s">
        <v>22</v>
      </c>
      <c r="D1360" s="34" t="e" vm="10">
        <f>_xlfn.XLOOKUP(HistoricalStockProgress[[#This Row],[Company Ticker]],CompanyDetailsList[Company Ticker],CompanyDetailsList[Official Name],,0)</f>
        <v>#VALUE!</v>
      </c>
      <c r="E13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13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13175.976249073738</v>
      </c>
      <c r="G1360" s="17">
        <f>IFERROR(HistoricalStockProgress[[#This Row],[Cost of Shares]]/HistoricalStockProgress[[#This Row],[No. of Shares]],0)</f>
        <v>124.30166272711074</v>
      </c>
      <c r="H1360" s="16" vm="1871">
        <v>164.08</v>
      </c>
      <c r="I1360" s="16">
        <f>IF(HistoricalStockProgress[[#This Row],[No. of Shares]]&lt;&gt;0,HistoricalStockProgress[[#This Row],[Price of Shares]]*HistoricalStockProgress[[#This Row],[No. of Shares]],0)</f>
        <v>17392.48</v>
      </c>
      <c r="J1360" s="16">
        <f>IF(HistoricalStockProgress[[#This Row],[No. of Shares]]&lt;&gt;0,HistoricalStockProgress[[#This Row],[Price of Shares]]-HistoricalStockProgress[[#This Row],[Cost of Shares]]/HistoricalStockProgress[[#This Row],[No. of Shares]],0)</f>
        <v>39.778337272889274</v>
      </c>
      <c r="K1360" s="17">
        <f>IF(HistoricalStockProgress[[#This Row],[Total Price of Shares]]&lt;&gt;0,HistoricalStockProgress[[#This Row],[Total Price of Shares]]-HistoricalStockProgress[[#This Row],[Cost of Shares]],0)</f>
        <v>4216.503750926262</v>
      </c>
      <c r="L1360" s="34" t="b" cm="1">
        <f t="array" ref="L1360">IFERROR(IF(HistoricalStockProgress[[#This Row],[Price of Shares]]="",_xlfn.STOCKHISTORY(HistoricalStockProgress[[#This Row],[Full Company Name]],HistoricalStockProgress[[#This Row],[Date]],,2,0,1)),0)</f>
        <v>0</v>
      </c>
      <c r="M1360" s="34">
        <f>YEAR(HistoricalStockProgress[[#This Row],[Date]])</f>
        <v>2022</v>
      </c>
      <c r="N1360" s="34">
        <f>MONTH(HistoricalStockProgress[[#This Row],[Date]])</f>
        <v>9</v>
      </c>
    </row>
    <row r="1361" spans="2:14">
      <c r="B1361" s="15">
        <v>44834</v>
      </c>
      <c r="C1361" s="34" t="s">
        <v>91</v>
      </c>
      <c r="D1361" s="34" t="e" vm="11">
        <f>_xlfn.XLOOKUP(HistoricalStockProgress[[#This Row],[Company Ticker]],CompanyDetailsList[Company Ticker],CompanyDetailsList[Official Name],,0)</f>
        <v>#VALUE!</v>
      </c>
      <c r="E13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176</v>
      </c>
      <c r="F13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22591.11028368511</v>
      </c>
      <c r="G1361" s="17">
        <f>IFERROR(HistoricalStockProgress[[#This Row],[Cost of Shares]]/HistoricalStockProgress[[#This Row],[No. of Shares]],0)</f>
        <v>128.35858115730176</v>
      </c>
      <c r="H1361" s="16" vm="1872">
        <v>232.9</v>
      </c>
      <c r="I1361" s="16">
        <f>IF(HistoricalStockProgress[[#This Row],[No. of Shares]]&lt;&gt;0,HistoricalStockProgress[[#This Row],[Price of Shares]]*HistoricalStockProgress[[#This Row],[No. of Shares]],0)</f>
        <v>40990.400000000001</v>
      </c>
      <c r="J1361" s="16">
        <f>IF(HistoricalStockProgress[[#This Row],[No. of Shares]]&lt;&gt;0,HistoricalStockProgress[[#This Row],[Price of Shares]]-HistoricalStockProgress[[#This Row],[Cost of Shares]]/HistoricalStockProgress[[#This Row],[No. of Shares]],0)</f>
        <v>104.54141884269825</v>
      </c>
      <c r="K1361" s="17">
        <f>IF(HistoricalStockProgress[[#This Row],[Total Price of Shares]]&lt;&gt;0,HistoricalStockProgress[[#This Row],[Total Price of Shares]]-HistoricalStockProgress[[#This Row],[Cost of Shares]],0)</f>
        <v>18399.289716314892</v>
      </c>
      <c r="L1361" s="34" t="b" cm="1">
        <f t="array" ref="L1361">IFERROR(IF(HistoricalStockProgress[[#This Row],[Price of Shares]]="",_xlfn.STOCKHISTORY(HistoricalStockProgress[[#This Row],[Full Company Name]],HistoricalStockProgress[[#This Row],[Date]],,2,0,1)),0)</f>
        <v>0</v>
      </c>
      <c r="M1361" s="34">
        <f>YEAR(HistoricalStockProgress[[#This Row],[Date]])</f>
        <v>2022</v>
      </c>
      <c r="N1361" s="34">
        <f>MONTH(HistoricalStockProgress[[#This Row],[Date]])</f>
        <v>9</v>
      </c>
    </row>
    <row r="1362" spans="2:14">
      <c r="B1362" s="15">
        <v>44834</v>
      </c>
      <c r="C1362" s="34" t="s">
        <v>16</v>
      </c>
      <c r="D1362" s="34" t="e" vm="12">
        <f>_xlfn.XLOOKUP(HistoricalStockProgress[[#This Row],[Company Ticker]],CompanyDetailsList[Company Ticker],CompanyDetailsList[Official Name],,0)</f>
        <v>#VALUE!</v>
      </c>
      <c r="E13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3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362" s="17">
        <f>IFERROR(HistoricalStockProgress[[#This Row],[Cost of Shares]]/HistoricalStockProgress[[#This Row],[No. of Shares]],0)</f>
        <v>75.117698177311837</v>
      </c>
      <c r="H1362" s="16" vm="1873">
        <v>87.31</v>
      </c>
      <c r="I1362" s="16">
        <f>IF(HistoricalStockProgress[[#This Row],[No. of Shares]]&lt;&gt;0,HistoricalStockProgress[[#This Row],[Price of Shares]]*HistoricalStockProgress[[#This Row],[No. of Shares]],0)</f>
        <v>16152.35</v>
      </c>
      <c r="J1362" s="16">
        <f>IF(HistoricalStockProgress[[#This Row],[No. of Shares]]&lt;&gt;0,HistoricalStockProgress[[#This Row],[Price of Shares]]-HistoricalStockProgress[[#This Row],[Cost of Shares]]/HistoricalStockProgress[[#This Row],[No. of Shares]],0)</f>
        <v>12.192301822688165</v>
      </c>
      <c r="K1362" s="17">
        <f>IF(HistoricalStockProgress[[#This Row],[Total Price of Shares]]&lt;&gt;0,HistoricalStockProgress[[#This Row],[Total Price of Shares]]-HistoricalStockProgress[[#This Row],[Cost of Shares]],0)</f>
        <v>2255.5758371973116</v>
      </c>
      <c r="L1362" s="34" t="b" cm="1">
        <f t="array" ref="L1362">IFERROR(IF(HistoricalStockProgress[[#This Row],[Price of Shares]]="",_xlfn.STOCKHISTORY(HistoricalStockProgress[[#This Row],[Full Company Name]],HistoricalStockProgress[[#This Row],[Date]],,2,0,1)),0)</f>
        <v>0</v>
      </c>
      <c r="M1362" s="34">
        <f>YEAR(HistoricalStockProgress[[#This Row],[Date]])</f>
        <v>2022</v>
      </c>
      <c r="N1362" s="34">
        <f>MONTH(HistoricalStockProgress[[#This Row],[Date]])</f>
        <v>9</v>
      </c>
    </row>
    <row r="1363" spans="2:14">
      <c r="B1363" s="15">
        <v>44834</v>
      </c>
      <c r="C1363" s="34" t="s">
        <v>95</v>
      </c>
      <c r="D1363" s="34" t="e" vm="13">
        <f>_xlfn.XLOOKUP(HistoricalStockProgress[[#This Row],[Company Ticker]],CompanyDetailsList[Company Ticker],CompanyDetailsList[Official Name],,0)</f>
        <v>#VALUE!</v>
      </c>
      <c r="E13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13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26060.016778018562</v>
      </c>
      <c r="G1363" s="17">
        <f>IFERROR(HistoricalStockProgress[[#This Row],[Cost of Shares]]/HistoricalStockProgress[[#This Row],[No. of Shares]],0)</f>
        <v>234.77492592809514</v>
      </c>
      <c r="H1363" s="16" vm="1874">
        <v>275.94</v>
      </c>
      <c r="I1363" s="16">
        <f>IF(HistoricalStockProgress[[#This Row],[No. of Shares]]&lt;&gt;0,HistoricalStockProgress[[#This Row],[Price of Shares]]*HistoricalStockProgress[[#This Row],[No. of Shares]],0)</f>
        <v>30629.34</v>
      </c>
      <c r="J1363" s="16">
        <f>IF(HistoricalStockProgress[[#This Row],[No. of Shares]]&lt;&gt;0,HistoricalStockProgress[[#This Row],[Price of Shares]]-HistoricalStockProgress[[#This Row],[Cost of Shares]]/HistoricalStockProgress[[#This Row],[No. of Shares]],0)</f>
        <v>41.165074071904854</v>
      </c>
      <c r="K1363" s="17">
        <f>IF(HistoricalStockProgress[[#This Row],[Total Price of Shares]]&lt;&gt;0,HistoricalStockProgress[[#This Row],[Total Price of Shares]]-HistoricalStockProgress[[#This Row],[Cost of Shares]],0)</f>
        <v>4569.3232219814381</v>
      </c>
      <c r="L1363" s="34" t="b" cm="1">
        <f t="array" ref="L1363">IFERROR(IF(HistoricalStockProgress[[#This Row],[Price of Shares]]="",_xlfn.STOCKHISTORY(HistoricalStockProgress[[#This Row],[Full Company Name]],HistoricalStockProgress[[#This Row],[Date]],,2,0,1)),0)</f>
        <v>0</v>
      </c>
      <c r="M1363" s="34">
        <f>YEAR(HistoricalStockProgress[[#This Row],[Date]])</f>
        <v>2022</v>
      </c>
      <c r="N1363" s="34">
        <f>MONTH(HistoricalStockProgress[[#This Row],[Date]])</f>
        <v>9</v>
      </c>
    </row>
    <row r="1364" spans="2:14">
      <c r="B1364" s="15">
        <v>44834</v>
      </c>
      <c r="C1364" s="34" t="s">
        <v>17</v>
      </c>
      <c r="D1364" s="34" t="e" vm="14">
        <f>_xlfn.XLOOKUP(HistoricalStockProgress[[#This Row],[Company Ticker]],CompanyDetailsList[Company Ticker],CompanyDetailsList[Official Name],,0)</f>
        <v>#VALUE!</v>
      </c>
      <c r="E13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3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26400.485099161626</v>
      </c>
      <c r="G1364" s="17">
        <f>IFERROR(HistoricalStockProgress[[#This Row],[Cost of Shares]]/HistoricalStockProgress[[#This Row],[No. of Shares]],0)</f>
        <v>136.08497473794654</v>
      </c>
      <c r="H1364" s="16" vm="1875">
        <v>118.81</v>
      </c>
      <c r="I1364" s="16">
        <f>IF(HistoricalStockProgress[[#This Row],[No. of Shares]]&lt;&gt;0,HistoricalStockProgress[[#This Row],[Price of Shares]]*HistoricalStockProgress[[#This Row],[No. of Shares]],0)</f>
        <v>23049.14</v>
      </c>
      <c r="J1364" s="16">
        <f>IF(HistoricalStockProgress[[#This Row],[No. of Shares]]&lt;&gt;0,HistoricalStockProgress[[#This Row],[Price of Shares]]-HistoricalStockProgress[[#This Row],[Cost of Shares]]/HistoricalStockProgress[[#This Row],[No. of Shares]],0)</f>
        <v>-17.274974737946536</v>
      </c>
      <c r="K1364" s="17">
        <f>IF(HistoricalStockProgress[[#This Row],[Total Price of Shares]]&lt;&gt;0,HistoricalStockProgress[[#This Row],[Total Price of Shares]]-HistoricalStockProgress[[#This Row],[Cost of Shares]],0)</f>
        <v>-3351.3450991616264</v>
      </c>
      <c r="L1364" s="34" t="b" cm="1">
        <f t="array" ref="L1364">IFERROR(IF(HistoricalStockProgress[[#This Row],[Price of Shares]]="",_xlfn.STOCKHISTORY(HistoricalStockProgress[[#This Row],[Full Company Name]],HistoricalStockProgress[[#This Row],[Date]],,2,0,1)),0)</f>
        <v>0</v>
      </c>
      <c r="M1364" s="34">
        <f>YEAR(HistoricalStockProgress[[#This Row],[Date]])</f>
        <v>2022</v>
      </c>
      <c r="N1364" s="34">
        <f>MONTH(HistoricalStockProgress[[#This Row],[Date]])</f>
        <v>9</v>
      </c>
    </row>
    <row r="1365" spans="2:14">
      <c r="B1365" s="15">
        <v>44834</v>
      </c>
      <c r="C1365" s="34" t="s">
        <v>98</v>
      </c>
      <c r="D1365" s="34" t="e" vm="15">
        <f>_xlfn.XLOOKUP(HistoricalStockProgress[[#This Row],[Company Ticker]],CompanyDetailsList[Company Ticker],CompanyDetailsList[Official Name],,0)</f>
        <v>#VALUE!</v>
      </c>
      <c r="E13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108</v>
      </c>
      <c r="F13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5486.2959177385774</v>
      </c>
      <c r="G1365" s="17">
        <f>IFERROR(HistoricalStockProgress[[#This Row],[Cost of Shares]]/HistoricalStockProgress[[#This Row],[No. of Shares]],0)</f>
        <v>50.799036275357196</v>
      </c>
      <c r="H1365" s="16" vm="1256">
        <v>78.41</v>
      </c>
      <c r="I1365" s="16">
        <f>IF(HistoricalStockProgress[[#This Row],[No. of Shares]]&lt;&gt;0,HistoricalStockProgress[[#This Row],[Price of Shares]]*HistoricalStockProgress[[#This Row],[No. of Shares]],0)</f>
        <v>8468.2799999999988</v>
      </c>
      <c r="J1365" s="16">
        <f>IF(HistoricalStockProgress[[#This Row],[No. of Shares]]&lt;&gt;0,HistoricalStockProgress[[#This Row],[Price of Shares]]-HistoricalStockProgress[[#This Row],[Cost of Shares]]/HistoricalStockProgress[[#This Row],[No. of Shares]],0)</f>
        <v>27.610963724642801</v>
      </c>
      <c r="K1365" s="17">
        <f>IF(HistoricalStockProgress[[#This Row],[Total Price of Shares]]&lt;&gt;0,HistoricalStockProgress[[#This Row],[Total Price of Shares]]-HistoricalStockProgress[[#This Row],[Cost of Shares]],0)</f>
        <v>2981.9840822614215</v>
      </c>
      <c r="L1365" s="34" t="b" cm="1">
        <f t="array" ref="L1365">IFERROR(IF(HistoricalStockProgress[[#This Row],[Price of Shares]]="",_xlfn.STOCKHISTORY(HistoricalStockProgress[[#This Row],[Full Company Name]],HistoricalStockProgress[[#This Row],[Date]],,2,0,1)),0)</f>
        <v>0</v>
      </c>
      <c r="M1365" s="34">
        <f>YEAR(HistoricalStockProgress[[#This Row],[Date]])</f>
        <v>2022</v>
      </c>
      <c r="N1365" s="34">
        <f>MONTH(HistoricalStockProgress[[#This Row],[Date]])</f>
        <v>9</v>
      </c>
    </row>
    <row r="1366" spans="2:14">
      <c r="B1366" s="15">
        <v>44834</v>
      </c>
      <c r="C1366" s="34" t="s">
        <v>100</v>
      </c>
      <c r="D1366" s="34" t="e" vm="16">
        <f>_xlfn.XLOOKUP(HistoricalStockProgress[[#This Row],[Company Ticker]],CompanyDetailsList[Company Ticker],CompanyDetailsList[Official Name],,0)</f>
        <v>#VALUE!</v>
      </c>
      <c r="E13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13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12257.793853370842</v>
      </c>
      <c r="G1366" s="17">
        <f>IFERROR(HistoricalStockProgress[[#This Row],[Cost of Shares]]/HistoricalStockProgress[[#This Row],[No. of Shares]],0)</f>
        <v>87.555670381220295</v>
      </c>
      <c r="H1366" s="16" vm="1876">
        <v>93.02</v>
      </c>
      <c r="I1366" s="16">
        <f>IF(HistoricalStockProgress[[#This Row],[No. of Shares]]&lt;&gt;0,HistoricalStockProgress[[#This Row],[Price of Shares]]*HistoricalStockProgress[[#This Row],[No. of Shares]],0)</f>
        <v>13022.8</v>
      </c>
      <c r="J1366" s="16">
        <f>IF(HistoricalStockProgress[[#This Row],[No. of Shares]]&lt;&gt;0,HistoricalStockProgress[[#This Row],[Price of Shares]]-HistoricalStockProgress[[#This Row],[Cost of Shares]]/HistoricalStockProgress[[#This Row],[No. of Shares]],0)</f>
        <v>5.4643296187797006</v>
      </c>
      <c r="K1366" s="17">
        <f>IF(HistoricalStockProgress[[#This Row],[Total Price of Shares]]&lt;&gt;0,HistoricalStockProgress[[#This Row],[Total Price of Shares]]-HistoricalStockProgress[[#This Row],[Cost of Shares]],0)</f>
        <v>765.00614662915723</v>
      </c>
      <c r="L1366" s="34" t="b" cm="1">
        <f t="array" ref="L1366">IFERROR(IF(HistoricalStockProgress[[#This Row],[Price of Shares]]="",_xlfn.STOCKHISTORY(HistoricalStockProgress[[#This Row],[Full Company Name]],HistoricalStockProgress[[#This Row],[Date]],,2,0,1)),0)</f>
        <v>0</v>
      </c>
      <c r="M1366" s="34">
        <f>YEAR(HistoricalStockProgress[[#This Row],[Date]])</f>
        <v>2022</v>
      </c>
      <c r="N1366" s="34">
        <f>MONTH(HistoricalStockProgress[[#This Row],[Date]])</f>
        <v>9</v>
      </c>
    </row>
    <row r="1367" spans="2:14">
      <c r="B1367" s="15">
        <v>44834</v>
      </c>
      <c r="C1367" s="34" t="s">
        <v>15</v>
      </c>
      <c r="D1367" s="34" t="e" vm="17">
        <f>_xlfn.XLOOKUP(HistoricalStockProgress[[#This Row],[Company Ticker]],CompanyDetailsList[Company Ticker],CompanyDetailsList[Official Name],,0)</f>
        <v>#VALUE!</v>
      </c>
      <c r="E13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3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367" s="17">
        <f>IFERROR(HistoricalStockProgress[[#This Row],[Cost of Shares]]/HistoricalStockProgress[[#This Row],[No. of Shares]],0)</f>
        <v>26.081956457072195</v>
      </c>
      <c r="H1367" s="16" vm="1877">
        <v>15.34</v>
      </c>
      <c r="I1367" s="16">
        <f>IF(HistoricalStockProgress[[#This Row],[No. of Shares]]&lt;&gt;0,HistoricalStockProgress[[#This Row],[Price of Shares]]*HistoricalStockProgress[[#This Row],[No. of Shares]],0)</f>
        <v>1902.16</v>
      </c>
      <c r="J1367" s="16">
        <f>IF(HistoricalStockProgress[[#This Row],[No. of Shares]]&lt;&gt;0,HistoricalStockProgress[[#This Row],[Price of Shares]]-HistoricalStockProgress[[#This Row],[Cost of Shares]]/HistoricalStockProgress[[#This Row],[No. of Shares]],0)</f>
        <v>-10.741956457072195</v>
      </c>
      <c r="K1367" s="17">
        <f>IF(HistoricalStockProgress[[#This Row],[Total Price of Shares]]&lt;&gt;0,HistoricalStockProgress[[#This Row],[Total Price of Shares]]-HistoricalStockProgress[[#This Row],[Cost of Shares]],0)</f>
        <v>-1332.0026006769519</v>
      </c>
      <c r="L1367" s="34" t="b" cm="1">
        <f t="array" ref="L1367">IFERROR(IF(HistoricalStockProgress[[#This Row],[Price of Shares]]="",_xlfn.STOCKHISTORY(HistoricalStockProgress[[#This Row],[Full Company Name]],HistoricalStockProgress[[#This Row],[Date]],,2,0,1)),0)</f>
        <v>0</v>
      </c>
      <c r="M1367" s="34">
        <f>YEAR(HistoricalStockProgress[[#This Row],[Date]])</f>
        <v>2022</v>
      </c>
      <c r="N1367" s="34">
        <f>MONTH(HistoricalStockProgress[[#This Row],[Date]])</f>
        <v>9</v>
      </c>
    </row>
    <row r="1368" spans="2:14">
      <c r="B1368" s="15">
        <v>44834</v>
      </c>
      <c r="C1368" s="34" t="s">
        <v>13</v>
      </c>
      <c r="D1368" s="34" t="e" vm="18">
        <f>_xlfn.XLOOKUP(HistoricalStockProgress[[#This Row],[Company Ticker]],CompanyDetailsList[Company Ticker],CompanyDetailsList[Official Name],,0)</f>
        <v>#VALUE!</v>
      </c>
      <c r="E13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3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368" s="17">
        <f>IFERROR(HistoricalStockProgress[[#This Row],[Cost of Shares]]/HistoricalStockProgress[[#This Row],[No. of Shares]],0)</f>
        <v>35.846938938346874</v>
      </c>
      <c r="H1368" s="16" vm="1878">
        <v>43.76</v>
      </c>
      <c r="I1368" s="16">
        <f>IF(HistoricalStockProgress[[#This Row],[No. of Shares]]&lt;&gt;0,HistoricalStockProgress[[#This Row],[Price of Shares]]*HistoricalStockProgress[[#This Row],[No. of Shares]],0)</f>
        <v>2406.7999999999997</v>
      </c>
      <c r="J1368" s="16">
        <f>IF(HistoricalStockProgress[[#This Row],[No. of Shares]]&lt;&gt;0,HistoricalStockProgress[[#This Row],[Price of Shares]]-HistoricalStockProgress[[#This Row],[Cost of Shares]]/HistoricalStockProgress[[#This Row],[No. of Shares]],0)</f>
        <v>7.9130610616531243</v>
      </c>
      <c r="K1368" s="17">
        <f>IF(HistoricalStockProgress[[#This Row],[Total Price of Shares]]&lt;&gt;0,HistoricalStockProgress[[#This Row],[Total Price of Shares]]-HistoricalStockProgress[[#This Row],[Cost of Shares]],0)</f>
        <v>435.21835839092159</v>
      </c>
      <c r="L1368" s="34" t="b" cm="1">
        <f t="array" ref="L1368">IFERROR(IF(HistoricalStockProgress[[#This Row],[Price of Shares]]="",_xlfn.STOCKHISTORY(HistoricalStockProgress[[#This Row],[Full Company Name]],HistoricalStockProgress[[#This Row],[Date]],,2,0,1)),0)</f>
        <v>0</v>
      </c>
      <c r="M1368" s="34">
        <f>YEAR(HistoricalStockProgress[[#This Row],[Date]])</f>
        <v>2022</v>
      </c>
      <c r="N1368" s="34">
        <f>MONTH(HistoricalStockProgress[[#This Row],[Date]])</f>
        <v>9</v>
      </c>
    </row>
    <row r="1369" spans="2:14">
      <c r="B1369" s="15">
        <v>44834</v>
      </c>
      <c r="C1369" s="34" t="s">
        <v>20</v>
      </c>
      <c r="D1369" s="34" t="e" vm="19">
        <f>_xlfn.XLOOKUP(HistoricalStockProgress[[#This Row],[Company Ticker]],CompanyDetailsList[Company Ticker],CompanyDetailsList[Official Name],,0)</f>
        <v>#VALUE!</v>
      </c>
      <c r="E13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93</v>
      </c>
      <c r="F13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9585.7274858109122</v>
      </c>
      <c r="G1369" s="17">
        <f>IFERROR(HistoricalStockProgress[[#This Row],[Cost of Shares]]/HistoricalStockProgress[[#This Row],[No. of Shares]],0)</f>
        <v>103.07233855710658</v>
      </c>
      <c r="H1369" s="16" vm="1879">
        <v>104.5</v>
      </c>
      <c r="I1369" s="16">
        <f>IF(HistoricalStockProgress[[#This Row],[No. of Shares]]&lt;&gt;0,HistoricalStockProgress[[#This Row],[Price of Shares]]*HistoricalStockProgress[[#This Row],[No. of Shares]],0)</f>
        <v>9718.5</v>
      </c>
      <c r="J1369" s="16">
        <f>IF(HistoricalStockProgress[[#This Row],[No. of Shares]]&lt;&gt;0,HistoricalStockProgress[[#This Row],[Price of Shares]]-HistoricalStockProgress[[#This Row],[Cost of Shares]]/HistoricalStockProgress[[#This Row],[No. of Shares]],0)</f>
        <v>1.4276614428934238</v>
      </c>
      <c r="K1369" s="17">
        <f>IF(HistoricalStockProgress[[#This Row],[Total Price of Shares]]&lt;&gt;0,HistoricalStockProgress[[#This Row],[Total Price of Shares]]-HistoricalStockProgress[[#This Row],[Cost of Shares]],0)</f>
        <v>132.77251418908781</v>
      </c>
      <c r="L1369" s="34" t="b" cm="1">
        <f t="array" ref="L1369">IFERROR(IF(HistoricalStockProgress[[#This Row],[Price of Shares]]="",_xlfn.STOCKHISTORY(HistoricalStockProgress[[#This Row],[Full Company Name]],HistoricalStockProgress[[#This Row],[Date]],,2,0,1)),0)</f>
        <v>0</v>
      </c>
      <c r="M1369" s="34">
        <f>YEAR(HistoricalStockProgress[[#This Row],[Date]])</f>
        <v>2022</v>
      </c>
      <c r="N1369" s="34">
        <f>MONTH(HistoricalStockProgress[[#This Row],[Date]])</f>
        <v>9</v>
      </c>
    </row>
    <row r="1370" spans="2:14">
      <c r="B1370" s="15">
        <v>44834</v>
      </c>
      <c r="C1370" s="34" t="s">
        <v>106</v>
      </c>
      <c r="D1370" s="34" t="e" vm="20">
        <f>_xlfn.XLOOKUP(HistoricalStockProgress[[#This Row],[Company Ticker]],CompanyDetailsList[Company Ticker],CompanyDetailsList[Official Name],,0)</f>
        <v>#VALUE!</v>
      </c>
      <c r="E13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3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370" s="17">
        <f>IFERROR(HistoricalStockProgress[[#This Row],[Cost of Shares]]/HistoricalStockProgress[[#This Row],[No. of Shares]],0)</f>
        <v>108.54870748680406</v>
      </c>
      <c r="H1370" s="16" vm="1880">
        <v>110.69</v>
      </c>
      <c r="I1370" s="16">
        <f>IF(HistoricalStockProgress[[#This Row],[No. of Shares]]&lt;&gt;0,HistoricalStockProgress[[#This Row],[Price of Shares]]*HistoricalStockProgress[[#This Row],[No. of Shares]],0)</f>
        <v>9740.7199999999993</v>
      </c>
      <c r="J1370" s="16">
        <f>IF(HistoricalStockProgress[[#This Row],[No. of Shares]]&lt;&gt;0,HistoricalStockProgress[[#This Row],[Price of Shares]]-HistoricalStockProgress[[#This Row],[Cost of Shares]]/HistoricalStockProgress[[#This Row],[No. of Shares]],0)</f>
        <v>2.1412925131959355</v>
      </c>
      <c r="K1370" s="17">
        <f>IF(HistoricalStockProgress[[#This Row],[Total Price of Shares]]&lt;&gt;0,HistoricalStockProgress[[#This Row],[Total Price of Shares]]-HistoricalStockProgress[[#This Row],[Cost of Shares]],0)</f>
        <v>188.43374116124141</v>
      </c>
      <c r="L1370" s="34" t="b" cm="1">
        <f t="array" ref="L1370">IFERROR(IF(HistoricalStockProgress[[#This Row],[Price of Shares]]="",_xlfn.STOCKHISTORY(HistoricalStockProgress[[#This Row],[Full Company Name]],HistoricalStockProgress[[#This Row],[Date]],,2,0,1)),0)</f>
        <v>0</v>
      </c>
      <c r="M1370" s="34">
        <f>YEAR(HistoricalStockProgress[[#This Row],[Date]])</f>
        <v>2022</v>
      </c>
      <c r="N1370" s="34">
        <f>MONTH(HistoricalStockProgress[[#This Row],[Date]])</f>
        <v>9</v>
      </c>
    </row>
    <row r="1371" spans="2:14">
      <c r="B1371" s="15">
        <v>44865</v>
      </c>
      <c r="C1371" s="34" t="s">
        <v>12</v>
      </c>
      <c r="D1371" s="34" t="e" vm="1">
        <f>_xlfn.XLOOKUP(HistoricalStockProgress[[#This Row],[Company Ticker]],CompanyDetailsList[Company Ticker],CompanyDetailsList[Official Name],,0)</f>
        <v>#VALUE!</v>
      </c>
      <c r="E13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13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1371" s="17">
        <f>IFERROR(HistoricalStockProgress[[#This Row],[Cost of Shares]]/HistoricalStockProgress[[#This Row],[No. of Shares]],0)</f>
        <v>63.845182519411239</v>
      </c>
      <c r="H1371" s="16" vm="1881">
        <v>62.27</v>
      </c>
      <c r="I1371" s="16">
        <f>IF(HistoricalStockProgress[[#This Row],[No. of Shares]]&lt;&gt;0,HistoricalStockProgress[[#This Row],[Price of Shares]]*HistoricalStockProgress[[#This Row],[No. of Shares]],0)</f>
        <v>3985.28</v>
      </c>
      <c r="J1371" s="16">
        <f>IF(HistoricalStockProgress[[#This Row],[No. of Shares]]&lt;&gt;0,HistoricalStockProgress[[#This Row],[Price of Shares]]-HistoricalStockProgress[[#This Row],[Cost of Shares]]/HistoricalStockProgress[[#This Row],[No. of Shares]],0)</f>
        <v>-1.5751825194112357</v>
      </c>
      <c r="K1371" s="17">
        <f>IF(HistoricalStockProgress[[#This Row],[Total Price of Shares]]&lt;&gt;0,HistoricalStockProgress[[#This Row],[Total Price of Shares]]-HistoricalStockProgress[[#This Row],[Cost of Shares]],0)</f>
        <v>-100.81168124231908</v>
      </c>
      <c r="L1371" s="34" t="b" cm="1">
        <f t="array" ref="L1371">IFERROR(IF(HistoricalStockProgress[[#This Row],[Price of Shares]]="",_xlfn.STOCKHISTORY(HistoricalStockProgress[[#This Row],[Full Company Name]],HistoricalStockProgress[[#This Row],[Date]],,2,0,1)),0)</f>
        <v>0</v>
      </c>
      <c r="M1371" s="34">
        <f>YEAR(HistoricalStockProgress[[#This Row],[Date]])</f>
        <v>2022</v>
      </c>
      <c r="N1371" s="34">
        <f>MONTH(HistoricalStockProgress[[#This Row],[Date]])</f>
        <v>10</v>
      </c>
    </row>
    <row r="1372" spans="2:14">
      <c r="B1372" s="15">
        <v>44865</v>
      </c>
      <c r="C1372" s="34" t="s">
        <v>14</v>
      </c>
      <c r="D1372" s="34" t="e" vm="2">
        <f>_xlfn.XLOOKUP(HistoricalStockProgress[[#This Row],[Company Ticker]],CompanyDetailsList[Company Ticker],CompanyDetailsList[Official Name],,0)</f>
        <v>#VALUE!</v>
      </c>
      <c r="E13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3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372" s="17">
        <f>IFERROR(HistoricalStockProgress[[#This Row],[Cost of Shares]]/HistoricalStockProgress[[#This Row],[No. of Shares]],0)</f>
        <v>31.580112511620161</v>
      </c>
      <c r="H1372" s="16" vm="1882">
        <v>34.74</v>
      </c>
      <c r="I1372" s="16">
        <f>IF(HistoricalStockProgress[[#This Row],[No. of Shares]]&lt;&gt;0,HistoricalStockProgress[[#This Row],[Price of Shares]]*HistoricalStockProgress[[#This Row],[No. of Shares]],0)</f>
        <v>972.72</v>
      </c>
      <c r="J1372" s="16">
        <f>IF(HistoricalStockProgress[[#This Row],[No. of Shares]]&lt;&gt;0,HistoricalStockProgress[[#This Row],[Price of Shares]]-HistoricalStockProgress[[#This Row],[Cost of Shares]]/HistoricalStockProgress[[#This Row],[No. of Shares]],0)</f>
        <v>3.1598874883798409</v>
      </c>
      <c r="K1372" s="17">
        <f>IF(HistoricalStockProgress[[#This Row],[Total Price of Shares]]&lt;&gt;0,HistoricalStockProgress[[#This Row],[Total Price of Shares]]-HistoricalStockProgress[[#This Row],[Cost of Shares]],0)</f>
        <v>88.476849674635559</v>
      </c>
      <c r="L1372" s="34" t="b" cm="1">
        <f t="array" ref="L1372">IFERROR(IF(HistoricalStockProgress[[#This Row],[Price of Shares]]="",_xlfn.STOCKHISTORY(HistoricalStockProgress[[#This Row],[Full Company Name]],HistoricalStockProgress[[#This Row],[Date]],,2,0,1)),0)</f>
        <v>0</v>
      </c>
      <c r="M1372" s="34">
        <f>YEAR(HistoricalStockProgress[[#This Row],[Date]])</f>
        <v>2022</v>
      </c>
      <c r="N1372" s="34">
        <f>MONTH(HistoricalStockProgress[[#This Row],[Date]])</f>
        <v>10</v>
      </c>
    </row>
    <row r="1373" spans="2:14">
      <c r="B1373" s="15">
        <v>44865</v>
      </c>
      <c r="C1373" s="34" t="s">
        <v>19</v>
      </c>
      <c r="D1373" s="34" t="e" vm="3">
        <f>_xlfn.XLOOKUP(HistoricalStockProgress[[#This Row],[Company Ticker]],CompanyDetailsList[Company Ticker],CompanyDetailsList[Official Name],,0)</f>
        <v>#VALUE!</v>
      </c>
      <c r="E13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3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373" s="17">
        <f>IFERROR(HistoricalStockProgress[[#This Row],[Cost of Shares]]/HistoricalStockProgress[[#This Row],[No. of Shares]],0)</f>
        <v>158.45739987816083</v>
      </c>
      <c r="H1373" s="16" vm="1883">
        <v>146.04</v>
      </c>
      <c r="I1373" s="16">
        <f>IF(HistoricalStockProgress[[#This Row],[No. of Shares]]&lt;&gt;0,HistoricalStockProgress[[#This Row],[Price of Shares]]*HistoricalStockProgress[[#This Row],[No. of Shares]],0)</f>
        <v>8324.2799999999988</v>
      </c>
      <c r="J1373" s="16">
        <f>IF(HistoricalStockProgress[[#This Row],[No. of Shares]]&lt;&gt;0,HistoricalStockProgress[[#This Row],[Price of Shares]]-HistoricalStockProgress[[#This Row],[Cost of Shares]]/HistoricalStockProgress[[#This Row],[No. of Shares]],0)</f>
        <v>-12.417399878160836</v>
      </c>
      <c r="K1373" s="17">
        <f>IF(HistoricalStockProgress[[#This Row],[Total Price of Shares]]&lt;&gt;0,HistoricalStockProgress[[#This Row],[Total Price of Shares]]-HistoricalStockProgress[[#This Row],[Cost of Shares]],0)</f>
        <v>-707.79179305516845</v>
      </c>
      <c r="L1373" s="34" t="b" cm="1">
        <f t="array" ref="L1373">IFERROR(IF(HistoricalStockProgress[[#This Row],[Price of Shares]]="",_xlfn.STOCKHISTORY(HistoricalStockProgress[[#This Row],[Full Company Name]],HistoricalStockProgress[[#This Row],[Date]],,2,0,1)),0)</f>
        <v>0</v>
      </c>
      <c r="M1373" s="34">
        <f>YEAR(HistoricalStockProgress[[#This Row],[Date]])</f>
        <v>2022</v>
      </c>
      <c r="N1373" s="34">
        <f>MONTH(HistoricalStockProgress[[#This Row],[Date]])</f>
        <v>10</v>
      </c>
    </row>
    <row r="1374" spans="2:14">
      <c r="B1374" s="15">
        <v>44865</v>
      </c>
      <c r="C1374" s="34" t="s">
        <v>23</v>
      </c>
      <c r="D1374" s="34" t="e" vm="4">
        <f>_xlfn.XLOOKUP(HistoricalStockProgress[[#This Row],[Company Ticker]],CompanyDetailsList[Company Ticker],CompanyDetailsList[Official Name],,0)</f>
        <v>#VALUE!</v>
      </c>
      <c r="E13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85</v>
      </c>
      <c r="F13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4210.4106468589489</v>
      </c>
      <c r="G1374" s="17">
        <f>IFERROR(HistoricalStockProgress[[#This Row],[Cost of Shares]]/HistoricalStockProgress[[#This Row],[No. of Shares]],0)</f>
        <v>49.534242904222928</v>
      </c>
      <c r="H1374" s="16" vm="1884">
        <v>59.85</v>
      </c>
      <c r="I1374" s="16">
        <f>IF(HistoricalStockProgress[[#This Row],[No. of Shares]]&lt;&gt;0,HistoricalStockProgress[[#This Row],[Price of Shares]]*HistoricalStockProgress[[#This Row],[No. of Shares]],0)</f>
        <v>5087.25</v>
      </c>
      <c r="J1374" s="16">
        <f>IF(HistoricalStockProgress[[#This Row],[No. of Shares]]&lt;&gt;0,HistoricalStockProgress[[#This Row],[Price of Shares]]-HistoricalStockProgress[[#This Row],[Cost of Shares]]/HistoricalStockProgress[[#This Row],[No. of Shares]],0)</f>
        <v>10.315757095777073</v>
      </c>
      <c r="K1374" s="17">
        <f>IF(HistoricalStockProgress[[#This Row],[Total Price of Shares]]&lt;&gt;0,HistoricalStockProgress[[#This Row],[Total Price of Shares]]-HistoricalStockProgress[[#This Row],[Cost of Shares]],0)</f>
        <v>876.83935314105111</v>
      </c>
      <c r="L1374" s="34" t="b" cm="1">
        <f t="array" ref="L1374">IFERROR(IF(HistoricalStockProgress[[#This Row],[Price of Shares]]="",_xlfn.STOCKHISTORY(HistoricalStockProgress[[#This Row],[Full Company Name]],HistoricalStockProgress[[#This Row],[Date]],,2,0,1)),0)</f>
        <v>0</v>
      </c>
      <c r="M1374" s="34">
        <f>YEAR(HistoricalStockProgress[[#This Row],[Date]])</f>
        <v>2022</v>
      </c>
      <c r="N1374" s="34">
        <f>MONTH(HistoricalStockProgress[[#This Row],[Date]])</f>
        <v>10</v>
      </c>
    </row>
    <row r="1375" spans="2:14">
      <c r="B1375" s="15">
        <v>44865</v>
      </c>
      <c r="C1375" s="34" t="s">
        <v>18</v>
      </c>
      <c r="D1375" s="34" t="e" vm="5">
        <f>_xlfn.XLOOKUP(HistoricalStockProgress[[#This Row],[Company Ticker]],CompanyDetailsList[Company Ticker],CompanyDetailsList[Official Name],,0)</f>
        <v>#VALUE!</v>
      </c>
      <c r="E13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3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375" s="17">
        <f>IFERROR(HistoricalStockProgress[[#This Row],[Cost of Shares]]/HistoricalStockProgress[[#This Row],[No. of Shares]],0)</f>
        <v>160.8859607546234</v>
      </c>
      <c r="H1375" s="16" vm="1885">
        <v>181.58</v>
      </c>
      <c r="I1375" s="16">
        <f>IF(HistoricalStockProgress[[#This Row],[No. of Shares]]&lt;&gt;0,HistoricalStockProgress[[#This Row],[Price of Shares]]*HistoricalStockProgress[[#This Row],[No. of Shares]],0)</f>
        <v>7807.9400000000005</v>
      </c>
      <c r="J1375" s="16">
        <f>IF(HistoricalStockProgress[[#This Row],[No. of Shares]]&lt;&gt;0,HistoricalStockProgress[[#This Row],[Price of Shares]]-HistoricalStockProgress[[#This Row],[Cost of Shares]]/HistoricalStockProgress[[#This Row],[No. of Shares]],0)</f>
        <v>20.694039245376615</v>
      </c>
      <c r="K1375" s="17">
        <f>IF(HistoricalStockProgress[[#This Row],[Total Price of Shares]]&lt;&gt;0,HistoricalStockProgress[[#This Row],[Total Price of Shares]]-HistoricalStockProgress[[#This Row],[Cost of Shares]],0)</f>
        <v>889.84368755119431</v>
      </c>
      <c r="L1375" s="34" t="b" cm="1">
        <f t="array" ref="L1375">IFERROR(IF(HistoricalStockProgress[[#This Row],[Price of Shares]]="",_xlfn.STOCKHISTORY(HistoricalStockProgress[[#This Row],[Full Company Name]],HistoricalStockProgress[[#This Row],[Date]],,2,0,1)),0)</f>
        <v>0</v>
      </c>
      <c r="M1375" s="34">
        <f>YEAR(HistoricalStockProgress[[#This Row],[Date]])</f>
        <v>2022</v>
      </c>
      <c r="N1375" s="34">
        <f>MONTH(HistoricalStockProgress[[#This Row],[Date]])</f>
        <v>10</v>
      </c>
    </row>
    <row r="1376" spans="2:14">
      <c r="B1376" s="15">
        <v>44865</v>
      </c>
      <c r="C1376" s="34" t="s">
        <v>21</v>
      </c>
      <c r="D1376" s="34" t="e" vm="6">
        <f>_xlfn.XLOOKUP(HistoricalStockProgress[[#This Row],[Company Ticker]],CompanyDetailsList[Company Ticker],CompanyDetailsList[Official Name],,0)</f>
        <v>#VALUE!</v>
      </c>
      <c r="E13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3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376" s="17">
        <f>IFERROR(HistoricalStockProgress[[#This Row],[Cost of Shares]]/HistoricalStockProgress[[#This Row],[No. of Shares]],0)</f>
        <v>139.68700010204148</v>
      </c>
      <c r="H1376" s="16" vm="1886">
        <v>134.66999999999999</v>
      </c>
      <c r="I1376" s="16">
        <f>IF(HistoricalStockProgress[[#This Row],[No. of Shares]]&lt;&gt;0,HistoricalStockProgress[[#This Row],[Price of Shares]]*HistoricalStockProgress[[#This Row],[No. of Shares]],0)</f>
        <v>5656.1399999999994</v>
      </c>
      <c r="J1376" s="16">
        <f>IF(HistoricalStockProgress[[#This Row],[No. of Shares]]&lt;&gt;0,HistoricalStockProgress[[#This Row],[Price of Shares]]-HistoricalStockProgress[[#This Row],[Cost of Shares]]/HistoricalStockProgress[[#This Row],[No. of Shares]],0)</f>
        <v>-5.0170001020414929</v>
      </c>
      <c r="K1376" s="17">
        <f>IF(HistoricalStockProgress[[#This Row],[Total Price of Shares]]&lt;&gt;0,HistoricalStockProgress[[#This Row],[Total Price of Shares]]-HistoricalStockProgress[[#This Row],[Cost of Shares]],0)</f>
        <v>-210.7140042857427</v>
      </c>
      <c r="L1376" s="34" t="b" cm="1">
        <f t="array" ref="L1376">IFERROR(IF(HistoricalStockProgress[[#This Row],[Price of Shares]]="",_xlfn.STOCKHISTORY(HistoricalStockProgress[[#This Row],[Full Company Name]],HistoricalStockProgress[[#This Row],[Date]],,2,0,1)),0)</f>
        <v>0</v>
      </c>
      <c r="M1376" s="34">
        <f>YEAR(HistoricalStockProgress[[#This Row],[Date]])</f>
        <v>2022</v>
      </c>
      <c r="N1376" s="34">
        <f>MONTH(HistoricalStockProgress[[#This Row],[Date]])</f>
        <v>10</v>
      </c>
    </row>
    <row r="1377" spans="2:14">
      <c r="B1377" s="15">
        <v>44865</v>
      </c>
      <c r="C1377" s="34" t="s">
        <v>84</v>
      </c>
      <c r="D1377" s="34" t="e" vm="7">
        <f>_xlfn.XLOOKUP(HistoricalStockProgress[[#This Row],[Company Ticker]],CompanyDetailsList[Company Ticker],CompanyDetailsList[Official Name],,0)</f>
        <v>#VALUE!</v>
      </c>
      <c r="E13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3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377" s="17">
        <f>IFERROR(HistoricalStockProgress[[#This Row],[Cost of Shares]]/HistoricalStockProgress[[#This Row],[No. of Shares]],0)</f>
        <v>104.18087504950869</v>
      </c>
      <c r="H1377" s="16" vm="1887">
        <v>173.97</v>
      </c>
      <c r="I1377" s="16">
        <f>IF(HistoricalStockProgress[[#This Row],[No. of Shares]]&lt;&gt;0,HistoricalStockProgress[[#This Row],[Price of Shares]]*HistoricalStockProgress[[#This Row],[No. of Shares]],0)</f>
        <v>8872.4699999999993</v>
      </c>
      <c r="J1377" s="16">
        <f>IF(HistoricalStockProgress[[#This Row],[No. of Shares]]&lt;&gt;0,HistoricalStockProgress[[#This Row],[Price of Shares]]-HistoricalStockProgress[[#This Row],[Cost of Shares]]/HistoricalStockProgress[[#This Row],[No. of Shares]],0)</f>
        <v>69.789124950491313</v>
      </c>
      <c r="K1377" s="17">
        <f>IF(HistoricalStockProgress[[#This Row],[Total Price of Shares]]&lt;&gt;0,HistoricalStockProgress[[#This Row],[Total Price of Shares]]-HistoricalStockProgress[[#This Row],[Cost of Shares]],0)</f>
        <v>3559.2453724750567</v>
      </c>
      <c r="L1377" s="34" t="b" cm="1">
        <f t="array" ref="L1377">IFERROR(IF(HistoricalStockProgress[[#This Row],[Price of Shares]]="",_xlfn.STOCKHISTORY(HistoricalStockProgress[[#This Row],[Full Company Name]],HistoricalStockProgress[[#This Row],[Date]],,2,0,1)),0)</f>
        <v>0</v>
      </c>
      <c r="M1377" s="34">
        <f>YEAR(HistoricalStockProgress[[#This Row],[Date]])</f>
        <v>2022</v>
      </c>
      <c r="N1377" s="34">
        <f>MONTH(HistoricalStockProgress[[#This Row],[Date]])</f>
        <v>10</v>
      </c>
    </row>
    <row r="1378" spans="2:14">
      <c r="B1378" s="15">
        <v>44865</v>
      </c>
      <c r="C1378" s="34" t="s">
        <v>86</v>
      </c>
      <c r="D1378" s="34" t="e" vm="8">
        <f>_xlfn.XLOOKUP(HistoricalStockProgress[[#This Row],[Company Ticker]],CompanyDetailsList[Company Ticker],CompanyDetailsList[Official Name],,0)</f>
        <v>#VALUE!</v>
      </c>
      <c r="E13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3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378" s="17">
        <f>IFERROR(HistoricalStockProgress[[#This Row],[Cost of Shares]]/HistoricalStockProgress[[#This Row],[No. of Shares]],0)</f>
        <v>92.636161128673535</v>
      </c>
      <c r="H1378" s="16" vm="1888">
        <v>146.4</v>
      </c>
      <c r="I1378" s="16">
        <f>IF(HistoricalStockProgress[[#This Row],[No. of Shares]]&lt;&gt;0,HistoricalStockProgress[[#This Row],[Price of Shares]]*HistoricalStockProgress[[#This Row],[No. of Shares]],0)</f>
        <v>16689.600000000002</v>
      </c>
      <c r="J1378" s="16">
        <f>IF(HistoricalStockProgress[[#This Row],[No. of Shares]]&lt;&gt;0,HistoricalStockProgress[[#This Row],[Price of Shares]]-HistoricalStockProgress[[#This Row],[Cost of Shares]]/HistoricalStockProgress[[#This Row],[No. of Shares]],0)</f>
        <v>53.76383887132647</v>
      </c>
      <c r="K1378" s="17">
        <f>IF(HistoricalStockProgress[[#This Row],[Total Price of Shares]]&lt;&gt;0,HistoricalStockProgress[[#This Row],[Total Price of Shares]]-HistoricalStockProgress[[#This Row],[Cost of Shares]],0)</f>
        <v>6129.0776313312199</v>
      </c>
      <c r="L1378" s="34" t="b" cm="1">
        <f t="array" ref="L1378">IFERROR(IF(HistoricalStockProgress[[#This Row],[Price of Shares]]="",_xlfn.STOCKHISTORY(HistoricalStockProgress[[#This Row],[Full Company Name]],HistoricalStockProgress[[#This Row],[Date]],,2,0,1)),0)</f>
        <v>0</v>
      </c>
      <c r="M1378" s="34">
        <f>YEAR(HistoricalStockProgress[[#This Row],[Date]])</f>
        <v>2022</v>
      </c>
      <c r="N1378" s="34">
        <f>MONTH(HistoricalStockProgress[[#This Row],[Date]])</f>
        <v>10</v>
      </c>
    </row>
    <row r="1379" spans="2:14">
      <c r="B1379" s="15">
        <v>44865</v>
      </c>
      <c r="C1379" s="34" t="s">
        <v>88</v>
      </c>
      <c r="D1379" s="34" t="e" vm="9">
        <f>_xlfn.XLOOKUP(HistoricalStockProgress[[#This Row],[Company Ticker]],CompanyDetailsList[Company Ticker],CompanyDetailsList[Official Name],,0)</f>
        <v>#VALUE!</v>
      </c>
      <c r="E13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3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379" s="17">
        <f>IFERROR(HistoricalStockProgress[[#This Row],[Cost of Shares]]/HistoricalStockProgress[[#This Row],[No. of Shares]],0)</f>
        <v>187.727755253422</v>
      </c>
      <c r="H1379" s="16" vm="1889">
        <v>272.66000000000003</v>
      </c>
      <c r="I1379" s="16">
        <f>IF(HistoricalStockProgress[[#This Row],[No. of Shares]]&lt;&gt;0,HistoricalStockProgress[[#This Row],[Price of Shares]]*HistoricalStockProgress[[#This Row],[No. of Shares]],0)</f>
        <v>16086.940000000002</v>
      </c>
      <c r="J1379" s="16">
        <f>IF(HistoricalStockProgress[[#This Row],[No. of Shares]]&lt;&gt;0,HistoricalStockProgress[[#This Row],[Price of Shares]]-HistoricalStockProgress[[#This Row],[Cost of Shares]]/HistoricalStockProgress[[#This Row],[No. of Shares]],0)</f>
        <v>84.932244746578021</v>
      </c>
      <c r="K1379" s="17">
        <f>IF(HistoricalStockProgress[[#This Row],[Total Price of Shares]]&lt;&gt;0,HistoricalStockProgress[[#This Row],[Total Price of Shares]]-HistoricalStockProgress[[#This Row],[Cost of Shares]],0)</f>
        <v>5011.0024400481034</v>
      </c>
      <c r="L1379" s="34" t="b" cm="1">
        <f t="array" ref="L1379">IFERROR(IF(HistoricalStockProgress[[#This Row],[Price of Shares]]="",_xlfn.STOCKHISTORY(HistoricalStockProgress[[#This Row],[Full Company Name]],HistoricalStockProgress[[#This Row],[Date]],,2,0,1)),0)</f>
        <v>0</v>
      </c>
      <c r="M1379" s="34">
        <f>YEAR(HistoricalStockProgress[[#This Row],[Date]])</f>
        <v>2022</v>
      </c>
      <c r="N1379" s="34">
        <f>MONTH(HistoricalStockProgress[[#This Row],[Date]])</f>
        <v>10</v>
      </c>
    </row>
    <row r="1380" spans="2:14">
      <c r="B1380" s="15">
        <v>44865</v>
      </c>
      <c r="C1380" s="34" t="s">
        <v>22</v>
      </c>
      <c r="D1380" s="34" t="e" vm="10">
        <f>_xlfn.XLOOKUP(HistoricalStockProgress[[#This Row],[Company Ticker]],CompanyDetailsList[Company Ticker],CompanyDetailsList[Official Name],,0)</f>
        <v>#VALUE!</v>
      </c>
      <c r="E13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3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380" s="17">
        <f>IFERROR(HistoricalStockProgress[[#This Row],[Cost of Shares]]/HistoricalStockProgress[[#This Row],[No. of Shares]],0)</f>
        <v>130.19784136724968</v>
      </c>
      <c r="H1380" s="16" vm="1890">
        <v>216.46</v>
      </c>
      <c r="I1380" s="16">
        <f>IF(HistoricalStockProgress[[#This Row],[No. of Shares]]&lt;&gt;0,HistoricalStockProgress[[#This Row],[Price of Shares]]*HistoricalStockProgress[[#This Row],[No. of Shares]],0)</f>
        <v>25758.74</v>
      </c>
      <c r="J1380" s="16">
        <f>IF(HistoricalStockProgress[[#This Row],[No. of Shares]]&lt;&gt;0,HistoricalStockProgress[[#This Row],[Price of Shares]]-HistoricalStockProgress[[#This Row],[Cost of Shares]]/HistoricalStockProgress[[#This Row],[No. of Shares]],0)</f>
        <v>86.262158632750328</v>
      </c>
      <c r="K1380" s="17">
        <f>IF(HistoricalStockProgress[[#This Row],[Total Price of Shares]]&lt;&gt;0,HistoricalStockProgress[[#This Row],[Total Price of Shares]]-HistoricalStockProgress[[#This Row],[Cost of Shares]],0)</f>
        <v>10265.196877297289</v>
      </c>
      <c r="L1380" s="34" t="b" cm="1">
        <f t="array" ref="L1380">IFERROR(IF(HistoricalStockProgress[[#This Row],[Price of Shares]]="",_xlfn.STOCKHISTORY(HistoricalStockProgress[[#This Row],[Full Company Name]],HistoricalStockProgress[[#This Row],[Date]],,2,0,1)),0)</f>
        <v>0</v>
      </c>
      <c r="M1380" s="34">
        <f>YEAR(HistoricalStockProgress[[#This Row],[Date]])</f>
        <v>2022</v>
      </c>
      <c r="N1380" s="34">
        <f>MONTH(HistoricalStockProgress[[#This Row],[Date]])</f>
        <v>10</v>
      </c>
    </row>
    <row r="1381" spans="2:14">
      <c r="B1381" s="15">
        <v>44865</v>
      </c>
      <c r="C1381" s="34" t="s">
        <v>91</v>
      </c>
      <c r="D1381" s="34" t="e" vm="11">
        <f>_xlfn.XLOOKUP(HistoricalStockProgress[[#This Row],[Company Ticker]],CompanyDetailsList[Company Ticker],CompanyDetailsList[Official Name],,0)</f>
        <v>#VALUE!</v>
      </c>
      <c r="E13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176</v>
      </c>
      <c r="F13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22591.11028368511</v>
      </c>
      <c r="G1381" s="17">
        <f>IFERROR(HistoricalStockProgress[[#This Row],[Cost of Shares]]/HistoricalStockProgress[[#This Row],[No. of Shares]],0)</f>
        <v>128.35858115730176</v>
      </c>
      <c r="H1381" s="16" vm="1891">
        <v>232.13</v>
      </c>
      <c r="I1381" s="16">
        <f>IF(HistoricalStockProgress[[#This Row],[No. of Shares]]&lt;&gt;0,HistoricalStockProgress[[#This Row],[Price of Shares]]*HistoricalStockProgress[[#This Row],[No. of Shares]],0)</f>
        <v>40854.879999999997</v>
      </c>
      <c r="J1381" s="16">
        <f>IF(HistoricalStockProgress[[#This Row],[No. of Shares]]&lt;&gt;0,HistoricalStockProgress[[#This Row],[Price of Shares]]-HistoricalStockProgress[[#This Row],[Cost of Shares]]/HistoricalStockProgress[[#This Row],[No. of Shares]],0)</f>
        <v>103.77141884269824</v>
      </c>
      <c r="K1381" s="17">
        <f>IF(HistoricalStockProgress[[#This Row],[Total Price of Shares]]&lt;&gt;0,HistoricalStockProgress[[#This Row],[Total Price of Shares]]-HistoricalStockProgress[[#This Row],[Cost of Shares]],0)</f>
        <v>18263.769716314888</v>
      </c>
      <c r="L1381" s="34" t="b" cm="1">
        <f t="array" ref="L1381">IFERROR(IF(HistoricalStockProgress[[#This Row],[Price of Shares]]="",_xlfn.STOCKHISTORY(HistoricalStockProgress[[#This Row],[Full Company Name]],HistoricalStockProgress[[#This Row],[Date]],,2,0,1)),0)</f>
        <v>0</v>
      </c>
      <c r="M1381" s="34">
        <f>YEAR(HistoricalStockProgress[[#This Row],[Date]])</f>
        <v>2022</v>
      </c>
      <c r="N1381" s="34">
        <f>MONTH(HistoricalStockProgress[[#This Row],[Date]])</f>
        <v>10</v>
      </c>
    </row>
    <row r="1382" spans="2:14">
      <c r="B1382" s="15">
        <v>44865</v>
      </c>
      <c r="C1382" s="34" t="s">
        <v>16</v>
      </c>
      <c r="D1382" s="34" t="e" vm="12">
        <f>_xlfn.XLOOKUP(HistoricalStockProgress[[#This Row],[Company Ticker]],CompanyDetailsList[Company Ticker],CompanyDetailsList[Official Name],,0)</f>
        <v>#VALUE!</v>
      </c>
      <c r="E13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3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382" s="17">
        <f>IFERROR(HistoricalStockProgress[[#This Row],[Cost of Shares]]/HistoricalStockProgress[[#This Row],[No. of Shares]],0)</f>
        <v>75.117698177311837</v>
      </c>
      <c r="H1382" s="16" vm="1892">
        <v>110.81</v>
      </c>
      <c r="I1382" s="16">
        <f>IF(HistoricalStockProgress[[#This Row],[No. of Shares]]&lt;&gt;0,HistoricalStockProgress[[#This Row],[Price of Shares]]*HistoricalStockProgress[[#This Row],[No. of Shares]],0)</f>
        <v>20499.850000000002</v>
      </c>
      <c r="J1382" s="16">
        <f>IF(HistoricalStockProgress[[#This Row],[No. of Shares]]&lt;&gt;0,HistoricalStockProgress[[#This Row],[Price of Shares]]-HistoricalStockProgress[[#This Row],[Cost of Shares]]/HistoricalStockProgress[[#This Row],[No. of Shares]],0)</f>
        <v>35.692301822688165</v>
      </c>
      <c r="K1382" s="17">
        <f>IF(HistoricalStockProgress[[#This Row],[Total Price of Shares]]&lt;&gt;0,HistoricalStockProgress[[#This Row],[Total Price of Shares]]-HistoricalStockProgress[[#This Row],[Cost of Shares]],0)</f>
        <v>6603.0758371973134</v>
      </c>
      <c r="L1382" s="34" t="b" cm="1">
        <f t="array" ref="L1382">IFERROR(IF(HistoricalStockProgress[[#This Row],[Price of Shares]]="",_xlfn.STOCKHISTORY(HistoricalStockProgress[[#This Row],[Full Company Name]],HistoricalStockProgress[[#This Row],[Date]],,2,0,1)),0)</f>
        <v>0</v>
      </c>
      <c r="M1382" s="34">
        <f>YEAR(HistoricalStockProgress[[#This Row],[Date]])</f>
        <v>2022</v>
      </c>
      <c r="N1382" s="34">
        <f>MONTH(HistoricalStockProgress[[#This Row],[Date]])</f>
        <v>10</v>
      </c>
    </row>
    <row r="1383" spans="2:14">
      <c r="B1383" s="15">
        <v>44865</v>
      </c>
      <c r="C1383" s="34" t="s">
        <v>95</v>
      </c>
      <c r="D1383" s="34" t="e" vm="13">
        <f>_xlfn.XLOOKUP(HistoricalStockProgress[[#This Row],[Company Ticker]],CompanyDetailsList[Company Ticker],CompanyDetailsList[Official Name],,0)</f>
        <v>#VALUE!</v>
      </c>
      <c r="E13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13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26060.016778018562</v>
      </c>
      <c r="G1383" s="17">
        <f>IFERROR(HistoricalStockProgress[[#This Row],[Cost of Shares]]/HistoricalStockProgress[[#This Row],[No. of Shares]],0)</f>
        <v>234.77492592809514</v>
      </c>
      <c r="H1383" s="16" vm="1893">
        <v>296.13</v>
      </c>
      <c r="I1383" s="16">
        <f>IF(HistoricalStockProgress[[#This Row],[No. of Shares]]&lt;&gt;0,HistoricalStockProgress[[#This Row],[Price of Shares]]*HistoricalStockProgress[[#This Row],[No. of Shares]],0)</f>
        <v>32870.43</v>
      </c>
      <c r="J1383" s="16">
        <f>IF(HistoricalStockProgress[[#This Row],[No. of Shares]]&lt;&gt;0,HistoricalStockProgress[[#This Row],[Price of Shares]]-HistoricalStockProgress[[#This Row],[Cost of Shares]]/HistoricalStockProgress[[#This Row],[No. of Shares]],0)</f>
        <v>61.355074071904852</v>
      </c>
      <c r="K1383" s="17">
        <f>IF(HistoricalStockProgress[[#This Row],[Total Price of Shares]]&lt;&gt;0,HistoricalStockProgress[[#This Row],[Total Price of Shares]]-HistoricalStockProgress[[#This Row],[Cost of Shares]],0)</f>
        <v>6810.4132219814383</v>
      </c>
      <c r="L1383" s="34" t="b" cm="1">
        <f t="array" ref="L1383">IFERROR(IF(HistoricalStockProgress[[#This Row],[Price of Shares]]="",_xlfn.STOCKHISTORY(HistoricalStockProgress[[#This Row],[Full Company Name]],HistoricalStockProgress[[#This Row],[Date]],,2,0,1)),0)</f>
        <v>0</v>
      </c>
      <c r="M1383" s="34">
        <f>YEAR(HistoricalStockProgress[[#This Row],[Date]])</f>
        <v>2022</v>
      </c>
      <c r="N1383" s="34">
        <f>MONTH(HistoricalStockProgress[[#This Row],[Date]])</f>
        <v>10</v>
      </c>
    </row>
    <row r="1384" spans="2:14">
      <c r="B1384" s="15">
        <v>44865</v>
      </c>
      <c r="C1384" s="34" t="s">
        <v>17</v>
      </c>
      <c r="D1384" s="34" t="e" vm="14">
        <f>_xlfn.XLOOKUP(HistoricalStockProgress[[#This Row],[Company Ticker]],CompanyDetailsList[Company Ticker],CompanyDetailsList[Official Name],,0)</f>
        <v>#VALUE!</v>
      </c>
      <c r="E13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3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26400.485099161626</v>
      </c>
      <c r="G1384" s="17">
        <f>IFERROR(HistoricalStockProgress[[#This Row],[Cost of Shares]]/HistoricalStockProgress[[#This Row],[No. of Shares]],0)</f>
        <v>136.08497473794654</v>
      </c>
      <c r="H1384" s="16" vm="1894">
        <v>138.29</v>
      </c>
      <c r="I1384" s="16">
        <f>IF(HistoricalStockProgress[[#This Row],[No. of Shares]]&lt;&gt;0,HistoricalStockProgress[[#This Row],[Price of Shares]]*HistoricalStockProgress[[#This Row],[No. of Shares]],0)</f>
        <v>26828.26</v>
      </c>
      <c r="J1384" s="16">
        <f>IF(HistoricalStockProgress[[#This Row],[No. of Shares]]&lt;&gt;0,HistoricalStockProgress[[#This Row],[Price of Shares]]-HistoricalStockProgress[[#This Row],[Cost of Shares]]/HistoricalStockProgress[[#This Row],[No. of Shares]],0)</f>
        <v>2.2050252620534536</v>
      </c>
      <c r="K1384" s="17">
        <f>IF(HistoricalStockProgress[[#This Row],[Total Price of Shares]]&lt;&gt;0,HistoricalStockProgress[[#This Row],[Total Price of Shares]]-HistoricalStockProgress[[#This Row],[Cost of Shares]],0)</f>
        <v>427.77490083837256</v>
      </c>
      <c r="L1384" s="34" t="b" cm="1">
        <f t="array" ref="L1384">IFERROR(IF(HistoricalStockProgress[[#This Row],[Price of Shares]]="",_xlfn.STOCKHISTORY(HistoricalStockProgress[[#This Row],[Full Company Name]],HistoricalStockProgress[[#This Row],[Date]],,2,0,1)),0)</f>
        <v>0</v>
      </c>
      <c r="M1384" s="34">
        <f>YEAR(HistoricalStockProgress[[#This Row],[Date]])</f>
        <v>2022</v>
      </c>
      <c r="N1384" s="34">
        <f>MONTH(HistoricalStockProgress[[#This Row],[Date]])</f>
        <v>10</v>
      </c>
    </row>
    <row r="1385" spans="2:14">
      <c r="B1385" s="15">
        <v>44865</v>
      </c>
      <c r="C1385" s="34" t="s">
        <v>98</v>
      </c>
      <c r="D1385" s="34" t="e" vm="15">
        <f>_xlfn.XLOOKUP(HistoricalStockProgress[[#This Row],[Company Ticker]],CompanyDetailsList[Company Ticker],CompanyDetailsList[Official Name],,0)</f>
        <v>#VALUE!</v>
      </c>
      <c r="E13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108</v>
      </c>
      <c r="F13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5486.2959177385774</v>
      </c>
      <c r="G1385" s="17">
        <f>IFERROR(HistoricalStockProgress[[#This Row],[Cost of Shares]]/HistoricalStockProgress[[#This Row],[No. of Shares]],0)</f>
        <v>50.799036275357196</v>
      </c>
      <c r="H1385" s="16" vm="1895">
        <v>77.5</v>
      </c>
      <c r="I1385" s="16">
        <f>IF(HistoricalStockProgress[[#This Row],[No. of Shares]]&lt;&gt;0,HistoricalStockProgress[[#This Row],[Price of Shares]]*HistoricalStockProgress[[#This Row],[No. of Shares]],0)</f>
        <v>8370</v>
      </c>
      <c r="J1385" s="16">
        <f>IF(HistoricalStockProgress[[#This Row],[No. of Shares]]&lt;&gt;0,HistoricalStockProgress[[#This Row],[Price of Shares]]-HistoricalStockProgress[[#This Row],[Cost of Shares]]/HistoricalStockProgress[[#This Row],[No. of Shares]],0)</f>
        <v>26.700963724642804</v>
      </c>
      <c r="K1385" s="17">
        <f>IF(HistoricalStockProgress[[#This Row],[Total Price of Shares]]&lt;&gt;0,HistoricalStockProgress[[#This Row],[Total Price of Shares]]-HistoricalStockProgress[[#This Row],[Cost of Shares]],0)</f>
        <v>2883.7040822614226</v>
      </c>
      <c r="L1385" s="34" t="b" cm="1">
        <f t="array" ref="L1385">IFERROR(IF(HistoricalStockProgress[[#This Row],[Price of Shares]]="",_xlfn.STOCKHISTORY(HistoricalStockProgress[[#This Row],[Full Company Name]],HistoricalStockProgress[[#This Row],[Date]],,2,0,1)),0)</f>
        <v>0</v>
      </c>
      <c r="M1385" s="34">
        <f>YEAR(HistoricalStockProgress[[#This Row],[Date]])</f>
        <v>2022</v>
      </c>
      <c r="N1385" s="34">
        <f>MONTH(HistoricalStockProgress[[#This Row],[Date]])</f>
        <v>10</v>
      </c>
    </row>
    <row r="1386" spans="2:14">
      <c r="B1386" s="15">
        <v>44865</v>
      </c>
      <c r="C1386" s="34" t="s">
        <v>100</v>
      </c>
      <c r="D1386" s="34" t="e" vm="16">
        <f>_xlfn.XLOOKUP(HistoricalStockProgress[[#This Row],[Company Ticker]],CompanyDetailsList[Company Ticker],CompanyDetailsList[Official Name],,0)</f>
        <v>#VALUE!</v>
      </c>
      <c r="E13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13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12257.793853370842</v>
      </c>
      <c r="G1386" s="17">
        <f>IFERROR(HistoricalStockProgress[[#This Row],[Cost of Shares]]/HistoricalStockProgress[[#This Row],[No. of Shares]],0)</f>
        <v>87.555670381220295</v>
      </c>
      <c r="H1386" s="16" vm="1896">
        <v>93.18</v>
      </c>
      <c r="I1386" s="16">
        <f>IF(HistoricalStockProgress[[#This Row],[No. of Shares]]&lt;&gt;0,HistoricalStockProgress[[#This Row],[Price of Shares]]*HistoricalStockProgress[[#This Row],[No. of Shares]],0)</f>
        <v>13045.2</v>
      </c>
      <c r="J1386" s="16">
        <f>IF(HistoricalStockProgress[[#This Row],[No. of Shares]]&lt;&gt;0,HistoricalStockProgress[[#This Row],[Price of Shares]]-HistoricalStockProgress[[#This Row],[Cost of Shares]]/HistoricalStockProgress[[#This Row],[No. of Shares]],0)</f>
        <v>5.6243296187797114</v>
      </c>
      <c r="K1386" s="17">
        <f>IF(HistoricalStockProgress[[#This Row],[Total Price of Shares]]&lt;&gt;0,HistoricalStockProgress[[#This Row],[Total Price of Shares]]-HistoricalStockProgress[[#This Row],[Cost of Shares]],0)</f>
        <v>787.40614662915868</v>
      </c>
      <c r="L1386" s="34" t="b" cm="1">
        <f t="array" ref="L1386">IFERROR(IF(HistoricalStockProgress[[#This Row],[Price of Shares]]="",_xlfn.STOCKHISTORY(HistoricalStockProgress[[#This Row],[Full Company Name]],HistoricalStockProgress[[#This Row],[Date]],,2,0,1)),0)</f>
        <v>0</v>
      </c>
      <c r="M1386" s="34">
        <f>YEAR(HistoricalStockProgress[[#This Row],[Date]])</f>
        <v>2022</v>
      </c>
      <c r="N1386" s="34">
        <f>MONTH(HistoricalStockProgress[[#This Row],[Date]])</f>
        <v>10</v>
      </c>
    </row>
    <row r="1387" spans="2:14">
      <c r="B1387" s="15">
        <v>44865</v>
      </c>
      <c r="C1387" s="34" t="s">
        <v>15</v>
      </c>
      <c r="D1387" s="34" t="e" vm="17">
        <f>_xlfn.XLOOKUP(HistoricalStockProgress[[#This Row],[Company Ticker]],CompanyDetailsList[Company Ticker],CompanyDetailsList[Official Name],,0)</f>
        <v>#VALUE!</v>
      </c>
      <c r="E13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3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387" s="17">
        <f>IFERROR(HistoricalStockProgress[[#This Row],[Cost of Shares]]/HistoricalStockProgress[[#This Row],[No. of Shares]],0)</f>
        <v>26.081956457072195</v>
      </c>
      <c r="H1387" s="16" vm="1897">
        <v>18.23</v>
      </c>
      <c r="I1387" s="16">
        <f>IF(HistoricalStockProgress[[#This Row],[No. of Shares]]&lt;&gt;0,HistoricalStockProgress[[#This Row],[Price of Shares]]*HistoricalStockProgress[[#This Row],[No. of Shares]],0)</f>
        <v>2260.52</v>
      </c>
      <c r="J1387" s="16">
        <f>IF(HistoricalStockProgress[[#This Row],[No. of Shares]]&lt;&gt;0,HistoricalStockProgress[[#This Row],[Price of Shares]]-HistoricalStockProgress[[#This Row],[Cost of Shares]]/HistoricalStockProgress[[#This Row],[No. of Shares]],0)</f>
        <v>-7.8519564570721947</v>
      </c>
      <c r="K1387" s="17">
        <f>IF(HistoricalStockProgress[[#This Row],[Total Price of Shares]]&lt;&gt;0,HistoricalStockProgress[[#This Row],[Total Price of Shares]]-HistoricalStockProgress[[#This Row],[Cost of Shares]],0)</f>
        <v>-973.64260067695204</v>
      </c>
      <c r="L1387" s="34" t="b" cm="1">
        <f t="array" ref="L1387">IFERROR(IF(HistoricalStockProgress[[#This Row],[Price of Shares]]="",_xlfn.STOCKHISTORY(HistoricalStockProgress[[#This Row],[Full Company Name]],HistoricalStockProgress[[#This Row],[Date]],,2,0,1)),0)</f>
        <v>0</v>
      </c>
      <c r="M1387" s="34">
        <f>YEAR(HistoricalStockProgress[[#This Row],[Date]])</f>
        <v>2022</v>
      </c>
      <c r="N1387" s="34">
        <f>MONTH(HistoricalStockProgress[[#This Row],[Date]])</f>
        <v>10</v>
      </c>
    </row>
    <row r="1388" spans="2:14">
      <c r="B1388" s="15">
        <v>44865</v>
      </c>
      <c r="C1388" s="34" t="s">
        <v>13</v>
      </c>
      <c r="D1388" s="34" t="e" vm="18">
        <f>_xlfn.XLOOKUP(HistoricalStockProgress[[#This Row],[Company Ticker]],CompanyDetailsList[Company Ticker],CompanyDetailsList[Official Name],,0)</f>
        <v>#VALUE!</v>
      </c>
      <c r="E13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3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388" s="17">
        <f>IFERROR(HistoricalStockProgress[[#This Row],[Cost of Shares]]/HistoricalStockProgress[[#This Row],[No. of Shares]],0)</f>
        <v>35.846938938346874</v>
      </c>
      <c r="H1388" s="16" vm="1898">
        <v>46.55</v>
      </c>
      <c r="I1388" s="16">
        <f>IF(HistoricalStockProgress[[#This Row],[No. of Shares]]&lt;&gt;0,HistoricalStockProgress[[#This Row],[Price of Shares]]*HistoricalStockProgress[[#This Row],[No. of Shares]],0)</f>
        <v>2560.25</v>
      </c>
      <c r="J1388" s="16">
        <f>IF(HistoricalStockProgress[[#This Row],[No. of Shares]]&lt;&gt;0,HistoricalStockProgress[[#This Row],[Price of Shares]]-HistoricalStockProgress[[#This Row],[Cost of Shares]]/HistoricalStockProgress[[#This Row],[No. of Shares]],0)</f>
        <v>10.703061061653123</v>
      </c>
      <c r="K1388" s="17">
        <f>IF(HistoricalStockProgress[[#This Row],[Total Price of Shares]]&lt;&gt;0,HistoricalStockProgress[[#This Row],[Total Price of Shares]]-HistoricalStockProgress[[#This Row],[Cost of Shares]],0)</f>
        <v>588.66835839092187</v>
      </c>
      <c r="L1388" s="34" t="b" cm="1">
        <f t="array" ref="L1388">IFERROR(IF(HistoricalStockProgress[[#This Row],[Price of Shares]]="",_xlfn.STOCKHISTORY(HistoricalStockProgress[[#This Row],[Full Company Name]],HistoricalStockProgress[[#This Row],[Date]],,2,0,1)),0)</f>
        <v>0</v>
      </c>
      <c r="M1388" s="34">
        <f>YEAR(HistoricalStockProgress[[#This Row],[Date]])</f>
        <v>2022</v>
      </c>
      <c r="N1388" s="34">
        <f>MONTH(HistoricalStockProgress[[#This Row],[Date]])</f>
        <v>10</v>
      </c>
    </row>
    <row r="1389" spans="2:14">
      <c r="B1389" s="15">
        <v>44865</v>
      </c>
      <c r="C1389" s="34" t="s">
        <v>20</v>
      </c>
      <c r="D1389" s="34" t="e" vm="19">
        <f>_xlfn.XLOOKUP(HistoricalStockProgress[[#This Row],[Company Ticker]],CompanyDetailsList[Company Ticker],CompanyDetailsList[Official Name],,0)</f>
        <v>#VALUE!</v>
      </c>
      <c r="E13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93</v>
      </c>
      <c r="F13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9585.7274858109122</v>
      </c>
      <c r="G1389" s="17">
        <f>IFERROR(HistoricalStockProgress[[#This Row],[Cost of Shares]]/HistoricalStockProgress[[#This Row],[No. of Shares]],0)</f>
        <v>103.07233855710658</v>
      </c>
      <c r="H1389" s="16" vm="1468">
        <v>125.88</v>
      </c>
      <c r="I1389" s="16">
        <f>IF(HistoricalStockProgress[[#This Row],[No. of Shares]]&lt;&gt;0,HistoricalStockProgress[[#This Row],[Price of Shares]]*HistoricalStockProgress[[#This Row],[No. of Shares]],0)</f>
        <v>11706.84</v>
      </c>
      <c r="J1389" s="16">
        <f>IF(HistoricalStockProgress[[#This Row],[No. of Shares]]&lt;&gt;0,HistoricalStockProgress[[#This Row],[Price of Shares]]-HistoricalStockProgress[[#This Row],[Cost of Shares]]/HistoricalStockProgress[[#This Row],[No. of Shares]],0)</f>
        <v>22.807661442893419</v>
      </c>
      <c r="K1389" s="17">
        <f>IF(HistoricalStockProgress[[#This Row],[Total Price of Shares]]&lt;&gt;0,HistoricalStockProgress[[#This Row],[Total Price of Shares]]-HistoricalStockProgress[[#This Row],[Cost of Shares]],0)</f>
        <v>2121.112514189088</v>
      </c>
      <c r="L1389" s="34" t="b" cm="1">
        <f t="array" ref="L1389">IFERROR(IF(HistoricalStockProgress[[#This Row],[Price of Shares]]="",_xlfn.STOCKHISTORY(HistoricalStockProgress[[#This Row],[Full Company Name]],HistoricalStockProgress[[#This Row],[Date]],,2,0,1)),0)</f>
        <v>0</v>
      </c>
      <c r="M1389" s="34">
        <f>YEAR(HistoricalStockProgress[[#This Row],[Date]])</f>
        <v>2022</v>
      </c>
      <c r="N1389" s="34">
        <f>MONTH(HistoricalStockProgress[[#This Row],[Date]])</f>
        <v>10</v>
      </c>
    </row>
    <row r="1390" spans="2:14">
      <c r="B1390" s="15">
        <v>44865</v>
      </c>
      <c r="C1390" s="34" t="s">
        <v>106</v>
      </c>
      <c r="D1390" s="34" t="e" vm="20">
        <f>_xlfn.XLOOKUP(HistoricalStockProgress[[#This Row],[Company Ticker]],CompanyDetailsList[Company Ticker],CompanyDetailsList[Official Name],,0)</f>
        <v>#VALUE!</v>
      </c>
      <c r="E13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3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390" s="17">
        <f>IFERROR(HistoricalStockProgress[[#This Row],[Cost of Shares]]/HistoricalStockProgress[[#This Row],[No. of Shares]],0)</f>
        <v>108.54870748680406</v>
      </c>
      <c r="H1390" s="16" vm="1899">
        <v>114.18</v>
      </c>
      <c r="I1390" s="16">
        <f>IF(HistoricalStockProgress[[#This Row],[No. of Shares]]&lt;&gt;0,HistoricalStockProgress[[#This Row],[Price of Shares]]*HistoricalStockProgress[[#This Row],[No. of Shares]],0)</f>
        <v>10047.84</v>
      </c>
      <c r="J1390" s="16">
        <f>IF(HistoricalStockProgress[[#This Row],[No. of Shares]]&lt;&gt;0,HistoricalStockProgress[[#This Row],[Price of Shares]]-HistoricalStockProgress[[#This Row],[Cost of Shares]]/HistoricalStockProgress[[#This Row],[No. of Shares]],0)</f>
        <v>5.6312925131959446</v>
      </c>
      <c r="K1390" s="17">
        <f>IF(HistoricalStockProgress[[#This Row],[Total Price of Shares]]&lt;&gt;0,HistoricalStockProgress[[#This Row],[Total Price of Shares]]-HistoricalStockProgress[[#This Row],[Cost of Shares]],0)</f>
        <v>495.55374116124221</v>
      </c>
      <c r="L1390" s="34" t="b" cm="1">
        <f t="array" ref="L1390">IFERROR(IF(HistoricalStockProgress[[#This Row],[Price of Shares]]="",_xlfn.STOCKHISTORY(HistoricalStockProgress[[#This Row],[Full Company Name]],HistoricalStockProgress[[#This Row],[Date]],,2,0,1)),0)</f>
        <v>0</v>
      </c>
      <c r="M1390" s="34">
        <f>YEAR(HistoricalStockProgress[[#This Row],[Date]])</f>
        <v>2022</v>
      </c>
      <c r="N1390" s="34">
        <f>MONTH(HistoricalStockProgress[[#This Row],[Date]])</f>
        <v>10</v>
      </c>
    </row>
    <row r="1391" spans="2:14">
      <c r="B1391" s="15">
        <v>44895</v>
      </c>
      <c r="C1391" s="34" t="s">
        <v>12</v>
      </c>
      <c r="D1391" s="34" t="e" vm="1">
        <f>_xlfn.XLOOKUP(HistoricalStockProgress[[#This Row],[Company Ticker]],CompanyDetailsList[Company Ticker],CompanyDetailsList[Official Name],,0)</f>
        <v>#VALUE!</v>
      </c>
      <c r="E13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64</v>
      </c>
      <c r="F13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4086.0916812423193</v>
      </c>
      <c r="G1391" s="17">
        <f>IFERROR(HistoricalStockProgress[[#This Row],[Cost of Shares]]/HistoricalStockProgress[[#This Row],[No. of Shares]],0)</f>
        <v>63.845182519411239</v>
      </c>
      <c r="H1391" s="16" vm="702">
        <v>63.07</v>
      </c>
      <c r="I1391" s="16">
        <f>IF(HistoricalStockProgress[[#This Row],[No. of Shares]]&lt;&gt;0,HistoricalStockProgress[[#This Row],[Price of Shares]]*HistoricalStockProgress[[#This Row],[No. of Shares]],0)</f>
        <v>4036.48</v>
      </c>
      <c r="J1391" s="16">
        <f>IF(HistoricalStockProgress[[#This Row],[No. of Shares]]&lt;&gt;0,HistoricalStockProgress[[#This Row],[Price of Shares]]-HistoricalStockProgress[[#This Row],[Cost of Shares]]/HistoricalStockProgress[[#This Row],[No. of Shares]],0)</f>
        <v>-0.7751825194112385</v>
      </c>
      <c r="K1391" s="17">
        <f>IF(HistoricalStockProgress[[#This Row],[Total Price of Shares]]&lt;&gt;0,HistoricalStockProgress[[#This Row],[Total Price of Shares]]-HistoricalStockProgress[[#This Row],[Cost of Shares]],0)</f>
        <v>-49.611681242319264</v>
      </c>
      <c r="L1391" s="34" t="b" cm="1">
        <f t="array" ref="L1391">IFERROR(IF(HistoricalStockProgress[[#This Row],[Price of Shares]]="",_xlfn.STOCKHISTORY(HistoricalStockProgress[[#This Row],[Full Company Name]],HistoricalStockProgress[[#This Row],[Date]],,2,0,1)),0)</f>
        <v>0</v>
      </c>
      <c r="M1391" s="34">
        <f>YEAR(HistoricalStockProgress[[#This Row],[Date]])</f>
        <v>2022</v>
      </c>
      <c r="N1391" s="34">
        <f>MONTH(HistoricalStockProgress[[#This Row],[Date]])</f>
        <v>11</v>
      </c>
    </row>
    <row r="1392" spans="2:14">
      <c r="B1392" s="15">
        <v>44895</v>
      </c>
      <c r="C1392" s="34" t="s">
        <v>14</v>
      </c>
      <c r="D1392" s="34" t="e" vm="2">
        <f>_xlfn.XLOOKUP(HistoricalStockProgress[[#This Row],[Company Ticker]],CompanyDetailsList[Company Ticker],CompanyDetailsList[Official Name],,0)</f>
        <v>#VALUE!</v>
      </c>
      <c r="E13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3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392" s="17">
        <f>IFERROR(HistoricalStockProgress[[#This Row],[Cost of Shares]]/HistoricalStockProgress[[#This Row],[No. of Shares]],0)</f>
        <v>31.580112511620161</v>
      </c>
      <c r="H1392" s="16" vm="1900">
        <v>35.44</v>
      </c>
      <c r="I1392" s="16">
        <f>IF(HistoricalStockProgress[[#This Row],[No. of Shares]]&lt;&gt;0,HistoricalStockProgress[[#This Row],[Price of Shares]]*HistoricalStockProgress[[#This Row],[No. of Shares]],0)</f>
        <v>992.31999999999994</v>
      </c>
      <c r="J1392" s="16">
        <f>IF(HistoricalStockProgress[[#This Row],[No. of Shares]]&lt;&gt;0,HistoricalStockProgress[[#This Row],[Price of Shares]]-HistoricalStockProgress[[#This Row],[Cost of Shares]]/HistoricalStockProgress[[#This Row],[No. of Shares]],0)</f>
        <v>3.8598874883798366</v>
      </c>
      <c r="K1392" s="17">
        <f>IF(HistoricalStockProgress[[#This Row],[Total Price of Shares]]&lt;&gt;0,HistoricalStockProgress[[#This Row],[Total Price of Shares]]-HistoricalStockProgress[[#This Row],[Cost of Shares]],0)</f>
        <v>108.07684967463547</v>
      </c>
      <c r="L1392" s="34" t="b" cm="1">
        <f t="array" ref="L1392">IFERROR(IF(HistoricalStockProgress[[#This Row],[Price of Shares]]="",_xlfn.STOCKHISTORY(HistoricalStockProgress[[#This Row],[Full Company Name]],HistoricalStockProgress[[#This Row],[Date]],,2,0,1)),0)</f>
        <v>0</v>
      </c>
      <c r="M1392" s="34">
        <f>YEAR(HistoricalStockProgress[[#This Row],[Date]])</f>
        <v>2022</v>
      </c>
      <c r="N1392" s="34">
        <f>MONTH(HistoricalStockProgress[[#This Row],[Date]])</f>
        <v>11</v>
      </c>
    </row>
    <row r="1393" spans="2:14">
      <c r="B1393" s="15">
        <v>44895</v>
      </c>
      <c r="C1393" s="34" t="s">
        <v>19</v>
      </c>
      <c r="D1393" s="34" t="e" vm="3">
        <f>_xlfn.XLOOKUP(HistoricalStockProgress[[#This Row],[Company Ticker]],CompanyDetailsList[Company Ticker],CompanyDetailsList[Official Name],,0)</f>
        <v>#VALUE!</v>
      </c>
      <c r="E13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3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393" s="17">
        <f>IFERROR(HistoricalStockProgress[[#This Row],[Cost of Shares]]/HistoricalStockProgress[[#This Row],[No. of Shares]],0)</f>
        <v>158.45739987816083</v>
      </c>
      <c r="H1393" s="16" vm="1901">
        <v>148.65</v>
      </c>
      <c r="I1393" s="16">
        <f>IF(HistoricalStockProgress[[#This Row],[No. of Shares]]&lt;&gt;0,HistoricalStockProgress[[#This Row],[Price of Shares]]*HistoricalStockProgress[[#This Row],[No. of Shares]],0)</f>
        <v>8473.0500000000011</v>
      </c>
      <c r="J1393" s="16">
        <f>IF(HistoricalStockProgress[[#This Row],[No. of Shares]]&lt;&gt;0,HistoricalStockProgress[[#This Row],[Price of Shares]]-HistoricalStockProgress[[#This Row],[Cost of Shares]]/HistoricalStockProgress[[#This Row],[No. of Shares]],0)</f>
        <v>-9.8073998781608225</v>
      </c>
      <c r="K1393" s="17">
        <f>IF(HistoricalStockProgress[[#This Row],[Total Price of Shares]]&lt;&gt;0,HistoricalStockProgress[[#This Row],[Total Price of Shares]]-HistoricalStockProgress[[#This Row],[Cost of Shares]],0)</f>
        <v>-559.0217930551662</v>
      </c>
      <c r="L1393" s="34" t="b" cm="1">
        <f t="array" ref="L1393">IFERROR(IF(HistoricalStockProgress[[#This Row],[Price of Shares]]="",_xlfn.STOCKHISTORY(HistoricalStockProgress[[#This Row],[Full Company Name]],HistoricalStockProgress[[#This Row],[Date]],,2,0,1)),0)</f>
        <v>0</v>
      </c>
      <c r="M1393" s="34">
        <f>YEAR(HistoricalStockProgress[[#This Row],[Date]])</f>
        <v>2022</v>
      </c>
      <c r="N1393" s="34">
        <f>MONTH(HistoricalStockProgress[[#This Row],[Date]])</f>
        <v>11</v>
      </c>
    </row>
    <row r="1394" spans="2:14">
      <c r="B1394" s="15">
        <v>44895</v>
      </c>
      <c r="C1394" s="34" t="s">
        <v>23</v>
      </c>
      <c r="D1394" s="34" t="e" vm="4">
        <f>_xlfn.XLOOKUP(HistoricalStockProgress[[#This Row],[Company Ticker]],CompanyDetailsList[Company Ticker],CompanyDetailsList[Official Name],,0)</f>
        <v>#VALUE!</v>
      </c>
      <c r="E13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85</v>
      </c>
      <c r="F13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4210.4106468589489</v>
      </c>
      <c r="G1394" s="17">
        <f>IFERROR(HistoricalStockProgress[[#This Row],[Cost of Shares]]/HistoricalStockProgress[[#This Row],[No. of Shares]],0)</f>
        <v>49.534242904222928</v>
      </c>
      <c r="H1394" s="16" vm="1902">
        <v>63.61</v>
      </c>
      <c r="I1394" s="16">
        <f>IF(HistoricalStockProgress[[#This Row],[No. of Shares]]&lt;&gt;0,HistoricalStockProgress[[#This Row],[Price of Shares]]*HistoricalStockProgress[[#This Row],[No. of Shares]],0)</f>
        <v>5406.85</v>
      </c>
      <c r="J1394" s="16">
        <f>IF(HistoricalStockProgress[[#This Row],[No. of Shares]]&lt;&gt;0,HistoricalStockProgress[[#This Row],[Price of Shares]]-HistoricalStockProgress[[#This Row],[Cost of Shares]]/HistoricalStockProgress[[#This Row],[No. of Shares]],0)</f>
        <v>14.075757095777071</v>
      </c>
      <c r="K1394" s="17">
        <f>IF(HistoricalStockProgress[[#This Row],[Total Price of Shares]]&lt;&gt;0,HistoricalStockProgress[[#This Row],[Total Price of Shares]]-HistoricalStockProgress[[#This Row],[Cost of Shares]],0)</f>
        <v>1196.4393531410515</v>
      </c>
      <c r="L1394" s="34" t="b" cm="1">
        <f t="array" ref="L1394">IFERROR(IF(HistoricalStockProgress[[#This Row],[Price of Shares]]="",_xlfn.STOCKHISTORY(HistoricalStockProgress[[#This Row],[Full Company Name]],HistoricalStockProgress[[#This Row],[Date]],,2,0,1)),0)</f>
        <v>0</v>
      </c>
      <c r="M1394" s="34">
        <f>YEAR(HistoricalStockProgress[[#This Row],[Date]])</f>
        <v>2022</v>
      </c>
      <c r="N1394" s="34">
        <f>MONTH(HistoricalStockProgress[[#This Row],[Date]])</f>
        <v>11</v>
      </c>
    </row>
    <row r="1395" spans="2:14">
      <c r="B1395" s="15">
        <v>44895</v>
      </c>
      <c r="C1395" s="34" t="s">
        <v>18</v>
      </c>
      <c r="D1395" s="34" t="e" vm="5">
        <f>_xlfn.XLOOKUP(HistoricalStockProgress[[#This Row],[Company Ticker]],CompanyDetailsList[Company Ticker],CompanyDetailsList[Official Name],,0)</f>
        <v>#VALUE!</v>
      </c>
      <c r="E13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3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395" s="17">
        <f>IFERROR(HistoricalStockProgress[[#This Row],[Cost of Shares]]/HistoricalStockProgress[[#This Row],[No. of Shares]],0)</f>
        <v>160.8859607546234</v>
      </c>
      <c r="H1395" s="16" vm="1903">
        <v>185.51</v>
      </c>
      <c r="I1395" s="16">
        <f>IF(HistoricalStockProgress[[#This Row],[No. of Shares]]&lt;&gt;0,HistoricalStockProgress[[#This Row],[Price of Shares]]*HistoricalStockProgress[[#This Row],[No. of Shares]],0)</f>
        <v>7976.9299999999994</v>
      </c>
      <c r="J1395" s="16">
        <f>IF(HistoricalStockProgress[[#This Row],[No. of Shares]]&lt;&gt;0,HistoricalStockProgress[[#This Row],[Price of Shares]]-HistoricalStockProgress[[#This Row],[Cost of Shares]]/HistoricalStockProgress[[#This Row],[No. of Shares]],0)</f>
        <v>24.624039245376593</v>
      </c>
      <c r="K1395" s="17">
        <f>IF(HistoricalStockProgress[[#This Row],[Total Price of Shares]]&lt;&gt;0,HistoricalStockProgress[[#This Row],[Total Price of Shares]]-HistoricalStockProgress[[#This Row],[Cost of Shares]],0)</f>
        <v>1058.8336875511932</v>
      </c>
      <c r="L1395" s="34" t="b" cm="1">
        <f t="array" ref="L1395">IFERROR(IF(HistoricalStockProgress[[#This Row],[Price of Shares]]="",_xlfn.STOCKHISTORY(HistoricalStockProgress[[#This Row],[Full Company Name]],HistoricalStockProgress[[#This Row],[Date]],,2,0,1)),0)</f>
        <v>0</v>
      </c>
      <c r="M1395" s="34">
        <f>YEAR(HistoricalStockProgress[[#This Row],[Date]])</f>
        <v>2022</v>
      </c>
      <c r="N1395" s="34">
        <f>MONTH(HistoricalStockProgress[[#This Row],[Date]])</f>
        <v>11</v>
      </c>
    </row>
    <row r="1396" spans="2:14">
      <c r="B1396" s="15">
        <v>44895</v>
      </c>
      <c r="C1396" s="34" t="s">
        <v>21</v>
      </c>
      <c r="D1396" s="34" t="e" vm="6">
        <f>_xlfn.XLOOKUP(HistoricalStockProgress[[#This Row],[Company Ticker]],CompanyDetailsList[Company Ticker],CompanyDetailsList[Official Name],,0)</f>
        <v>#VALUE!</v>
      </c>
      <c r="E13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3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396" s="17">
        <f>IFERROR(HistoricalStockProgress[[#This Row],[Cost of Shares]]/HistoricalStockProgress[[#This Row],[No. of Shares]],0)</f>
        <v>139.68700010204148</v>
      </c>
      <c r="H1396" s="16" vm="1904">
        <v>149.16</v>
      </c>
      <c r="I1396" s="16">
        <f>IF(HistoricalStockProgress[[#This Row],[No. of Shares]]&lt;&gt;0,HistoricalStockProgress[[#This Row],[Price of Shares]]*HistoricalStockProgress[[#This Row],[No. of Shares]],0)</f>
        <v>6264.72</v>
      </c>
      <c r="J1396" s="16">
        <f>IF(HistoricalStockProgress[[#This Row],[No. of Shares]]&lt;&gt;0,HistoricalStockProgress[[#This Row],[Price of Shares]]-HistoricalStockProgress[[#This Row],[Cost of Shares]]/HistoricalStockProgress[[#This Row],[No. of Shares]],0)</f>
        <v>9.4729998979585162</v>
      </c>
      <c r="K1396" s="17">
        <f>IF(HistoricalStockProgress[[#This Row],[Total Price of Shares]]&lt;&gt;0,HistoricalStockProgress[[#This Row],[Total Price of Shares]]-HistoricalStockProgress[[#This Row],[Cost of Shares]],0)</f>
        <v>397.86599571425813</v>
      </c>
      <c r="L1396" s="34" t="b" cm="1">
        <f t="array" ref="L1396">IFERROR(IF(HistoricalStockProgress[[#This Row],[Price of Shares]]="",_xlfn.STOCKHISTORY(HistoricalStockProgress[[#This Row],[Full Company Name]],HistoricalStockProgress[[#This Row],[Date]],,2,0,1)),0)</f>
        <v>0</v>
      </c>
      <c r="M1396" s="34">
        <f>YEAR(HistoricalStockProgress[[#This Row],[Date]])</f>
        <v>2022</v>
      </c>
      <c r="N1396" s="34">
        <f>MONTH(HistoricalStockProgress[[#This Row],[Date]])</f>
        <v>11</v>
      </c>
    </row>
    <row r="1397" spans="2:14">
      <c r="B1397" s="15">
        <v>44895</v>
      </c>
      <c r="C1397" s="34" t="s">
        <v>84</v>
      </c>
      <c r="D1397" s="34" t="e" vm="7">
        <f>_xlfn.XLOOKUP(HistoricalStockProgress[[#This Row],[Company Ticker]],CompanyDetailsList[Company Ticker],CompanyDetailsList[Official Name],,0)</f>
        <v>#VALUE!</v>
      </c>
      <c r="E13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3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397" s="17">
        <f>IFERROR(HistoricalStockProgress[[#This Row],[Cost of Shares]]/HistoricalStockProgress[[#This Row],[No. of Shares]],0)</f>
        <v>104.18087504950869</v>
      </c>
      <c r="H1397" s="16" vm="1905">
        <v>178</v>
      </c>
      <c r="I1397" s="16">
        <f>IF(HistoricalStockProgress[[#This Row],[No. of Shares]]&lt;&gt;0,HistoricalStockProgress[[#This Row],[Price of Shares]]*HistoricalStockProgress[[#This Row],[No. of Shares]],0)</f>
        <v>9078</v>
      </c>
      <c r="J1397" s="16">
        <f>IF(HistoricalStockProgress[[#This Row],[No. of Shares]]&lt;&gt;0,HistoricalStockProgress[[#This Row],[Price of Shares]]-HistoricalStockProgress[[#This Row],[Cost of Shares]]/HistoricalStockProgress[[#This Row],[No. of Shares]],0)</f>
        <v>73.819124950491315</v>
      </c>
      <c r="K1397" s="17">
        <f>IF(HistoricalStockProgress[[#This Row],[Total Price of Shares]]&lt;&gt;0,HistoricalStockProgress[[#This Row],[Total Price of Shares]]-HistoricalStockProgress[[#This Row],[Cost of Shares]],0)</f>
        <v>3764.7753724750573</v>
      </c>
      <c r="L1397" s="34" t="b" cm="1">
        <f t="array" ref="L1397">IFERROR(IF(HistoricalStockProgress[[#This Row],[Price of Shares]]="",_xlfn.STOCKHISTORY(HistoricalStockProgress[[#This Row],[Full Company Name]],HistoricalStockProgress[[#This Row],[Date]],,2,0,1)),0)</f>
        <v>0</v>
      </c>
      <c r="M1397" s="34">
        <f>YEAR(HistoricalStockProgress[[#This Row],[Date]])</f>
        <v>2022</v>
      </c>
      <c r="N1397" s="34">
        <f>MONTH(HistoricalStockProgress[[#This Row],[Date]])</f>
        <v>11</v>
      </c>
    </row>
    <row r="1398" spans="2:14">
      <c r="B1398" s="15">
        <v>44895</v>
      </c>
      <c r="C1398" s="34" t="s">
        <v>86</v>
      </c>
      <c r="D1398" s="34" t="e" vm="8">
        <f>_xlfn.XLOOKUP(HistoricalStockProgress[[#This Row],[Company Ticker]],CompanyDetailsList[Company Ticker],CompanyDetailsList[Official Name],,0)</f>
        <v>#VALUE!</v>
      </c>
      <c r="E13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3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398" s="17">
        <f>IFERROR(HistoricalStockProgress[[#This Row],[Cost of Shares]]/HistoricalStockProgress[[#This Row],[No. of Shares]],0)</f>
        <v>92.636161128673535</v>
      </c>
      <c r="H1398" s="16" vm="1906">
        <v>161.18</v>
      </c>
      <c r="I1398" s="16">
        <f>IF(HistoricalStockProgress[[#This Row],[No. of Shares]]&lt;&gt;0,HistoricalStockProgress[[#This Row],[Price of Shares]]*HistoricalStockProgress[[#This Row],[No. of Shares]],0)</f>
        <v>18374.52</v>
      </c>
      <c r="J1398" s="16">
        <f>IF(HistoricalStockProgress[[#This Row],[No. of Shares]]&lt;&gt;0,HistoricalStockProgress[[#This Row],[Price of Shares]]-HistoricalStockProgress[[#This Row],[Cost of Shares]]/HistoricalStockProgress[[#This Row],[No. of Shares]],0)</f>
        <v>68.543838871326471</v>
      </c>
      <c r="K1398" s="17">
        <f>IF(HistoricalStockProgress[[#This Row],[Total Price of Shares]]&lt;&gt;0,HistoricalStockProgress[[#This Row],[Total Price of Shares]]-HistoricalStockProgress[[#This Row],[Cost of Shares]],0)</f>
        <v>7813.9976313312181</v>
      </c>
      <c r="L1398" s="34" t="b" cm="1">
        <f t="array" ref="L1398">IFERROR(IF(HistoricalStockProgress[[#This Row],[Price of Shares]]="",_xlfn.STOCKHISTORY(HistoricalStockProgress[[#This Row],[Full Company Name]],HistoricalStockProgress[[#This Row],[Date]],,2,0,1)),0)</f>
        <v>0</v>
      </c>
      <c r="M1398" s="34">
        <f>YEAR(HistoricalStockProgress[[#This Row],[Date]])</f>
        <v>2022</v>
      </c>
      <c r="N1398" s="34">
        <f>MONTH(HistoricalStockProgress[[#This Row],[Date]])</f>
        <v>11</v>
      </c>
    </row>
    <row r="1399" spans="2:14">
      <c r="B1399" s="15">
        <v>44895</v>
      </c>
      <c r="C1399" s="34" t="s">
        <v>88</v>
      </c>
      <c r="D1399" s="34" t="e" vm="9">
        <f>_xlfn.XLOOKUP(HistoricalStockProgress[[#This Row],[Company Ticker]],CompanyDetailsList[Company Ticker],CompanyDetailsList[Official Name],,0)</f>
        <v>#VALUE!</v>
      </c>
      <c r="E13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3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399" s="17">
        <f>IFERROR(HistoricalStockProgress[[#This Row],[Cost of Shares]]/HistoricalStockProgress[[#This Row],[No. of Shares]],0)</f>
        <v>187.727755253422</v>
      </c>
      <c r="H1399" s="16" vm="1907">
        <v>272.79000000000002</v>
      </c>
      <c r="I1399" s="16">
        <f>IF(HistoricalStockProgress[[#This Row],[No. of Shares]]&lt;&gt;0,HistoricalStockProgress[[#This Row],[Price of Shares]]*HistoricalStockProgress[[#This Row],[No. of Shares]],0)</f>
        <v>16094.61</v>
      </c>
      <c r="J1399" s="16">
        <f>IF(HistoricalStockProgress[[#This Row],[No. of Shares]]&lt;&gt;0,HistoricalStockProgress[[#This Row],[Price of Shares]]-HistoricalStockProgress[[#This Row],[Cost of Shares]]/HistoricalStockProgress[[#This Row],[No. of Shares]],0)</f>
        <v>85.062244746578017</v>
      </c>
      <c r="K1399" s="17">
        <f>IF(HistoricalStockProgress[[#This Row],[Total Price of Shares]]&lt;&gt;0,HistoricalStockProgress[[#This Row],[Total Price of Shares]]-HistoricalStockProgress[[#This Row],[Cost of Shares]],0)</f>
        <v>5018.6724400481016</v>
      </c>
      <c r="L1399" s="34" t="b" cm="1">
        <f t="array" ref="L1399">IFERROR(IF(HistoricalStockProgress[[#This Row],[Price of Shares]]="",_xlfn.STOCKHISTORY(HistoricalStockProgress[[#This Row],[Full Company Name]],HistoricalStockProgress[[#This Row],[Date]],,2,0,1)),0)</f>
        <v>0</v>
      </c>
      <c r="M1399" s="34">
        <f>YEAR(HistoricalStockProgress[[#This Row],[Date]])</f>
        <v>2022</v>
      </c>
      <c r="N1399" s="34">
        <f>MONTH(HistoricalStockProgress[[#This Row],[Date]])</f>
        <v>11</v>
      </c>
    </row>
    <row r="1400" spans="2:14">
      <c r="B1400" s="15">
        <v>44895</v>
      </c>
      <c r="C1400" s="34" t="s">
        <v>22</v>
      </c>
      <c r="D1400" s="34" t="e" vm="10">
        <f>_xlfn.XLOOKUP(HistoricalStockProgress[[#This Row],[Company Ticker]],CompanyDetailsList[Company Ticker],CompanyDetailsList[Official Name],,0)</f>
        <v>#VALUE!</v>
      </c>
      <c r="E14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4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400" s="17">
        <f>IFERROR(HistoricalStockProgress[[#This Row],[Cost of Shares]]/HistoricalStockProgress[[#This Row],[No. of Shares]],0)</f>
        <v>130.19784136724968</v>
      </c>
      <c r="H1400" s="16" vm="1908">
        <v>236.41</v>
      </c>
      <c r="I1400" s="16">
        <f>IF(HistoricalStockProgress[[#This Row],[No. of Shares]]&lt;&gt;0,HistoricalStockProgress[[#This Row],[Price of Shares]]*HistoricalStockProgress[[#This Row],[No. of Shares]],0)</f>
        <v>28132.79</v>
      </c>
      <c r="J1400" s="16">
        <f>IF(HistoricalStockProgress[[#This Row],[No. of Shares]]&lt;&gt;0,HistoricalStockProgress[[#This Row],[Price of Shares]]-HistoricalStockProgress[[#This Row],[Cost of Shares]]/HistoricalStockProgress[[#This Row],[No. of Shares]],0)</f>
        <v>106.21215863275032</v>
      </c>
      <c r="K1400" s="17">
        <f>IF(HistoricalStockProgress[[#This Row],[Total Price of Shares]]&lt;&gt;0,HistoricalStockProgress[[#This Row],[Total Price of Shares]]-HistoricalStockProgress[[#This Row],[Cost of Shares]],0)</f>
        <v>12639.246877297288</v>
      </c>
      <c r="L1400" s="34" t="b" cm="1">
        <f t="array" ref="L1400">IFERROR(IF(HistoricalStockProgress[[#This Row],[Price of Shares]]="",_xlfn.STOCKHISTORY(HistoricalStockProgress[[#This Row],[Full Company Name]],HistoricalStockProgress[[#This Row],[Date]],,2,0,1)),0)</f>
        <v>0</v>
      </c>
      <c r="M1400" s="34">
        <f>YEAR(HistoricalStockProgress[[#This Row],[Date]])</f>
        <v>2022</v>
      </c>
      <c r="N1400" s="34">
        <f>MONTH(HistoricalStockProgress[[#This Row],[Date]])</f>
        <v>11</v>
      </c>
    </row>
    <row r="1401" spans="2:14">
      <c r="B1401" s="15">
        <v>44895</v>
      </c>
      <c r="C1401" s="34" t="s">
        <v>91</v>
      </c>
      <c r="D1401" s="34" t="e" vm="11">
        <f>_xlfn.XLOOKUP(HistoricalStockProgress[[#This Row],[Company Ticker]],CompanyDetailsList[Company Ticker],CompanyDetailsList[Official Name],,0)</f>
        <v>#VALUE!</v>
      </c>
      <c r="E14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176</v>
      </c>
      <c r="F14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22591.11028368511</v>
      </c>
      <c r="G1401" s="17">
        <f>IFERROR(HistoricalStockProgress[[#This Row],[Cost of Shares]]/HistoricalStockProgress[[#This Row],[No. of Shares]],0)</f>
        <v>128.35858115730176</v>
      </c>
      <c r="H1401" s="16" vm="1909">
        <v>255.14</v>
      </c>
      <c r="I1401" s="16">
        <f>IF(HistoricalStockProgress[[#This Row],[No. of Shares]]&lt;&gt;0,HistoricalStockProgress[[#This Row],[Price of Shares]]*HistoricalStockProgress[[#This Row],[No. of Shares]],0)</f>
        <v>44904.639999999999</v>
      </c>
      <c r="J1401" s="16">
        <f>IF(HistoricalStockProgress[[#This Row],[No. of Shares]]&lt;&gt;0,HistoricalStockProgress[[#This Row],[Price of Shares]]-HistoricalStockProgress[[#This Row],[Cost of Shares]]/HistoricalStockProgress[[#This Row],[No. of Shares]],0)</f>
        <v>126.78141884269823</v>
      </c>
      <c r="K1401" s="17">
        <f>IF(HistoricalStockProgress[[#This Row],[Total Price of Shares]]&lt;&gt;0,HistoricalStockProgress[[#This Row],[Total Price of Shares]]-HistoricalStockProgress[[#This Row],[Cost of Shares]],0)</f>
        <v>22313.52971631489</v>
      </c>
      <c r="L1401" s="34" t="b" cm="1">
        <f t="array" ref="L1401">IFERROR(IF(HistoricalStockProgress[[#This Row],[Price of Shares]]="",_xlfn.STOCKHISTORY(HistoricalStockProgress[[#This Row],[Full Company Name]],HistoricalStockProgress[[#This Row],[Date]],,2,0,1)),0)</f>
        <v>0</v>
      </c>
      <c r="M1401" s="34">
        <f>YEAR(HistoricalStockProgress[[#This Row],[Date]])</f>
        <v>2022</v>
      </c>
      <c r="N1401" s="34">
        <f>MONTH(HistoricalStockProgress[[#This Row],[Date]])</f>
        <v>11</v>
      </c>
    </row>
    <row r="1402" spans="2:14">
      <c r="B1402" s="15">
        <v>44895</v>
      </c>
      <c r="C1402" s="34" t="s">
        <v>16</v>
      </c>
      <c r="D1402" s="34" t="e" vm="12">
        <f>_xlfn.XLOOKUP(HistoricalStockProgress[[#This Row],[Company Ticker]],CompanyDetailsList[Company Ticker],CompanyDetailsList[Official Name],,0)</f>
        <v>#VALUE!</v>
      </c>
      <c r="E14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4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402" s="17">
        <f>IFERROR(HistoricalStockProgress[[#This Row],[Cost of Shares]]/HistoricalStockProgress[[#This Row],[No. of Shares]],0)</f>
        <v>75.117698177311837</v>
      </c>
      <c r="H1402" s="16" vm="1910">
        <v>111.34</v>
      </c>
      <c r="I1402" s="16">
        <f>IF(HistoricalStockProgress[[#This Row],[No. of Shares]]&lt;&gt;0,HistoricalStockProgress[[#This Row],[Price of Shares]]*HistoricalStockProgress[[#This Row],[No. of Shares]],0)</f>
        <v>20597.900000000001</v>
      </c>
      <c r="J1402" s="16">
        <f>IF(HistoricalStockProgress[[#This Row],[No. of Shares]]&lt;&gt;0,HistoricalStockProgress[[#This Row],[Price of Shares]]-HistoricalStockProgress[[#This Row],[Cost of Shares]]/HistoricalStockProgress[[#This Row],[No. of Shares]],0)</f>
        <v>36.222301822688166</v>
      </c>
      <c r="K1402" s="17">
        <f>IF(HistoricalStockProgress[[#This Row],[Total Price of Shares]]&lt;&gt;0,HistoricalStockProgress[[#This Row],[Total Price of Shares]]-HistoricalStockProgress[[#This Row],[Cost of Shares]],0)</f>
        <v>6701.1258371973126</v>
      </c>
      <c r="L1402" s="34" t="b" cm="1">
        <f t="array" ref="L1402">IFERROR(IF(HistoricalStockProgress[[#This Row],[Price of Shares]]="",_xlfn.STOCKHISTORY(HistoricalStockProgress[[#This Row],[Full Company Name]],HistoricalStockProgress[[#This Row],[Date]],,2,0,1)),0)</f>
        <v>0</v>
      </c>
      <c r="M1402" s="34">
        <f>YEAR(HistoricalStockProgress[[#This Row],[Date]])</f>
        <v>2022</v>
      </c>
      <c r="N1402" s="34">
        <f>MONTH(HistoricalStockProgress[[#This Row],[Date]])</f>
        <v>11</v>
      </c>
    </row>
    <row r="1403" spans="2:14">
      <c r="B1403" s="15">
        <v>44895</v>
      </c>
      <c r="C1403" s="34" t="s">
        <v>95</v>
      </c>
      <c r="D1403" s="34" t="e" vm="13">
        <f>_xlfn.XLOOKUP(HistoricalStockProgress[[#This Row],[Company Ticker]],CompanyDetailsList[Company Ticker],CompanyDetailsList[Official Name],,0)</f>
        <v>#VALUE!</v>
      </c>
      <c r="E14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14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26060.016778018562</v>
      </c>
      <c r="G1403" s="17">
        <f>IFERROR(HistoricalStockProgress[[#This Row],[Cost of Shares]]/HistoricalStockProgress[[#This Row],[No. of Shares]],0)</f>
        <v>234.77492592809514</v>
      </c>
      <c r="H1403" s="16" vm="1911">
        <v>323.99</v>
      </c>
      <c r="I1403" s="16">
        <f>IF(HistoricalStockProgress[[#This Row],[No. of Shares]]&lt;&gt;0,HistoricalStockProgress[[#This Row],[Price of Shares]]*HistoricalStockProgress[[#This Row],[No. of Shares]],0)</f>
        <v>35962.89</v>
      </c>
      <c r="J1403" s="16">
        <f>IF(HistoricalStockProgress[[#This Row],[No. of Shares]]&lt;&gt;0,HistoricalStockProgress[[#This Row],[Price of Shares]]-HistoricalStockProgress[[#This Row],[Cost of Shares]]/HistoricalStockProgress[[#This Row],[No. of Shares]],0)</f>
        <v>89.215074071904866</v>
      </c>
      <c r="K1403" s="17">
        <f>IF(HistoricalStockProgress[[#This Row],[Total Price of Shares]]&lt;&gt;0,HistoricalStockProgress[[#This Row],[Total Price of Shares]]-HistoricalStockProgress[[#This Row],[Cost of Shares]],0)</f>
        <v>9902.8732219814374</v>
      </c>
      <c r="L1403" s="34" t="b" cm="1">
        <f t="array" ref="L1403">IFERROR(IF(HistoricalStockProgress[[#This Row],[Price of Shares]]="",_xlfn.STOCKHISTORY(HistoricalStockProgress[[#This Row],[Full Company Name]],HistoricalStockProgress[[#This Row],[Date]],,2,0,1)),0)</f>
        <v>0</v>
      </c>
      <c r="M1403" s="34">
        <f>YEAR(HistoricalStockProgress[[#This Row],[Date]])</f>
        <v>2022</v>
      </c>
      <c r="N1403" s="34">
        <f>MONTH(HistoricalStockProgress[[#This Row],[Date]])</f>
        <v>11</v>
      </c>
    </row>
    <row r="1404" spans="2:14">
      <c r="B1404" s="15">
        <v>44895</v>
      </c>
      <c r="C1404" s="34" t="s">
        <v>17</v>
      </c>
      <c r="D1404" s="34" t="e" vm="14">
        <f>_xlfn.XLOOKUP(HistoricalStockProgress[[#This Row],[Company Ticker]],CompanyDetailsList[Company Ticker],CompanyDetailsList[Official Name],,0)</f>
        <v>#VALUE!</v>
      </c>
      <c r="E14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4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26400.485099161626</v>
      </c>
      <c r="G1404" s="17">
        <f>IFERROR(HistoricalStockProgress[[#This Row],[Cost of Shares]]/HistoricalStockProgress[[#This Row],[No. of Shares]],0)</f>
        <v>136.08497473794654</v>
      </c>
      <c r="H1404" s="16" vm="1912">
        <v>148.9</v>
      </c>
      <c r="I1404" s="16">
        <f>IF(HistoricalStockProgress[[#This Row],[No. of Shares]]&lt;&gt;0,HistoricalStockProgress[[#This Row],[Price of Shares]]*HistoricalStockProgress[[#This Row],[No. of Shares]],0)</f>
        <v>28886.600000000002</v>
      </c>
      <c r="J1404" s="16">
        <f>IF(HistoricalStockProgress[[#This Row],[No. of Shares]]&lt;&gt;0,HistoricalStockProgress[[#This Row],[Price of Shares]]-HistoricalStockProgress[[#This Row],[Cost of Shares]]/HistoricalStockProgress[[#This Row],[No. of Shares]],0)</f>
        <v>12.815025262053467</v>
      </c>
      <c r="K1404" s="17">
        <f>IF(HistoricalStockProgress[[#This Row],[Total Price of Shares]]&lt;&gt;0,HistoricalStockProgress[[#This Row],[Total Price of Shares]]-HistoricalStockProgress[[#This Row],[Cost of Shares]],0)</f>
        <v>2486.1149008383763</v>
      </c>
      <c r="L1404" s="34" t="b" cm="1">
        <f t="array" ref="L1404">IFERROR(IF(HistoricalStockProgress[[#This Row],[Price of Shares]]="",_xlfn.STOCKHISTORY(HistoricalStockProgress[[#This Row],[Full Company Name]],HistoricalStockProgress[[#This Row],[Date]],,2,0,1)),0)</f>
        <v>0</v>
      </c>
      <c r="M1404" s="34">
        <f>YEAR(HistoricalStockProgress[[#This Row],[Date]])</f>
        <v>2022</v>
      </c>
      <c r="N1404" s="34">
        <f>MONTH(HistoricalStockProgress[[#This Row],[Date]])</f>
        <v>11</v>
      </c>
    </row>
    <row r="1405" spans="2:14">
      <c r="B1405" s="15">
        <v>44895</v>
      </c>
      <c r="C1405" s="34" t="s">
        <v>98</v>
      </c>
      <c r="D1405" s="34" t="e" vm="15">
        <f>_xlfn.XLOOKUP(HistoricalStockProgress[[#This Row],[Company Ticker]],CompanyDetailsList[Company Ticker],CompanyDetailsList[Official Name],,0)</f>
        <v>#VALUE!</v>
      </c>
      <c r="E14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4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6407.714421697975</v>
      </c>
      <c r="G1405" s="17">
        <f>IFERROR(HistoricalStockProgress[[#This Row],[Cost of Shares]]/HistoricalStockProgress[[#This Row],[No. of Shares]],0)</f>
        <v>53.846339678134242</v>
      </c>
      <c r="H1405" s="16" vm="1913">
        <v>84.7</v>
      </c>
      <c r="I1405" s="16">
        <f>IF(HistoricalStockProgress[[#This Row],[No. of Shares]]&lt;&gt;0,HistoricalStockProgress[[#This Row],[Price of Shares]]*HistoricalStockProgress[[#This Row],[No. of Shares]],0)</f>
        <v>10079.300000000001</v>
      </c>
      <c r="J1405" s="16">
        <f>IF(HistoricalStockProgress[[#This Row],[No. of Shares]]&lt;&gt;0,HistoricalStockProgress[[#This Row],[Price of Shares]]-HistoricalStockProgress[[#This Row],[Cost of Shares]]/HistoricalStockProgress[[#This Row],[No. of Shares]],0)</f>
        <v>30.85366032186576</v>
      </c>
      <c r="K1405" s="17">
        <f>IF(HistoricalStockProgress[[#This Row],[Total Price of Shares]]&lt;&gt;0,HistoricalStockProgress[[#This Row],[Total Price of Shares]]-HistoricalStockProgress[[#This Row],[Cost of Shares]],0)</f>
        <v>3671.5855783020261</v>
      </c>
      <c r="L1405" s="34" t="b" cm="1">
        <f t="array" ref="L1405">IFERROR(IF(HistoricalStockProgress[[#This Row],[Price of Shares]]="",_xlfn.STOCKHISTORY(HistoricalStockProgress[[#This Row],[Full Company Name]],HistoricalStockProgress[[#This Row],[Date]],,2,0,1)),0)</f>
        <v>0</v>
      </c>
      <c r="M1405" s="34">
        <f>YEAR(HistoricalStockProgress[[#This Row],[Date]])</f>
        <v>2022</v>
      </c>
      <c r="N1405" s="34">
        <f>MONTH(HistoricalStockProgress[[#This Row],[Date]])</f>
        <v>11</v>
      </c>
    </row>
    <row r="1406" spans="2:14">
      <c r="B1406" s="15">
        <v>44895</v>
      </c>
      <c r="C1406" s="34" t="s">
        <v>100</v>
      </c>
      <c r="D1406" s="34" t="e" vm="16">
        <f>_xlfn.XLOOKUP(HistoricalStockProgress[[#This Row],[Company Ticker]],CompanyDetailsList[Company Ticker],CompanyDetailsList[Official Name],,0)</f>
        <v>#VALUE!</v>
      </c>
      <c r="E14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14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12257.793853370842</v>
      </c>
      <c r="G1406" s="17">
        <f>IFERROR(HistoricalStockProgress[[#This Row],[Cost of Shares]]/HistoricalStockProgress[[#This Row],[No. of Shares]],0)</f>
        <v>87.555670381220295</v>
      </c>
      <c r="H1406" s="16" vm="1914">
        <v>99.93</v>
      </c>
      <c r="I1406" s="16">
        <f>IF(HistoricalStockProgress[[#This Row],[No. of Shares]]&lt;&gt;0,HistoricalStockProgress[[#This Row],[Price of Shares]]*HistoricalStockProgress[[#This Row],[No. of Shares]],0)</f>
        <v>13990.2</v>
      </c>
      <c r="J1406" s="16">
        <f>IF(HistoricalStockProgress[[#This Row],[No. of Shares]]&lt;&gt;0,HistoricalStockProgress[[#This Row],[Price of Shares]]-HistoricalStockProgress[[#This Row],[Cost of Shares]]/HistoricalStockProgress[[#This Row],[No. of Shares]],0)</f>
        <v>12.374329618779711</v>
      </c>
      <c r="K1406" s="17">
        <f>IF(HistoricalStockProgress[[#This Row],[Total Price of Shares]]&lt;&gt;0,HistoricalStockProgress[[#This Row],[Total Price of Shares]]-HistoricalStockProgress[[#This Row],[Cost of Shares]],0)</f>
        <v>1732.4061466291587</v>
      </c>
      <c r="L1406" s="34" t="b" cm="1">
        <f t="array" ref="L1406">IFERROR(IF(HistoricalStockProgress[[#This Row],[Price of Shares]]="",_xlfn.STOCKHISTORY(HistoricalStockProgress[[#This Row],[Full Company Name]],HistoricalStockProgress[[#This Row],[Date]],,2,0,1)),0)</f>
        <v>0</v>
      </c>
      <c r="M1406" s="34">
        <f>YEAR(HistoricalStockProgress[[#This Row],[Date]])</f>
        <v>2022</v>
      </c>
      <c r="N1406" s="34">
        <f>MONTH(HistoricalStockProgress[[#This Row],[Date]])</f>
        <v>11</v>
      </c>
    </row>
    <row r="1407" spans="2:14">
      <c r="B1407" s="15">
        <v>44895</v>
      </c>
      <c r="C1407" s="34" t="s">
        <v>15</v>
      </c>
      <c r="D1407" s="34" t="e" vm="17">
        <f>_xlfn.XLOOKUP(HistoricalStockProgress[[#This Row],[Company Ticker]],CompanyDetailsList[Company Ticker],CompanyDetailsList[Official Name],,0)</f>
        <v>#VALUE!</v>
      </c>
      <c r="E14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4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407" s="17">
        <f>IFERROR(HistoricalStockProgress[[#This Row],[Cost of Shares]]/HistoricalStockProgress[[#This Row],[No. of Shares]],0)</f>
        <v>26.081956457072195</v>
      </c>
      <c r="H1407" s="16" vm="1915">
        <v>19.28</v>
      </c>
      <c r="I1407" s="16">
        <f>IF(HistoricalStockProgress[[#This Row],[No. of Shares]]&lt;&gt;0,HistoricalStockProgress[[#This Row],[Price of Shares]]*HistoricalStockProgress[[#This Row],[No. of Shares]],0)</f>
        <v>2390.7200000000003</v>
      </c>
      <c r="J1407" s="16">
        <f>IF(HistoricalStockProgress[[#This Row],[No. of Shares]]&lt;&gt;0,HistoricalStockProgress[[#This Row],[Price of Shares]]-HistoricalStockProgress[[#This Row],[Cost of Shares]]/HistoricalStockProgress[[#This Row],[No. of Shares]],0)</f>
        <v>-6.801956457072194</v>
      </c>
      <c r="K1407" s="17">
        <f>IF(HistoricalStockProgress[[#This Row],[Total Price of Shares]]&lt;&gt;0,HistoricalStockProgress[[#This Row],[Total Price of Shares]]-HistoricalStockProgress[[#This Row],[Cost of Shares]],0)</f>
        <v>-843.44260067695177</v>
      </c>
      <c r="L1407" s="34" t="b" cm="1">
        <f t="array" ref="L1407">IFERROR(IF(HistoricalStockProgress[[#This Row],[Price of Shares]]="",_xlfn.STOCKHISTORY(HistoricalStockProgress[[#This Row],[Full Company Name]],HistoricalStockProgress[[#This Row],[Date]],,2,0,1)),0)</f>
        <v>0</v>
      </c>
      <c r="M1407" s="34">
        <f>YEAR(HistoricalStockProgress[[#This Row],[Date]])</f>
        <v>2022</v>
      </c>
      <c r="N1407" s="34">
        <f>MONTH(HistoricalStockProgress[[#This Row],[Date]])</f>
        <v>11</v>
      </c>
    </row>
    <row r="1408" spans="2:14">
      <c r="B1408" s="15">
        <v>44895</v>
      </c>
      <c r="C1408" s="34" t="s">
        <v>13</v>
      </c>
      <c r="D1408" s="34" t="e" vm="18">
        <f>_xlfn.XLOOKUP(HistoricalStockProgress[[#This Row],[Company Ticker]],CompanyDetailsList[Company Ticker],CompanyDetailsList[Official Name],,0)</f>
        <v>#VALUE!</v>
      </c>
      <c r="E14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4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408" s="17">
        <f>IFERROR(HistoricalStockProgress[[#This Row],[Cost of Shares]]/HistoricalStockProgress[[#This Row],[No. of Shares]],0)</f>
        <v>35.846938938346874</v>
      </c>
      <c r="H1408" s="16" vm="1916">
        <v>50.13</v>
      </c>
      <c r="I1408" s="16">
        <f>IF(HistoricalStockProgress[[#This Row],[No. of Shares]]&lt;&gt;0,HistoricalStockProgress[[#This Row],[Price of Shares]]*HistoricalStockProgress[[#This Row],[No. of Shares]],0)</f>
        <v>2757.15</v>
      </c>
      <c r="J1408" s="16">
        <f>IF(HistoricalStockProgress[[#This Row],[No. of Shares]]&lt;&gt;0,HistoricalStockProgress[[#This Row],[Price of Shares]]-HistoricalStockProgress[[#This Row],[Cost of Shares]]/HistoricalStockProgress[[#This Row],[No. of Shares]],0)</f>
        <v>14.283061061653129</v>
      </c>
      <c r="K1408" s="17">
        <f>IF(HistoricalStockProgress[[#This Row],[Total Price of Shares]]&lt;&gt;0,HistoricalStockProgress[[#This Row],[Total Price of Shares]]-HistoricalStockProgress[[#This Row],[Cost of Shares]],0)</f>
        <v>785.56835839092196</v>
      </c>
      <c r="L1408" s="34" t="b" cm="1">
        <f t="array" ref="L1408">IFERROR(IF(HistoricalStockProgress[[#This Row],[Price of Shares]]="",_xlfn.STOCKHISTORY(HistoricalStockProgress[[#This Row],[Full Company Name]],HistoricalStockProgress[[#This Row],[Date]],,2,0,1)),0)</f>
        <v>0</v>
      </c>
      <c r="M1408" s="34">
        <f>YEAR(HistoricalStockProgress[[#This Row],[Date]])</f>
        <v>2022</v>
      </c>
      <c r="N1408" s="34">
        <f>MONTH(HistoricalStockProgress[[#This Row],[Date]])</f>
        <v>11</v>
      </c>
    </row>
    <row r="1409" spans="2:14">
      <c r="B1409" s="15">
        <v>44895</v>
      </c>
      <c r="C1409" s="34" t="s">
        <v>20</v>
      </c>
      <c r="D1409" s="34" t="e" vm="19">
        <f>_xlfn.XLOOKUP(HistoricalStockProgress[[#This Row],[Company Ticker]],CompanyDetailsList[Company Ticker],CompanyDetailsList[Official Name],,0)</f>
        <v>#VALUE!</v>
      </c>
      <c r="E14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93</v>
      </c>
      <c r="F14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9585.7274858109122</v>
      </c>
      <c r="G1409" s="17">
        <f>IFERROR(HistoricalStockProgress[[#This Row],[Cost of Shares]]/HistoricalStockProgress[[#This Row],[No. of Shares]],0)</f>
        <v>103.07233855710658</v>
      </c>
      <c r="H1409" s="16" vm="1917">
        <v>138.18</v>
      </c>
      <c r="I1409" s="16">
        <f>IF(HistoricalStockProgress[[#This Row],[No. of Shares]]&lt;&gt;0,HistoricalStockProgress[[#This Row],[Price of Shares]]*HistoricalStockProgress[[#This Row],[No. of Shares]],0)</f>
        <v>12850.74</v>
      </c>
      <c r="J1409" s="16">
        <f>IF(HistoricalStockProgress[[#This Row],[No. of Shares]]&lt;&gt;0,HistoricalStockProgress[[#This Row],[Price of Shares]]-HistoricalStockProgress[[#This Row],[Cost of Shares]]/HistoricalStockProgress[[#This Row],[No. of Shares]],0)</f>
        <v>35.107661442893431</v>
      </c>
      <c r="K1409" s="17">
        <f>IF(HistoricalStockProgress[[#This Row],[Total Price of Shares]]&lt;&gt;0,HistoricalStockProgress[[#This Row],[Total Price of Shares]]-HistoricalStockProgress[[#This Row],[Cost of Shares]],0)</f>
        <v>3265.0125141890876</v>
      </c>
      <c r="L1409" s="34" t="b" cm="1">
        <f t="array" ref="L1409">IFERROR(IF(HistoricalStockProgress[[#This Row],[Price of Shares]]="",_xlfn.STOCKHISTORY(HistoricalStockProgress[[#This Row],[Full Company Name]],HistoricalStockProgress[[#This Row],[Date]],,2,0,1)),0)</f>
        <v>0</v>
      </c>
      <c r="M1409" s="34">
        <f>YEAR(HistoricalStockProgress[[#This Row],[Date]])</f>
        <v>2022</v>
      </c>
      <c r="N1409" s="34">
        <f>MONTH(HistoricalStockProgress[[#This Row],[Date]])</f>
        <v>11</v>
      </c>
    </row>
    <row r="1410" spans="2:14">
      <c r="B1410" s="15">
        <v>44895</v>
      </c>
      <c r="C1410" s="34" t="s">
        <v>106</v>
      </c>
      <c r="D1410" s="34" t="e" vm="20">
        <f>_xlfn.XLOOKUP(HistoricalStockProgress[[#This Row],[Company Ticker]],CompanyDetailsList[Company Ticker],CompanyDetailsList[Official Name],,0)</f>
        <v>#VALUE!</v>
      </c>
      <c r="E14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4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410" s="17">
        <f>IFERROR(HistoricalStockProgress[[#This Row],[Cost of Shares]]/HistoricalStockProgress[[#This Row],[No. of Shares]],0)</f>
        <v>108.54870748680406</v>
      </c>
      <c r="H1410" s="16" vm="1918">
        <v>135.22</v>
      </c>
      <c r="I1410" s="16">
        <f>IF(HistoricalStockProgress[[#This Row],[No. of Shares]]&lt;&gt;0,HistoricalStockProgress[[#This Row],[Price of Shares]]*HistoricalStockProgress[[#This Row],[No. of Shares]],0)</f>
        <v>11899.36</v>
      </c>
      <c r="J1410" s="16">
        <f>IF(HistoricalStockProgress[[#This Row],[No. of Shares]]&lt;&gt;0,HistoricalStockProgress[[#This Row],[Price of Shares]]-HistoricalStockProgress[[#This Row],[Cost of Shares]]/HistoricalStockProgress[[#This Row],[No. of Shares]],0)</f>
        <v>26.671292513195937</v>
      </c>
      <c r="K1410" s="17">
        <f>IF(HistoricalStockProgress[[#This Row],[Total Price of Shares]]&lt;&gt;0,HistoricalStockProgress[[#This Row],[Total Price of Shares]]-HistoricalStockProgress[[#This Row],[Cost of Shares]],0)</f>
        <v>2347.0737411612427</v>
      </c>
      <c r="L1410" s="34" t="b" cm="1">
        <f t="array" ref="L1410">IFERROR(IF(HistoricalStockProgress[[#This Row],[Price of Shares]]="",_xlfn.STOCKHISTORY(HistoricalStockProgress[[#This Row],[Full Company Name]],HistoricalStockProgress[[#This Row],[Date]],,2,0,1)),0)</f>
        <v>0</v>
      </c>
      <c r="M1410" s="34">
        <f>YEAR(HistoricalStockProgress[[#This Row],[Date]])</f>
        <v>2022</v>
      </c>
      <c r="N1410" s="34">
        <f>MONTH(HistoricalStockProgress[[#This Row],[Date]])</f>
        <v>11</v>
      </c>
    </row>
    <row r="1411" spans="2:14">
      <c r="B1411" s="15">
        <v>44926</v>
      </c>
      <c r="C1411" s="34" t="s">
        <v>12</v>
      </c>
      <c r="D1411" s="34" t="e" vm="1">
        <f>_xlfn.XLOOKUP(HistoricalStockProgress[[#This Row],[Company Ticker]],CompanyDetailsList[Company Ticker],CompanyDetailsList[Official Name],,0)</f>
        <v>#VALUE!</v>
      </c>
      <c r="E14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75</v>
      </c>
      <c r="F14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4784.1326811492927</v>
      </c>
      <c r="G1411" s="17">
        <f>IFERROR(HistoricalStockProgress[[#This Row],[Cost of Shares]]/HistoricalStockProgress[[#This Row],[No. of Shares]],0)</f>
        <v>63.788435748657236</v>
      </c>
      <c r="H1411" s="16" vm="515">
        <v>63.43</v>
      </c>
      <c r="I1411" s="16">
        <f>IF(HistoricalStockProgress[[#This Row],[No. of Shares]]&lt;&gt;0,HistoricalStockProgress[[#This Row],[Price of Shares]]*HistoricalStockProgress[[#This Row],[No. of Shares]],0)</f>
        <v>4757.25</v>
      </c>
      <c r="J1411" s="16">
        <f>IF(HistoricalStockProgress[[#This Row],[No. of Shares]]&lt;&gt;0,HistoricalStockProgress[[#This Row],[Price of Shares]]-HistoricalStockProgress[[#This Row],[Cost of Shares]]/HistoricalStockProgress[[#This Row],[No. of Shares]],0)</f>
        <v>-0.35843574865723582</v>
      </c>
      <c r="K1411" s="17">
        <f>IF(HistoricalStockProgress[[#This Row],[Total Price of Shares]]&lt;&gt;0,HistoricalStockProgress[[#This Row],[Total Price of Shares]]-HistoricalStockProgress[[#This Row],[Cost of Shares]],0)</f>
        <v>-26.882681149292694</v>
      </c>
      <c r="L1411" s="34" t="b" cm="1">
        <f t="array" ref="L1411">IFERROR(IF(HistoricalStockProgress[[#This Row],[Price of Shares]]="",_xlfn.STOCKHISTORY(HistoricalStockProgress[[#This Row],[Full Company Name]],HistoricalStockProgress[[#This Row],[Date]],,2,0,1)),0)</f>
        <v>0</v>
      </c>
      <c r="M1411" s="34">
        <f>YEAR(HistoricalStockProgress[[#This Row],[Date]])</f>
        <v>2022</v>
      </c>
      <c r="N1411" s="34">
        <f>MONTH(HistoricalStockProgress[[#This Row],[Date]])</f>
        <v>12</v>
      </c>
    </row>
    <row r="1412" spans="2:14">
      <c r="B1412" s="15">
        <v>44926</v>
      </c>
      <c r="C1412" s="34" t="s">
        <v>14</v>
      </c>
      <c r="D1412" s="34" t="e" vm="2">
        <f>_xlfn.XLOOKUP(HistoricalStockProgress[[#This Row],[Company Ticker]],CompanyDetailsList[Company Ticker],CompanyDetailsList[Official Name],,0)</f>
        <v>#VALUE!</v>
      </c>
      <c r="E14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4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412" s="17">
        <f>IFERROR(HistoricalStockProgress[[#This Row],[Cost of Shares]]/HistoricalStockProgress[[#This Row],[No. of Shares]],0)</f>
        <v>31.580112511620161</v>
      </c>
      <c r="H1412" s="16" vm="499">
        <v>31.87</v>
      </c>
      <c r="I1412" s="16">
        <f>IF(HistoricalStockProgress[[#This Row],[No. of Shares]]&lt;&gt;0,HistoricalStockProgress[[#This Row],[Price of Shares]]*HistoricalStockProgress[[#This Row],[No. of Shares]],0)</f>
        <v>892.36</v>
      </c>
      <c r="J1412" s="16">
        <f>IF(HistoricalStockProgress[[#This Row],[No. of Shares]]&lt;&gt;0,HistoricalStockProgress[[#This Row],[Price of Shares]]-HistoricalStockProgress[[#This Row],[Cost of Shares]]/HistoricalStockProgress[[#This Row],[No. of Shares]],0)</f>
        <v>0.28988748837983991</v>
      </c>
      <c r="K1412" s="17">
        <f>IF(HistoricalStockProgress[[#This Row],[Total Price of Shares]]&lt;&gt;0,HistoricalStockProgress[[#This Row],[Total Price of Shares]]-HistoricalStockProgress[[#This Row],[Cost of Shares]],0)</f>
        <v>8.1168496746355459</v>
      </c>
      <c r="L1412" s="34" t="b" cm="1">
        <f t="array" ref="L1412">IFERROR(IF(HistoricalStockProgress[[#This Row],[Price of Shares]]="",_xlfn.STOCKHISTORY(HistoricalStockProgress[[#This Row],[Full Company Name]],HistoricalStockProgress[[#This Row],[Date]],,2,0,1)),0)</f>
        <v>0</v>
      </c>
      <c r="M1412" s="34">
        <f>YEAR(HistoricalStockProgress[[#This Row],[Date]])</f>
        <v>2022</v>
      </c>
      <c r="N1412" s="34">
        <f>MONTH(HistoricalStockProgress[[#This Row],[Date]])</f>
        <v>12</v>
      </c>
    </row>
    <row r="1413" spans="2:14">
      <c r="B1413" s="15">
        <v>44926</v>
      </c>
      <c r="C1413" s="34" t="s">
        <v>19</v>
      </c>
      <c r="D1413" s="34" t="e" vm="3">
        <f>_xlfn.XLOOKUP(HistoricalStockProgress[[#This Row],[Company Ticker]],CompanyDetailsList[Company Ticker],CompanyDetailsList[Official Name],,0)</f>
        <v>#VALUE!</v>
      </c>
      <c r="E14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4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413" s="17">
        <f>IFERROR(HistoricalStockProgress[[#This Row],[Cost of Shares]]/HistoricalStockProgress[[#This Row],[No. of Shares]],0)</f>
        <v>158.45739987816083</v>
      </c>
      <c r="H1413" s="16" vm="1919">
        <v>140.33000000000001</v>
      </c>
      <c r="I1413" s="16">
        <f>IF(HistoricalStockProgress[[#This Row],[No. of Shares]]&lt;&gt;0,HistoricalStockProgress[[#This Row],[Price of Shares]]*HistoricalStockProgress[[#This Row],[No. of Shares]],0)</f>
        <v>7998.81</v>
      </c>
      <c r="J1413" s="16">
        <f>IF(HistoricalStockProgress[[#This Row],[No. of Shares]]&lt;&gt;0,HistoricalStockProgress[[#This Row],[Price of Shares]]-HistoricalStockProgress[[#This Row],[Cost of Shares]]/HistoricalStockProgress[[#This Row],[No. of Shares]],0)</f>
        <v>-18.127399878160816</v>
      </c>
      <c r="K1413" s="17">
        <f>IF(HistoricalStockProgress[[#This Row],[Total Price of Shares]]&lt;&gt;0,HistoricalStockProgress[[#This Row],[Total Price of Shares]]-HistoricalStockProgress[[#This Row],[Cost of Shares]],0)</f>
        <v>-1033.2617930551669</v>
      </c>
      <c r="L1413" s="34" t="b" cm="1">
        <f t="array" ref="L1413">IFERROR(IF(HistoricalStockProgress[[#This Row],[Price of Shares]]="",_xlfn.STOCKHISTORY(HistoricalStockProgress[[#This Row],[Full Company Name]],HistoricalStockProgress[[#This Row],[Date]],,2,0,1)),0)</f>
        <v>0</v>
      </c>
      <c r="M1413" s="34">
        <f>YEAR(HistoricalStockProgress[[#This Row],[Date]])</f>
        <v>2022</v>
      </c>
      <c r="N1413" s="34">
        <f>MONTH(HistoricalStockProgress[[#This Row],[Date]])</f>
        <v>12</v>
      </c>
    </row>
    <row r="1414" spans="2:14">
      <c r="B1414" s="15">
        <v>44926</v>
      </c>
      <c r="C1414" s="34" t="s">
        <v>23</v>
      </c>
      <c r="D1414" s="34" t="e" vm="4">
        <f>_xlfn.XLOOKUP(HistoricalStockProgress[[#This Row],[Company Ticker]],CompanyDetailsList[Company Ticker],CompanyDetailsList[Official Name],,0)</f>
        <v>#VALUE!</v>
      </c>
      <c r="E14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85</v>
      </c>
      <c r="F14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4210.4106468589489</v>
      </c>
      <c r="G1414" s="17">
        <f>IFERROR(HistoricalStockProgress[[#This Row],[Cost of Shares]]/HistoricalStockProgress[[#This Row],[No. of Shares]],0)</f>
        <v>49.534242904222928</v>
      </c>
      <c r="H1414" s="16" vm="1902">
        <v>63.61</v>
      </c>
      <c r="I1414" s="16">
        <f>IF(HistoricalStockProgress[[#This Row],[No. of Shares]]&lt;&gt;0,HistoricalStockProgress[[#This Row],[Price of Shares]]*HistoricalStockProgress[[#This Row],[No. of Shares]],0)</f>
        <v>5406.85</v>
      </c>
      <c r="J1414" s="16">
        <f>IF(HistoricalStockProgress[[#This Row],[No. of Shares]]&lt;&gt;0,HistoricalStockProgress[[#This Row],[Price of Shares]]-HistoricalStockProgress[[#This Row],[Cost of Shares]]/HistoricalStockProgress[[#This Row],[No. of Shares]],0)</f>
        <v>14.075757095777071</v>
      </c>
      <c r="K1414" s="17">
        <f>IF(HistoricalStockProgress[[#This Row],[Total Price of Shares]]&lt;&gt;0,HistoricalStockProgress[[#This Row],[Total Price of Shares]]-HistoricalStockProgress[[#This Row],[Cost of Shares]],0)</f>
        <v>1196.4393531410515</v>
      </c>
      <c r="L1414" s="34" t="b" cm="1">
        <f t="array" ref="L1414">IFERROR(IF(HistoricalStockProgress[[#This Row],[Price of Shares]]="",_xlfn.STOCKHISTORY(HistoricalStockProgress[[#This Row],[Full Company Name]],HistoricalStockProgress[[#This Row],[Date]],,2,0,1)),0)</f>
        <v>0</v>
      </c>
      <c r="M1414" s="34">
        <f>YEAR(HistoricalStockProgress[[#This Row],[Date]])</f>
        <v>2022</v>
      </c>
      <c r="N1414" s="34">
        <f>MONTH(HistoricalStockProgress[[#This Row],[Date]])</f>
        <v>12</v>
      </c>
    </row>
    <row r="1415" spans="2:14">
      <c r="B1415" s="15">
        <v>44926</v>
      </c>
      <c r="C1415" s="34" t="s">
        <v>18</v>
      </c>
      <c r="D1415" s="34" t="e" vm="5">
        <f>_xlfn.XLOOKUP(HistoricalStockProgress[[#This Row],[Company Ticker]],CompanyDetailsList[Company Ticker],CompanyDetailsList[Official Name],,0)</f>
        <v>#VALUE!</v>
      </c>
      <c r="E14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4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415" s="17">
        <f>IFERROR(HistoricalStockProgress[[#This Row],[Cost of Shares]]/HistoricalStockProgress[[#This Row],[No. of Shares]],0)</f>
        <v>160.8859607546234</v>
      </c>
      <c r="H1415" s="16" vm="1920">
        <v>180.66</v>
      </c>
      <c r="I1415" s="16">
        <f>IF(HistoricalStockProgress[[#This Row],[No. of Shares]]&lt;&gt;0,HistoricalStockProgress[[#This Row],[Price of Shares]]*HistoricalStockProgress[[#This Row],[No. of Shares]],0)</f>
        <v>7768.38</v>
      </c>
      <c r="J1415" s="16">
        <f>IF(HistoricalStockProgress[[#This Row],[No. of Shares]]&lt;&gt;0,HistoricalStockProgress[[#This Row],[Price of Shares]]-HistoricalStockProgress[[#This Row],[Cost of Shares]]/HistoricalStockProgress[[#This Row],[No. of Shares]],0)</f>
        <v>19.774039245376599</v>
      </c>
      <c r="K1415" s="17">
        <f>IF(HistoricalStockProgress[[#This Row],[Total Price of Shares]]&lt;&gt;0,HistoricalStockProgress[[#This Row],[Total Price of Shares]]-HistoricalStockProgress[[#This Row],[Cost of Shares]],0)</f>
        <v>850.28368755119391</v>
      </c>
      <c r="L1415" s="34" t="b" cm="1">
        <f t="array" ref="L1415">IFERROR(IF(HistoricalStockProgress[[#This Row],[Price of Shares]]="",_xlfn.STOCKHISTORY(HistoricalStockProgress[[#This Row],[Full Company Name]],HistoricalStockProgress[[#This Row],[Date]],,2,0,1)),0)</f>
        <v>0</v>
      </c>
      <c r="M1415" s="34">
        <f>YEAR(HistoricalStockProgress[[#This Row],[Date]])</f>
        <v>2022</v>
      </c>
      <c r="N1415" s="34">
        <f>MONTH(HistoricalStockProgress[[#This Row],[Date]])</f>
        <v>12</v>
      </c>
    </row>
    <row r="1416" spans="2:14">
      <c r="B1416" s="15">
        <v>44926</v>
      </c>
      <c r="C1416" s="34" t="s">
        <v>21</v>
      </c>
      <c r="D1416" s="34" t="e" vm="6">
        <f>_xlfn.XLOOKUP(HistoricalStockProgress[[#This Row],[Company Ticker]],CompanyDetailsList[Company Ticker],CompanyDetailsList[Official Name],,0)</f>
        <v>#VALUE!</v>
      </c>
      <c r="E14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4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416" s="17">
        <f>IFERROR(HistoricalStockProgress[[#This Row],[Cost of Shares]]/HistoricalStockProgress[[#This Row],[No. of Shares]],0)</f>
        <v>139.68700010204148</v>
      </c>
      <c r="H1416" s="16" vm="1921">
        <v>151.56</v>
      </c>
      <c r="I1416" s="16">
        <f>IF(HistoricalStockProgress[[#This Row],[No. of Shares]]&lt;&gt;0,HistoricalStockProgress[[#This Row],[Price of Shares]]*HistoricalStockProgress[[#This Row],[No. of Shares]],0)</f>
        <v>6365.52</v>
      </c>
      <c r="J1416" s="16">
        <f>IF(HistoricalStockProgress[[#This Row],[No. of Shares]]&lt;&gt;0,HistoricalStockProgress[[#This Row],[Price of Shares]]-HistoricalStockProgress[[#This Row],[Cost of Shares]]/HistoricalStockProgress[[#This Row],[No. of Shares]],0)</f>
        <v>11.872999897958522</v>
      </c>
      <c r="K1416" s="17">
        <f>IF(HistoricalStockProgress[[#This Row],[Total Price of Shares]]&lt;&gt;0,HistoricalStockProgress[[#This Row],[Total Price of Shares]]-HistoricalStockProgress[[#This Row],[Cost of Shares]],0)</f>
        <v>498.66599571425832</v>
      </c>
      <c r="L1416" s="34" t="b" cm="1">
        <f t="array" ref="L1416">IFERROR(IF(HistoricalStockProgress[[#This Row],[Price of Shares]]="",_xlfn.STOCKHISTORY(HistoricalStockProgress[[#This Row],[Full Company Name]],HistoricalStockProgress[[#This Row],[Date]],,2,0,1)),0)</f>
        <v>0</v>
      </c>
      <c r="M1416" s="34">
        <f>YEAR(HistoricalStockProgress[[#This Row],[Date]])</f>
        <v>2022</v>
      </c>
      <c r="N1416" s="34">
        <f>MONTH(HistoricalStockProgress[[#This Row],[Date]])</f>
        <v>12</v>
      </c>
    </row>
    <row r="1417" spans="2:14">
      <c r="B1417" s="15">
        <v>44926</v>
      </c>
      <c r="C1417" s="34" t="s">
        <v>84</v>
      </c>
      <c r="D1417" s="34" t="e" vm="7">
        <f>_xlfn.XLOOKUP(HistoricalStockProgress[[#This Row],[Company Ticker]],CompanyDetailsList[Company Ticker],CompanyDetailsList[Official Name],,0)</f>
        <v>#VALUE!</v>
      </c>
      <c r="E14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4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417" s="17">
        <f>IFERROR(HistoricalStockProgress[[#This Row],[Cost of Shares]]/HistoricalStockProgress[[#This Row],[No. of Shares]],0)</f>
        <v>104.18087504950869</v>
      </c>
      <c r="H1417" s="16" vm="1922">
        <v>176.65</v>
      </c>
      <c r="I1417" s="16">
        <f>IF(HistoricalStockProgress[[#This Row],[No. of Shares]]&lt;&gt;0,HistoricalStockProgress[[#This Row],[Price of Shares]]*HistoricalStockProgress[[#This Row],[No. of Shares]],0)</f>
        <v>9009.15</v>
      </c>
      <c r="J1417" s="16">
        <f>IF(HistoricalStockProgress[[#This Row],[No. of Shares]]&lt;&gt;0,HistoricalStockProgress[[#This Row],[Price of Shares]]-HistoricalStockProgress[[#This Row],[Cost of Shares]]/HistoricalStockProgress[[#This Row],[No. of Shares]],0)</f>
        <v>72.46912495049132</v>
      </c>
      <c r="K1417" s="17">
        <f>IF(HistoricalStockProgress[[#This Row],[Total Price of Shares]]&lt;&gt;0,HistoricalStockProgress[[#This Row],[Total Price of Shares]]-HistoricalStockProgress[[#This Row],[Cost of Shares]],0)</f>
        <v>3695.925372475057</v>
      </c>
      <c r="L1417" s="34" t="b" cm="1">
        <f t="array" ref="L1417">IFERROR(IF(HistoricalStockProgress[[#This Row],[Price of Shares]]="",_xlfn.STOCKHISTORY(HistoricalStockProgress[[#This Row],[Full Company Name]],HistoricalStockProgress[[#This Row],[Date]],,2,0,1)),0)</f>
        <v>0</v>
      </c>
      <c r="M1417" s="34">
        <f>YEAR(HistoricalStockProgress[[#This Row],[Date]])</f>
        <v>2022</v>
      </c>
      <c r="N1417" s="34">
        <f>MONTH(HistoricalStockProgress[[#This Row],[Date]])</f>
        <v>12</v>
      </c>
    </row>
    <row r="1418" spans="2:14">
      <c r="B1418" s="15">
        <v>44926</v>
      </c>
      <c r="C1418" s="34" t="s">
        <v>86</v>
      </c>
      <c r="D1418" s="34" t="e" vm="8">
        <f>_xlfn.XLOOKUP(HistoricalStockProgress[[#This Row],[Company Ticker]],CompanyDetailsList[Company Ticker],CompanyDetailsList[Official Name],,0)</f>
        <v>#VALUE!</v>
      </c>
      <c r="E14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4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418" s="17">
        <f>IFERROR(HistoricalStockProgress[[#This Row],[Cost of Shares]]/HistoricalStockProgress[[#This Row],[No. of Shares]],0)</f>
        <v>92.636161128673535</v>
      </c>
      <c r="H1418" s="16" vm="1923">
        <v>161.61000000000001</v>
      </c>
      <c r="I1418" s="16">
        <f>IF(HistoricalStockProgress[[#This Row],[No. of Shares]]&lt;&gt;0,HistoricalStockProgress[[#This Row],[Price of Shares]]*HistoricalStockProgress[[#This Row],[No. of Shares]],0)</f>
        <v>18423.54</v>
      </c>
      <c r="J1418" s="16">
        <f>IF(HistoricalStockProgress[[#This Row],[No. of Shares]]&lt;&gt;0,HistoricalStockProgress[[#This Row],[Price of Shares]]-HistoricalStockProgress[[#This Row],[Cost of Shares]]/HistoricalStockProgress[[#This Row],[No. of Shares]],0)</f>
        <v>68.973838871326478</v>
      </c>
      <c r="K1418" s="17">
        <f>IF(HistoricalStockProgress[[#This Row],[Total Price of Shares]]&lt;&gt;0,HistoricalStockProgress[[#This Row],[Total Price of Shares]]-HistoricalStockProgress[[#This Row],[Cost of Shares]],0)</f>
        <v>7863.0176313312186</v>
      </c>
      <c r="L1418" s="34" t="b" cm="1">
        <f t="array" ref="L1418">IFERROR(IF(HistoricalStockProgress[[#This Row],[Price of Shares]]="",_xlfn.STOCKHISTORY(HistoricalStockProgress[[#This Row],[Full Company Name]],HistoricalStockProgress[[#This Row],[Date]],,2,0,1)),0)</f>
        <v>0</v>
      </c>
      <c r="M1418" s="34">
        <f>YEAR(HistoricalStockProgress[[#This Row],[Date]])</f>
        <v>2022</v>
      </c>
      <c r="N1418" s="34">
        <f>MONTH(HistoricalStockProgress[[#This Row],[Date]])</f>
        <v>12</v>
      </c>
    </row>
    <row r="1419" spans="2:14">
      <c r="B1419" s="15">
        <v>44926</v>
      </c>
      <c r="C1419" s="34" t="s">
        <v>88</v>
      </c>
      <c r="D1419" s="34" t="e" vm="9">
        <f>_xlfn.XLOOKUP(HistoricalStockProgress[[#This Row],[Company Ticker]],CompanyDetailsList[Company Ticker],CompanyDetailsList[Official Name],,0)</f>
        <v>#VALUE!</v>
      </c>
      <c r="E14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4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419" s="17">
        <f>IFERROR(HistoricalStockProgress[[#This Row],[Cost of Shares]]/HistoricalStockProgress[[#This Row],[No. of Shares]],0)</f>
        <v>187.727755253422</v>
      </c>
      <c r="H1419" s="16" vm="1924">
        <v>263.52999999999997</v>
      </c>
      <c r="I1419" s="16">
        <f>IF(HistoricalStockProgress[[#This Row],[No. of Shares]]&lt;&gt;0,HistoricalStockProgress[[#This Row],[Price of Shares]]*HistoricalStockProgress[[#This Row],[No. of Shares]],0)</f>
        <v>15548.269999999999</v>
      </c>
      <c r="J1419" s="16">
        <f>IF(HistoricalStockProgress[[#This Row],[No. of Shares]]&lt;&gt;0,HistoricalStockProgress[[#This Row],[Price of Shares]]-HistoricalStockProgress[[#This Row],[Cost of Shares]]/HistoricalStockProgress[[#This Row],[No. of Shares]],0)</f>
        <v>75.802244746577969</v>
      </c>
      <c r="K1419" s="17">
        <f>IF(HistoricalStockProgress[[#This Row],[Total Price of Shares]]&lt;&gt;0,HistoricalStockProgress[[#This Row],[Total Price of Shares]]-HistoricalStockProgress[[#This Row],[Cost of Shares]],0)</f>
        <v>4472.3324400480997</v>
      </c>
      <c r="L1419" s="34" t="b" cm="1">
        <f t="array" ref="L1419">IFERROR(IF(HistoricalStockProgress[[#This Row],[Price of Shares]]="",_xlfn.STOCKHISTORY(HistoricalStockProgress[[#This Row],[Full Company Name]],HistoricalStockProgress[[#This Row],[Date]],,2,0,1)),0)</f>
        <v>0</v>
      </c>
      <c r="M1419" s="34">
        <f>YEAR(HistoricalStockProgress[[#This Row],[Date]])</f>
        <v>2022</v>
      </c>
      <c r="N1419" s="34">
        <f>MONTH(HistoricalStockProgress[[#This Row],[Date]])</f>
        <v>12</v>
      </c>
    </row>
    <row r="1420" spans="2:14">
      <c r="B1420" s="15">
        <v>44926</v>
      </c>
      <c r="C1420" s="34" t="s">
        <v>22</v>
      </c>
      <c r="D1420" s="34" t="e" vm="10">
        <f>_xlfn.XLOOKUP(HistoricalStockProgress[[#This Row],[Company Ticker]],CompanyDetailsList[Company Ticker],CompanyDetailsList[Official Name],,0)</f>
        <v>#VALUE!</v>
      </c>
      <c r="E14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4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420" s="17">
        <f>IFERROR(HistoricalStockProgress[[#This Row],[Cost of Shares]]/HistoricalStockProgress[[#This Row],[No. of Shares]],0)</f>
        <v>130.19784136724968</v>
      </c>
      <c r="H1420" s="16" vm="1925">
        <v>239.56</v>
      </c>
      <c r="I1420" s="16">
        <f>IF(HistoricalStockProgress[[#This Row],[No. of Shares]]&lt;&gt;0,HistoricalStockProgress[[#This Row],[Price of Shares]]*HistoricalStockProgress[[#This Row],[No. of Shares]],0)</f>
        <v>28507.64</v>
      </c>
      <c r="J1420" s="16">
        <f>IF(HistoricalStockProgress[[#This Row],[No. of Shares]]&lt;&gt;0,HistoricalStockProgress[[#This Row],[Price of Shares]]-HistoricalStockProgress[[#This Row],[Cost of Shares]]/HistoricalStockProgress[[#This Row],[No. of Shares]],0)</f>
        <v>109.36215863275032</v>
      </c>
      <c r="K1420" s="17">
        <f>IF(HistoricalStockProgress[[#This Row],[Total Price of Shares]]&lt;&gt;0,HistoricalStockProgress[[#This Row],[Total Price of Shares]]-HistoricalStockProgress[[#This Row],[Cost of Shares]],0)</f>
        <v>13014.096877297286</v>
      </c>
      <c r="L1420" s="34" t="b" cm="1">
        <f t="array" ref="L1420">IFERROR(IF(HistoricalStockProgress[[#This Row],[Price of Shares]]="",_xlfn.STOCKHISTORY(HistoricalStockProgress[[#This Row],[Full Company Name]],HistoricalStockProgress[[#This Row],[Date]],,2,0,1)),0)</f>
        <v>0</v>
      </c>
      <c r="M1420" s="34">
        <f>YEAR(HistoricalStockProgress[[#This Row],[Date]])</f>
        <v>2022</v>
      </c>
      <c r="N1420" s="34">
        <f>MONTH(HistoricalStockProgress[[#This Row],[Date]])</f>
        <v>12</v>
      </c>
    </row>
    <row r="1421" spans="2:14">
      <c r="B1421" s="15">
        <v>44926</v>
      </c>
      <c r="C1421" s="34" t="s">
        <v>91</v>
      </c>
      <c r="D1421" s="34" t="e" vm="11">
        <f>_xlfn.XLOOKUP(HistoricalStockProgress[[#This Row],[Company Ticker]],CompanyDetailsList[Company Ticker],CompanyDetailsList[Official Name],,0)</f>
        <v>#VALUE!</v>
      </c>
      <c r="E14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176</v>
      </c>
      <c r="F14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22591.11028368511</v>
      </c>
      <c r="G1421" s="17">
        <f>IFERROR(HistoricalStockProgress[[#This Row],[Cost of Shares]]/HistoricalStockProgress[[#This Row],[No. of Shares]],0)</f>
        <v>128.35858115730176</v>
      </c>
      <c r="H1421" s="16" vm="1926">
        <v>239.82</v>
      </c>
      <c r="I1421" s="16">
        <f>IF(HistoricalStockProgress[[#This Row],[No. of Shares]]&lt;&gt;0,HistoricalStockProgress[[#This Row],[Price of Shares]]*HistoricalStockProgress[[#This Row],[No. of Shares]],0)</f>
        <v>42208.32</v>
      </c>
      <c r="J1421" s="16">
        <f>IF(HistoricalStockProgress[[#This Row],[No. of Shares]]&lt;&gt;0,HistoricalStockProgress[[#This Row],[Price of Shares]]-HistoricalStockProgress[[#This Row],[Cost of Shares]]/HistoricalStockProgress[[#This Row],[No. of Shares]],0)</f>
        <v>111.46141884269824</v>
      </c>
      <c r="K1421" s="17">
        <f>IF(HistoricalStockProgress[[#This Row],[Total Price of Shares]]&lt;&gt;0,HistoricalStockProgress[[#This Row],[Total Price of Shares]]-HistoricalStockProgress[[#This Row],[Cost of Shares]],0)</f>
        <v>19617.20971631489</v>
      </c>
      <c r="L1421" s="34" t="b" cm="1">
        <f t="array" ref="L1421">IFERROR(IF(HistoricalStockProgress[[#This Row],[Price of Shares]]="",_xlfn.STOCKHISTORY(HistoricalStockProgress[[#This Row],[Full Company Name]],HistoricalStockProgress[[#This Row],[Date]],,2,0,1)),0)</f>
        <v>0</v>
      </c>
      <c r="M1421" s="34">
        <f>YEAR(HistoricalStockProgress[[#This Row],[Date]])</f>
        <v>2022</v>
      </c>
      <c r="N1421" s="34">
        <f>MONTH(HistoricalStockProgress[[#This Row],[Date]])</f>
        <v>12</v>
      </c>
    </row>
    <row r="1422" spans="2:14">
      <c r="B1422" s="15">
        <v>44926</v>
      </c>
      <c r="C1422" s="34" t="s">
        <v>16</v>
      </c>
      <c r="D1422" s="34" t="e" vm="12">
        <f>_xlfn.XLOOKUP(HistoricalStockProgress[[#This Row],[Company Ticker]],CompanyDetailsList[Company Ticker],CompanyDetailsList[Official Name],,0)</f>
        <v>#VALUE!</v>
      </c>
      <c r="E14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4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422" s="17">
        <f>IFERROR(HistoricalStockProgress[[#This Row],[Cost of Shares]]/HistoricalStockProgress[[#This Row],[No. of Shares]],0)</f>
        <v>75.117698177311837</v>
      </c>
      <c r="H1422" s="16" vm="1927">
        <v>110.3</v>
      </c>
      <c r="I1422" s="16">
        <f>IF(HistoricalStockProgress[[#This Row],[No. of Shares]]&lt;&gt;0,HistoricalStockProgress[[#This Row],[Price of Shares]]*HistoricalStockProgress[[#This Row],[No. of Shares]],0)</f>
        <v>20405.5</v>
      </c>
      <c r="J1422" s="16">
        <f>IF(HistoricalStockProgress[[#This Row],[No. of Shares]]&lt;&gt;0,HistoricalStockProgress[[#This Row],[Price of Shares]]-HistoricalStockProgress[[#This Row],[Cost of Shares]]/HistoricalStockProgress[[#This Row],[No. of Shares]],0)</f>
        <v>35.18230182268816</v>
      </c>
      <c r="K1422" s="17">
        <f>IF(HistoricalStockProgress[[#This Row],[Total Price of Shares]]&lt;&gt;0,HistoricalStockProgress[[#This Row],[Total Price of Shares]]-HistoricalStockProgress[[#This Row],[Cost of Shares]],0)</f>
        <v>6508.7258371973112</v>
      </c>
      <c r="L1422" s="34" t="b" cm="1">
        <f t="array" ref="L1422">IFERROR(IF(HistoricalStockProgress[[#This Row],[Price of Shares]]="",_xlfn.STOCKHISTORY(HistoricalStockProgress[[#This Row],[Full Company Name]],HistoricalStockProgress[[#This Row],[Date]],,2,0,1)),0)</f>
        <v>0</v>
      </c>
      <c r="M1422" s="34">
        <f>YEAR(HistoricalStockProgress[[#This Row],[Date]])</f>
        <v>2022</v>
      </c>
      <c r="N1422" s="34">
        <f>MONTH(HistoricalStockProgress[[#This Row],[Date]])</f>
        <v>12</v>
      </c>
    </row>
    <row r="1423" spans="2:14">
      <c r="B1423" s="15">
        <v>44926</v>
      </c>
      <c r="C1423" s="34" t="s">
        <v>95</v>
      </c>
      <c r="D1423" s="34" t="e" vm="13">
        <f>_xlfn.XLOOKUP(HistoricalStockProgress[[#This Row],[Company Ticker]],CompanyDetailsList[Company Ticker],CompanyDetailsList[Official Name],,0)</f>
        <v>#VALUE!</v>
      </c>
      <c r="E14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14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26060.016778018562</v>
      </c>
      <c r="G1423" s="17">
        <f>IFERROR(HistoricalStockProgress[[#This Row],[Cost of Shares]]/HistoricalStockProgress[[#This Row],[No. of Shares]],0)</f>
        <v>234.77492592809514</v>
      </c>
      <c r="H1423" s="16" vm="1928">
        <v>315.86</v>
      </c>
      <c r="I1423" s="16">
        <f>IF(HistoricalStockProgress[[#This Row],[No. of Shares]]&lt;&gt;0,HistoricalStockProgress[[#This Row],[Price of Shares]]*HistoricalStockProgress[[#This Row],[No. of Shares]],0)</f>
        <v>35060.46</v>
      </c>
      <c r="J1423" s="16">
        <f>IF(HistoricalStockProgress[[#This Row],[No. of Shares]]&lt;&gt;0,HistoricalStockProgress[[#This Row],[Price of Shares]]-HistoricalStockProgress[[#This Row],[Cost of Shares]]/HistoricalStockProgress[[#This Row],[No. of Shares]],0)</f>
        <v>81.08507407190487</v>
      </c>
      <c r="K1423" s="17">
        <f>IF(HistoricalStockProgress[[#This Row],[Total Price of Shares]]&lt;&gt;0,HistoricalStockProgress[[#This Row],[Total Price of Shares]]-HistoricalStockProgress[[#This Row],[Cost of Shares]],0)</f>
        <v>9000.4432219814371</v>
      </c>
      <c r="L1423" s="34" t="b" cm="1">
        <f t="array" ref="L1423">IFERROR(IF(HistoricalStockProgress[[#This Row],[Price of Shares]]="",_xlfn.STOCKHISTORY(HistoricalStockProgress[[#This Row],[Full Company Name]],HistoricalStockProgress[[#This Row],[Date]],,2,0,1)),0)</f>
        <v>0</v>
      </c>
      <c r="M1423" s="34">
        <f>YEAR(HistoricalStockProgress[[#This Row],[Date]])</f>
        <v>2022</v>
      </c>
      <c r="N1423" s="34">
        <f>MONTH(HistoricalStockProgress[[#This Row],[Date]])</f>
        <v>12</v>
      </c>
    </row>
    <row r="1424" spans="2:14">
      <c r="B1424" s="15">
        <v>44926</v>
      </c>
      <c r="C1424" s="34" t="s">
        <v>17</v>
      </c>
      <c r="D1424" s="34" t="e" vm="14">
        <f>_xlfn.XLOOKUP(HistoricalStockProgress[[#This Row],[Company Ticker]],CompanyDetailsList[Company Ticker],CompanyDetailsList[Official Name],,0)</f>
        <v>#VALUE!</v>
      </c>
      <c r="E14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4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26400.485099161626</v>
      </c>
      <c r="G1424" s="17">
        <f>IFERROR(HistoricalStockProgress[[#This Row],[Cost of Shares]]/HistoricalStockProgress[[#This Row],[No. of Shares]],0)</f>
        <v>136.08497473794654</v>
      </c>
      <c r="H1424" s="16" vm="1929">
        <v>140.88999999999999</v>
      </c>
      <c r="I1424" s="16">
        <f>IF(HistoricalStockProgress[[#This Row],[No. of Shares]]&lt;&gt;0,HistoricalStockProgress[[#This Row],[Price of Shares]]*HistoricalStockProgress[[#This Row],[No. of Shares]],0)</f>
        <v>27332.659999999996</v>
      </c>
      <c r="J1424" s="16">
        <f>IF(HistoricalStockProgress[[#This Row],[No. of Shares]]&lt;&gt;0,HistoricalStockProgress[[#This Row],[Price of Shares]]-HistoricalStockProgress[[#This Row],[Cost of Shares]]/HistoricalStockProgress[[#This Row],[No. of Shares]],0)</f>
        <v>4.8050252620534479</v>
      </c>
      <c r="K1424" s="17">
        <f>IF(HistoricalStockProgress[[#This Row],[Total Price of Shares]]&lt;&gt;0,HistoricalStockProgress[[#This Row],[Total Price of Shares]]-HistoricalStockProgress[[#This Row],[Cost of Shares]],0)</f>
        <v>932.17490083837038</v>
      </c>
      <c r="L1424" s="34" t="b" cm="1">
        <f t="array" ref="L1424">IFERROR(IF(HistoricalStockProgress[[#This Row],[Price of Shares]]="",_xlfn.STOCKHISTORY(HistoricalStockProgress[[#This Row],[Full Company Name]],HistoricalStockProgress[[#This Row],[Date]],,2,0,1)),0)</f>
        <v>0</v>
      </c>
      <c r="M1424" s="34">
        <f>YEAR(HistoricalStockProgress[[#This Row],[Date]])</f>
        <v>2022</v>
      </c>
      <c r="N1424" s="34">
        <f>MONTH(HistoricalStockProgress[[#This Row],[Date]])</f>
        <v>12</v>
      </c>
    </row>
    <row r="1425" spans="2:14">
      <c r="B1425" s="15">
        <v>44926</v>
      </c>
      <c r="C1425" s="34" t="s">
        <v>98</v>
      </c>
      <c r="D1425" s="34" t="e" vm="15">
        <f>_xlfn.XLOOKUP(HistoricalStockProgress[[#This Row],[Company Ticker]],CompanyDetailsList[Company Ticker],CompanyDetailsList[Official Name],,0)</f>
        <v>#VALUE!</v>
      </c>
      <c r="E14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4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6407.714421697975</v>
      </c>
      <c r="G1425" s="17">
        <f>IFERROR(HistoricalStockProgress[[#This Row],[Cost of Shares]]/HistoricalStockProgress[[#This Row],[No. of Shares]],0)</f>
        <v>53.846339678134242</v>
      </c>
      <c r="H1425" s="16" vm="1309">
        <v>83.6</v>
      </c>
      <c r="I1425" s="16">
        <f>IF(HistoricalStockProgress[[#This Row],[No. of Shares]]&lt;&gt;0,HistoricalStockProgress[[#This Row],[Price of Shares]]*HistoricalStockProgress[[#This Row],[No. of Shares]],0)</f>
        <v>9948.4</v>
      </c>
      <c r="J1425" s="16">
        <f>IF(HistoricalStockProgress[[#This Row],[No. of Shares]]&lt;&gt;0,HistoricalStockProgress[[#This Row],[Price of Shares]]-HistoricalStockProgress[[#This Row],[Cost of Shares]]/HistoricalStockProgress[[#This Row],[No. of Shares]],0)</f>
        <v>29.753660321865752</v>
      </c>
      <c r="K1425" s="17">
        <f>IF(HistoricalStockProgress[[#This Row],[Total Price of Shares]]&lt;&gt;0,HistoricalStockProgress[[#This Row],[Total Price of Shares]]-HistoricalStockProgress[[#This Row],[Cost of Shares]],0)</f>
        <v>3540.6855783020246</v>
      </c>
      <c r="L1425" s="34" t="b" cm="1">
        <f t="array" ref="L1425">IFERROR(IF(HistoricalStockProgress[[#This Row],[Price of Shares]]="",_xlfn.STOCKHISTORY(HistoricalStockProgress[[#This Row],[Full Company Name]],HistoricalStockProgress[[#This Row],[Date]],,2,0,1)),0)</f>
        <v>0</v>
      </c>
      <c r="M1425" s="34">
        <f>YEAR(HistoricalStockProgress[[#This Row],[Date]])</f>
        <v>2022</v>
      </c>
      <c r="N1425" s="34">
        <f>MONTH(HistoricalStockProgress[[#This Row],[Date]])</f>
        <v>12</v>
      </c>
    </row>
    <row r="1426" spans="2:14">
      <c r="B1426" s="15">
        <v>44926</v>
      </c>
      <c r="C1426" s="34" t="s">
        <v>100</v>
      </c>
      <c r="D1426" s="34" t="e" vm="16">
        <f>_xlfn.XLOOKUP(HistoricalStockProgress[[#This Row],[Company Ticker]],CompanyDetailsList[Company Ticker],CompanyDetailsList[Official Name],,0)</f>
        <v>#VALUE!</v>
      </c>
      <c r="E14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175</v>
      </c>
      <c r="F14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15771.200942066733</v>
      </c>
      <c r="G1426" s="17">
        <f>IFERROR(HistoricalStockProgress[[#This Row],[Cost of Shares]]/HistoricalStockProgress[[#This Row],[No. of Shares]],0)</f>
        <v>90.121148240381331</v>
      </c>
      <c r="H1426" s="16" vm="1930">
        <v>102.99</v>
      </c>
      <c r="I1426" s="16">
        <f>IF(HistoricalStockProgress[[#This Row],[No. of Shares]]&lt;&gt;0,HistoricalStockProgress[[#This Row],[Price of Shares]]*HistoricalStockProgress[[#This Row],[No. of Shares]],0)</f>
        <v>18023.25</v>
      </c>
      <c r="J1426" s="16">
        <f>IF(HistoricalStockProgress[[#This Row],[No. of Shares]]&lt;&gt;0,HistoricalStockProgress[[#This Row],[Price of Shares]]-HistoricalStockProgress[[#This Row],[Cost of Shares]]/HistoricalStockProgress[[#This Row],[No. of Shares]],0)</f>
        <v>12.868851759618664</v>
      </c>
      <c r="K1426" s="17">
        <f>IF(HistoricalStockProgress[[#This Row],[Total Price of Shares]]&lt;&gt;0,HistoricalStockProgress[[#This Row],[Total Price of Shares]]-HistoricalStockProgress[[#This Row],[Cost of Shares]],0)</f>
        <v>2252.0490579332672</v>
      </c>
      <c r="L1426" s="34" t="b" cm="1">
        <f t="array" ref="L1426">IFERROR(IF(HistoricalStockProgress[[#This Row],[Price of Shares]]="",_xlfn.STOCKHISTORY(HistoricalStockProgress[[#This Row],[Full Company Name]],HistoricalStockProgress[[#This Row],[Date]],,2,0,1)),0)</f>
        <v>0</v>
      </c>
      <c r="M1426" s="34">
        <f>YEAR(HistoricalStockProgress[[#This Row],[Date]])</f>
        <v>2022</v>
      </c>
      <c r="N1426" s="34">
        <f>MONTH(HistoricalStockProgress[[#This Row],[Date]])</f>
        <v>12</v>
      </c>
    </row>
    <row r="1427" spans="2:14">
      <c r="B1427" s="15">
        <v>44926</v>
      </c>
      <c r="C1427" s="34" t="s">
        <v>15</v>
      </c>
      <c r="D1427" s="34" t="e" vm="17">
        <f>_xlfn.XLOOKUP(HistoricalStockProgress[[#This Row],[Company Ticker]],CompanyDetailsList[Company Ticker],CompanyDetailsList[Official Name],,0)</f>
        <v>#VALUE!</v>
      </c>
      <c r="E14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4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427" s="17">
        <f>IFERROR(HistoricalStockProgress[[#This Row],[Cost of Shares]]/HistoricalStockProgress[[#This Row],[No. of Shares]],0)</f>
        <v>26.081956457072195</v>
      </c>
      <c r="H1427" s="16" vm="1931">
        <v>18.41</v>
      </c>
      <c r="I1427" s="16">
        <f>IF(HistoricalStockProgress[[#This Row],[No. of Shares]]&lt;&gt;0,HistoricalStockProgress[[#This Row],[Price of Shares]]*HistoricalStockProgress[[#This Row],[No. of Shares]],0)</f>
        <v>2282.84</v>
      </c>
      <c r="J1427" s="16">
        <f>IF(HistoricalStockProgress[[#This Row],[No. of Shares]]&lt;&gt;0,HistoricalStockProgress[[#This Row],[Price of Shares]]-HistoricalStockProgress[[#This Row],[Cost of Shares]]/HistoricalStockProgress[[#This Row],[No. of Shares]],0)</f>
        <v>-7.671956457072195</v>
      </c>
      <c r="K1427" s="17">
        <f>IF(HistoricalStockProgress[[#This Row],[Total Price of Shares]]&lt;&gt;0,HistoricalStockProgress[[#This Row],[Total Price of Shares]]-HistoricalStockProgress[[#This Row],[Cost of Shares]],0)</f>
        <v>-951.32260067695188</v>
      </c>
      <c r="L1427" s="34" t="b" cm="1">
        <f t="array" ref="L1427">IFERROR(IF(HistoricalStockProgress[[#This Row],[Price of Shares]]="",_xlfn.STOCKHISTORY(HistoricalStockProgress[[#This Row],[Full Company Name]],HistoricalStockProgress[[#This Row],[Date]],,2,0,1)),0)</f>
        <v>0</v>
      </c>
      <c r="M1427" s="34">
        <f>YEAR(HistoricalStockProgress[[#This Row],[Date]])</f>
        <v>2022</v>
      </c>
      <c r="N1427" s="34">
        <f>MONTH(HistoricalStockProgress[[#This Row],[Date]])</f>
        <v>12</v>
      </c>
    </row>
    <row r="1428" spans="2:14">
      <c r="B1428" s="15">
        <v>44926</v>
      </c>
      <c r="C1428" s="34" t="s">
        <v>13</v>
      </c>
      <c r="D1428" s="34" t="e" vm="18">
        <f>_xlfn.XLOOKUP(HistoricalStockProgress[[#This Row],[Company Ticker]],CompanyDetailsList[Company Ticker],CompanyDetailsList[Official Name],,0)</f>
        <v>#VALUE!</v>
      </c>
      <c r="E14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4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428" s="17">
        <f>IFERROR(HistoricalStockProgress[[#This Row],[Cost of Shares]]/HistoricalStockProgress[[#This Row],[No. of Shares]],0)</f>
        <v>35.846938938346874</v>
      </c>
      <c r="H1428" s="16" vm="1932">
        <v>51.24</v>
      </c>
      <c r="I1428" s="16">
        <f>IF(HistoricalStockProgress[[#This Row],[No. of Shares]]&lt;&gt;0,HistoricalStockProgress[[#This Row],[Price of Shares]]*HistoricalStockProgress[[#This Row],[No. of Shares]],0)</f>
        <v>2818.2000000000003</v>
      </c>
      <c r="J1428" s="16">
        <f>IF(HistoricalStockProgress[[#This Row],[No. of Shares]]&lt;&gt;0,HistoricalStockProgress[[#This Row],[Price of Shares]]-HistoricalStockProgress[[#This Row],[Cost of Shares]]/HistoricalStockProgress[[#This Row],[No. of Shares]],0)</f>
        <v>15.393061061653128</v>
      </c>
      <c r="K1428" s="17">
        <f>IF(HistoricalStockProgress[[#This Row],[Total Price of Shares]]&lt;&gt;0,HistoricalStockProgress[[#This Row],[Total Price of Shares]]-HistoricalStockProgress[[#This Row],[Cost of Shares]],0)</f>
        <v>846.61835839092214</v>
      </c>
      <c r="L1428" s="34" t="b" cm="1">
        <f t="array" ref="L1428">IFERROR(IF(HistoricalStockProgress[[#This Row],[Price of Shares]]="",_xlfn.STOCKHISTORY(HistoricalStockProgress[[#This Row],[Full Company Name]],HistoricalStockProgress[[#This Row],[Date]],,2,0,1)),0)</f>
        <v>0</v>
      </c>
      <c r="M1428" s="34">
        <f>YEAR(HistoricalStockProgress[[#This Row],[Date]])</f>
        <v>2022</v>
      </c>
      <c r="N1428" s="34">
        <f>MONTH(HistoricalStockProgress[[#This Row],[Date]])</f>
        <v>12</v>
      </c>
    </row>
    <row r="1429" spans="2:14">
      <c r="B1429" s="15">
        <v>44926</v>
      </c>
      <c r="C1429" s="34" t="s">
        <v>20</v>
      </c>
      <c r="D1429" s="34" t="e" vm="19">
        <f>_xlfn.XLOOKUP(HistoricalStockProgress[[#This Row],[Company Ticker]],CompanyDetailsList[Company Ticker],CompanyDetailsList[Official Name],,0)</f>
        <v>#VALUE!</v>
      </c>
      <c r="E14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93</v>
      </c>
      <c r="F14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9585.7274858109122</v>
      </c>
      <c r="G1429" s="17">
        <f>IFERROR(HistoricalStockProgress[[#This Row],[Cost of Shares]]/HistoricalStockProgress[[#This Row],[No. of Shares]],0)</f>
        <v>103.07233855710658</v>
      </c>
      <c r="H1429" s="16" vm="1933">
        <v>134.1</v>
      </c>
      <c r="I1429" s="16">
        <f>IF(HistoricalStockProgress[[#This Row],[No. of Shares]]&lt;&gt;0,HistoricalStockProgress[[#This Row],[Price of Shares]]*HistoricalStockProgress[[#This Row],[No. of Shares]],0)</f>
        <v>12471.3</v>
      </c>
      <c r="J1429" s="16">
        <f>IF(HistoricalStockProgress[[#This Row],[No. of Shares]]&lt;&gt;0,HistoricalStockProgress[[#This Row],[Price of Shares]]-HistoricalStockProgress[[#This Row],[Cost of Shares]]/HistoricalStockProgress[[#This Row],[No. of Shares]],0)</f>
        <v>31.027661442893418</v>
      </c>
      <c r="K1429" s="17">
        <f>IF(HistoricalStockProgress[[#This Row],[Total Price of Shares]]&lt;&gt;0,HistoricalStockProgress[[#This Row],[Total Price of Shares]]-HistoricalStockProgress[[#This Row],[Cost of Shares]],0)</f>
        <v>2885.5725141890871</v>
      </c>
      <c r="L1429" s="34" t="b" cm="1">
        <f t="array" ref="L1429">IFERROR(IF(HistoricalStockProgress[[#This Row],[Price of Shares]]="",_xlfn.STOCKHISTORY(HistoricalStockProgress[[#This Row],[Full Company Name]],HistoricalStockProgress[[#This Row],[Date]],,2,0,1)),0)</f>
        <v>0</v>
      </c>
      <c r="M1429" s="34">
        <f>YEAR(HistoricalStockProgress[[#This Row],[Date]])</f>
        <v>2022</v>
      </c>
      <c r="N1429" s="34">
        <f>MONTH(HistoricalStockProgress[[#This Row],[Date]])</f>
        <v>12</v>
      </c>
    </row>
    <row r="1430" spans="2:14">
      <c r="B1430" s="15">
        <v>44926</v>
      </c>
      <c r="C1430" s="34" t="s">
        <v>106</v>
      </c>
      <c r="D1430" s="34" t="e" vm="20">
        <f>_xlfn.XLOOKUP(HistoricalStockProgress[[#This Row],[Company Ticker]],CompanyDetailsList[Company Ticker],CompanyDetailsList[Official Name],,0)</f>
        <v>#VALUE!</v>
      </c>
      <c r="E14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4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430" s="17">
        <f>IFERROR(HistoricalStockProgress[[#This Row],[Cost of Shares]]/HistoricalStockProgress[[#This Row],[No. of Shares]],0)</f>
        <v>108.54870748680406</v>
      </c>
      <c r="H1430" s="16" vm="1934">
        <v>125.74</v>
      </c>
      <c r="I1430" s="16">
        <f>IF(HistoricalStockProgress[[#This Row],[No. of Shares]]&lt;&gt;0,HistoricalStockProgress[[#This Row],[Price of Shares]]*HistoricalStockProgress[[#This Row],[No. of Shares]],0)</f>
        <v>11065.119999999999</v>
      </c>
      <c r="J1430" s="16">
        <f>IF(HistoricalStockProgress[[#This Row],[No. of Shares]]&lt;&gt;0,HistoricalStockProgress[[#This Row],[Price of Shares]]-HistoricalStockProgress[[#This Row],[Cost of Shares]]/HistoricalStockProgress[[#This Row],[No. of Shares]],0)</f>
        <v>17.191292513195933</v>
      </c>
      <c r="K1430" s="17">
        <f>IF(HistoricalStockProgress[[#This Row],[Total Price of Shares]]&lt;&gt;0,HistoricalStockProgress[[#This Row],[Total Price of Shares]]-HistoricalStockProgress[[#This Row],[Cost of Shares]],0)</f>
        <v>1512.8337411612411</v>
      </c>
      <c r="L1430" s="34" t="b" cm="1">
        <f t="array" ref="L1430">IFERROR(IF(HistoricalStockProgress[[#This Row],[Price of Shares]]="",_xlfn.STOCKHISTORY(HistoricalStockProgress[[#This Row],[Full Company Name]],HistoricalStockProgress[[#This Row],[Date]],,2,0,1)),0)</f>
        <v>0</v>
      </c>
      <c r="M1430" s="34">
        <f>YEAR(HistoricalStockProgress[[#This Row],[Date]])</f>
        <v>2022</v>
      </c>
      <c r="N1430" s="34">
        <f>MONTH(HistoricalStockProgress[[#This Row],[Date]])</f>
        <v>12</v>
      </c>
    </row>
    <row r="1431" spans="2:14">
      <c r="B1431" s="15">
        <v>44957</v>
      </c>
      <c r="C1431" s="34" t="s">
        <v>12</v>
      </c>
      <c r="D1431" s="34" t="e" vm="1">
        <f>_xlfn.XLOOKUP(HistoricalStockProgress[[#This Row],[Company Ticker]],CompanyDetailsList[Company Ticker],CompanyDetailsList[Official Name],,0)</f>
        <v>#VALUE!</v>
      </c>
      <c r="E14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75</v>
      </c>
      <c r="F14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4784.1326811492927</v>
      </c>
      <c r="G1431" s="17">
        <f>IFERROR(HistoricalStockProgress[[#This Row],[Cost of Shares]]/HistoricalStockProgress[[#This Row],[No. of Shares]],0)</f>
        <v>63.788435748657236</v>
      </c>
      <c r="H1431" s="16" vm="1935">
        <v>67.83</v>
      </c>
      <c r="I1431" s="16">
        <f>IF(HistoricalStockProgress[[#This Row],[No. of Shares]]&lt;&gt;0,HistoricalStockProgress[[#This Row],[Price of Shares]]*HistoricalStockProgress[[#This Row],[No. of Shares]],0)</f>
        <v>5087.25</v>
      </c>
      <c r="J1431" s="16">
        <f>IF(HistoricalStockProgress[[#This Row],[No. of Shares]]&lt;&gt;0,HistoricalStockProgress[[#This Row],[Price of Shares]]-HistoricalStockProgress[[#This Row],[Cost of Shares]]/HistoricalStockProgress[[#This Row],[No. of Shares]],0)</f>
        <v>4.0415642513427628</v>
      </c>
      <c r="K1431" s="17">
        <f>IF(HistoricalStockProgress[[#This Row],[Total Price of Shares]]&lt;&gt;0,HistoricalStockProgress[[#This Row],[Total Price of Shares]]-HistoricalStockProgress[[#This Row],[Cost of Shares]],0)</f>
        <v>303.11731885070731</v>
      </c>
      <c r="L1431" s="34" t="b" cm="1">
        <f t="array" ref="L1431">IFERROR(IF(HistoricalStockProgress[[#This Row],[Price of Shares]]="",_xlfn.STOCKHISTORY(HistoricalStockProgress[[#This Row],[Full Company Name]],HistoricalStockProgress[[#This Row],[Date]],,2,0,1)),0)</f>
        <v>0</v>
      </c>
      <c r="M1431" s="34">
        <f>YEAR(HistoricalStockProgress[[#This Row],[Date]])</f>
        <v>2023</v>
      </c>
      <c r="N1431" s="34">
        <f>MONTH(HistoricalStockProgress[[#This Row],[Date]])</f>
        <v>1</v>
      </c>
    </row>
    <row r="1432" spans="2:14">
      <c r="B1432" s="15">
        <v>44957</v>
      </c>
      <c r="C1432" s="34" t="s">
        <v>14</v>
      </c>
      <c r="D1432" s="34" t="e" vm="2">
        <f>_xlfn.XLOOKUP(HistoricalStockProgress[[#This Row],[Company Ticker]],CompanyDetailsList[Company Ticker],CompanyDetailsList[Official Name],,0)</f>
        <v>#VALUE!</v>
      </c>
      <c r="E14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4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432" s="17">
        <f>IFERROR(HistoricalStockProgress[[#This Row],[Cost of Shares]]/HistoricalStockProgress[[#This Row],[No. of Shares]],0)</f>
        <v>31.580112511620161</v>
      </c>
      <c r="H1432" s="16" vm="1936">
        <v>33.79</v>
      </c>
      <c r="I1432" s="16">
        <f>IF(HistoricalStockProgress[[#This Row],[No. of Shares]]&lt;&gt;0,HistoricalStockProgress[[#This Row],[Price of Shares]]*HistoricalStockProgress[[#This Row],[No. of Shares]],0)</f>
        <v>946.12</v>
      </c>
      <c r="J1432" s="16">
        <f>IF(HistoricalStockProgress[[#This Row],[No. of Shares]]&lt;&gt;0,HistoricalStockProgress[[#This Row],[Price of Shares]]-HistoricalStockProgress[[#This Row],[Cost of Shares]]/HistoricalStockProgress[[#This Row],[No. of Shares]],0)</f>
        <v>2.2098874883798381</v>
      </c>
      <c r="K1432" s="17">
        <f>IF(HistoricalStockProgress[[#This Row],[Total Price of Shares]]&lt;&gt;0,HistoricalStockProgress[[#This Row],[Total Price of Shares]]-HistoricalStockProgress[[#This Row],[Cost of Shares]],0)</f>
        <v>61.876849674635537</v>
      </c>
      <c r="L1432" s="34" t="b" cm="1">
        <f t="array" ref="L1432">IFERROR(IF(HistoricalStockProgress[[#This Row],[Price of Shares]]="",_xlfn.STOCKHISTORY(HistoricalStockProgress[[#This Row],[Full Company Name]],HistoricalStockProgress[[#This Row],[Date]],,2,0,1)),0)</f>
        <v>0</v>
      </c>
      <c r="M1432" s="34">
        <f>YEAR(HistoricalStockProgress[[#This Row],[Date]])</f>
        <v>2023</v>
      </c>
      <c r="N1432" s="34">
        <f>MONTH(HistoricalStockProgress[[#This Row],[Date]])</f>
        <v>1</v>
      </c>
    </row>
    <row r="1433" spans="2:14">
      <c r="B1433" s="15">
        <v>44957</v>
      </c>
      <c r="C1433" s="34" t="s">
        <v>19</v>
      </c>
      <c r="D1433" s="34" t="e" vm="3">
        <f>_xlfn.XLOOKUP(HistoricalStockProgress[[#This Row],[Company Ticker]],CompanyDetailsList[Company Ticker],CompanyDetailsList[Official Name],,0)</f>
        <v>#VALUE!</v>
      </c>
      <c r="E14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4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433" s="17">
        <f>IFERROR(HistoricalStockProgress[[#This Row],[Cost of Shares]]/HistoricalStockProgress[[#This Row],[No. of Shares]],0)</f>
        <v>158.45739987816083</v>
      </c>
      <c r="H1433" s="16" vm="1937">
        <v>144.69</v>
      </c>
      <c r="I1433" s="16">
        <f>IF(HistoricalStockProgress[[#This Row],[No. of Shares]]&lt;&gt;0,HistoricalStockProgress[[#This Row],[Price of Shares]]*HistoricalStockProgress[[#This Row],[No. of Shares]],0)</f>
        <v>8247.33</v>
      </c>
      <c r="J1433" s="16">
        <f>IF(HistoricalStockProgress[[#This Row],[No. of Shares]]&lt;&gt;0,HistoricalStockProgress[[#This Row],[Price of Shares]]-HistoricalStockProgress[[#This Row],[Cost of Shares]]/HistoricalStockProgress[[#This Row],[No. of Shares]],0)</f>
        <v>-13.76739987816083</v>
      </c>
      <c r="K1433" s="17">
        <f>IF(HistoricalStockProgress[[#This Row],[Total Price of Shares]]&lt;&gt;0,HistoricalStockProgress[[#This Row],[Total Price of Shares]]-HistoricalStockProgress[[#This Row],[Cost of Shares]],0)</f>
        <v>-784.74179305516736</v>
      </c>
      <c r="L1433" s="34" t="b" cm="1">
        <f t="array" ref="L1433">IFERROR(IF(HistoricalStockProgress[[#This Row],[Price of Shares]]="",_xlfn.STOCKHISTORY(HistoricalStockProgress[[#This Row],[Full Company Name]],HistoricalStockProgress[[#This Row],[Date]],,2,0,1)),0)</f>
        <v>0</v>
      </c>
      <c r="M1433" s="34">
        <f>YEAR(HistoricalStockProgress[[#This Row],[Date]])</f>
        <v>2023</v>
      </c>
      <c r="N1433" s="34">
        <f>MONTH(HistoricalStockProgress[[#This Row],[Date]])</f>
        <v>1</v>
      </c>
    </row>
    <row r="1434" spans="2:14">
      <c r="B1434" s="15">
        <v>44957</v>
      </c>
      <c r="C1434" s="34" t="s">
        <v>23</v>
      </c>
      <c r="D1434" s="34" t="e" vm="4">
        <f>_xlfn.XLOOKUP(HistoricalStockProgress[[#This Row],[Company Ticker]],CompanyDetailsList[Company Ticker],CompanyDetailsList[Official Name],,0)</f>
        <v>#VALUE!</v>
      </c>
      <c r="E14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85</v>
      </c>
      <c r="F14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4210.4106468589489</v>
      </c>
      <c r="G1434" s="17">
        <f>IFERROR(HistoricalStockProgress[[#This Row],[Cost of Shares]]/HistoricalStockProgress[[#This Row],[No. of Shares]],0)</f>
        <v>49.534242904222928</v>
      </c>
      <c r="H1434" s="16" vm="1938">
        <v>61.32</v>
      </c>
      <c r="I1434" s="16">
        <f>IF(HistoricalStockProgress[[#This Row],[No. of Shares]]&lt;&gt;0,HistoricalStockProgress[[#This Row],[Price of Shares]]*HistoricalStockProgress[[#This Row],[No. of Shares]],0)</f>
        <v>5212.2</v>
      </c>
      <c r="J1434" s="16">
        <f>IF(HistoricalStockProgress[[#This Row],[No. of Shares]]&lt;&gt;0,HistoricalStockProgress[[#This Row],[Price of Shares]]-HistoricalStockProgress[[#This Row],[Cost of Shares]]/HistoricalStockProgress[[#This Row],[No. of Shares]],0)</f>
        <v>11.785757095777072</v>
      </c>
      <c r="K1434" s="17">
        <f>IF(HistoricalStockProgress[[#This Row],[Total Price of Shares]]&lt;&gt;0,HistoricalStockProgress[[#This Row],[Total Price of Shares]]-HistoricalStockProgress[[#This Row],[Cost of Shares]],0)</f>
        <v>1001.7893531410509</v>
      </c>
      <c r="L1434" s="34" t="b" cm="1">
        <f t="array" ref="L1434">IFERROR(IF(HistoricalStockProgress[[#This Row],[Price of Shares]]="",_xlfn.STOCKHISTORY(HistoricalStockProgress[[#This Row],[Full Company Name]],HistoricalStockProgress[[#This Row],[Date]],,2,0,1)),0)</f>
        <v>0</v>
      </c>
      <c r="M1434" s="34">
        <f>YEAR(HistoricalStockProgress[[#This Row],[Date]])</f>
        <v>2023</v>
      </c>
      <c r="N1434" s="34">
        <f>MONTH(HistoricalStockProgress[[#This Row],[Date]])</f>
        <v>1</v>
      </c>
    </row>
    <row r="1435" spans="2:14">
      <c r="B1435" s="15">
        <v>44957</v>
      </c>
      <c r="C1435" s="34" t="s">
        <v>18</v>
      </c>
      <c r="D1435" s="34" t="e" vm="5">
        <f>_xlfn.XLOOKUP(HistoricalStockProgress[[#This Row],[Company Ticker]],CompanyDetailsList[Company Ticker],CompanyDetailsList[Official Name],,0)</f>
        <v>#VALUE!</v>
      </c>
      <c r="E14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4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435" s="17">
        <f>IFERROR(HistoricalStockProgress[[#This Row],[Cost of Shares]]/HistoricalStockProgress[[#This Row],[No. of Shares]],0)</f>
        <v>160.8859607546234</v>
      </c>
      <c r="H1435" s="16" vm="1939">
        <v>171.02</v>
      </c>
      <c r="I1435" s="16">
        <f>IF(HistoricalStockProgress[[#This Row],[No. of Shares]]&lt;&gt;0,HistoricalStockProgress[[#This Row],[Price of Shares]]*HistoricalStockProgress[[#This Row],[No. of Shares]],0)</f>
        <v>7353.8600000000006</v>
      </c>
      <c r="J1435" s="16">
        <f>IF(HistoricalStockProgress[[#This Row],[No. of Shares]]&lt;&gt;0,HistoricalStockProgress[[#This Row],[Price of Shares]]-HistoricalStockProgress[[#This Row],[Cost of Shares]]/HistoricalStockProgress[[#This Row],[No. of Shares]],0)</f>
        <v>10.134039245376613</v>
      </c>
      <c r="K1435" s="17">
        <f>IF(HistoricalStockProgress[[#This Row],[Total Price of Shares]]&lt;&gt;0,HistoricalStockProgress[[#This Row],[Total Price of Shares]]-HistoricalStockProgress[[#This Row],[Cost of Shares]],0)</f>
        <v>435.76368755119438</v>
      </c>
      <c r="L1435" s="34" t="b" cm="1">
        <f t="array" ref="L1435">IFERROR(IF(HistoricalStockProgress[[#This Row],[Price of Shares]]="",_xlfn.STOCKHISTORY(HistoricalStockProgress[[#This Row],[Full Company Name]],HistoricalStockProgress[[#This Row],[Date]],,2,0,1)),0)</f>
        <v>0</v>
      </c>
      <c r="M1435" s="34">
        <f>YEAR(HistoricalStockProgress[[#This Row],[Date]])</f>
        <v>2023</v>
      </c>
      <c r="N1435" s="34">
        <f>MONTH(HistoricalStockProgress[[#This Row],[Date]])</f>
        <v>1</v>
      </c>
    </row>
    <row r="1436" spans="2:14">
      <c r="B1436" s="15">
        <v>44957</v>
      </c>
      <c r="C1436" s="34" t="s">
        <v>21</v>
      </c>
      <c r="D1436" s="34" t="e" vm="6">
        <f>_xlfn.XLOOKUP(HistoricalStockProgress[[#This Row],[Company Ticker]],CompanyDetailsList[Company Ticker],CompanyDetailsList[Official Name],,0)</f>
        <v>#VALUE!</v>
      </c>
      <c r="E14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4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436" s="17">
        <f>IFERROR(HistoricalStockProgress[[#This Row],[Cost of Shares]]/HistoricalStockProgress[[#This Row],[No. of Shares]],0)</f>
        <v>139.68700010204148</v>
      </c>
      <c r="H1436" s="16" vm="487">
        <v>142.38</v>
      </c>
      <c r="I1436" s="16">
        <f>IF(HistoricalStockProgress[[#This Row],[No. of Shares]]&lt;&gt;0,HistoricalStockProgress[[#This Row],[Price of Shares]]*HistoricalStockProgress[[#This Row],[No. of Shares]],0)</f>
        <v>5979.96</v>
      </c>
      <c r="J1436" s="16">
        <f>IF(HistoricalStockProgress[[#This Row],[No. of Shares]]&lt;&gt;0,HistoricalStockProgress[[#This Row],[Price of Shares]]-HistoricalStockProgress[[#This Row],[Cost of Shares]]/HistoricalStockProgress[[#This Row],[No. of Shares]],0)</f>
        <v>2.692999897958515</v>
      </c>
      <c r="K1436" s="17">
        <f>IF(HistoricalStockProgress[[#This Row],[Total Price of Shares]]&lt;&gt;0,HistoricalStockProgress[[#This Row],[Total Price of Shares]]-HistoricalStockProgress[[#This Row],[Cost of Shares]],0)</f>
        <v>113.10599571425792</v>
      </c>
      <c r="L1436" s="34" t="b" cm="1">
        <f t="array" ref="L1436">IFERROR(IF(HistoricalStockProgress[[#This Row],[Price of Shares]]="",_xlfn.STOCKHISTORY(HistoricalStockProgress[[#This Row],[Full Company Name]],HistoricalStockProgress[[#This Row],[Date]],,2,0,1)),0)</f>
        <v>0</v>
      </c>
      <c r="M1436" s="34">
        <f>YEAR(HistoricalStockProgress[[#This Row],[Date]])</f>
        <v>2023</v>
      </c>
      <c r="N1436" s="34">
        <f>MONTH(HistoricalStockProgress[[#This Row],[Date]])</f>
        <v>1</v>
      </c>
    </row>
    <row r="1437" spans="2:14">
      <c r="B1437" s="15">
        <v>44957</v>
      </c>
      <c r="C1437" s="34" t="s">
        <v>84</v>
      </c>
      <c r="D1437" s="34" t="e" vm="7">
        <f>_xlfn.XLOOKUP(HistoricalStockProgress[[#This Row],[Company Ticker]],CompanyDetailsList[Company Ticker],CompanyDetailsList[Official Name],,0)</f>
        <v>#VALUE!</v>
      </c>
      <c r="E14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4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437" s="17">
        <f>IFERROR(HistoricalStockProgress[[#This Row],[Cost of Shares]]/HistoricalStockProgress[[#This Row],[No. of Shares]],0)</f>
        <v>104.18087504950869</v>
      </c>
      <c r="H1437" s="16" vm="1940">
        <v>163.41999999999999</v>
      </c>
      <c r="I1437" s="16">
        <f>IF(HistoricalStockProgress[[#This Row],[No. of Shares]]&lt;&gt;0,HistoricalStockProgress[[#This Row],[Price of Shares]]*HistoricalStockProgress[[#This Row],[No. of Shares]],0)</f>
        <v>8334.42</v>
      </c>
      <c r="J1437" s="16">
        <f>IF(HistoricalStockProgress[[#This Row],[No. of Shares]]&lt;&gt;0,HistoricalStockProgress[[#This Row],[Price of Shares]]-HistoricalStockProgress[[#This Row],[Cost of Shares]]/HistoricalStockProgress[[#This Row],[No. of Shares]],0)</f>
        <v>59.239124950491302</v>
      </c>
      <c r="K1437" s="17">
        <f>IF(HistoricalStockProgress[[#This Row],[Total Price of Shares]]&lt;&gt;0,HistoricalStockProgress[[#This Row],[Total Price of Shares]]-HistoricalStockProgress[[#This Row],[Cost of Shares]],0)</f>
        <v>3021.1953724750574</v>
      </c>
      <c r="L1437" s="34" t="b" cm="1">
        <f t="array" ref="L1437">IFERROR(IF(HistoricalStockProgress[[#This Row],[Price of Shares]]="",_xlfn.STOCKHISTORY(HistoricalStockProgress[[#This Row],[Full Company Name]],HistoricalStockProgress[[#This Row],[Date]],,2,0,1)),0)</f>
        <v>0</v>
      </c>
      <c r="M1437" s="34">
        <f>YEAR(HistoricalStockProgress[[#This Row],[Date]])</f>
        <v>2023</v>
      </c>
      <c r="N1437" s="34">
        <f>MONTH(HistoricalStockProgress[[#This Row],[Date]])</f>
        <v>1</v>
      </c>
    </row>
    <row r="1438" spans="2:14">
      <c r="B1438" s="15">
        <v>44957</v>
      </c>
      <c r="C1438" s="34" t="s">
        <v>86</v>
      </c>
      <c r="D1438" s="34" t="e" vm="8">
        <f>_xlfn.XLOOKUP(HistoricalStockProgress[[#This Row],[Company Ticker]],CompanyDetailsList[Company Ticker],CompanyDetailsList[Official Name],,0)</f>
        <v>#VALUE!</v>
      </c>
      <c r="E14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4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438" s="17">
        <f>IFERROR(HistoricalStockProgress[[#This Row],[Cost of Shares]]/HistoricalStockProgress[[#This Row],[No. of Shares]],0)</f>
        <v>92.636161128673535</v>
      </c>
      <c r="H1438" s="16" vm="1941">
        <v>147.75</v>
      </c>
      <c r="I1438" s="16">
        <f>IF(HistoricalStockProgress[[#This Row],[No. of Shares]]&lt;&gt;0,HistoricalStockProgress[[#This Row],[Price of Shares]]*HistoricalStockProgress[[#This Row],[No. of Shares]],0)</f>
        <v>16843.5</v>
      </c>
      <c r="J1438" s="16">
        <f>IF(HistoricalStockProgress[[#This Row],[No. of Shares]]&lt;&gt;0,HistoricalStockProgress[[#This Row],[Price of Shares]]-HistoricalStockProgress[[#This Row],[Cost of Shares]]/HistoricalStockProgress[[#This Row],[No. of Shares]],0)</f>
        <v>55.113838871326465</v>
      </c>
      <c r="K1438" s="17">
        <f>IF(HistoricalStockProgress[[#This Row],[Total Price of Shares]]&lt;&gt;0,HistoricalStockProgress[[#This Row],[Total Price of Shares]]-HistoricalStockProgress[[#This Row],[Cost of Shares]],0)</f>
        <v>6282.9776313312177</v>
      </c>
      <c r="L1438" s="34" t="b" cm="1">
        <f t="array" ref="L1438">IFERROR(IF(HistoricalStockProgress[[#This Row],[Price of Shares]]="",_xlfn.STOCKHISTORY(HistoricalStockProgress[[#This Row],[Full Company Name]],HistoricalStockProgress[[#This Row],[Date]],,2,0,1)),0)</f>
        <v>0</v>
      </c>
      <c r="M1438" s="34">
        <f>YEAR(HistoricalStockProgress[[#This Row],[Date]])</f>
        <v>2023</v>
      </c>
      <c r="N1438" s="34">
        <f>MONTH(HistoricalStockProgress[[#This Row],[Date]])</f>
        <v>1</v>
      </c>
    </row>
    <row r="1439" spans="2:14">
      <c r="B1439" s="15">
        <v>44957</v>
      </c>
      <c r="C1439" s="34" t="s">
        <v>88</v>
      </c>
      <c r="D1439" s="34" t="e" vm="9">
        <f>_xlfn.XLOOKUP(HistoricalStockProgress[[#This Row],[Company Ticker]],CompanyDetailsList[Company Ticker],CompanyDetailsList[Official Name],,0)</f>
        <v>#VALUE!</v>
      </c>
      <c r="E14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4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439" s="17">
        <f>IFERROR(HistoricalStockProgress[[#This Row],[Cost of Shares]]/HistoricalStockProgress[[#This Row],[No. of Shares]],0)</f>
        <v>187.727755253422</v>
      </c>
      <c r="H1439" s="16" vm="1942">
        <v>267.39999999999998</v>
      </c>
      <c r="I1439" s="16">
        <f>IF(HistoricalStockProgress[[#This Row],[No. of Shares]]&lt;&gt;0,HistoricalStockProgress[[#This Row],[Price of Shares]]*HistoricalStockProgress[[#This Row],[No. of Shares]],0)</f>
        <v>15776.599999999999</v>
      </c>
      <c r="J1439" s="16">
        <f>IF(HistoricalStockProgress[[#This Row],[No. of Shares]]&lt;&gt;0,HistoricalStockProgress[[#This Row],[Price of Shares]]-HistoricalStockProgress[[#This Row],[Cost of Shares]]/HistoricalStockProgress[[#This Row],[No. of Shares]],0)</f>
        <v>79.672244746577974</v>
      </c>
      <c r="K1439" s="17">
        <f>IF(HistoricalStockProgress[[#This Row],[Total Price of Shares]]&lt;&gt;0,HistoricalStockProgress[[#This Row],[Total Price of Shares]]-HistoricalStockProgress[[#This Row],[Cost of Shares]],0)</f>
        <v>4700.6624400480996</v>
      </c>
      <c r="L1439" s="34" t="b" cm="1">
        <f t="array" ref="L1439">IFERROR(IF(HistoricalStockProgress[[#This Row],[Price of Shares]]="",_xlfn.STOCKHISTORY(HistoricalStockProgress[[#This Row],[Full Company Name]],HistoricalStockProgress[[#This Row],[Date]],,2,0,1)),0)</f>
        <v>0</v>
      </c>
      <c r="M1439" s="34">
        <f>YEAR(HistoricalStockProgress[[#This Row],[Date]])</f>
        <v>2023</v>
      </c>
      <c r="N1439" s="34">
        <f>MONTH(HistoricalStockProgress[[#This Row],[Date]])</f>
        <v>1</v>
      </c>
    </row>
    <row r="1440" spans="2:14">
      <c r="B1440" s="15">
        <v>44957</v>
      </c>
      <c r="C1440" s="34" t="s">
        <v>22</v>
      </c>
      <c r="D1440" s="34" t="e" vm="10">
        <f>_xlfn.XLOOKUP(HistoricalStockProgress[[#This Row],[Company Ticker]],CompanyDetailsList[Company Ticker],CompanyDetailsList[Official Name],,0)</f>
        <v>#VALUE!</v>
      </c>
      <c r="E14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4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440" s="17">
        <f>IFERROR(HistoricalStockProgress[[#This Row],[Cost of Shares]]/HistoricalStockProgress[[#This Row],[No. of Shares]],0)</f>
        <v>130.19784136724968</v>
      </c>
      <c r="H1440" s="16" vm="1943">
        <v>252.29</v>
      </c>
      <c r="I1440" s="16">
        <f>IF(HistoricalStockProgress[[#This Row],[No. of Shares]]&lt;&gt;0,HistoricalStockProgress[[#This Row],[Price of Shares]]*HistoricalStockProgress[[#This Row],[No. of Shares]],0)</f>
        <v>30022.51</v>
      </c>
      <c r="J1440" s="16">
        <f>IF(HistoricalStockProgress[[#This Row],[No. of Shares]]&lt;&gt;0,HistoricalStockProgress[[#This Row],[Price of Shares]]-HistoricalStockProgress[[#This Row],[Cost of Shares]]/HistoricalStockProgress[[#This Row],[No. of Shares]],0)</f>
        <v>122.09215863275031</v>
      </c>
      <c r="K1440" s="17">
        <f>IF(HistoricalStockProgress[[#This Row],[Total Price of Shares]]&lt;&gt;0,HistoricalStockProgress[[#This Row],[Total Price of Shares]]-HistoricalStockProgress[[#This Row],[Cost of Shares]],0)</f>
        <v>14528.966877297285</v>
      </c>
      <c r="L1440" s="34" t="b" cm="1">
        <f t="array" ref="L1440">IFERROR(IF(HistoricalStockProgress[[#This Row],[Price of Shares]]="",_xlfn.STOCKHISTORY(HistoricalStockProgress[[#This Row],[Full Company Name]],HistoricalStockProgress[[#This Row],[Date]],,2,0,1)),0)</f>
        <v>0</v>
      </c>
      <c r="M1440" s="34">
        <f>YEAR(HistoricalStockProgress[[#This Row],[Date]])</f>
        <v>2023</v>
      </c>
      <c r="N1440" s="34">
        <f>MONTH(HistoricalStockProgress[[#This Row],[Date]])</f>
        <v>1</v>
      </c>
    </row>
    <row r="1441" spans="2:14">
      <c r="B1441" s="15">
        <v>44957</v>
      </c>
      <c r="C1441" s="34" t="s">
        <v>91</v>
      </c>
      <c r="D1441" s="34" t="e" vm="11">
        <f>_xlfn.XLOOKUP(HistoricalStockProgress[[#This Row],[Company Ticker]],CompanyDetailsList[Company Ticker],CompanyDetailsList[Official Name],,0)</f>
        <v>#VALUE!</v>
      </c>
      <c r="E14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176</v>
      </c>
      <c r="F14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22591.11028368511</v>
      </c>
      <c r="G1441" s="17">
        <f>IFERROR(HistoricalStockProgress[[#This Row],[Cost of Shares]]/HistoricalStockProgress[[#This Row],[No. of Shares]],0)</f>
        <v>128.35858115730176</v>
      </c>
      <c r="H1441" s="16" vm="1944">
        <v>247.81</v>
      </c>
      <c r="I1441" s="16">
        <f>IF(HistoricalStockProgress[[#This Row],[No. of Shares]]&lt;&gt;0,HistoricalStockProgress[[#This Row],[Price of Shares]]*HistoricalStockProgress[[#This Row],[No. of Shares]],0)</f>
        <v>43614.559999999998</v>
      </c>
      <c r="J1441" s="16">
        <f>IF(HistoricalStockProgress[[#This Row],[No. of Shares]]&lt;&gt;0,HistoricalStockProgress[[#This Row],[Price of Shares]]-HistoricalStockProgress[[#This Row],[Cost of Shares]]/HistoricalStockProgress[[#This Row],[No. of Shares]],0)</f>
        <v>119.45141884269825</v>
      </c>
      <c r="K1441" s="17">
        <f>IF(HistoricalStockProgress[[#This Row],[Total Price of Shares]]&lt;&gt;0,HistoricalStockProgress[[#This Row],[Total Price of Shares]]-HistoricalStockProgress[[#This Row],[Cost of Shares]],0)</f>
        <v>21023.449716314888</v>
      </c>
      <c r="L1441" s="34" t="b" cm="1">
        <f t="array" ref="L1441">IFERROR(IF(HistoricalStockProgress[[#This Row],[Price of Shares]]="",_xlfn.STOCKHISTORY(HistoricalStockProgress[[#This Row],[Full Company Name]],HistoricalStockProgress[[#This Row],[Date]],,2,0,1)),0)</f>
        <v>0</v>
      </c>
      <c r="M1441" s="34">
        <f>YEAR(HistoricalStockProgress[[#This Row],[Date]])</f>
        <v>2023</v>
      </c>
      <c r="N1441" s="34">
        <f>MONTH(HistoricalStockProgress[[#This Row],[Date]])</f>
        <v>1</v>
      </c>
    </row>
    <row r="1442" spans="2:14">
      <c r="B1442" s="15">
        <v>44957</v>
      </c>
      <c r="C1442" s="34" t="s">
        <v>16</v>
      </c>
      <c r="D1442" s="34" t="e" vm="12">
        <f>_xlfn.XLOOKUP(HistoricalStockProgress[[#This Row],[Company Ticker]],CompanyDetailsList[Company Ticker],CompanyDetailsList[Official Name],,0)</f>
        <v>#VALUE!</v>
      </c>
      <c r="E14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4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442" s="17">
        <f>IFERROR(HistoricalStockProgress[[#This Row],[Cost of Shares]]/HistoricalStockProgress[[#This Row],[No. of Shares]],0)</f>
        <v>75.117698177311837</v>
      </c>
      <c r="H1442" s="16" vm="1945">
        <v>116.01</v>
      </c>
      <c r="I1442" s="16">
        <f>IF(HistoricalStockProgress[[#This Row],[No. of Shares]]&lt;&gt;0,HistoricalStockProgress[[#This Row],[Price of Shares]]*HistoricalStockProgress[[#This Row],[No. of Shares]],0)</f>
        <v>21461.850000000002</v>
      </c>
      <c r="J1442" s="16">
        <f>IF(HistoricalStockProgress[[#This Row],[No. of Shares]]&lt;&gt;0,HistoricalStockProgress[[#This Row],[Price of Shares]]-HistoricalStockProgress[[#This Row],[Cost of Shares]]/HistoricalStockProgress[[#This Row],[No. of Shares]],0)</f>
        <v>40.892301822688168</v>
      </c>
      <c r="K1442" s="17">
        <f>IF(HistoricalStockProgress[[#This Row],[Total Price of Shares]]&lt;&gt;0,HistoricalStockProgress[[#This Row],[Total Price of Shares]]-HistoricalStockProgress[[#This Row],[Cost of Shares]],0)</f>
        <v>7565.0758371973134</v>
      </c>
      <c r="L1442" s="34" t="b" cm="1">
        <f t="array" ref="L1442">IFERROR(IF(HistoricalStockProgress[[#This Row],[Price of Shares]]="",_xlfn.STOCKHISTORY(HistoricalStockProgress[[#This Row],[Full Company Name]],HistoricalStockProgress[[#This Row],[Date]],,2,0,1)),0)</f>
        <v>0</v>
      </c>
      <c r="M1442" s="34">
        <f>YEAR(HistoricalStockProgress[[#This Row],[Date]])</f>
        <v>2023</v>
      </c>
      <c r="N1442" s="34">
        <f>MONTH(HistoricalStockProgress[[#This Row],[Date]])</f>
        <v>1</v>
      </c>
    </row>
    <row r="1443" spans="2:14">
      <c r="B1443" s="15">
        <v>44957</v>
      </c>
      <c r="C1443" s="34" t="s">
        <v>95</v>
      </c>
      <c r="D1443" s="34" t="e" vm="13">
        <f>_xlfn.XLOOKUP(HistoricalStockProgress[[#This Row],[Company Ticker]],CompanyDetailsList[Company Ticker],CompanyDetailsList[Official Name],,0)</f>
        <v>#VALUE!</v>
      </c>
      <c r="E14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14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26060.016778018562</v>
      </c>
      <c r="G1443" s="17">
        <f>IFERROR(HistoricalStockProgress[[#This Row],[Cost of Shares]]/HistoricalStockProgress[[#This Row],[No. of Shares]],0)</f>
        <v>234.77492592809514</v>
      </c>
      <c r="H1443" s="16" vm="1946">
        <v>324.17</v>
      </c>
      <c r="I1443" s="16">
        <f>IF(HistoricalStockProgress[[#This Row],[No. of Shares]]&lt;&gt;0,HistoricalStockProgress[[#This Row],[Price of Shares]]*HistoricalStockProgress[[#This Row],[No. of Shares]],0)</f>
        <v>35982.870000000003</v>
      </c>
      <c r="J1443" s="16">
        <f>IF(HistoricalStockProgress[[#This Row],[No. of Shares]]&lt;&gt;0,HistoricalStockProgress[[#This Row],[Price of Shares]]-HistoricalStockProgress[[#This Row],[Cost of Shares]]/HistoricalStockProgress[[#This Row],[No. of Shares]],0)</f>
        <v>89.395074071904872</v>
      </c>
      <c r="K1443" s="17">
        <f>IF(HistoricalStockProgress[[#This Row],[Total Price of Shares]]&lt;&gt;0,HistoricalStockProgress[[#This Row],[Total Price of Shares]]-HistoricalStockProgress[[#This Row],[Cost of Shares]],0)</f>
        <v>9922.8532219814406</v>
      </c>
      <c r="L1443" s="34" t="b" cm="1">
        <f t="array" ref="L1443">IFERROR(IF(HistoricalStockProgress[[#This Row],[Price of Shares]]="",_xlfn.STOCKHISTORY(HistoricalStockProgress[[#This Row],[Full Company Name]],HistoricalStockProgress[[#This Row],[Date]],,2,0,1)),0)</f>
        <v>0</v>
      </c>
      <c r="M1443" s="34">
        <f>YEAR(HistoricalStockProgress[[#This Row],[Date]])</f>
        <v>2023</v>
      </c>
      <c r="N1443" s="34">
        <f>MONTH(HistoricalStockProgress[[#This Row],[Date]])</f>
        <v>1</v>
      </c>
    </row>
    <row r="1444" spans="2:14">
      <c r="B1444" s="15">
        <v>44957</v>
      </c>
      <c r="C1444" s="34" t="s">
        <v>17</v>
      </c>
      <c r="D1444" s="34" t="e" vm="14">
        <f>_xlfn.XLOOKUP(HistoricalStockProgress[[#This Row],[Company Ticker]],CompanyDetailsList[Company Ticker],CompanyDetailsList[Official Name],,0)</f>
        <v>#VALUE!</v>
      </c>
      <c r="E14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4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26400.485099161626</v>
      </c>
      <c r="G1444" s="17">
        <f>IFERROR(HistoricalStockProgress[[#This Row],[Cost of Shares]]/HistoricalStockProgress[[#This Row],[No. of Shares]],0)</f>
        <v>136.08497473794654</v>
      </c>
      <c r="H1444" s="16" vm="1947">
        <v>134.72999999999999</v>
      </c>
      <c r="I1444" s="16">
        <f>IF(HistoricalStockProgress[[#This Row],[No. of Shares]]&lt;&gt;0,HistoricalStockProgress[[#This Row],[Price of Shares]]*HistoricalStockProgress[[#This Row],[No. of Shares]],0)</f>
        <v>26137.62</v>
      </c>
      <c r="J1444" s="16">
        <f>IF(HistoricalStockProgress[[#This Row],[No. of Shares]]&lt;&gt;0,HistoricalStockProgress[[#This Row],[Price of Shares]]-HistoricalStockProgress[[#This Row],[Cost of Shares]]/HistoricalStockProgress[[#This Row],[No. of Shares]],0)</f>
        <v>-1.3549747379465487</v>
      </c>
      <c r="K1444" s="17">
        <f>IF(HistoricalStockProgress[[#This Row],[Total Price of Shares]]&lt;&gt;0,HistoricalStockProgress[[#This Row],[Total Price of Shares]]-HistoricalStockProgress[[#This Row],[Cost of Shares]],0)</f>
        <v>-262.86509916162686</v>
      </c>
      <c r="L1444" s="34" t="b" cm="1">
        <f t="array" ref="L1444">IFERROR(IF(HistoricalStockProgress[[#This Row],[Price of Shares]]="",_xlfn.STOCKHISTORY(HistoricalStockProgress[[#This Row],[Full Company Name]],HistoricalStockProgress[[#This Row],[Date]],,2,0,1)),0)</f>
        <v>0</v>
      </c>
      <c r="M1444" s="34">
        <f>YEAR(HistoricalStockProgress[[#This Row],[Date]])</f>
        <v>2023</v>
      </c>
      <c r="N1444" s="34">
        <f>MONTH(HistoricalStockProgress[[#This Row],[Date]])</f>
        <v>1</v>
      </c>
    </row>
    <row r="1445" spans="2:14">
      <c r="B1445" s="15">
        <v>44957</v>
      </c>
      <c r="C1445" s="34" t="s">
        <v>98</v>
      </c>
      <c r="D1445" s="34" t="e" vm="15">
        <f>_xlfn.XLOOKUP(HistoricalStockProgress[[#This Row],[Company Ticker]],CompanyDetailsList[Company Ticker],CompanyDetailsList[Official Name],,0)</f>
        <v>#VALUE!</v>
      </c>
      <c r="E14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4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6407.714421697975</v>
      </c>
      <c r="G1445" s="17">
        <f>IFERROR(HistoricalStockProgress[[#This Row],[Cost of Shares]]/HistoricalStockProgress[[#This Row],[No. of Shares]],0)</f>
        <v>53.846339678134242</v>
      </c>
      <c r="H1445" s="16" vm="1948">
        <v>74.63</v>
      </c>
      <c r="I1445" s="16">
        <f>IF(HistoricalStockProgress[[#This Row],[No. of Shares]]&lt;&gt;0,HistoricalStockProgress[[#This Row],[Price of Shares]]*HistoricalStockProgress[[#This Row],[No. of Shares]],0)</f>
        <v>8880.9699999999993</v>
      </c>
      <c r="J1445" s="16">
        <f>IF(HistoricalStockProgress[[#This Row],[No. of Shares]]&lt;&gt;0,HistoricalStockProgress[[#This Row],[Price of Shares]]-HistoricalStockProgress[[#This Row],[Cost of Shares]]/HistoricalStockProgress[[#This Row],[No. of Shares]],0)</f>
        <v>20.783660321865753</v>
      </c>
      <c r="K1445" s="17">
        <f>IF(HistoricalStockProgress[[#This Row],[Total Price of Shares]]&lt;&gt;0,HistoricalStockProgress[[#This Row],[Total Price of Shares]]-HistoricalStockProgress[[#This Row],[Cost of Shares]],0)</f>
        <v>2473.2555783020243</v>
      </c>
      <c r="L1445" s="34" t="b" cm="1">
        <f t="array" ref="L1445">IFERROR(IF(HistoricalStockProgress[[#This Row],[Price of Shares]]="",_xlfn.STOCKHISTORY(HistoricalStockProgress[[#This Row],[Full Company Name]],HistoricalStockProgress[[#This Row],[Date]],,2,0,1)),0)</f>
        <v>0</v>
      </c>
      <c r="M1445" s="34">
        <f>YEAR(HistoricalStockProgress[[#This Row],[Date]])</f>
        <v>2023</v>
      </c>
      <c r="N1445" s="34">
        <f>MONTH(HistoricalStockProgress[[#This Row],[Date]])</f>
        <v>1</v>
      </c>
    </row>
    <row r="1446" spans="2:14">
      <c r="B1446" s="15">
        <v>44957</v>
      </c>
      <c r="C1446" s="34" t="s">
        <v>100</v>
      </c>
      <c r="D1446" s="34" t="e" vm="16">
        <f>_xlfn.XLOOKUP(HistoricalStockProgress[[#This Row],[Company Ticker]],CompanyDetailsList[Company Ticker],CompanyDetailsList[Official Name],,0)</f>
        <v>#VALUE!</v>
      </c>
      <c r="E14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4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17699.078573130391</v>
      </c>
      <c r="G1446" s="17">
        <f>IFERROR(HistoricalStockProgress[[#This Row],[Cost of Shares]]/HistoricalStockProgress[[#This Row],[No. of Shares]],0)</f>
        <v>91.232363779022634</v>
      </c>
      <c r="H1446" s="16" vm="1949">
        <v>102.45</v>
      </c>
      <c r="I1446" s="16">
        <f>IF(HistoricalStockProgress[[#This Row],[No. of Shares]]&lt;&gt;0,HistoricalStockProgress[[#This Row],[Price of Shares]]*HistoricalStockProgress[[#This Row],[No. of Shares]],0)</f>
        <v>19875.3</v>
      </c>
      <c r="J1446" s="16">
        <f>IF(HistoricalStockProgress[[#This Row],[No. of Shares]]&lt;&gt;0,HistoricalStockProgress[[#This Row],[Price of Shares]]-HistoricalStockProgress[[#This Row],[Cost of Shares]]/HistoricalStockProgress[[#This Row],[No. of Shares]],0)</f>
        <v>11.217636220977369</v>
      </c>
      <c r="K1446" s="17">
        <f>IF(HistoricalStockProgress[[#This Row],[Total Price of Shares]]&lt;&gt;0,HistoricalStockProgress[[#This Row],[Total Price of Shares]]-HistoricalStockProgress[[#This Row],[Cost of Shares]],0)</f>
        <v>2176.221426869608</v>
      </c>
      <c r="L1446" s="34" t="b" cm="1">
        <f t="array" ref="L1446">IFERROR(IF(HistoricalStockProgress[[#This Row],[Price of Shares]]="",_xlfn.STOCKHISTORY(HistoricalStockProgress[[#This Row],[Full Company Name]],HistoricalStockProgress[[#This Row],[Date]],,2,0,1)),0)</f>
        <v>0</v>
      </c>
      <c r="M1446" s="34">
        <f>YEAR(HistoricalStockProgress[[#This Row],[Date]])</f>
        <v>2023</v>
      </c>
      <c r="N1446" s="34">
        <f>MONTH(HistoricalStockProgress[[#This Row],[Date]])</f>
        <v>1</v>
      </c>
    </row>
    <row r="1447" spans="2:14">
      <c r="B1447" s="15">
        <v>44957</v>
      </c>
      <c r="C1447" s="34" t="s">
        <v>15</v>
      </c>
      <c r="D1447" s="34" t="e" vm="17">
        <f>_xlfn.XLOOKUP(HistoricalStockProgress[[#This Row],[Company Ticker]],CompanyDetailsList[Company Ticker],CompanyDetailsList[Official Name],,0)</f>
        <v>#VALUE!</v>
      </c>
      <c r="E14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4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447" s="17">
        <f>IFERROR(HistoricalStockProgress[[#This Row],[Cost of Shares]]/HistoricalStockProgress[[#This Row],[No. of Shares]],0)</f>
        <v>26.081956457072195</v>
      </c>
      <c r="H1447" s="16" vm="1950">
        <v>20.37</v>
      </c>
      <c r="I1447" s="16">
        <f>IF(HistoricalStockProgress[[#This Row],[No. of Shares]]&lt;&gt;0,HistoricalStockProgress[[#This Row],[Price of Shares]]*HistoricalStockProgress[[#This Row],[No. of Shares]],0)</f>
        <v>2525.88</v>
      </c>
      <c r="J1447" s="16">
        <f>IF(HistoricalStockProgress[[#This Row],[No. of Shares]]&lt;&gt;0,HistoricalStockProgress[[#This Row],[Price of Shares]]-HistoricalStockProgress[[#This Row],[Cost of Shares]]/HistoricalStockProgress[[#This Row],[No. of Shares]],0)</f>
        <v>-5.7119564570721941</v>
      </c>
      <c r="K1447" s="17">
        <f>IF(HistoricalStockProgress[[#This Row],[Total Price of Shares]]&lt;&gt;0,HistoricalStockProgress[[#This Row],[Total Price of Shares]]-HistoricalStockProgress[[#This Row],[Cost of Shares]],0)</f>
        <v>-708.28260067695192</v>
      </c>
      <c r="L1447" s="34" t="b" cm="1">
        <f t="array" ref="L1447">IFERROR(IF(HistoricalStockProgress[[#This Row],[Price of Shares]]="",_xlfn.STOCKHISTORY(HistoricalStockProgress[[#This Row],[Full Company Name]],HistoricalStockProgress[[#This Row],[Date]],,2,0,1)),0)</f>
        <v>0</v>
      </c>
      <c r="M1447" s="34">
        <f>YEAR(HistoricalStockProgress[[#This Row],[Date]])</f>
        <v>2023</v>
      </c>
      <c r="N1447" s="34">
        <f>MONTH(HistoricalStockProgress[[#This Row],[Date]])</f>
        <v>1</v>
      </c>
    </row>
    <row r="1448" spans="2:14">
      <c r="B1448" s="15">
        <v>44957</v>
      </c>
      <c r="C1448" s="34" t="s">
        <v>13</v>
      </c>
      <c r="D1448" s="34" t="e" vm="18">
        <f>_xlfn.XLOOKUP(HistoricalStockProgress[[#This Row],[Company Ticker]],CompanyDetailsList[Company Ticker],CompanyDetailsList[Official Name],,0)</f>
        <v>#VALUE!</v>
      </c>
      <c r="E14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4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448" s="17">
        <f>IFERROR(HistoricalStockProgress[[#This Row],[Cost of Shares]]/HistoricalStockProgress[[#This Row],[No. of Shares]],0)</f>
        <v>35.846938938346874</v>
      </c>
      <c r="H1448" s="16" vm="1951">
        <v>44.16</v>
      </c>
      <c r="I1448" s="16">
        <f>IF(HistoricalStockProgress[[#This Row],[No. of Shares]]&lt;&gt;0,HistoricalStockProgress[[#This Row],[Price of Shares]]*HistoricalStockProgress[[#This Row],[No. of Shares]],0)</f>
        <v>2428.7999999999997</v>
      </c>
      <c r="J1448" s="16">
        <f>IF(HistoricalStockProgress[[#This Row],[No. of Shares]]&lt;&gt;0,HistoricalStockProgress[[#This Row],[Price of Shares]]-HistoricalStockProgress[[#This Row],[Cost of Shares]]/HistoricalStockProgress[[#This Row],[No. of Shares]],0)</f>
        <v>8.3130610616531229</v>
      </c>
      <c r="K1448" s="17">
        <f>IF(HistoricalStockProgress[[#This Row],[Total Price of Shares]]&lt;&gt;0,HistoricalStockProgress[[#This Row],[Total Price of Shares]]-HistoricalStockProgress[[#This Row],[Cost of Shares]],0)</f>
        <v>457.21835839092159</v>
      </c>
      <c r="L1448" s="34" t="b" cm="1">
        <f t="array" ref="L1448">IFERROR(IF(HistoricalStockProgress[[#This Row],[Price of Shares]]="",_xlfn.STOCKHISTORY(HistoricalStockProgress[[#This Row],[Full Company Name]],HistoricalStockProgress[[#This Row],[Date]],,2,0,1)),0)</f>
        <v>0</v>
      </c>
      <c r="M1448" s="34">
        <f>YEAR(HistoricalStockProgress[[#This Row],[Date]])</f>
        <v>2023</v>
      </c>
      <c r="N1448" s="34">
        <f>MONTH(HistoricalStockProgress[[#This Row],[Date]])</f>
        <v>1</v>
      </c>
    </row>
    <row r="1449" spans="2:14">
      <c r="B1449" s="15">
        <v>44957</v>
      </c>
      <c r="C1449" s="34" t="s">
        <v>20</v>
      </c>
      <c r="D1449" s="34" t="e" vm="19">
        <f>_xlfn.XLOOKUP(HistoricalStockProgress[[#This Row],[Company Ticker]],CompanyDetailsList[Company Ticker],CompanyDetailsList[Official Name],,0)</f>
        <v>#VALUE!</v>
      </c>
      <c r="E14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93</v>
      </c>
      <c r="F14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9585.7274858109122</v>
      </c>
      <c r="G1449" s="17">
        <f>IFERROR(HistoricalStockProgress[[#This Row],[Cost of Shares]]/HistoricalStockProgress[[#This Row],[No. of Shares]],0)</f>
        <v>103.07233855710658</v>
      </c>
      <c r="H1449" s="16" vm="1952">
        <v>139.96</v>
      </c>
      <c r="I1449" s="16">
        <f>IF(HistoricalStockProgress[[#This Row],[No. of Shares]]&lt;&gt;0,HistoricalStockProgress[[#This Row],[Price of Shares]]*HistoricalStockProgress[[#This Row],[No. of Shares]],0)</f>
        <v>13016.28</v>
      </c>
      <c r="J1449" s="16">
        <f>IF(HistoricalStockProgress[[#This Row],[No. of Shares]]&lt;&gt;0,HistoricalStockProgress[[#This Row],[Price of Shares]]-HistoricalStockProgress[[#This Row],[Cost of Shares]]/HistoricalStockProgress[[#This Row],[No. of Shares]],0)</f>
        <v>36.887661442893432</v>
      </c>
      <c r="K1449" s="17">
        <f>IF(HistoricalStockProgress[[#This Row],[Total Price of Shares]]&lt;&gt;0,HistoricalStockProgress[[#This Row],[Total Price of Shares]]-HistoricalStockProgress[[#This Row],[Cost of Shares]],0)</f>
        <v>3430.5525141890885</v>
      </c>
      <c r="L1449" s="34" t="b" cm="1">
        <f t="array" ref="L1449">IFERROR(IF(HistoricalStockProgress[[#This Row],[Price of Shares]]="",_xlfn.STOCKHISTORY(HistoricalStockProgress[[#This Row],[Full Company Name]],HistoricalStockProgress[[#This Row],[Date]],,2,0,1)),0)</f>
        <v>0</v>
      </c>
      <c r="M1449" s="34">
        <f>YEAR(HistoricalStockProgress[[#This Row],[Date]])</f>
        <v>2023</v>
      </c>
      <c r="N1449" s="34">
        <f>MONTH(HistoricalStockProgress[[#This Row],[Date]])</f>
        <v>1</v>
      </c>
    </row>
    <row r="1450" spans="2:14">
      <c r="B1450" s="15">
        <v>44957</v>
      </c>
      <c r="C1450" s="34" t="s">
        <v>106</v>
      </c>
      <c r="D1450" s="34" t="e" vm="20">
        <f>_xlfn.XLOOKUP(HistoricalStockProgress[[#This Row],[Company Ticker]],CompanyDetailsList[Company Ticker],CompanyDetailsList[Official Name],,0)</f>
        <v>#VALUE!</v>
      </c>
      <c r="E14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4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450" s="17">
        <f>IFERROR(HistoricalStockProgress[[#This Row],[Cost of Shares]]/HistoricalStockProgress[[#This Row],[No. of Shares]],0)</f>
        <v>108.54870748680406</v>
      </c>
      <c r="H1450" s="16" vm="1953">
        <v>130.34</v>
      </c>
      <c r="I1450" s="16">
        <f>IF(HistoricalStockProgress[[#This Row],[No. of Shares]]&lt;&gt;0,HistoricalStockProgress[[#This Row],[Price of Shares]]*HistoricalStockProgress[[#This Row],[No. of Shares]],0)</f>
        <v>11469.92</v>
      </c>
      <c r="J1450" s="16">
        <f>IF(HistoricalStockProgress[[#This Row],[No. of Shares]]&lt;&gt;0,HistoricalStockProgress[[#This Row],[Price of Shares]]-HistoricalStockProgress[[#This Row],[Cost of Shares]]/HistoricalStockProgress[[#This Row],[No. of Shares]],0)</f>
        <v>21.791292513195941</v>
      </c>
      <c r="K1450" s="17">
        <f>IF(HistoricalStockProgress[[#This Row],[Total Price of Shares]]&lt;&gt;0,HistoricalStockProgress[[#This Row],[Total Price of Shares]]-HistoricalStockProgress[[#This Row],[Cost of Shares]],0)</f>
        <v>1917.6337411612421</v>
      </c>
      <c r="L1450" s="34" t="b" cm="1">
        <f t="array" ref="L1450">IFERROR(IF(HistoricalStockProgress[[#This Row],[Price of Shares]]="",_xlfn.STOCKHISTORY(HistoricalStockProgress[[#This Row],[Full Company Name]],HistoricalStockProgress[[#This Row],[Date]],,2,0,1)),0)</f>
        <v>0</v>
      </c>
      <c r="M1450" s="34">
        <f>YEAR(HistoricalStockProgress[[#This Row],[Date]])</f>
        <v>2023</v>
      </c>
      <c r="N1450" s="34">
        <f>MONTH(HistoricalStockProgress[[#This Row],[Date]])</f>
        <v>1</v>
      </c>
    </row>
    <row r="1451" spans="2:14">
      <c r="B1451" s="15">
        <v>44985</v>
      </c>
      <c r="C1451" s="34" t="s">
        <v>12</v>
      </c>
      <c r="D1451" s="34" t="e" vm="1">
        <f>_xlfn.XLOOKUP(HistoricalStockProgress[[#This Row],[Company Ticker]],CompanyDetailsList[Company Ticker],CompanyDetailsList[Official Name],,0)</f>
        <v>#VALUE!</v>
      </c>
      <c r="E14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4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451" s="17">
        <f>IFERROR(HistoricalStockProgress[[#This Row],[Cost of Shares]]/HistoricalStockProgress[[#This Row],[No. of Shares]],0)</f>
        <v>64.573985995316889</v>
      </c>
      <c r="H1451" s="16" vm="1954">
        <v>63.95</v>
      </c>
      <c r="I1451" s="16">
        <f>IF(HistoricalStockProgress[[#This Row],[No. of Shares]]&lt;&gt;0,HistoricalStockProgress[[#This Row],[Price of Shares]]*HistoricalStockProgress[[#This Row],[No. of Shares]],0)</f>
        <v>6203.1500000000005</v>
      </c>
      <c r="J1451" s="16">
        <f>IF(HistoricalStockProgress[[#This Row],[No. of Shares]]&lt;&gt;0,HistoricalStockProgress[[#This Row],[Price of Shares]]-HistoricalStockProgress[[#This Row],[Cost of Shares]]/HistoricalStockProgress[[#This Row],[No. of Shares]],0)</f>
        <v>-0.62398599531688603</v>
      </c>
      <c r="K1451" s="17">
        <f>IF(HistoricalStockProgress[[#This Row],[Total Price of Shares]]&lt;&gt;0,HistoricalStockProgress[[#This Row],[Total Price of Shares]]-HistoricalStockProgress[[#This Row],[Cost of Shares]],0)</f>
        <v>-60.52664154573722</v>
      </c>
      <c r="L1451" s="34" t="b" cm="1">
        <f t="array" ref="L1451">IFERROR(IF(HistoricalStockProgress[[#This Row],[Price of Shares]]="",_xlfn.STOCKHISTORY(HistoricalStockProgress[[#This Row],[Full Company Name]],HistoricalStockProgress[[#This Row],[Date]],,2,0,1)),0)</f>
        <v>0</v>
      </c>
      <c r="M1451" s="34">
        <f>YEAR(HistoricalStockProgress[[#This Row],[Date]])</f>
        <v>2023</v>
      </c>
      <c r="N1451" s="34">
        <f>MONTH(HistoricalStockProgress[[#This Row],[Date]])</f>
        <v>2</v>
      </c>
    </row>
    <row r="1452" spans="2:14">
      <c r="B1452" s="15">
        <v>44985</v>
      </c>
      <c r="C1452" s="34" t="s">
        <v>14</v>
      </c>
      <c r="D1452" s="34" t="e" vm="2">
        <f>_xlfn.XLOOKUP(HistoricalStockProgress[[#This Row],[Company Ticker]],CompanyDetailsList[Company Ticker],CompanyDetailsList[Official Name],,0)</f>
        <v>#VALUE!</v>
      </c>
      <c r="E14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4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452" s="17">
        <f>IFERROR(HistoricalStockProgress[[#This Row],[Cost of Shares]]/HistoricalStockProgress[[#This Row],[No. of Shares]],0)</f>
        <v>31.580112511620161</v>
      </c>
      <c r="H1452" s="16" vm="1955">
        <v>31.41</v>
      </c>
      <c r="I1452" s="16">
        <f>IF(HistoricalStockProgress[[#This Row],[No. of Shares]]&lt;&gt;0,HistoricalStockProgress[[#This Row],[Price of Shares]]*HistoricalStockProgress[[#This Row],[No. of Shares]],0)</f>
        <v>879.48</v>
      </c>
      <c r="J1452" s="16">
        <f>IF(HistoricalStockProgress[[#This Row],[No. of Shares]]&lt;&gt;0,HistoricalStockProgress[[#This Row],[Price of Shares]]-HistoricalStockProgress[[#This Row],[Cost of Shares]]/HistoricalStockProgress[[#This Row],[No. of Shares]],0)</f>
        <v>-0.17011251162016094</v>
      </c>
      <c r="K1452" s="17">
        <f>IF(HistoricalStockProgress[[#This Row],[Total Price of Shares]]&lt;&gt;0,HistoricalStockProgress[[#This Row],[Total Price of Shares]]-HistoricalStockProgress[[#This Row],[Cost of Shares]],0)</f>
        <v>-4.7631503253644496</v>
      </c>
      <c r="L1452" s="34" t="b" cm="1">
        <f t="array" ref="L1452">IFERROR(IF(HistoricalStockProgress[[#This Row],[Price of Shares]]="",_xlfn.STOCKHISTORY(HistoricalStockProgress[[#This Row],[Full Company Name]],HistoricalStockProgress[[#This Row],[Date]],,2,0,1)),0)</f>
        <v>0</v>
      </c>
      <c r="M1452" s="34">
        <f>YEAR(HistoricalStockProgress[[#This Row],[Date]])</f>
        <v>2023</v>
      </c>
      <c r="N1452" s="34">
        <f>MONTH(HistoricalStockProgress[[#This Row],[Date]])</f>
        <v>2</v>
      </c>
    </row>
    <row r="1453" spans="2:14">
      <c r="B1453" s="15">
        <v>44985</v>
      </c>
      <c r="C1453" s="34" t="s">
        <v>19</v>
      </c>
      <c r="D1453" s="34" t="e" vm="3">
        <f>_xlfn.XLOOKUP(HistoricalStockProgress[[#This Row],[Company Ticker]],CompanyDetailsList[Company Ticker],CompanyDetailsList[Official Name],,0)</f>
        <v>#VALUE!</v>
      </c>
      <c r="E14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4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453" s="17">
        <f>IFERROR(HistoricalStockProgress[[#This Row],[Cost of Shares]]/HistoricalStockProgress[[#This Row],[No. of Shares]],0)</f>
        <v>158.45739987816083</v>
      </c>
      <c r="H1453" s="16" vm="1956">
        <v>155.44</v>
      </c>
      <c r="I1453" s="16">
        <f>IF(HistoricalStockProgress[[#This Row],[No. of Shares]]&lt;&gt;0,HistoricalStockProgress[[#This Row],[Price of Shares]]*HistoricalStockProgress[[#This Row],[No. of Shares]],0)</f>
        <v>8860.08</v>
      </c>
      <c r="J1453" s="16">
        <f>IF(HistoricalStockProgress[[#This Row],[No. of Shares]]&lt;&gt;0,HistoricalStockProgress[[#This Row],[Price of Shares]]-HistoricalStockProgress[[#This Row],[Cost of Shares]]/HistoricalStockProgress[[#This Row],[No. of Shares]],0)</f>
        <v>-3.0173998781608304</v>
      </c>
      <c r="K1453" s="17">
        <f>IF(HistoricalStockProgress[[#This Row],[Total Price of Shares]]&lt;&gt;0,HistoricalStockProgress[[#This Row],[Total Price of Shares]]-HistoricalStockProgress[[#This Row],[Cost of Shares]],0)</f>
        <v>-171.99179305516736</v>
      </c>
      <c r="L1453" s="34" t="b" cm="1">
        <f t="array" ref="L1453">IFERROR(IF(HistoricalStockProgress[[#This Row],[Price of Shares]]="",_xlfn.STOCKHISTORY(HistoricalStockProgress[[#This Row],[Full Company Name]],HistoricalStockProgress[[#This Row],[Date]],,2,0,1)),0)</f>
        <v>0</v>
      </c>
      <c r="M1453" s="34">
        <f>YEAR(HistoricalStockProgress[[#This Row],[Date]])</f>
        <v>2023</v>
      </c>
      <c r="N1453" s="34">
        <f>MONTH(HistoricalStockProgress[[#This Row],[Date]])</f>
        <v>2</v>
      </c>
    </row>
    <row r="1454" spans="2:14">
      <c r="B1454" s="15">
        <v>44985</v>
      </c>
      <c r="C1454" s="34" t="s">
        <v>23</v>
      </c>
      <c r="D1454" s="34" t="e" vm="4">
        <f>_xlfn.XLOOKUP(HistoricalStockProgress[[#This Row],[Company Ticker]],CompanyDetailsList[Company Ticker],CompanyDetailsList[Official Name],,0)</f>
        <v>#VALUE!</v>
      </c>
      <c r="E14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85</v>
      </c>
      <c r="F14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4210.4106468589489</v>
      </c>
      <c r="G1454" s="17">
        <f>IFERROR(HistoricalStockProgress[[#This Row],[Cost of Shares]]/HistoricalStockProgress[[#This Row],[No. of Shares]],0)</f>
        <v>49.534242904222928</v>
      </c>
      <c r="H1454" s="16" vm="1957">
        <v>59.51</v>
      </c>
      <c r="I1454" s="16">
        <f>IF(HistoricalStockProgress[[#This Row],[No. of Shares]]&lt;&gt;0,HistoricalStockProgress[[#This Row],[Price of Shares]]*HistoricalStockProgress[[#This Row],[No. of Shares]],0)</f>
        <v>5058.3499999999995</v>
      </c>
      <c r="J1454" s="16">
        <f>IF(HistoricalStockProgress[[#This Row],[No. of Shares]]&lt;&gt;0,HistoricalStockProgress[[#This Row],[Price of Shares]]-HistoricalStockProgress[[#This Row],[Cost of Shares]]/HistoricalStockProgress[[#This Row],[No. of Shares]],0)</f>
        <v>9.9757570957770696</v>
      </c>
      <c r="K1454" s="17">
        <f>IF(HistoricalStockProgress[[#This Row],[Total Price of Shares]]&lt;&gt;0,HistoricalStockProgress[[#This Row],[Total Price of Shares]]-HistoricalStockProgress[[#This Row],[Cost of Shares]],0)</f>
        <v>847.93935314105056</v>
      </c>
      <c r="L1454" s="34" t="b" cm="1">
        <f t="array" ref="L1454">IFERROR(IF(HistoricalStockProgress[[#This Row],[Price of Shares]]="",_xlfn.STOCKHISTORY(HistoricalStockProgress[[#This Row],[Full Company Name]],HistoricalStockProgress[[#This Row],[Date]],,2,0,1)),0)</f>
        <v>0</v>
      </c>
      <c r="M1454" s="34">
        <f>YEAR(HistoricalStockProgress[[#This Row],[Date]])</f>
        <v>2023</v>
      </c>
      <c r="N1454" s="34">
        <f>MONTH(HistoricalStockProgress[[#This Row],[Date]])</f>
        <v>2</v>
      </c>
    </row>
    <row r="1455" spans="2:14">
      <c r="B1455" s="15">
        <v>44985</v>
      </c>
      <c r="C1455" s="34" t="s">
        <v>18</v>
      </c>
      <c r="D1455" s="34" t="e" vm="5">
        <f>_xlfn.XLOOKUP(HistoricalStockProgress[[#This Row],[Company Ticker]],CompanyDetailsList[Company Ticker],CompanyDetailsList[Official Name],,0)</f>
        <v>#VALUE!</v>
      </c>
      <c r="E14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4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455" s="17">
        <f>IFERROR(HistoricalStockProgress[[#This Row],[Cost of Shares]]/HistoricalStockProgress[[#This Row],[No. of Shares]],0)</f>
        <v>160.8859607546234</v>
      </c>
      <c r="H1455" s="16" vm="1958">
        <v>173.53</v>
      </c>
      <c r="I1455" s="16">
        <f>IF(HistoricalStockProgress[[#This Row],[No. of Shares]]&lt;&gt;0,HistoricalStockProgress[[#This Row],[Price of Shares]]*HistoricalStockProgress[[#This Row],[No. of Shares]],0)</f>
        <v>7461.79</v>
      </c>
      <c r="J1455" s="16">
        <f>IF(HistoricalStockProgress[[#This Row],[No. of Shares]]&lt;&gt;0,HistoricalStockProgress[[#This Row],[Price of Shares]]-HistoricalStockProgress[[#This Row],[Cost of Shares]]/HistoricalStockProgress[[#This Row],[No. of Shares]],0)</f>
        <v>12.644039245376604</v>
      </c>
      <c r="K1455" s="17">
        <f>IF(HistoricalStockProgress[[#This Row],[Total Price of Shares]]&lt;&gt;0,HistoricalStockProgress[[#This Row],[Total Price of Shares]]-HistoricalStockProgress[[#This Row],[Cost of Shares]],0)</f>
        <v>543.69368755119376</v>
      </c>
      <c r="L1455" s="34" t="b" cm="1">
        <f t="array" ref="L1455">IFERROR(IF(HistoricalStockProgress[[#This Row],[Price of Shares]]="",_xlfn.STOCKHISTORY(HistoricalStockProgress[[#This Row],[Full Company Name]],HistoricalStockProgress[[#This Row],[Date]],,2,0,1)),0)</f>
        <v>0</v>
      </c>
      <c r="M1455" s="34">
        <f>YEAR(HistoricalStockProgress[[#This Row],[Date]])</f>
        <v>2023</v>
      </c>
      <c r="N1455" s="34">
        <f>MONTH(HistoricalStockProgress[[#This Row],[Date]])</f>
        <v>2</v>
      </c>
    </row>
    <row r="1456" spans="2:14">
      <c r="B1456" s="15">
        <v>44985</v>
      </c>
      <c r="C1456" s="34" t="s">
        <v>21</v>
      </c>
      <c r="D1456" s="34" t="e" vm="6">
        <f>_xlfn.XLOOKUP(HistoricalStockProgress[[#This Row],[Company Ticker]],CompanyDetailsList[Company Ticker],CompanyDetailsList[Official Name],,0)</f>
        <v>#VALUE!</v>
      </c>
      <c r="E14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4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456" s="17">
        <f>IFERROR(HistoricalStockProgress[[#This Row],[Cost of Shares]]/HistoricalStockProgress[[#This Row],[No. of Shares]],0)</f>
        <v>139.68700010204148</v>
      </c>
      <c r="H1456" s="16" vm="1959">
        <v>137.56</v>
      </c>
      <c r="I1456" s="16">
        <f>IF(HistoricalStockProgress[[#This Row],[No. of Shares]]&lt;&gt;0,HistoricalStockProgress[[#This Row],[Price of Shares]]*HistoricalStockProgress[[#This Row],[No. of Shares]],0)</f>
        <v>5777.52</v>
      </c>
      <c r="J1456" s="16">
        <f>IF(HistoricalStockProgress[[#This Row],[No. of Shares]]&lt;&gt;0,HistoricalStockProgress[[#This Row],[Price of Shares]]-HistoricalStockProgress[[#This Row],[Cost of Shares]]/HistoricalStockProgress[[#This Row],[No. of Shares]],0)</f>
        <v>-2.1270001020414782</v>
      </c>
      <c r="K1456" s="17">
        <f>IF(HistoricalStockProgress[[#This Row],[Total Price of Shares]]&lt;&gt;0,HistoricalStockProgress[[#This Row],[Total Price of Shares]]-HistoricalStockProgress[[#This Row],[Cost of Shares]],0)</f>
        <v>-89.334004285741685</v>
      </c>
      <c r="L1456" s="34" t="b" cm="1">
        <f t="array" ref="L1456">IFERROR(IF(HistoricalStockProgress[[#This Row],[Price of Shares]]="",_xlfn.STOCKHISTORY(HistoricalStockProgress[[#This Row],[Full Company Name]],HistoricalStockProgress[[#This Row],[Date]],,2,0,1)),0)</f>
        <v>0</v>
      </c>
      <c r="M1456" s="34">
        <f>YEAR(HistoricalStockProgress[[#This Row],[Date]])</f>
        <v>2023</v>
      </c>
      <c r="N1456" s="34">
        <f>MONTH(HistoricalStockProgress[[#This Row],[Date]])</f>
        <v>2</v>
      </c>
    </row>
    <row r="1457" spans="2:14">
      <c r="B1457" s="15">
        <v>44985</v>
      </c>
      <c r="C1457" s="34" t="s">
        <v>84</v>
      </c>
      <c r="D1457" s="34" t="e" vm="7">
        <f>_xlfn.XLOOKUP(HistoricalStockProgress[[#This Row],[Company Ticker]],CompanyDetailsList[Company Ticker],CompanyDetailsList[Official Name],,0)</f>
        <v>#VALUE!</v>
      </c>
      <c r="E14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4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457" s="17">
        <f>IFERROR(HistoricalStockProgress[[#This Row],[Cost of Shares]]/HistoricalStockProgress[[#This Row],[No. of Shares]],0)</f>
        <v>104.18087504950869</v>
      </c>
      <c r="H1457" s="16" vm="1960">
        <v>153.26</v>
      </c>
      <c r="I1457" s="16">
        <f>IF(HistoricalStockProgress[[#This Row],[No. of Shares]]&lt;&gt;0,HistoricalStockProgress[[#This Row],[Price of Shares]]*HistoricalStockProgress[[#This Row],[No. of Shares]],0)</f>
        <v>7816.2599999999993</v>
      </c>
      <c r="J1457" s="16">
        <f>IF(HistoricalStockProgress[[#This Row],[No. of Shares]]&lt;&gt;0,HistoricalStockProgress[[#This Row],[Price of Shares]]-HistoricalStockProgress[[#This Row],[Cost of Shares]]/HistoricalStockProgress[[#This Row],[No. of Shares]],0)</f>
        <v>49.079124950491305</v>
      </c>
      <c r="K1457" s="17">
        <f>IF(HistoricalStockProgress[[#This Row],[Total Price of Shares]]&lt;&gt;0,HistoricalStockProgress[[#This Row],[Total Price of Shares]]-HistoricalStockProgress[[#This Row],[Cost of Shares]],0)</f>
        <v>2503.0353724750566</v>
      </c>
      <c r="L1457" s="34" t="b" cm="1">
        <f t="array" ref="L1457">IFERROR(IF(HistoricalStockProgress[[#This Row],[Price of Shares]]="",_xlfn.STOCKHISTORY(HistoricalStockProgress[[#This Row],[Full Company Name]],HistoricalStockProgress[[#This Row],[Date]],,2,0,1)),0)</f>
        <v>0</v>
      </c>
      <c r="M1457" s="34">
        <f>YEAR(HistoricalStockProgress[[#This Row],[Date]])</f>
        <v>2023</v>
      </c>
      <c r="N1457" s="34">
        <f>MONTH(HistoricalStockProgress[[#This Row],[Date]])</f>
        <v>2</v>
      </c>
    </row>
    <row r="1458" spans="2:14">
      <c r="B1458" s="15">
        <v>44985</v>
      </c>
      <c r="C1458" s="34" t="s">
        <v>86</v>
      </c>
      <c r="D1458" s="34" t="e" vm="8">
        <f>_xlfn.XLOOKUP(HistoricalStockProgress[[#This Row],[Company Ticker]],CompanyDetailsList[Company Ticker],CompanyDetailsList[Official Name],,0)</f>
        <v>#VALUE!</v>
      </c>
      <c r="E14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4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458" s="17">
        <f>IFERROR(HistoricalStockProgress[[#This Row],[Cost of Shares]]/HistoricalStockProgress[[#This Row],[No. of Shares]],0)</f>
        <v>92.636161128673535</v>
      </c>
      <c r="H1458" s="16" vm="1961">
        <v>153.9</v>
      </c>
      <c r="I1458" s="16">
        <f>IF(HistoricalStockProgress[[#This Row],[No. of Shares]]&lt;&gt;0,HistoricalStockProgress[[#This Row],[Price of Shares]]*HistoricalStockProgress[[#This Row],[No. of Shares]],0)</f>
        <v>17544.600000000002</v>
      </c>
      <c r="J1458" s="16">
        <f>IF(HistoricalStockProgress[[#This Row],[No. of Shares]]&lt;&gt;0,HistoricalStockProgress[[#This Row],[Price of Shares]]-HistoricalStockProgress[[#This Row],[Cost of Shares]]/HistoricalStockProgress[[#This Row],[No. of Shares]],0)</f>
        <v>61.26383887132647</v>
      </c>
      <c r="K1458" s="17">
        <f>IF(HistoricalStockProgress[[#This Row],[Total Price of Shares]]&lt;&gt;0,HistoricalStockProgress[[#This Row],[Total Price of Shares]]-HistoricalStockProgress[[#This Row],[Cost of Shares]],0)</f>
        <v>6984.0776313312199</v>
      </c>
      <c r="L1458" s="34" t="b" cm="1">
        <f t="array" ref="L1458">IFERROR(IF(HistoricalStockProgress[[#This Row],[Price of Shares]]="",_xlfn.STOCKHISTORY(HistoricalStockProgress[[#This Row],[Full Company Name]],HistoricalStockProgress[[#This Row],[Date]],,2,0,1)),0)</f>
        <v>0</v>
      </c>
      <c r="M1458" s="34">
        <f>YEAR(HistoricalStockProgress[[#This Row],[Date]])</f>
        <v>2023</v>
      </c>
      <c r="N1458" s="34">
        <f>MONTH(HistoricalStockProgress[[#This Row],[Date]])</f>
        <v>2</v>
      </c>
    </row>
    <row r="1459" spans="2:14">
      <c r="B1459" s="15">
        <v>44985</v>
      </c>
      <c r="C1459" s="34" t="s">
        <v>88</v>
      </c>
      <c r="D1459" s="34" t="e" vm="9">
        <f>_xlfn.XLOOKUP(HistoricalStockProgress[[#This Row],[Company Ticker]],CompanyDetailsList[Company Ticker],CompanyDetailsList[Official Name],,0)</f>
        <v>#VALUE!</v>
      </c>
      <c r="E14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4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459" s="17">
        <f>IFERROR(HistoricalStockProgress[[#This Row],[Cost of Shares]]/HistoricalStockProgress[[#This Row],[No. of Shares]],0)</f>
        <v>187.727755253422</v>
      </c>
      <c r="H1459" s="16" vm="1962">
        <v>263.91000000000003</v>
      </c>
      <c r="I1459" s="16">
        <f>IF(HistoricalStockProgress[[#This Row],[No. of Shares]]&lt;&gt;0,HistoricalStockProgress[[#This Row],[Price of Shares]]*HistoricalStockProgress[[#This Row],[No. of Shares]],0)</f>
        <v>15570.690000000002</v>
      </c>
      <c r="J1459" s="16">
        <f>IF(HistoricalStockProgress[[#This Row],[No. of Shares]]&lt;&gt;0,HistoricalStockProgress[[#This Row],[Price of Shares]]-HistoricalStockProgress[[#This Row],[Cost of Shares]]/HistoricalStockProgress[[#This Row],[No. of Shares]],0)</f>
        <v>76.182244746578021</v>
      </c>
      <c r="K1459" s="17">
        <f>IF(HistoricalStockProgress[[#This Row],[Total Price of Shares]]&lt;&gt;0,HistoricalStockProgress[[#This Row],[Total Price of Shares]]-HistoricalStockProgress[[#This Row],[Cost of Shares]],0)</f>
        <v>4494.7524400481034</v>
      </c>
      <c r="L1459" s="34" t="b" cm="1">
        <f t="array" ref="L1459">IFERROR(IF(HistoricalStockProgress[[#This Row],[Price of Shares]]="",_xlfn.STOCKHISTORY(HistoricalStockProgress[[#This Row],[Full Company Name]],HistoricalStockProgress[[#This Row],[Date]],,2,0,1)),0)</f>
        <v>0</v>
      </c>
      <c r="M1459" s="34">
        <f>YEAR(HistoricalStockProgress[[#This Row],[Date]])</f>
        <v>2023</v>
      </c>
      <c r="N1459" s="34">
        <f>MONTH(HistoricalStockProgress[[#This Row],[Date]])</f>
        <v>2</v>
      </c>
    </row>
    <row r="1460" spans="2:14">
      <c r="B1460" s="15">
        <v>44985</v>
      </c>
      <c r="C1460" s="34" t="s">
        <v>22</v>
      </c>
      <c r="D1460" s="34" t="e" vm="10">
        <f>_xlfn.XLOOKUP(HistoricalStockProgress[[#This Row],[Company Ticker]],CompanyDetailsList[Company Ticker],CompanyDetailsList[Official Name],,0)</f>
        <v>#VALUE!</v>
      </c>
      <c r="E14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4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460" s="17">
        <f>IFERROR(HistoricalStockProgress[[#This Row],[Cost of Shares]]/HistoricalStockProgress[[#This Row],[No. of Shares]],0)</f>
        <v>130.19784136724968</v>
      </c>
      <c r="H1460" s="16" vm="1963">
        <v>239.55</v>
      </c>
      <c r="I1460" s="16">
        <f>IF(HistoricalStockProgress[[#This Row],[No. of Shares]]&lt;&gt;0,HistoricalStockProgress[[#This Row],[Price of Shares]]*HistoricalStockProgress[[#This Row],[No. of Shares]],0)</f>
        <v>28506.45</v>
      </c>
      <c r="J1460" s="16">
        <f>IF(HistoricalStockProgress[[#This Row],[No. of Shares]]&lt;&gt;0,HistoricalStockProgress[[#This Row],[Price of Shares]]-HistoricalStockProgress[[#This Row],[Cost of Shares]]/HistoricalStockProgress[[#This Row],[No. of Shares]],0)</f>
        <v>109.35215863275033</v>
      </c>
      <c r="K1460" s="17">
        <f>IF(HistoricalStockProgress[[#This Row],[Total Price of Shares]]&lt;&gt;0,HistoricalStockProgress[[#This Row],[Total Price of Shares]]-HistoricalStockProgress[[#This Row],[Cost of Shares]],0)</f>
        <v>13012.906877297288</v>
      </c>
      <c r="L1460" s="34" t="b" cm="1">
        <f t="array" ref="L1460">IFERROR(IF(HistoricalStockProgress[[#This Row],[Price of Shares]]="",_xlfn.STOCKHISTORY(HistoricalStockProgress[[#This Row],[Full Company Name]],HistoricalStockProgress[[#This Row],[Date]],,2,0,1)),0)</f>
        <v>0</v>
      </c>
      <c r="M1460" s="34">
        <f>YEAR(HistoricalStockProgress[[#This Row],[Date]])</f>
        <v>2023</v>
      </c>
      <c r="N1460" s="34">
        <f>MONTH(HistoricalStockProgress[[#This Row],[Date]])</f>
        <v>2</v>
      </c>
    </row>
    <row r="1461" spans="2:14">
      <c r="B1461" s="15">
        <v>44985</v>
      </c>
      <c r="C1461" s="34" t="s">
        <v>91</v>
      </c>
      <c r="D1461" s="34" t="e" vm="11">
        <f>_xlfn.XLOOKUP(HistoricalStockProgress[[#This Row],[Company Ticker]],CompanyDetailsList[Company Ticker],CompanyDetailsList[Official Name],,0)</f>
        <v>#VALUE!</v>
      </c>
      <c r="E14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176</v>
      </c>
      <c r="F14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22591.11028368511</v>
      </c>
      <c r="G1461" s="17">
        <f>IFERROR(HistoricalStockProgress[[#This Row],[Cost of Shares]]/HistoricalStockProgress[[#This Row],[No. of Shares]],0)</f>
        <v>128.35858115730176</v>
      </c>
      <c r="H1461" s="16" vm="1964">
        <v>249.42</v>
      </c>
      <c r="I1461" s="16">
        <f>IF(HistoricalStockProgress[[#This Row],[No. of Shares]]&lt;&gt;0,HistoricalStockProgress[[#This Row],[Price of Shares]]*HistoricalStockProgress[[#This Row],[No. of Shares]],0)</f>
        <v>43897.919999999998</v>
      </c>
      <c r="J1461" s="16">
        <f>IF(HistoricalStockProgress[[#This Row],[No. of Shares]]&lt;&gt;0,HistoricalStockProgress[[#This Row],[Price of Shares]]-HistoricalStockProgress[[#This Row],[Cost of Shares]]/HistoricalStockProgress[[#This Row],[No. of Shares]],0)</f>
        <v>121.06141884269823</v>
      </c>
      <c r="K1461" s="17">
        <f>IF(HistoricalStockProgress[[#This Row],[Total Price of Shares]]&lt;&gt;0,HistoricalStockProgress[[#This Row],[Total Price of Shares]]-HistoricalStockProgress[[#This Row],[Cost of Shares]],0)</f>
        <v>21306.809716314889</v>
      </c>
      <c r="L1461" s="34" t="b" cm="1">
        <f t="array" ref="L1461">IFERROR(IF(HistoricalStockProgress[[#This Row],[Price of Shares]]="",_xlfn.STOCKHISTORY(HistoricalStockProgress[[#This Row],[Full Company Name]],HistoricalStockProgress[[#This Row],[Date]],,2,0,1)),0)</f>
        <v>0</v>
      </c>
      <c r="M1461" s="34">
        <f>YEAR(HistoricalStockProgress[[#This Row],[Date]])</f>
        <v>2023</v>
      </c>
      <c r="N1461" s="34">
        <f>MONTH(HistoricalStockProgress[[#This Row],[Date]])</f>
        <v>2</v>
      </c>
    </row>
    <row r="1462" spans="2:14">
      <c r="B1462" s="15">
        <v>44985</v>
      </c>
      <c r="C1462" s="34" t="s">
        <v>16</v>
      </c>
      <c r="D1462" s="34" t="e" vm="12">
        <f>_xlfn.XLOOKUP(HistoricalStockProgress[[#This Row],[Company Ticker]],CompanyDetailsList[Company Ticker],CompanyDetailsList[Official Name],,0)</f>
        <v>#VALUE!</v>
      </c>
      <c r="E14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4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462" s="17">
        <f>IFERROR(HistoricalStockProgress[[#This Row],[Cost of Shares]]/HistoricalStockProgress[[#This Row],[No. of Shares]],0)</f>
        <v>75.117698177311837</v>
      </c>
      <c r="H1462" s="16" vm="1965">
        <v>109.91</v>
      </c>
      <c r="I1462" s="16">
        <f>IF(HistoricalStockProgress[[#This Row],[No. of Shares]]&lt;&gt;0,HistoricalStockProgress[[#This Row],[Price of Shares]]*HistoricalStockProgress[[#This Row],[No. of Shares]],0)</f>
        <v>20333.349999999999</v>
      </c>
      <c r="J1462" s="16">
        <f>IF(HistoricalStockProgress[[#This Row],[No. of Shares]]&lt;&gt;0,HistoricalStockProgress[[#This Row],[Price of Shares]]-HistoricalStockProgress[[#This Row],[Cost of Shares]]/HistoricalStockProgress[[#This Row],[No. of Shares]],0)</f>
        <v>34.79230182268816</v>
      </c>
      <c r="K1462" s="17">
        <f>IF(HistoricalStockProgress[[#This Row],[Total Price of Shares]]&lt;&gt;0,HistoricalStockProgress[[#This Row],[Total Price of Shares]]-HistoricalStockProgress[[#This Row],[Cost of Shares]],0)</f>
        <v>6436.5758371973097</v>
      </c>
      <c r="L1462" s="34" t="b" cm="1">
        <f t="array" ref="L1462">IFERROR(IF(HistoricalStockProgress[[#This Row],[Price of Shares]]="",_xlfn.STOCKHISTORY(HistoricalStockProgress[[#This Row],[Full Company Name]],HistoricalStockProgress[[#This Row],[Date]],,2,0,1)),0)</f>
        <v>0</v>
      </c>
      <c r="M1462" s="34">
        <f>YEAR(HistoricalStockProgress[[#This Row],[Date]])</f>
        <v>2023</v>
      </c>
      <c r="N1462" s="34">
        <f>MONTH(HistoricalStockProgress[[#This Row],[Date]])</f>
        <v>2</v>
      </c>
    </row>
    <row r="1463" spans="2:14">
      <c r="B1463" s="15">
        <v>44985</v>
      </c>
      <c r="C1463" s="34" t="s">
        <v>95</v>
      </c>
      <c r="D1463" s="34" t="e" vm="13">
        <f>_xlfn.XLOOKUP(HistoricalStockProgress[[#This Row],[Company Ticker]],CompanyDetailsList[Company Ticker],CompanyDetailsList[Official Name],,0)</f>
        <v>#VALUE!</v>
      </c>
      <c r="E14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14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26060.016778018562</v>
      </c>
      <c r="G1463" s="17">
        <f>IFERROR(HistoricalStockProgress[[#This Row],[Cost of Shares]]/HistoricalStockProgress[[#This Row],[No. of Shares]],0)</f>
        <v>234.77492592809514</v>
      </c>
      <c r="H1463" s="16" vm="1966">
        <v>296.54000000000002</v>
      </c>
      <c r="I1463" s="16">
        <f>IF(HistoricalStockProgress[[#This Row],[No. of Shares]]&lt;&gt;0,HistoricalStockProgress[[#This Row],[Price of Shares]]*HistoricalStockProgress[[#This Row],[No. of Shares]],0)</f>
        <v>32915.94</v>
      </c>
      <c r="J1463" s="16">
        <f>IF(HistoricalStockProgress[[#This Row],[No. of Shares]]&lt;&gt;0,HistoricalStockProgress[[#This Row],[Price of Shares]]-HistoricalStockProgress[[#This Row],[Cost of Shares]]/HistoricalStockProgress[[#This Row],[No. of Shares]],0)</f>
        <v>61.765074071904877</v>
      </c>
      <c r="K1463" s="17">
        <f>IF(HistoricalStockProgress[[#This Row],[Total Price of Shares]]&lt;&gt;0,HistoricalStockProgress[[#This Row],[Total Price of Shares]]-HistoricalStockProgress[[#This Row],[Cost of Shares]],0)</f>
        <v>6855.9232219814403</v>
      </c>
      <c r="L1463" s="34" t="b" cm="1">
        <f t="array" ref="L1463">IFERROR(IF(HistoricalStockProgress[[#This Row],[Price of Shares]]="",_xlfn.STOCKHISTORY(HistoricalStockProgress[[#This Row],[Full Company Name]],HistoricalStockProgress[[#This Row],[Date]],,2,0,1)),0)</f>
        <v>0</v>
      </c>
      <c r="M1463" s="34">
        <f>YEAR(HistoricalStockProgress[[#This Row],[Date]])</f>
        <v>2023</v>
      </c>
      <c r="N1463" s="34">
        <f>MONTH(HistoricalStockProgress[[#This Row],[Date]])</f>
        <v>2</v>
      </c>
    </row>
    <row r="1464" spans="2:14">
      <c r="B1464" s="15">
        <v>44985</v>
      </c>
      <c r="C1464" s="34" t="s">
        <v>17</v>
      </c>
      <c r="D1464" s="34" t="e" vm="14">
        <f>_xlfn.XLOOKUP(HistoricalStockProgress[[#This Row],[Company Ticker]],CompanyDetailsList[Company Ticker],CompanyDetailsList[Official Name],,0)</f>
        <v>#VALUE!</v>
      </c>
      <c r="E14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4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26400.485099161626</v>
      </c>
      <c r="G1464" s="17">
        <f>IFERROR(HistoricalStockProgress[[#This Row],[Cost of Shares]]/HistoricalStockProgress[[#This Row],[No. of Shares]],0)</f>
        <v>136.08497473794654</v>
      </c>
      <c r="H1464" s="16" vm="1967">
        <v>129.30000000000001</v>
      </c>
      <c r="I1464" s="16">
        <f>IF(HistoricalStockProgress[[#This Row],[No. of Shares]]&lt;&gt;0,HistoricalStockProgress[[#This Row],[Price of Shares]]*HistoricalStockProgress[[#This Row],[No. of Shares]],0)</f>
        <v>25084.2</v>
      </c>
      <c r="J1464" s="16">
        <f>IF(HistoricalStockProgress[[#This Row],[No. of Shares]]&lt;&gt;0,HistoricalStockProgress[[#This Row],[Price of Shares]]-HistoricalStockProgress[[#This Row],[Cost of Shares]]/HistoricalStockProgress[[#This Row],[No. of Shares]],0)</f>
        <v>-6.7849747379465271</v>
      </c>
      <c r="K1464" s="17">
        <f>IF(HistoricalStockProgress[[#This Row],[Total Price of Shares]]&lt;&gt;0,HistoricalStockProgress[[#This Row],[Total Price of Shares]]-HistoricalStockProgress[[#This Row],[Cost of Shares]],0)</f>
        <v>-1316.2850991616251</v>
      </c>
      <c r="L1464" s="34" t="b" cm="1">
        <f t="array" ref="L1464">IFERROR(IF(HistoricalStockProgress[[#This Row],[Price of Shares]]="",_xlfn.STOCKHISTORY(HistoricalStockProgress[[#This Row],[Full Company Name]],HistoricalStockProgress[[#This Row],[Date]],,2,0,1)),0)</f>
        <v>0</v>
      </c>
      <c r="M1464" s="34">
        <f>YEAR(HistoricalStockProgress[[#This Row],[Date]])</f>
        <v>2023</v>
      </c>
      <c r="N1464" s="34">
        <f>MONTH(HistoricalStockProgress[[#This Row],[Date]])</f>
        <v>2</v>
      </c>
    </row>
    <row r="1465" spans="2:14">
      <c r="B1465" s="15">
        <v>44985</v>
      </c>
      <c r="C1465" s="34" t="s">
        <v>98</v>
      </c>
      <c r="D1465" s="34" t="e" vm="15">
        <f>_xlfn.XLOOKUP(HistoricalStockProgress[[#This Row],[Company Ticker]],CompanyDetailsList[Company Ticker],CompanyDetailsList[Official Name],,0)</f>
        <v>#VALUE!</v>
      </c>
      <c r="E14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4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6407.714421697975</v>
      </c>
      <c r="G1465" s="17">
        <f>IFERROR(HistoricalStockProgress[[#This Row],[Cost of Shares]]/HistoricalStockProgress[[#This Row],[No. of Shares]],0)</f>
        <v>53.846339678134242</v>
      </c>
      <c r="H1465" s="16" vm="1968">
        <v>71.03</v>
      </c>
      <c r="I1465" s="16">
        <f>IF(HistoricalStockProgress[[#This Row],[No. of Shares]]&lt;&gt;0,HistoricalStockProgress[[#This Row],[Price of Shares]]*HistoricalStockProgress[[#This Row],[No. of Shares]],0)</f>
        <v>8452.57</v>
      </c>
      <c r="J1465" s="16">
        <f>IF(HistoricalStockProgress[[#This Row],[No. of Shares]]&lt;&gt;0,HistoricalStockProgress[[#This Row],[Price of Shares]]-HistoricalStockProgress[[#This Row],[Cost of Shares]]/HistoricalStockProgress[[#This Row],[No. of Shares]],0)</f>
        <v>17.183660321865759</v>
      </c>
      <c r="K1465" s="17">
        <f>IF(HistoricalStockProgress[[#This Row],[Total Price of Shares]]&lt;&gt;0,HistoricalStockProgress[[#This Row],[Total Price of Shares]]-HistoricalStockProgress[[#This Row],[Cost of Shares]],0)</f>
        <v>2044.8555783020247</v>
      </c>
      <c r="L1465" s="34" t="b" cm="1">
        <f t="array" ref="L1465">IFERROR(IF(HistoricalStockProgress[[#This Row],[Price of Shares]]="",_xlfn.STOCKHISTORY(HistoricalStockProgress[[#This Row],[Full Company Name]],HistoricalStockProgress[[#This Row],[Date]],,2,0,1)),0)</f>
        <v>0</v>
      </c>
      <c r="M1465" s="34">
        <f>YEAR(HistoricalStockProgress[[#This Row],[Date]])</f>
        <v>2023</v>
      </c>
      <c r="N1465" s="34">
        <f>MONTH(HistoricalStockProgress[[#This Row],[Date]])</f>
        <v>2</v>
      </c>
    </row>
    <row r="1466" spans="2:14">
      <c r="B1466" s="15">
        <v>44985</v>
      </c>
      <c r="C1466" s="34" t="s">
        <v>100</v>
      </c>
      <c r="D1466" s="34" t="e" vm="16">
        <f>_xlfn.XLOOKUP(HistoricalStockProgress[[#This Row],[Company Ticker]],CompanyDetailsList[Company Ticker],CompanyDetailsList[Official Name],,0)</f>
        <v>#VALUE!</v>
      </c>
      <c r="E14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4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17699.078573130391</v>
      </c>
      <c r="G1466" s="17">
        <f>IFERROR(HistoricalStockProgress[[#This Row],[Cost of Shares]]/HistoricalStockProgress[[#This Row],[No. of Shares]],0)</f>
        <v>91.232363779022634</v>
      </c>
      <c r="H1466" s="16" vm="1216">
        <v>94.26</v>
      </c>
      <c r="I1466" s="16">
        <f>IF(HistoricalStockProgress[[#This Row],[No. of Shares]]&lt;&gt;0,HistoricalStockProgress[[#This Row],[Price of Shares]]*HistoricalStockProgress[[#This Row],[No. of Shares]],0)</f>
        <v>18286.440000000002</v>
      </c>
      <c r="J1466" s="16">
        <f>IF(HistoricalStockProgress[[#This Row],[No. of Shares]]&lt;&gt;0,HistoricalStockProgress[[#This Row],[Price of Shares]]-HistoricalStockProgress[[#This Row],[Cost of Shares]]/HistoricalStockProgress[[#This Row],[No. of Shares]],0)</f>
        <v>3.0276362209773708</v>
      </c>
      <c r="K1466" s="17">
        <f>IF(HistoricalStockProgress[[#This Row],[Total Price of Shares]]&lt;&gt;0,HistoricalStockProgress[[#This Row],[Total Price of Shares]]-HistoricalStockProgress[[#This Row],[Cost of Shares]],0)</f>
        <v>587.36142686961102</v>
      </c>
      <c r="L1466" s="34" t="b" cm="1">
        <f t="array" ref="L1466">IFERROR(IF(HistoricalStockProgress[[#This Row],[Price of Shares]]="",_xlfn.STOCKHISTORY(HistoricalStockProgress[[#This Row],[Full Company Name]],HistoricalStockProgress[[#This Row],[Date]],,2,0,1)),0)</f>
        <v>0</v>
      </c>
      <c r="M1466" s="34">
        <f>YEAR(HistoricalStockProgress[[#This Row],[Date]])</f>
        <v>2023</v>
      </c>
      <c r="N1466" s="34">
        <f>MONTH(HistoricalStockProgress[[#This Row],[Date]])</f>
        <v>2</v>
      </c>
    </row>
    <row r="1467" spans="2:14">
      <c r="B1467" s="15">
        <v>44985</v>
      </c>
      <c r="C1467" s="34" t="s">
        <v>15</v>
      </c>
      <c r="D1467" s="34" t="e" vm="17">
        <f>_xlfn.XLOOKUP(HistoricalStockProgress[[#This Row],[Company Ticker]],CompanyDetailsList[Company Ticker],CompanyDetailsList[Official Name],,0)</f>
        <v>#VALUE!</v>
      </c>
      <c r="E14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4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467" s="17">
        <f>IFERROR(HistoricalStockProgress[[#This Row],[Cost of Shares]]/HistoricalStockProgress[[#This Row],[No. of Shares]],0)</f>
        <v>26.081956457072195</v>
      </c>
      <c r="H1467" s="16" vm="1969">
        <v>18.91</v>
      </c>
      <c r="I1467" s="16">
        <f>IF(HistoricalStockProgress[[#This Row],[No. of Shares]]&lt;&gt;0,HistoricalStockProgress[[#This Row],[Price of Shares]]*HistoricalStockProgress[[#This Row],[No. of Shares]],0)</f>
        <v>2344.84</v>
      </c>
      <c r="J1467" s="16">
        <f>IF(HistoricalStockProgress[[#This Row],[No. of Shares]]&lt;&gt;0,HistoricalStockProgress[[#This Row],[Price of Shares]]-HistoricalStockProgress[[#This Row],[Cost of Shares]]/HistoricalStockProgress[[#This Row],[No. of Shares]],0)</f>
        <v>-7.171956457072195</v>
      </c>
      <c r="K1467" s="17">
        <f>IF(HistoricalStockProgress[[#This Row],[Total Price of Shares]]&lt;&gt;0,HistoricalStockProgress[[#This Row],[Total Price of Shares]]-HistoricalStockProgress[[#This Row],[Cost of Shares]],0)</f>
        <v>-889.32260067695188</v>
      </c>
      <c r="L1467" s="34" t="b" cm="1">
        <f t="array" ref="L1467">IFERROR(IF(HistoricalStockProgress[[#This Row],[Price of Shares]]="",_xlfn.STOCKHISTORY(HistoricalStockProgress[[#This Row],[Full Company Name]],HistoricalStockProgress[[#This Row],[Date]],,2,0,1)),0)</f>
        <v>0</v>
      </c>
      <c r="M1467" s="34">
        <f>YEAR(HistoricalStockProgress[[#This Row],[Date]])</f>
        <v>2023</v>
      </c>
      <c r="N1467" s="34">
        <f>MONTH(HistoricalStockProgress[[#This Row],[Date]])</f>
        <v>2</v>
      </c>
    </row>
    <row r="1468" spans="2:14">
      <c r="B1468" s="15">
        <v>44985</v>
      </c>
      <c r="C1468" s="34" t="s">
        <v>13</v>
      </c>
      <c r="D1468" s="34" t="e" vm="18">
        <f>_xlfn.XLOOKUP(HistoricalStockProgress[[#This Row],[Company Ticker]],CompanyDetailsList[Company Ticker],CompanyDetailsList[Official Name],,0)</f>
        <v>#VALUE!</v>
      </c>
      <c r="E14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4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468" s="17">
        <f>IFERROR(HistoricalStockProgress[[#This Row],[Cost of Shares]]/HistoricalStockProgress[[#This Row],[No. of Shares]],0)</f>
        <v>35.846938938346874</v>
      </c>
      <c r="H1468" s="16" vm="1970">
        <v>40.57</v>
      </c>
      <c r="I1468" s="16">
        <f>IF(HistoricalStockProgress[[#This Row],[No. of Shares]]&lt;&gt;0,HistoricalStockProgress[[#This Row],[Price of Shares]]*HistoricalStockProgress[[#This Row],[No. of Shares]],0)</f>
        <v>2231.35</v>
      </c>
      <c r="J1468" s="16">
        <f>IF(HistoricalStockProgress[[#This Row],[No. of Shares]]&lt;&gt;0,HistoricalStockProgress[[#This Row],[Price of Shares]]-HistoricalStockProgress[[#This Row],[Cost of Shares]]/HistoricalStockProgress[[#This Row],[No. of Shares]],0)</f>
        <v>4.7230610616531266</v>
      </c>
      <c r="K1468" s="17">
        <f>IF(HistoricalStockProgress[[#This Row],[Total Price of Shares]]&lt;&gt;0,HistoricalStockProgress[[#This Row],[Total Price of Shares]]-HistoricalStockProgress[[#This Row],[Cost of Shares]],0)</f>
        <v>259.76835839092178</v>
      </c>
      <c r="L1468" s="34" t="b" cm="1">
        <f t="array" ref="L1468">IFERROR(IF(HistoricalStockProgress[[#This Row],[Price of Shares]]="",_xlfn.STOCKHISTORY(HistoricalStockProgress[[#This Row],[Full Company Name]],HistoricalStockProgress[[#This Row],[Date]],,2,0,1)),0)</f>
        <v>0</v>
      </c>
      <c r="M1468" s="34">
        <f>YEAR(HistoricalStockProgress[[#This Row],[Date]])</f>
        <v>2023</v>
      </c>
      <c r="N1468" s="34">
        <f>MONTH(HistoricalStockProgress[[#This Row],[Date]])</f>
        <v>2</v>
      </c>
    </row>
    <row r="1469" spans="2:14">
      <c r="B1469" s="15">
        <v>44985</v>
      </c>
      <c r="C1469" s="34" t="s">
        <v>20</v>
      </c>
      <c r="D1469" s="34" t="e" vm="19">
        <f>_xlfn.XLOOKUP(HistoricalStockProgress[[#This Row],[Company Ticker]],CompanyDetailsList[Company Ticker],CompanyDetailsList[Official Name],,0)</f>
        <v>#VALUE!</v>
      </c>
      <c r="E14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93</v>
      </c>
      <c r="F14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9585.7274858109122</v>
      </c>
      <c r="G1469" s="17">
        <f>IFERROR(HistoricalStockProgress[[#This Row],[Cost of Shares]]/HistoricalStockProgress[[#This Row],[No. of Shares]],0)</f>
        <v>103.07233855710658</v>
      </c>
      <c r="H1469" s="16" vm="1971">
        <v>143.35</v>
      </c>
      <c r="I1469" s="16">
        <f>IF(HistoricalStockProgress[[#This Row],[No. of Shares]]&lt;&gt;0,HistoricalStockProgress[[#This Row],[Price of Shares]]*HistoricalStockProgress[[#This Row],[No. of Shares]],0)</f>
        <v>13331.55</v>
      </c>
      <c r="J1469" s="16">
        <f>IF(HistoricalStockProgress[[#This Row],[No. of Shares]]&lt;&gt;0,HistoricalStockProgress[[#This Row],[Price of Shares]]-HistoricalStockProgress[[#This Row],[Cost of Shares]]/HistoricalStockProgress[[#This Row],[No. of Shares]],0)</f>
        <v>40.277661442893418</v>
      </c>
      <c r="K1469" s="17">
        <f>IF(HistoricalStockProgress[[#This Row],[Total Price of Shares]]&lt;&gt;0,HistoricalStockProgress[[#This Row],[Total Price of Shares]]-HistoricalStockProgress[[#This Row],[Cost of Shares]],0)</f>
        <v>3745.8225141890871</v>
      </c>
      <c r="L1469" s="34" t="b" cm="1">
        <f t="array" ref="L1469">IFERROR(IF(HistoricalStockProgress[[#This Row],[Price of Shares]]="",_xlfn.STOCKHISTORY(HistoricalStockProgress[[#This Row],[Full Company Name]],HistoricalStockProgress[[#This Row],[Date]],,2,0,1)),0)</f>
        <v>0</v>
      </c>
      <c r="M1469" s="34">
        <f>YEAR(HistoricalStockProgress[[#This Row],[Date]])</f>
        <v>2023</v>
      </c>
      <c r="N1469" s="34">
        <f>MONTH(HistoricalStockProgress[[#This Row],[Date]])</f>
        <v>2</v>
      </c>
    </row>
    <row r="1470" spans="2:14">
      <c r="B1470" s="15">
        <v>44985</v>
      </c>
      <c r="C1470" s="34" t="s">
        <v>106</v>
      </c>
      <c r="D1470" s="34" t="e" vm="20">
        <f>_xlfn.XLOOKUP(HistoricalStockProgress[[#This Row],[Company Ticker]],CompanyDetailsList[Company Ticker],CompanyDetailsList[Official Name],,0)</f>
        <v>#VALUE!</v>
      </c>
      <c r="E14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4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470" s="17">
        <f>IFERROR(HistoricalStockProgress[[#This Row],[Cost of Shares]]/HistoricalStockProgress[[#This Row],[No. of Shares]],0)</f>
        <v>108.54870748680406</v>
      </c>
      <c r="H1470" s="16" vm="1972">
        <v>132.06</v>
      </c>
      <c r="I1470" s="16">
        <f>IF(HistoricalStockProgress[[#This Row],[No. of Shares]]&lt;&gt;0,HistoricalStockProgress[[#This Row],[Price of Shares]]*HistoricalStockProgress[[#This Row],[No. of Shares]],0)</f>
        <v>11621.28</v>
      </c>
      <c r="J1470" s="16">
        <f>IF(HistoricalStockProgress[[#This Row],[No. of Shares]]&lt;&gt;0,HistoricalStockProgress[[#This Row],[Price of Shares]]-HistoricalStockProgress[[#This Row],[Cost of Shares]]/HistoricalStockProgress[[#This Row],[No. of Shares]],0)</f>
        <v>23.51129251319594</v>
      </c>
      <c r="K1470" s="17">
        <f>IF(HistoricalStockProgress[[#This Row],[Total Price of Shares]]&lt;&gt;0,HistoricalStockProgress[[#This Row],[Total Price of Shares]]-HistoricalStockProgress[[#This Row],[Cost of Shares]],0)</f>
        <v>2068.9937411612427</v>
      </c>
      <c r="L1470" s="34" t="b" cm="1">
        <f t="array" ref="L1470">IFERROR(IF(HistoricalStockProgress[[#This Row],[Price of Shares]]="",_xlfn.STOCKHISTORY(HistoricalStockProgress[[#This Row],[Full Company Name]],HistoricalStockProgress[[#This Row],[Date]],,2,0,1)),0)</f>
        <v>0</v>
      </c>
      <c r="M1470" s="34">
        <f>YEAR(HistoricalStockProgress[[#This Row],[Date]])</f>
        <v>2023</v>
      </c>
      <c r="N1470" s="34">
        <f>MONTH(HistoricalStockProgress[[#This Row],[Date]])</f>
        <v>2</v>
      </c>
    </row>
    <row r="1471" spans="2:14">
      <c r="B1471" s="15">
        <v>45016</v>
      </c>
      <c r="C1471" s="34" t="s">
        <v>12</v>
      </c>
      <c r="D1471" s="34" t="e" vm="1">
        <f>_xlfn.XLOOKUP(HistoricalStockProgress[[#This Row],[Company Ticker]],CompanyDetailsList[Company Ticker],CompanyDetailsList[Official Name],,0)</f>
        <v>#VALUE!</v>
      </c>
      <c r="E14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4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471" s="17">
        <f>IFERROR(HistoricalStockProgress[[#This Row],[Cost of Shares]]/HistoricalStockProgress[[#This Row],[No. of Shares]],0)</f>
        <v>64.573985995316889</v>
      </c>
      <c r="H1471" s="16" vm="1973">
        <v>63.32</v>
      </c>
      <c r="I1471" s="16">
        <f>IF(HistoricalStockProgress[[#This Row],[No. of Shares]]&lt;&gt;0,HistoricalStockProgress[[#This Row],[Price of Shares]]*HistoricalStockProgress[[#This Row],[No. of Shares]],0)</f>
        <v>6142.04</v>
      </c>
      <c r="J1471" s="16">
        <f>IF(HistoricalStockProgress[[#This Row],[No. of Shares]]&lt;&gt;0,HistoricalStockProgress[[#This Row],[Price of Shares]]-HistoricalStockProgress[[#This Row],[Cost of Shares]]/HistoricalStockProgress[[#This Row],[No. of Shares]],0)</f>
        <v>-1.2539859953168886</v>
      </c>
      <c r="K1471" s="17">
        <f>IF(HistoricalStockProgress[[#This Row],[Total Price of Shares]]&lt;&gt;0,HistoricalStockProgress[[#This Row],[Total Price of Shares]]-HistoricalStockProgress[[#This Row],[Cost of Shares]],0)</f>
        <v>-121.6366415457378</v>
      </c>
      <c r="L1471" s="34" t="b" cm="1">
        <f t="array" ref="L1471">IFERROR(IF(HistoricalStockProgress[[#This Row],[Price of Shares]]="",_xlfn.STOCKHISTORY(HistoricalStockProgress[[#This Row],[Full Company Name]],HistoricalStockProgress[[#This Row],[Date]],,2,0,1)),0)</f>
        <v>0</v>
      </c>
      <c r="M1471" s="34">
        <f>YEAR(HistoricalStockProgress[[#This Row],[Date]])</f>
        <v>2023</v>
      </c>
      <c r="N1471" s="34">
        <f>MONTH(HistoricalStockProgress[[#This Row],[Date]])</f>
        <v>3</v>
      </c>
    </row>
    <row r="1472" spans="2:14">
      <c r="B1472" s="15">
        <v>45016</v>
      </c>
      <c r="C1472" s="34" t="s">
        <v>14</v>
      </c>
      <c r="D1472" s="34" t="e" vm="2">
        <f>_xlfn.XLOOKUP(HistoricalStockProgress[[#This Row],[Company Ticker]],CompanyDetailsList[Company Ticker],CompanyDetailsList[Official Name],,0)</f>
        <v>#VALUE!</v>
      </c>
      <c r="E14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4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472" s="17">
        <f>IFERROR(HistoricalStockProgress[[#This Row],[Cost of Shares]]/HistoricalStockProgress[[#This Row],[No. of Shares]],0)</f>
        <v>31.580112511620161</v>
      </c>
      <c r="H1472" s="16" vm="1974">
        <v>31.33</v>
      </c>
      <c r="I1472" s="16">
        <f>IF(HistoricalStockProgress[[#This Row],[No. of Shares]]&lt;&gt;0,HistoricalStockProgress[[#This Row],[Price of Shares]]*HistoricalStockProgress[[#This Row],[No. of Shares]],0)</f>
        <v>877.24</v>
      </c>
      <c r="J1472" s="16">
        <f>IF(HistoricalStockProgress[[#This Row],[No. of Shares]]&lt;&gt;0,HistoricalStockProgress[[#This Row],[Price of Shares]]-HistoricalStockProgress[[#This Row],[Cost of Shares]]/HistoricalStockProgress[[#This Row],[No. of Shares]],0)</f>
        <v>-0.25011251162016279</v>
      </c>
      <c r="K1472" s="17">
        <f>IF(HistoricalStockProgress[[#This Row],[Total Price of Shares]]&lt;&gt;0,HistoricalStockProgress[[#This Row],[Total Price of Shares]]-HistoricalStockProgress[[#This Row],[Cost of Shares]],0)</f>
        <v>-7.0031503253644587</v>
      </c>
      <c r="L1472" s="34" t="b" cm="1">
        <f t="array" ref="L1472">IFERROR(IF(HistoricalStockProgress[[#This Row],[Price of Shares]]="",_xlfn.STOCKHISTORY(HistoricalStockProgress[[#This Row],[Full Company Name]],HistoricalStockProgress[[#This Row],[Date]],,2,0,1)),0)</f>
        <v>0</v>
      </c>
      <c r="M1472" s="34">
        <f>YEAR(HistoricalStockProgress[[#This Row],[Date]])</f>
        <v>2023</v>
      </c>
      <c r="N1472" s="34">
        <f>MONTH(HistoricalStockProgress[[#This Row],[Date]])</f>
        <v>3</v>
      </c>
    </row>
    <row r="1473" spans="2:14">
      <c r="B1473" s="15">
        <v>45016</v>
      </c>
      <c r="C1473" s="34" t="s">
        <v>19</v>
      </c>
      <c r="D1473" s="34" t="e" vm="3">
        <f>_xlfn.XLOOKUP(HistoricalStockProgress[[#This Row],[Company Ticker]],CompanyDetailsList[Company Ticker],CompanyDetailsList[Official Name],,0)</f>
        <v>#VALUE!</v>
      </c>
      <c r="E14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4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473" s="17">
        <f>IFERROR(HistoricalStockProgress[[#This Row],[Cost of Shares]]/HistoricalStockProgress[[#This Row],[No. of Shares]],0)</f>
        <v>158.45739987816083</v>
      </c>
      <c r="H1473" s="16" vm="1975">
        <v>158.24</v>
      </c>
      <c r="I1473" s="16">
        <f>IF(HistoricalStockProgress[[#This Row],[No. of Shares]]&lt;&gt;0,HistoricalStockProgress[[#This Row],[Price of Shares]]*HistoricalStockProgress[[#This Row],[No. of Shares]],0)</f>
        <v>9019.68</v>
      </c>
      <c r="J1473" s="16">
        <f>IF(HistoricalStockProgress[[#This Row],[No. of Shares]]&lt;&gt;0,HistoricalStockProgress[[#This Row],[Price of Shares]]-HistoricalStockProgress[[#This Row],[Cost of Shares]]/HistoricalStockProgress[[#This Row],[No. of Shares]],0)</f>
        <v>-0.21739987816081907</v>
      </c>
      <c r="K1473" s="17">
        <f>IF(HistoricalStockProgress[[#This Row],[Total Price of Shares]]&lt;&gt;0,HistoricalStockProgress[[#This Row],[Total Price of Shares]]-HistoricalStockProgress[[#This Row],[Cost of Shares]],0)</f>
        <v>-12.391793055167</v>
      </c>
      <c r="L1473" s="34" t="b" cm="1">
        <f t="array" ref="L1473">IFERROR(IF(HistoricalStockProgress[[#This Row],[Price of Shares]]="",_xlfn.STOCKHISTORY(HistoricalStockProgress[[#This Row],[Full Company Name]],HistoricalStockProgress[[#This Row],[Date]],,2,0,1)),0)</f>
        <v>0</v>
      </c>
      <c r="M1473" s="34">
        <f>YEAR(HistoricalStockProgress[[#This Row],[Date]])</f>
        <v>2023</v>
      </c>
      <c r="N1473" s="34">
        <f>MONTH(HistoricalStockProgress[[#This Row],[Date]])</f>
        <v>3</v>
      </c>
    </row>
    <row r="1474" spans="2:14">
      <c r="B1474" s="15">
        <v>45016</v>
      </c>
      <c r="C1474" s="34" t="s">
        <v>23</v>
      </c>
      <c r="D1474" s="34" t="e" vm="4">
        <f>_xlfn.XLOOKUP(HistoricalStockProgress[[#This Row],[Company Ticker]],CompanyDetailsList[Company Ticker],CompanyDetailsList[Official Name],,0)</f>
        <v>#VALUE!</v>
      </c>
      <c r="E14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85</v>
      </c>
      <c r="F14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4210.4106468589489</v>
      </c>
      <c r="G1474" s="17">
        <f>IFERROR(HistoricalStockProgress[[#This Row],[Cost of Shares]]/HistoricalStockProgress[[#This Row],[No. of Shares]],0)</f>
        <v>49.534242904222928</v>
      </c>
      <c r="H1474" s="16" vm="1380">
        <v>62.03</v>
      </c>
      <c r="I1474" s="16">
        <f>IF(HistoricalStockProgress[[#This Row],[No. of Shares]]&lt;&gt;0,HistoricalStockProgress[[#This Row],[Price of Shares]]*HistoricalStockProgress[[#This Row],[No. of Shares]],0)</f>
        <v>5272.55</v>
      </c>
      <c r="J1474" s="16">
        <f>IF(HistoricalStockProgress[[#This Row],[No. of Shares]]&lt;&gt;0,HistoricalStockProgress[[#This Row],[Price of Shares]]-HistoricalStockProgress[[#This Row],[Cost of Shares]]/HistoricalStockProgress[[#This Row],[No. of Shares]],0)</f>
        <v>12.495757095777073</v>
      </c>
      <c r="K1474" s="17">
        <f>IF(HistoricalStockProgress[[#This Row],[Total Price of Shares]]&lt;&gt;0,HistoricalStockProgress[[#This Row],[Total Price of Shares]]-HistoricalStockProgress[[#This Row],[Cost of Shares]],0)</f>
        <v>1062.1393531410513</v>
      </c>
      <c r="L1474" s="34" t="b" cm="1">
        <f t="array" ref="L1474">IFERROR(IF(HistoricalStockProgress[[#This Row],[Price of Shares]]="",_xlfn.STOCKHISTORY(HistoricalStockProgress[[#This Row],[Full Company Name]],HistoricalStockProgress[[#This Row],[Date]],,2,0,1)),0)</f>
        <v>0</v>
      </c>
      <c r="M1474" s="34">
        <f>YEAR(HistoricalStockProgress[[#This Row],[Date]])</f>
        <v>2023</v>
      </c>
      <c r="N1474" s="34">
        <f>MONTH(HistoricalStockProgress[[#This Row],[Date]])</f>
        <v>3</v>
      </c>
    </row>
    <row r="1475" spans="2:14">
      <c r="B1475" s="15">
        <v>45016</v>
      </c>
      <c r="C1475" s="34" t="s">
        <v>18</v>
      </c>
      <c r="D1475" s="34" t="e" vm="5">
        <f>_xlfn.XLOOKUP(HistoricalStockProgress[[#This Row],[Company Ticker]],CompanyDetailsList[Company Ticker],CompanyDetailsList[Official Name],,0)</f>
        <v>#VALUE!</v>
      </c>
      <c r="E14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4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475" s="17">
        <f>IFERROR(HistoricalStockProgress[[#This Row],[Cost of Shares]]/HistoricalStockProgress[[#This Row],[No. of Shares]],0)</f>
        <v>160.8859607546234</v>
      </c>
      <c r="H1475" s="16" vm="1976">
        <v>182.3</v>
      </c>
      <c r="I1475" s="16">
        <f>IF(HistoricalStockProgress[[#This Row],[No. of Shares]]&lt;&gt;0,HistoricalStockProgress[[#This Row],[Price of Shares]]*HistoricalStockProgress[[#This Row],[No. of Shares]],0)</f>
        <v>7838.9000000000005</v>
      </c>
      <c r="J1475" s="16">
        <f>IF(HistoricalStockProgress[[#This Row],[No. of Shares]]&lt;&gt;0,HistoricalStockProgress[[#This Row],[Price of Shares]]-HistoricalStockProgress[[#This Row],[Cost of Shares]]/HistoricalStockProgress[[#This Row],[No. of Shares]],0)</f>
        <v>21.414039245376614</v>
      </c>
      <c r="K1475" s="17">
        <f>IF(HistoricalStockProgress[[#This Row],[Total Price of Shares]]&lt;&gt;0,HistoricalStockProgress[[#This Row],[Total Price of Shares]]-HistoricalStockProgress[[#This Row],[Cost of Shares]],0)</f>
        <v>920.80368755119434</v>
      </c>
      <c r="L1475" s="34" t="b" cm="1">
        <f t="array" ref="L1475">IFERROR(IF(HistoricalStockProgress[[#This Row],[Price of Shares]]="",_xlfn.STOCKHISTORY(HistoricalStockProgress[[#This Row],[Full Company Name]],HistoricalStockProgress[[#This Row],[Date]],,2,0,1)),0)</f>
        <v>0</v>
      </c>
      <c r="M1475" s="34">
        <f>YEAR(HistoricalStockProgress[[#This Row],[Date]])</f>
        <v>2023</v>
      </c>
      <c r="N1475" s="34">
        <f>MONTH(HistoricalStockProgress[[#This Row],[Date]])</f>
        <v>3</v>
      </c>
    </row>
    <row r="1476" spans="2:14">
      <c r="B1476" s="15">
        <v>45016</v>
      </c>
      <c r="C1476" s="34" t="s">
        <v>21</v>
      </c>
      <c r="D1476" s="34" t="e" vm="6">
        <f>_xlfn.XLOOKUP(HistoricalStockProgress[[#This Row],[Company Ticker]],CompanyDetailsList[Company Ticker],CompanyDetailsList[Official Name],,0)</f>
        <v>#VALUE!</v>
      </c>
      <c r="E14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4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476" s="17">
        <f>IFERROR(HistoricalStockProgress[[#This Row],[Cost of Shares]]/HistoricalStockProgress[[#This Row],[No. of Shares]],0)</f>
        <v>139.68700010204148</v>
      </c>
      <c r="H1476" s="16" vm="1977">
        <v>148.69</v>
      </c>
      <c r="I1476" s="16">
        <f>IF(HistoricalStockProgress[[#This Row],[No. of Shares]]&lt;&gt;0,HistoricalStockProgress[[#This Row],[Price of Shares]]*HistoricalStockProgress[[#This Row],[No. of Shares]],0)</f>
        <v>6244.98</v>
      </c>
      <c r="J1476" s="16">
        <f>IF(HistoricalStockProgress[[#This Row],[No. of Shares]]&lt;&gt;0,HistoricalStockProgress[[#This Row],[Price of Shares]]-HistoricalStockProgress[[#This Row],[Cost of Shares]]/HistoricalStockProgress[[#This Row],[No. of Shares]],0)</f>
        <v>9.0029998979585173</v>
      </c>
      <c r="K1476" s="17">
        <f>IF(HistoricalStockProgress[[#This Row],[Total Price of Shares]]&lt;&gt;0,HistoricalStockProgress[[#This Row],[Total Price of Shares]]-HistoricalStockProgress[[#This Row],[Cost of Shares]],0)</f>
        <v>378.12599571425744</v>
      </c>
      <c r="L1476" s="34" t="b" cm="1">
        <f t="array" ref="L1476">IFERROR(IF(HistoricalStockProgress[[#This Row],[Price of Shares]]="",_xlfn.STOCKHISTORY(HistoricalStockProgress[[#This Row],[Full Company Name]],HistoricalStockProgress[[#This Row],[Date]],,2,0,1)),0)</f>
        <v>0</v>
      </c>
      <c r="M1476" s="34">
        <f>YEAR(HistoricalStockProgress[[#This Row],[Date]])</f>
        <v>2023</v>
      </c>
      <c r="N1476" s="34">
        <f>MONTH(HistoricalStockProgress[[#This Row],[Date]])</f>
        <v>3</v>
      </c>
    </row>
    <row r="1477" spans="2:14">
      <c r="B1477" s="15">
        <v>45016</v>
      </c>
      <c r="C1477" s="34" t="s">
        <v>84</v>
      </c>
      <c r="D1477" s="34" t="e" vm="7">
        <f>_xlfn.XLOOKUP(HistoricalStockProgress[[#This Row],[Company Ticker]],CompanyDetailsList[Company Ticker],CompanyDetailsList[Official Name],,0)</f>
        <v>#VALUE!</v>
      </c>
      <c r="E14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4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477" s="17">
        <f>IFERROR(HistoricalStockProgress[[#This Row],[Cost of Shares]]/HistoricalStockProgress[[#This Row],[No. of Shares]],0)</f>
        <v>104.18087504950869</v>
      </c>
      <c r="H1477" s="16" vm="445">
        <v>155</v>
      </c>
      <c r="I1477" s="16">
        <f>IF(HistoricalStockProgress[[#This Row],[No. of Shares]]&lt;&gt;0,HistoricalStockProgress[[#This Row],[Price of Shares]]*HistoricalStockProgress[[#This Row],[No. of Shares]],0)</f>
        <v>7905</v>
      </c>
      <c r="J1477" s="16">
        <f>IF(HistoricalStockProgress[[#This Row],[No. of Shares]]&lt;&gt;0,HistoricalStockProgress[[#This Row],[Price of Shares]]-HistoricalStockProgress[[#This Row],[Cost of Shares]]/HistoricalStockProgress[[#This Row],[No. of Shares]],0)</f>
        <v>50.819124950491315</v>
      </c>
      <c r="K1477" s="17">
        <f>IF(HistoricalStockProgress[[#This Row],[Total Price of Shares]]&lt;&gt;0,HistoricalStockProgress[[#This Row],[Total Price of Shares]]-HistoricalStockProgress[[#This Row],[Cost of Shares]],0)</f>
        <v>2591.7753724750573</v>
      </c>
      <c r="L1477" s="34" t="b" cm="1">
        <f t="array" ref="L1477">IFERROR(IF(HistoricalStockProgress[[#This Row],[Price of Shares]]="",_xlfn.STOCKHISTORY(HistoricalStockProgress[[#This Row],[Full Company Name]],HistoricalStockProgress[[#This Row],[Date]],,2,0,1)),0)</f>
        <v>0</v>
      </c>
      <c r="M1477" s="34">
        <f>YEAR(HistoricalStockProgress[[#This Row],[Date]])</f>
        <v>2023</v>
      </c>
      <c r="N1477" s="34">
        <f>MONTH(HistoricalStockProgress[[#This Row],[Date]])</f>
        <v>3</v>
      </c>
    </row>
    <row r="1478" spans="2:14">
      <c r="B1478" s="15">
        <v>45016</v>
      </c>
      <c r="C1478" s="34" t="s">
        <v>86</v>
      </c>
      <c r="D1478" s="34" t="e" vm="8">
        <f>_xlfn.XLOOKUP(HistoricalStockProgress[[#This Row],[Company Ticker]],CompanyDetailsList[Company Ticker],CompanyDetailsList[Official Name],,0)</f>
        <v>#VALUE!</v>
      </c>
      <c r="E14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4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478" s="17">
        <f>IFERROR(HistoricalStockProgress[[#This Row],[Cost of Shares]]/HistoricalStockProgress[[#This Row],[No. of Shares]],0)</f>
        <v>92.636161128673535</v>
      </c>
      <c r="H1478" s="16" vm="1978">
        <v>159.37</v>
      </c>
      <c r="I1478" s="16">
        <f>IF(HistoricalStockProgress[[#This Row],[No. of Shares]]&lt;&gt;0,HistoricalStockProgress[[#This Row],[Price of Shares]]*HistoricalStockProgress[[#This Row],[No. of Shares]],0)</f>
        <v>18168.18</v>
      </c>
      <c r="J1478" s="16">
        <f>IF(HistoricalStockProgress[[#This Row],[No. of Shares]]&lt;&gt;0,HistoricalStockProgress[[#This Row],[Price of Shares]]-HistoricalStockProgress[[#This Row],[Cost of Shares]]/HistoricalStockProgress[[#This Row],[No. of Shares]],0)</f>
        <v>66.733838871326469</v>
      </c>
      <c r="K1478" s="17">
        <f>IF(HistoricalStockProgress[[#This Row],[Total Price of Shares]]&lt;&gt;0,HistoricalStockProgress[[#This Row],[Total Price of Shares]]-HistoricalStockProgress[[#This Row],[Cost of Shares]],0)</f>
        <v>7607.657631331218</v>
      </c>
      <c r="L1478" s="34" t="b" cm="1">
        <f t="array" ref="L1478">IFERROR(IF(HistoricalStockProgress[[#This Row],[Price of Shares]]="",_xlfn.STOCKHISTORY(HistoricalStockProgress[[#This Row],[Full Company Name]],HistoricalStockProgress[[#This Row],[Date]],,2,0,1)),0)</f>
        <v>0</v>
      </c>
      <c r="M1478" s="34">
        <f>YEAR(HistoricalStockProgress[[#This Row],[Date]])</f>
        <v>2023</v>
      </c>
      <c r="N1478" s="34">
        <f>MONTH(HistoricalStockProgress[[#This Row],[Date]])</f>
        <v>3</v>
      </c>
    </row>
    <row r="1479" spans="2:14">
      <c r="B1479" s="15">
        <v>45016</v>
      </c>
      <c r="C1479" s="34" t="s">
        <v>88</v>
      </c>
      <c r="D1479" s="34" t="e" vm="9">
        <f>_xlfn.XLOOKUP(HistoricalStockProgress[[#This Row],[Company Ticker]],CompanyDetailsList[Company Ticker],CompanyDetailsList[Official Name],,0)</f>
        <v>#VALUE!</v>
      </c>
      <c r="E14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4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479" s="17">
        <f>IFERROR(HistoricalStockProgress[[#This Row],[Cost of Shares]]/HistoricalStockProgress[[#This Row],[No. of Shares]],0)</f>
        <v>187.727755253422</v>
      </c>
      <c r="H1479" s="16" vm="1979">
        <v>279.61</v>
      </c>
      <c r="I1479" s="16">
        <f>IF(HistoricalStockProgress[[#This Row],[No. of Shares]]&lt;&gt;0,HistoricalStockProgress[[#This Row],[Price of Shares]]*HistoricalStockProgress[[#This Row],[No. of Shares]],0)</f>
        <v>16496.990000000002</v>
      </c>
      <c r="J1479" s="16">
        <f>IF(HistoricalStockProgress[[#This Row],[No. of Shares]]&lt;&gt;0,HistoricalStockProgress[[#This Row],[Price of Shares]]-HistoricalStockProgress[[#This Row],[Cost of Shares]]/HistoricalStockProgress[[#This Row],[No. of Shares]],0)</f>
        <v>91.88224474657801</v>
      </c>
      <c r="K1479" s="17">
        <f>IF(HistoricalStockProgress[[#This Row],[Total Price of Shares]]&lt;&gt;0,HistoricalStockProgress[[#This Row],[Total Price of Shares]]-HistoricalStockProgress[[#This Row],[Cost of Shares]],0)</f>
        <v>5421.0524400481027</v>
      </c>
      <c r="L1479" s="34" t="b" cm="1">
        <f t="array" ref="L1479">IFERROR(IF(HistoricalStockProgress[[#This Row],[Price of Shares]]="",_xlfn.STOCKHISTORY(HistoricalStockProgress[[#This Row],[Full Company Name]],HistoricalStockProgress[[#This Row],[Date]],,2,0,1)),0)</f>
        <v>0</v>
      </c>
      <c r="M1479" s="34">
        <f>YEAR(HistoricalStockProgress[[#This Row],[Date]])</f>
        <v>2023</v>
      </c>
      <c r="N1479" s="34">
        <f>MONTH(HistoricalStockProgress[[#This Row],[Date]])</f>
        <v>3</v>
      </c>
    </row>
    <row r="1480" spans="2:14">
      <c r="B1480" s="15">
        <v>45016</v>
      </c>
      <c r="C1480" s="34" t="s">
        <v>22</v>
      </c>
      <c r="D1480" s="34" t="e" vm="10">
        <f>_xlfn.XLOOKUP(HistoricalStockProgress[[#This Row],[Company Ticker]],CompanyDetailsList[Company Ticker],CompanyDetailsList[Official Name],,0)</f>
        <v>#VALUE!</v>
      </c>
      <c r="E14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4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480" s="17">
        <f>IFERROR(HistoricalStockProgress[[#This Row],[Cost of Shares]]/HistoricalStockProgress[[#This Row],[No. of Shares]],0)</f>
        <v>130.19784136724968</v>
      </c>
      <c r="H1480" s="16" vm="1980">
        <v>228.84</v>
      </c>
      <c r="I1480" s="16">
        <f>IF(HistoricalStockProgress[[#This Row],[No. of Shares]]&lt;&gt;0,HistoricalStockProgress[[#This Row],[Price of Shares]]*HistoricalStockProgress[[#This Row],[No. of Shares]],0)</f>
        <v>27231.96</v>
      </c>
      <c r="J1480" s="16">
        <f>IF(HistoricalStockProgress[[#This Row],[No. of Shares]]&lt;&gt;0,HistoricalStockProgress[[#This Row],[Price of Shares]]-HistoricalStockProgress[[#This Row],[Cost of Shares]]/HistoricalStockProgress[[#This Row],[No. of Shares]],0)</f>
        <v>98.642158632750323</v>
      </c>
      <c r="K1480" s="17">
        <f>IF(HistoricalStockProgress[[#This Row],[Total Price of Shares]]&lt;&gt;0,HistoricalStockProgress[[#This Row],[Total Price of Shares]]-HistoricalStockProgress[[#This Row],[Cost of Shares]],0)</f>
        <v>11738.416877297286</v>
      </c>
      <c r="L1480" s="34" t="b" cm="1">
        <f t="array" ref="L1480">IFERROR(IF(HistoricalStockProgress[[#This Row],[Price of Shares]]="",_xlfn.STOCKHISTORY(HistoricalStockProgress[[#This Row],[Full Company Name]],HistoricalStockProgress[[#This Row],[Date]],,2,0,1)),0)</f>
        <v>0</v>
      </c>
      <c r="M1480" s="34">
        <f>YEAR(HistoricalStockProgress[[#This Row],[Date]])</f>
        <v>2023</v>
      </c>
      <c r="N1480" s="34">
        <f>MONTH(HistoricalStockProgress[[#This Row],[Date]])</f>
        <v>3</v>
      </c>
    </row>
    <row r="1481" spans="2:14">
      <c r="B1481" s="15">
        <v>45016</v>
      </c>
      <c r="C1481" s="34" t="s">
        <v>91</v>
      </c>
      <c r="D1481" s="34" t="e" vm="11">
        <f>_xlfn.XLOOKUP(HistoricalStockProgress[[#This Row],[Company Ticker]],CompanyDetailsList[Company Ticker],CompanyDetailsList[Official Name],,0)</f>
        <v>#VALUE!</v>
      </c>
      <c r="E14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4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481" s="17">
        <f>IFERROR(HistoricalStockProgress[[#This Row],[Cost of Shares]]/HistoricalStockProgress[[#This Row],[No. of Shares]],0)</f>
        <v>133.15744058830452</v>
      </c>
      <c r="H1481" s="16" vm="1981">
        <v>288.3</v>
      </c>
      <c r="I1481" s="16">
        <f>IF(HistoricalStockProgress[[#This Row],[No. of Shares]]&lt;&gt;0,HistoricalStockProgress[[#This Row],[Price of Shares]]*HistoricalStockProgress[[#This Row],[No. of Shares]],0)</f>
        <v>52758.9</v>
      </c>
      <c r="J1481" s="16">
        <f>IF(HistoricalStockProgress[[#This Row],[No. of Shares]]&lt;&gt;0,HistoricalStockProgress[[#This Row],[Price of Shares]]-HistoricalStockProgress[[#This Row],[Cost of Shares]]/HistoricalStockProgress[[#This Row],[No. of Shares]],0)</f>
        <v>155.14255941169549</v>
      </c>
      <c r="K1481" s="17">
        <f>IF(HistoricalStockProgress[[#This Row],[Total Price of Shares]]&lt;&gt;0,HistoricalStockProgress[[#This Row],[Total Price of Shares]]-HistoricalStockProgress[[#This Row],[Cost of Shares]],0)</f>
        <v>28391.088372340273</v>
      </c>
      <c r="L1481" s="34" t="b" cm="1">
        <f t="array" ref="L1481">IFERROR(IF(HistoricalStockProgress[[#This Row],[Price of Shares]]="",_xlfn.STOCKHISTORY(HistoricalStockProgress[[#This Row],[Full Company Name]],HistoricalStockProgress[[#This Row],[Date]],,2,0,1)),0)</f>
        <v>0</v>
      </c>
      <c r="M1481" s="34">
        <f>YEAR(HistoricalStockProgress[[#This Row],[Date]])</f>
        <v>2023</v>
      </c>
      <c r="N1481" s="34">
        <f>MONTH(HistoricalStockProgress[[#This Row],[Date]])</f>
        <v>3</v>
      </c>
    </row>
    <row r="1482" spans="2:14">
      <c r="B1482" s="15">
        <v>45016</v>
      </c>
      <c r="C1482" s="34" t="s">
        <v>16</v>
      </c>
      <c r="D1482" s="34" t="e" vm="12">
        <f>_xlfn.XLOOKUP(HistoricalStockProgress[[#This Row],[Company Ticker]],CompanyDetailsList[Company Ticker],CompanyDetailsList[Official Name],,0)</f>
        <v>#VALUE!</v>
      </c>
      <c r="E14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4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482" s="17">
        <f>IFERROR(HistoricalStockProgress[[#This Row],[Cost of Shares]]/HistoricalStockProgress[[#This Row],[No. of Shares]],0)</f>
        <v>75.117698177311837</v>
      </c>
      <c r="H1482" s="16" vm="1982">
        <v>109.66</v>
      </c>
      <c r="I1482" s="16">
        <f>IF(HistoricalStockProgress[[#This Row],[No. of Shares]]&lt;&gt;0,HistoricalStockProgress[[#This Row],[Price of Shares]]*HistoricalStockProgress[[#This Row],[No. of Shares]],0)</f>
        <v>20287.099999999999</v>
      </c>
      <c r="J1482" s="16">
        <f>IF(HistoricalStockProgress[[#This Row],[No. of Shares]]&lt;&gt;0,HistoricalStockProgress[[#This Row],[Price of Shares]]-HistoricalStockProgress[[#This Row],[Cost of Shares]]/HistoricalStockProgress[[#This Row],[No. of Shares]],0)</f>
        <v>34.54230182268816</v>
      </c>
      <c r="K1482" s="17">
        <f>IF(HistoricalStockProgress[[#This Row],[Total Price of Shares]]&lt;&gt;0,HistoricalStockProgress[[#This Row],[Total Price of Shares]]-HistoricalStockProgress[[#This Row],[Cost of Shares]],0)</f>
        <v>6390.3258371973097</v>
      </c>
      <c r="L1482" s="34" t="b" cm="1">
        <f t="array" ref="L1482">IFERROR(IF(HistoricalStockProgress[[#This Row],[Price of Shares]]="",_xlfn.STOCKHISTORY(HistoricalStockProgress[[#This Row],[Full Company Name]],HistoricalStockProgress[[#This Row],[Date]],,2,0,1)),0)</f>
        <v>0</v>
      </c>
      <c r="M1482" s="34">
        <f>YEAR(HistoricalStockProgress[[#This Row],[Date]])</f>
        <v>2023</v>
      </c>
      <c r="N1482" s="34">
        <f>MONTH(HistoricalStockProgress[[#This Row],[Date]])</f>
        <v>3</v>
      </c>
    </row>
    <row r="1483" spans="2:14">
      <c r="B1483" s="15">
        <v>45016</v>
      </c>
      <c r="C1483" s="34" t="s">
        <v>95</v>
      </c>
      <c r="D1483" s="34" t="e" vm="13">
        <f>_xlfn.XLOOKUP(HistoricalStockProgress[[#This Row],[Company Ticker]],CompanyDetailsList[Company Ticker],CompanyDetailsList[Official Name],,0)</f>
        <v>#VALUE!</v>
      </c>
      <c r="E14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14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26060.016778018562</v>
      </c>
      <c r="G1483" s="17">
        <f>IFERROR(HistoricalStockProgress[[#This Row],[Cost of Shares]]/HistoricalStockProgress[[#This Row],[No. of Shares]],0)</f>
        <v>234.77492592809514</v>
      </c>
      <c r="H1483" s="16" vm="1983">
        <v>295.12</v>
      </c>
      <c r="I1483" s="16">
        <f>IF(HistoricalStockProgress[[#This Row],[No. of Shares]]&lt;&gt;0,HistoricalStockProgress[[#This Row],[Price of Shares]]*HistoricalStockProgress[[#This Row],[No. of Shares]],0)</f>
        <v>32758.32</v>
      </c>
      <c r="J1483" s="16">
        <f>IF(HistoricalStockProgress[[#This Row],[No. of Shares]]&lt;&gt;0,HistoricalStockProgress[[#This Row],[Price of Shares]]-HistoricalStockProgress[[#This Row],[Cost of Shares]]/HistoricalStockProgress[[#This Row],[No. of Shares]],0)</f>
        <v>60.345074071904861</v>
      </c>
      <c r="K1483" s="17">
        <f>IF(HistoricalStockProgress[[#This Row],[Total Price of Shares]]&lt;&gt;0,HistoricalStockProgress[[#This Row],[Total Price of Shares]]-HistoricalStockProgress[[#This Row],[Cost of Shares]],0)</f>
        <v>6698.3032219814377</v>
      </c>
      <c r="L1483" s="34" t="b" cm="1">
        <f t="array" ref="L1483">IFERROR(IF(HistoricalStockProgress[[#This Row],[Price of Shares]]="",_xlfn.STOCKHISTORY(HistoricalStockProgress[[#This Row],[Full Company Name]],HistoricalStockProgress[[#This Row],[Date]],,2,0,1)),0)</f>
        <v>0</v>
      </c>
      <c r="M1483" s="34">
        <f>YEAR(HistoricalStockProgress[[#This Row],[Date]])</f>
        <v>2023</v>
      </c>
      <c r="N1483" s="34">
        <f>MONTH(HistoricalStockProgress[[#This Row],[Date]])</f>
        <v>3</v>
      </c>
    </row>
    <row r="1484" spans="2:14">
      <c r="B1484" s="15">
        <v>45016</v>
      </c>
      <c r="C1484" s="34" t="s">
        <v>17</v>
      </c>
      <c r="D1484" s="34" t="e" vm="14">
        <f>_xlfn.XLOOKUP(HistoricalStockProgress[[#This Row],[Company Ticker]],CompanyDetailsList[Company Ticker],CompanyDetailsList[Official Name],,0)</f>
        <v>#VALUE!</v>
      </c>
      <c r="E14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4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26400.485099161626</v>
      </c>
      <c r="G1484" s="17">
        <f>IFERROR(HistoricalStockProgress[[#This Row],[Cost of Shares]]/HistoricalStockProgress[[#This Row],[No. of Shares]],0)</f>
        <v>136.08497473794654</v>
      </c>
      <c r="H1484" s="16" vm="1984">
        <v>131.09</v>
      </c>
      <c r="I1484" s="16">
        <f>IF(HistoricalStockProgress[[#This Row],[No. of Shares]]&lt;&gt;0,HistoricalStockProgress[[#This Row],[Price of Shares]]*HistoricalStockProgress[[#This Row],[No. of Shares]],0)</f>
        <v>25431.46</v>
      </c>
      <c r="J1484" s="16">
        <f>IF(HistoricalStockProgress[[#This Row],[No. of Shares]]&lt;&gt;0,HistoricalStockProgress[[#This Row],[Price of Shares]]-HistoricalStockProgress[[#This Row],[Cost of Shares]]/HistoricalStockProgress[[#This Row],[No. of Shares]],0)</f>
        <v>-4.994974737946535</v>
      </c>
      <c r="K1484" s="17">
        <f>IF(HistoricalStockProgress[[#This Row],[Total Price of Shares]]&lt;&gt;0,HistoricalStockProgress[[#This Row],[Total Price of Shares]]-HistoricalStockProgress[[#This Row],[Cost of Shares]],0)</f>
        <v>-969.02509916162671</v>
      </c>
      <c r="L1484" s="34" t="b" cm="1">
        <f t="array" ref="L1484">IFERROR(IF(HistoricalStockProgress[[#This Row],[Price of Shares]]="",_xlfn.STOCKHISTORY(HistoricalStockProgress[[#This Row],[Full Company Name]],HistoricalStockProgress[[#This Row],[Date]],,2,0,1)),0)</f>
        <v>0</v>
      </c>
      <c r="M1484" s="34">
        <f>YEAR(HistoricalStockProgress[[#This Row],[Date]])</f>
        <v>2023</v>
      </c>
      <c r="N1484" s="34">
        <f>MONTH(HistoricalStockProgress[[#This Row],[Date]])</f>
        <v>3</v>
      </c>
    </row>
    <row r="1485" spans="2:14">
      <c r="B1485" s="15">
        <v>45016</v>
      </c>
      <c r="C1485" s="34" t="s">
        <v>98</v>
      </c>
      <c r="D1485" s="34" t="e" vm="15">
        <f>_xlfn.XLOOKUP(HistoricalStockProgress[[#This Row],[Company Ticker]],CompanyDetailsList[Company Ticker],CompanyDetailsList[Official Name],,0)</f>
        <v>#VALUE!</v>
      </c>
      <c r="E14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4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6407.714421697975</v>
      </c>
      <c r="G1485" s="17">
        <f>IFERROR(HistoricalStockProgress[[#This Row],[Cost of Shares]]/HistoricalStockProgress[[#This Row],[No. of Shares]],0)</f>
        <v>53.846339678134242</v>
      </c>
      <c r="H1485" s="16" vm="1985">
        <v>77.08</v>
      </c>
      <c r="I1485" s="16">
        <f>IF(HistoricalStockProgress[[#This Row],[No. of Shares]]&lt;&gt;0,HistoricalStockProgress[[#This Row],[Price of Shares]]*HistoricalStockProgress[[#This Row],[No. of Shares]],0)</f>
        <v>9172.52</v>
      </c>
      <c r="J1485" s="16">
        <f>IF(HistoricalStockProgress[[#This Row],[No. of Shares]]&lt;&gt;0,HistoricalStockProgress[[#This Row],[Price of Shares]]-HistoricalStockProgress[[#This Row],[Cost of Shares]]/HistoricalStockProgress[[#This Row],[No. of Shares]],0)</f>
        <v>23.233660321865756</v>
      </c>
      <c r="K1485" s="17">
        <f>IF(HistoricalStockProgress[[#This Row],[Total Price of Shares]]&lt;&gt;0,HistoricalStockProgress[[#This Row],[Total Price of Shares]]-HistoricalStockProgress[[#This Row],[Cost of Shares]],0)</f>
        <v>2764.8055783020254</v>
      </c>
      <c r="L1485" s="34" t="b" cm="1">
        <f t="array" ref="L1485">IFERROR(IF(HistoricalStockProgress[[#This Row],[Price of Shares]]="",_xlfn.STOCKHISTORY(HistoricalStockProgress[[#This Row],[Full Company Name]],HistoricalStockProgress[[#This Row],[Date]],,2,0,1)),0)</f>
        <v>0</v>
      </c>
      <c r="M1485" s="34">
        <f>YEAR(HistoricalStockProgress[[#This Row],[Date]])</f>
        <v>2023</v>
      </c>
      <c r="N1485" s="34">
        <f>MONTH(HistoricalStockProgress[[#This Row],[Date]])</f>
        <v>3</v>
      </c>
    </row>
    <row r="1486" spans="2:14">
      <c r="B1486" s="15">
        <v>45016</v>
      </c>
      <c r="C1486" s="34" t="s">
        <v>100</v>
      </c>
      <c r="D1486" s="34" t="e" vm="16">
        <f>_xlfn.XLOOKUP(HistoricalStockProgress[[#This Row],[Company Ticker]],CompanyDetailsList[Company Ticker],CompanyDetailsList[Official Name],,0)</f>
        <v>#VALUE!</v>
      </c>
      <c r="E14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4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17699.078573130391</v>
      </c>
      <c r="G1486" s="17">
        <f>IFERROR(HistoricalStockProgress[[#This Row],[Cost of Shares]]/HistoricalStockProgress[[#This Row],[No. of Shares]],0)</f>
        <v>91.232363779022634</v>
      </c>
      <c r="H1486" s="16" vm="1986">
        <v>96.47</v>
      </c>
      <c r="I1486" s="16">
        <f>IF(HistoricalStockProgress[[#This Row],[No. of Shares]]&lt;&gt;0,HistoricalStockProgress[[#This Row],[Price of Shares]]*HistoricalStockProgress[[#This Row],[No. of Shares]],0)</f>
        <v>18715.18</v>
      </c>
      <c r="J1486" s="16">
        <f>IF(HistoricalStockProgress[[#This Row],[No. of Shares]]&lt;&gt;0,HistoricalStockProgress[[#This Row],[Price of Shares]]-HistoricalStockProgress[[#This Row],[Cost of Shares]]/HistoricalStockProgress[[#This Row],[No. of Shares]],0)</f>
        <v>5.2376362209773646</v>
      </c>
      <c r="K1486" s="17">
        <f>IF(HistoricalStockProgress[[#This Row],[Total Price of Shares]]&lt;&gt;0,HistoricalStockProgress[[#This Row],[Total Price of Shares]]-HistoricalStockProgress[[#This Row],[Cost of Shares]],0)</f>
        <v>1016.101426869609</v>
      </c>
      <c r="L1486" s="34" t="b" cm="1">
        <f t="array" ref="L1486">IFERROR(IF(HistoricalStockProgress[[#This Row],[Price of Shares]]="",_xlfn.STOCKHISTORY(HistoricalStockProgress[[#This Row],[Full Company Name]],HistoricalStockProgress[[#This Row],[Date]],,2,0,1)),0)</f>
        <v>0</v>
      </c>
      <c r="M1486" s="34">
        <f>YEAR(HistoricalStockProgress[[#This Row],[Date]])</f>
        <v>2023</v>
      </c>
      <c r="N1486" s="34">
        <f>MONTH(HistoricalStockProgress[[#This Row],[Date]])</f>
        <v>3</v>
      </c>
    </row>
    <row r="1487" spans="2:14">
      <c r="B1487" s="15">
        <v>45016</v>
      </c>
      <c r="C1487" s="34" t="s">
        <v>15</v>
      </c>
      <c r="D1487" s="34" t="e" vm="17">
        <f>_xlfn.XLOOKUP(HistoricalStockProgress[[#This Row],[Company Ticker]],CompanyDetailsList[Company Ticker],CompanyDetailsList[Official Name],,0)</f>
        <v>#VALUE!</v>
      </c>
      <c r="E14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4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487" s="17">
        <f>IFERROR(HistoricalStockProgress[[#This Row],[Cost of Shares]]/HistoricalStockProgress[[#This Row],[No. of Shares]],0)</f>
        <v>26.081956457072195</v>
      </c>
      <c r="H1487" s="16" vm="535">
        <v>19.25</v>
      </c>
      <c r="I1487" s="16">
        <f>IF(HistoricalStockProgress[[#This Row],[No. of Shares]]&lt;&gt;0,HistoricalStockProgress[[#This Row],[Price of Shares]]*HistoricalStockProgress[[#This Row],[No. of Shares]],0)</f>
        <v>2387</v>
      </c>
      <c r="J1487" s="16">
        <f>IF(HistoricalStockProgress[[#This Row],[No. of Shares]]&lt;&gt;0,HistoricalStockProgress[[#This Row],[Price of Shares]]-HistoricalStockProgress[[#This Row],[Cost of Shares]]/HistoricalStockProgress[[#This Row],[No. of Shares]],0)</f>
        <v>-6.8319564570721951</v>
      </c>
      <c r="K1487" s="17">
        <f>IF(HistoricalStockProgress[[#This Row],[Total Price of Shares]]&lt;&gt;0,HistoricalStockProgress[[#This Row],[Total Price of Shares]]-HistoricalStockProgress[[#This Row],[Cost of Shares]],0)</f>
        <v>-847.16260067695202</v>
      </c>
      <c r="L1487" s="34" t="b" cm="1">
        <f t="array" ref="L1487">IFERROR(IF(HistoricalStockProgress[[#This Row],[Price of Shares]]="",_xlfn.STOCKHISTORY(HistoricalStockProgress[[#This Row],[Full Company Name]],HistoricalStockProgress[[#This Row],[Date]],,2,0,1)),0)</f>
        <v>0</v>
      </c>
      <c r="M1487" s="34">
        <f>YEAR(HistoricalStockProgress[[#This Row],[Date]])</f>
        <v>2023</v>
      </c>
      <c r="N1487" s="34">
        <f>MONTH(HistoricalStockProgress[[#This Row],[Date]])</f>
        <v>3</v>
      </c>
    </row>
    <row r="1488" spans="2:14">
      <c r="B1488" s="15">
        <v>45016</v>
      </c>
      <c r="C1488" s="34" t="s">
        <v>13</v>
      </c>
      <c r="D1488" s="34" t="e" vm="18">
        <f>_xlfn.XLOOKUP(HistoricalStockProgress[[#This Row],[Company Ticker]],CompanyDetailsList[Company Ticker],CompanyDetailsList[Official Name],,0)</f>
        <v>#VALUE!</v>
      </c>
      <c r="E14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4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488" s="17">
        <f>IFERROR(HistoricalStockProgress[[#This Row],[Cost of Shares]]/HistoricalStockProgress[[#This Row],[No. of Shares]],0)</f>
        <v>35.846938938346874</v>
      </c>
      <c r="H1488" s="16" vm="1987">
        <v>40.799999999999997</v>
      </c>
      <c r="I1488" s="16">
        <f>IF(HistoricalStockProgress[[#This Row],[No. of Shares]]&lt;&gt;0,HistoricalStockProgress[[#This Row],[Price of Shares]]*HistoricalStockProgress[[#This Row],[No. of Shares]],0)</f>
        <v>2244</v>
      </c>
      <c r="J1488" s="16">
        <f>IF(HistoricalStockProgress[[#This Row],[No. of Shares]]&lt;&gt;0,HistoricalStockProgress[[#This Row],[Price of Shares]]-HistoricalStockProgress[[#This Row],[Cost of Shares]]/HistoricalStockProgress[[#This Row],[No. of Shares]],0)</f>
        <v>4.9530610616531234</v>
      </c>
      <c r="K1488" s="17">
        <f>IF(HistoricalStockProgress[[#This Row],[Total Price of Shares]]&lt;&gt;0,HistoricalStockProgress[[#This Row],[Total Price of Shares]]-HistoricalStockProgress[[#This Row],[Cost of Shares]],0)</f>
        <v>272.41835839092187</v>
      </c>
      <c r="L1488" s="34" t="b" cm="1">
        <f t="array" ref="L1488">IFERROR(IF(HistoricalStockProgress[[#This Row],[Price of Shares]]="",_xlfn.STOCKHISTORY(HistoricalStockProgress[[#This Row],[Full Company Name]],HistoricalStockProgress[[#This Row],[Date]],,2,0,1)),0)</f>
        <v>0</v>
      </c>
      <c r="M1488" s="34">
        <f>YEAR(HistoricalStockProgress[[#This Row],[Date]])</f>
        <v>2023</v>
      </c>
      <c r="N1488" s="34">
        <f>MONTH(HistoricalStockProgress[[#This Row],[Date]])</f>
        <v>3</v>
      </c>
    </row>
    <row r="1489" spans="2:14">
      <c r="B1489" s="15">
        <v>45016</v>
      </c>
      <c r="C1489" s="34" t="s">
        <v>20</v>
      </c>
      <c r="D1489" s="34" t="e" vm="19">
        <f>_xlfn.XLOOKUP(HistoricalStockProgress[[#This Row],[Company Ticker]],CompanyDetailsList[Company Ticker],CompanyDetailsList[Official Name],,0)</f>
        <v>#VALUE!</v>
      </c>
      <c r="E14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4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489" s="17">
        <f>IFERROR(HistoricalStockProgress[[#This Row],[Cost of Shares]]/HistoricalStockProgress[[#This Row],[No. of Shares]],0)</f>
        <v>108.1760767450256</v>
      </c>
      <c r="H1489" s="16" vm="1988">
        <v>130.31</v>
      </c>
      <c r="I1489" s="16">
        <f>IF(HistoricalStockProgress[[#This Row],[No. of Shares]]&lt;&gt;0,HistoricalStockProgress[[#This Row],[Price of Shares]]*HistoricalStockProgress[[#This Row],[No. of Shares]],0)</f>
        <v>15115.960000000001</v>
      </c>
      <c r="J1489" s="16">
        <f>IF(HistoricalStockProgress[[#This Row],[No. of Shares]]&lt;&gt;0,HistoricalStockProgress[[#This Row],[Price of Shares]]-HistoricalStockProgress[[#This Row],[Cost of Shares]]/HistoricalStockProgress[[#This Row],[No. of Shares]],0)</f>
        <v>22.133923254974405</v>
      </c>
      <c r="K1489" s="17">
        <f>IF(HistoricalStockProgress[[#This Row],[Total Price of Shares]]&lt;&gt;0,HistoricalStockProgress[[#This Row],[Total Price of Shares]]-HistoricalStockProgress[[#This Row],[Cost of Shares]],0)</f>
        <v>2567.5350975770325</v>
      </c>
      <c r="L1489" s="34" t="b" cm="1">
        <f t="array" ref="L1489">IFERROR(IF(HistoricalStockProgress[[#This Row],[Price of Shares]]="",_xlfn.STOCKHISTORY(HistoricalStockProgress[[#This Row],[Full Company Name]],HistoricalStockProgress[[#This Row],[Date]],,2,0,1)),0)</f>
        <v>0</v>
      </c>
      <c r="M1489" s="34">
        <f>YEAR(HistoricalStockProgress[[#This Row],[Date]])</f>
        <v>2023</v>
      </c>
      <c r="N1489" s="34">
        <f>MONTH(HistoricalStockProgress[[#This Row],[Date]])</f>
        <v>3</v>
      </c>
    </row>
    <row r="1490" spans="2:14">
      <c r="B1490" s="15">
        <v>45016</v>
      </c>
      <c r="C1490" s="34" t="s">
        <v>106</v>
      </c>
      <c r="D1490" s="34" t="e" vm="20">
        <f>_xlfn.XLOOKUP(HistoricalStockProgress[[#This Row],[Company Ticker]],CompanyDetailsList[Company Ticker],CompanyDetailsList[Official Name],,0)</f>
        <v>#VALUE!</v>
      </c>
      <c r="E14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4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490" s="17">
        <f>IFERROR(HistoricalStockProgress[[#This Row],[Cost of Shares]]/HistoricalStockProgress[[#This Row],[No. of Shares]],0)</f>
        <v>108.54870748680406</v>
      </c>
      <c r="H1490" s="16" vm="1989">
        <v>133.58000000000001</v>
      </c>
      <c r="I1490" s="16">
        <f>IF(HistoricalStockProgress[[#This Row],[No. of Shares]]&lt;&gt;0,HistoricalStockProgress[[#This Row],[Price of Shares]]*HistoricalStockProgress[[#This Row],[No. of Shares]],0)</f>
        <v>11755.04</v>
      </c>
      <c r="J1490" s="16">
        <f>IF(HistoricalStockProgress[[#This Row],[No. of Shares]]&lt;&gt;0,HistoricalStockProgress[[#This Row],[Price of Shares]]-HistoricalStockProgress[[#This Row],[Cost of Shares]]/HistoricalStockProgress[[#This Row],[No. of Shares]],0)</f>
        <v>25.03129251319595</v>
      </c>
      <c r="K1490" s="17">
        <f>IF(HistoricalStockProgress[[#This Row],[Total Price of Shares]]&lt;&gt;0,HistoricalStockProgress[[#This Row],[Total Price of Shares]]-HistoricalStockProgress[[#This Row],[Cost of Shares]],0)</f>
        <v>2202.7537411612429</v>
      </c>
      <c r="L1490" s="34" t="b" cm="1">
        <f t="array" ref="L1490">IFERROR(IF(HistoricalStockProgress[[#This Row],[Price of Shares]]="",_xlfn.STOCKHISTORY(HistoricalStockProgress[[#This Row],[Full Company Name]],HistoricalStockProgress[[#This Row],[Date]],,2,0,1)),0)</f>
        <v>0</v>
      </c>
      <c r="M1490" s="34">
        <f>YEAR(HistoricalStockProgress[[#This Row],[Date]])</f>
        <v>2023</v>
      </c>
      <c r="N1490" s="34">
        <f>MONTH(HistoricalStockProgress[[#This Row],[Date]])</f>
        <v>3</v>
      </c>
    </row>
    <row r="1491" spans="2:14">
      <c r="B1491" s="15">
        <v>45046</v>
      </c>
      <c r="C1491" s="34" t="s">
        <v>12</v>
      </c>
      <c r="D1491" s="34" t="e" vm="1">
        <f>_xlfn.XLOOKUP(HistoricalStockProgress[[#This Row],[Company Ticker]],CompanyDetailsList[Company Ticker],CompanyDetailsList[Official Name],,0)</f>
        <v>#VALUE!</v>
      </c>
      <c r="E14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4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491" s="17">
        <f>IFERROR(HistoricalStockProgress[[#This Row],[Cost of Shares]]/HistoricalStockProgress[[#This Row],[No. of Shares]],0)</f>
        <v>64.573985995316889</v>
      </c>
      <c r="H1491" s="16" vm="1990">
        <v>62.84</v>
      </c>
      <c r="I1491" s="16">
        <f>IF(HistoricalStockProgress[[#This Row],[No. of Shares]]&lt;&gt;0,HistoricalStockProgress[[#This Row],[Price of Shares]]*HistoricalStockProgress[[#This Row],[No. of Shares]],0)</f>
        <v>6095.4800000000005</v>
      </c>
      <c r="J1491" s="16">
        <f>IF(HistoricalStockProgress[[#This Row],[No. of Shares]]&lt;&gt;0,HistoricalStockProgress[[#This Row],[Price of Shares]]-HistoricalStockProgress[[#This Row],[Cost of Shares]]/HistoricalStockProgress[[#This Row],[No. of Shares]],0)</f>
        <v>-1.7339859953168855</v>
      </c>
      <c r="K1491" s="17">
        <f>IF(HistoricalStockProgress[[#This Row],[Total Price of Shares]]&lt;&gt;0,HistoricalStockProgress[[#This Row],[Total Price of Shares]]-HistoricalStockProgress[[#This Row],[Cost of Shares]],0)</f>
        <v>-168.19664154573729</v>
      </c>
      <c r="L1491" s="34" t="b" cm="1">
        <f t="array" ref="L1491">IFERROR(IF(HistoricalStockProgress[[#This Row],[Price of Shares]]="",_xlfn.STOCKHISTORY(HistoricalStockProgress[[#This Row],[Full Company Name]],HistoricalStockProgress[[#This Row],[Date]],,2,0,1)),0)</f>
        <v>0</v>
      </c>
      <c r="M1491" s="34">
        <f>YEAR(HistoricalStockProgress[[#This Row],[Date]])</f>
        <v>2023</v>
      </c>
      <c r="N1491" s="34">
        <f>MONTH(HistoricalStockProgress[[#This Row],[Date]])</f>
        <v>4</v>
      </c>
    </row>
    <row r="1492" spans="2:14">
      <c r="B1492" s="15">
        <v>45046</v>
      </c>
      <c r="C1492" s="34" t="s">
        <v>14</v>
      </c>
      <c r="D1492" s="34" t="e" vm="2">
        <f>_xlfn.XLOOKUP(HistoricalStockProgress[[#This Row],[Company Ticker]],CompanyDetailsList[Company Ticker],CompanyDetailsList[Official Name],,0)</f>
        <v>#VALUE!</v>
      </c>
      <c r="E14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4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492" s="17">
        <f>IFERROR(HistoricalStockProgress[[#This Row],[Cost of Shares]]/HistoricalStockProgress[[#This Row],[No. of Shares]],0)</f>
        <v>31.580112511620161</v>
      </c>
      <c r="H1492" s="16" vm="1991">
        <v>30.37</v>
      </c>
      <c r="I1492" s="16">
        <f>IF(HistoricalStockProgress[[#This Row],[No. of Shares]]&lt;&gt;0,HistoricalStockProgress[[#This Row],[Price of Shares]]*HistoricalStockProgress[[#This Row],[No. of Shares]],0)</f>
        <v>850.36</v>
      </c>
      <c r="J1492" s="16">
        <f>IF(HistoricalStockProgress[[#This Row],[No. of Shares]]&lt;&gt;0,HistoricalStockProgress[[#This Row],[Price of Shares]]-HistoricalStockProgress[[#This Row],[Cost of Shares]]/HistoricalStockProgress[[#This Row],[No. of Shares]],0)</f>
        <v>-1.2101125116201601</v>
      </c>
      <c r="K1492" s="17">
        <f>IF(HistoricalStockProgress[[#This Row],[Total Price of Shares]]&lt;&gt;0,HistoricalStockProgress[[#This Row],[Total Price of Shares]]-HistoricalStockProgress[[#This Row],[Cost of Shares]],0)</f>
        <v>-33.883150325364454</v>
      </c>
      <c r="L1492" s="34" t="b" cm="1">
        <f t="array" ref="L1492">IFERROR(IF(HistoricalStockProgress[[#This Row],[Price of Shares]]="",_xlfn.STOCKHISTORY(HistoricalStockProgress[[#This Row],[Full Company Name]],HistoricalStockProgress[[#This Row],[Date]],,2,0,1)),0)</f>
        <v>0</v>
      </c>
      <c r="M1492" s="34">
        <f>YEAR(HistoricalStockProgress[[#This Row],[Date]])</f>
        <v>2023</v>
      </c>
      <c r="N1492" s="34">
        <f>MONTH(HistoricalStockProgress[[#This Row],[Date]])</f>
        <v>4</v>
      </c>
    </row>
    <row r="1493" spans="2:14">
      <c r="B1493" s="15">
        <v>45046</v>
      </c>
      <c r="C1493" s="34" t="s">
        <v>19</v>
      </c>
      <c r="D1493" s="34" t="e" vm="3">
        <f>_xlfn.XLOOKUP(HistoricalStockProgress[[#This Row],[Company Ticker]],CompanyDetailsList[Company Ticker],CompanyDetailsList[Official Name],,0)</f>
        <v>#VALUE!</v>
      </c>
      <c r="E14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4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493" s="17">
        <f>IFERROR(HistoricalStockProgress[[#This Row],[Cost of Shares]]/HistoricalStockProgress[[#This Row],[No. of Shares]],0)</f>
        <v>158.45739987816083</v>
      </c>
      <c r="H1493" s="16" vm="1992">
        <v>165.62</v>
      </c>
      <c r="I1493" s="16">
        <f>IF(HistoricalStockProgress[[#This Row],[No. of Shares]]&lt;&gt;0,HistoricalStockProgress[[#This Row],[Price of Shares]]*HistoricalStockProgress[[#This Row],[No. of Shares]],0)</f>
        <v>9440.34</v>
      </c>
      <c r="J1493" s="16">
        <f>IF(HistoricalStockProgress[[#This Row],[No. of Shares]]&lt;&gt;0,HistoricalStockProgress[[#This Row],[Price of Shares]]-HistoricalStockProgress[[#This Row],[Cost of Shares]]/HistoricalStockProgress[[#This Row],[No. of Shares]],0)</f>
        <v>7.1626001218391764</v>
      </c>
      <c r="K1493" s="17">
        <f>IF(HistoricalStockProgress[[#This Row],[Total Price of Shares]]&lt;&gt;0,HistoricalStockProgress[[#This Row],[Total Price of Shares]]-HistoricalStockProgress[[#This Row],[Cost of Shares]],0)</f>
        <v>408.26820694483285</v>
      </c>
      <c r="L1493" s="34" t="b" cm="1">
        <f t="array" ref="L1493">IFERROR(IF(HistoricalStockProgress[[#This Row],[Price of Shares]]="",_xlfn.STOCKHISTORY(HistoricalStockProgress[[#This Row],[Full Company Name]],HistoricalStockProgress[[#This Row],[Date]],,2,0,1)),0)</f>
        <v>0</v>
      </c>
      <c r="M1493" s="34">
        <f>YEAR(HistoricalStockProgress[[#This Row],[Date]])</f>
        <v>2023</v>
      </c>
      <c r="N1493" s="34">
        <f>MONTH(HistoricalStockProgress[[#This Row],[Date]])</f>
        <v>4</v>
      </c>
    </row>
    <row r="1494" spans="2:14">
      <c r="B1494" s="15">
        <v>45046</v>
      </c>
      <c r="C1494" s="34" t="s">
        <v>23</v>
      </c>
      <c r="D1494" s="34" t="e" vm="4">
        <f>_xlfn.XLOOKUP(HistoricalStockProgress[[#This Row],[Company Ticker]],CompanyDetailsList[Company Ticker],CompanyDetailsList[Official Name],,0)</f>
        <v>#VALUE!</v>
      </c>
      <c r="E14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85</v>
      </c>
      <c r="F14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4210.4106468589489</v>
      </c>
      <c r="G1494" s="17">
        <f>IFERROR(HistoricalStockProgress[[#This Row],[Cost of Shares]]/HistoricalStockProgress[[#This Row],[No. of Shares]],0)</f>
        <v>49.534242904222928</v>
      </c>
      <c r="H1494" s="16" vm="1993">
        <v>64.150000000000006</v>
      </c>
      <c r="I1494" s="16">
        <f>IF(HistoricalStockProgress[[#This Row],[No. of Shares]]&lt;&gt;0,HistoricalStockProgress[[#This Row],[Price of Shares]]*HistoricalStockProgress[[#This Row],[No. of Shares]],0)</f>
        <v>5452.7500000000009</v>
      </c>
      <c r="J1494" s="16">
        <f>IF(HistoricalStockProgress[[#This Row],[No. of Shares]]&lt;&gt;0,HistoricalStockProgress[[#This Row],[Price of Shares]]-HistoricalStockProgress[[#This Row],[Cost of Shares]]/HistoricalStockProgress[[#This Row],[No. of Shares]],0)</f>
        <v>14.615757095777077</v>
      </c>
      <c r="K1494" s="17">
        <f>IF(HistoricalStockProgress[[#This Row],[Total Price of Shares]]&lt;&gt;0,HistoricalStockProgress[[#This Row],[Total Price of Shares]]-HistoricalStockProgress[[#This Row],[Cost of Shares]],0)</f>
        <v>1242.339353141052</v>
      </c>
      <c r="L1494" s="34" t="b" cm="1">
        <f t="array" ref="L1494">IFERROR(IF(HistoricalStockProgress[[#This Row],[Price of Shares]]="",_xlfn.STOCKHISTORY(HistoricalStockProgress[[#This Row],[Full Company Name]],HistoricalStockProgress[[#This Row],[Date]],,2,0,1)),0)</f>
        <v>0</v>
      </c>
      <c r="M1494" s="34">
        <f>YEAR(HistoricalStockProgress[[#This Row],[Date]])</f>
        <v>2023</v>
      </c>
      <c r="N1494" s="34">
        <f>MONTH(HistoricalStockProgress[[#This Row],[Date]])</f>
        <v>4</v>
      </c>
    </row>
    <row r="1495" spans="2:14">
      <c r="B1495" s="15">
        <v>45046</v>
      </c>
      <c r="C1495" s="34" t="s">
        <v>18</v>
      </c>
      <c r="D1495" s="34" t="e" vm="5">
        <f>_xlfn.XLOOKUP(HistoricalStockProgress[[#This Row],[Company Ticker]],CompanyDetailsList[Company Ticker],CompanyDetailsList[Official Name],,0)</f>
        <v>#VALUE!</v>
      </c>
      <c r="E14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4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495" s="17">
        <f>IFERROR(HistoricalStockProgress[[#This Row],[Cost of Shares]]/HistoricalStockProgress[[#This Row],[No. of Shares]],0)</f>
        <v>160.8859607546234</v>
      </c>
      <c r="H1495" s="16" vm="1994">
        <v>190.89</v>
      </c>
      <c r="I1495" s="16">
        <f>IF(HistoricalStockProgress[[#This Row],[No. of Shares]]&lt;&gt;0,HistoricalStockProgress[[#This Row],[Price of Shares]]*HistoricalStockProgress[[#This Row],[No. of Shares]],0)</f>
        <v>8208.2699999999986</v>
      </c>
      <c r="J1495" s="16">
        <f>IF(HistoricalStockProgress[[#This Row],[No. of Shares]]&lt;&gt;0,HistoricalStockProgress[[#This Row],[Price of Shares]]-HistoricalStockProgress[[#This Row],[Cost of Shares]]/HistoricalStockProgress[[#This Row],[No. of Shares]],0)</f>
        <v>30.004039245376589</v>
      </c>
      <c r="K1495" s="17">
        <f>IF(HistoricalStockProgress[[#This Row],[Total Price of Shares]]&lt;&gt;0,HistoricalStockProgress[[#This Row],[Total Price of Shares]]-HistoricalStockProgress[[#This Row],[Cost of Shares]],0)</f>
        <v>1290.1736875511924</v>
      </c>
      <c r="L1495" s="34" t="b" cm="1">
        <f t="array" ref="L1495">IFERROR(IF(HistoricalStockProgress[[#This Row],[Price of Shares]]="",_xlfn.STOCKHISTORY(HistoricalStockProgress[[#This Row],[Full Company Name]],HistoricalStockProgress[[#This Row],[Date]],,2,0,1)),0)</f>
        <v>0</v>
      </c>
      <c r="M1495" s="34">
        <f>YEAR(HistoricalStockProgress[[#This Row],[Date]])</f>
        <v>2023</v>
      </c>
      <c r="N1495" s="34">
        <f>MONTH(HistoricalStockProgress[[#This Row],[Date]])</f>
        <v>4</v>
      </c>
    </row>
    <row r="1496" spans="2:14">
      <c r="B1496" s="15">
        <v>45046</v>
      </c>
      <c r="C1496" s="34" t="s">
        <v>21</v>
      </c>
      <c r="D1496" s="34" t="e" vm="6">
        <f>_xlfn.XLOOKUP(HistoricalStockProgress[[#This Row],[Company Ticker]],CompanyDetailsList[Company Ticker],CompanyDetailsList[Official Name],,0)</f>
        <v>#VALUE!</v>
      </c>
      <c r="E14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4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496" s="17">
        <f>IFERROR(HistoricalStockProgress[[#This Row],[Cost of Shares]]/HistoricalStockProgress[[#This Row],[No. of Shares]],0)</f>
        <v>139.68700010204148</v>
      </c>
      <c r="H1496" s="16" vm="1995">
        <v>156.38</v>
      </c>
      <c r="I1496" s="16">
        <f>IF(HistoricalStockProgress[[#This Row],[No. of Shares]]&lt;&gt;0,HistoricalStockProgress[[#This Row],[Price of Shares]]*HistoricalStockProgress[[#This Row],[No. of Shares]],0)</f>
        <v>6567.96</v>
      </c>
      <c r="J1496" s="16">
        <f>IF(HistoricalStockProgress[[#This Row],[No. of Shares]]&lt;&gt;0,HistoricalStockProgress[[#This Row],[Price of Shares]]-HistoricalStockProgress[[#This Row],[Cost of Shares]]/HistoricalStockProgress[[#This Row],[No. of Shares]],0)</f>
        <v>16.692999897958515</v>
      </c>
      <c r="K1496" s="17">
        <f>IF(HistoricalStockProgress[[#This Row],[Total Price of Shares]]&lt;&gt;0,HistoricalStockProgress[[#This Row],[Total Price of Shares]]-HistoricalStockProgress[[#This Row],[Cost of Shares]],0)</f>
        <v>701.10599571425792</v>
      </c>
      <c r="L1496" s="34" t="b" cm="1">
        <f t="array" ref="L1496">IFERROR(IF(HistoricalStockProgress[[#This Row],[Price of Shares]]="",_xlfn.STOCKHISTORY(HistoricalStockProgress[[#This Row],[Full Company Name]],HistoricalStockProgress[[#This Row],[Date]],,2,0,1)),0)</f>
        <v>0</v>
      </c>
      <c r="M1496" s="34">
        <f>YEAR(HistoricalStockProgress[[#This Row],[Date]])</f>
        <v>2023</v>
      </c>
      <c r="N1496" s="34">
        <f>MONTH(HistoricalStockProgress[[#This Row],[Date]])</f>
        <v>4</v>
      </c>
    </row>
    <row r="1497" spans="2:14">
      <c r="B1497" s="15">
        <v>45046</v>
      </c>
      <c r="C1497" s="34" t="s">
        <v>84</v>
      </c>
      <c r="D1497" s="34" t="e" vm="7">
        <f>_xlfn.XLOOKUP(HistoricalStockProgress[[#This Row],[Company Ticker]],CompanyDetailsList[Company Ticker],CompanyDetailsList[Official Name],,0)</f>
        <v>#VALUE!</v>
      </c>
      <c r="E14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4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497" s="17">
        <f>IFERROR(HistoricalStockProgress[[#This Row],[Cost of Shares]]/HistoricalStockProgress[[#This Row],[No. of Shares]],0)</f>
        <v>104.18087504950869</v>
      </c>
      <c r="H1497" s="16" vm="902">
        <v>163.69999999999999</v>
      </c>
      <c r="I1497" s="16">
        <f>IF(HistoricalStockProgress[[#This Row],[No. of Shares]]&lt;&gt;0,HistoricalStockProgress[[#This Row],[Price of Shares]]*HistoricalStockProgress[[#This Row],[No. of Shares]],0)</f>
        <v>8348.6999999999989</v>
      </c>
      <c r="J1497" s="16">
        <f>IF(HistoricalStockProgress[[#This Row],[No. of Shares]]&lt;&gt;0,HistoricalStockProgress[[#This Row],[Price of Shares]]-HistoricalStockProgress[[#This Row],[Cost of Shares]]/HistoricalStockProgress[[#This Row],[No. of Shares]],0)</f>
        <v>59.519124950491303</v>
      </c>
      <c r="K1497" s="17">
        <f>IF(HistoricalStockProgress[[#This Row],[Total Price of Shares]]&lt;&gt;0,HistoricalStockProgress[[#This Row],[Total Price of Shares]]-HistoricalStockProgress[[#This Row],[Cost of Shares]],0)</f>
        <v>3035.4753724750562</v>
      </c>
      <c r="L1497" s="34" t="b" cm="1">
        <f t="array" ref="L1497">IFERROR(IF(HistoricalStockProgress[[#This Row],[Price of Shares]]="",_xlfn.STOCKHISTORY(HistoricalStockProgress[[#This Row],[Full Company Name]],HistoricalStockProgress[[#This Row],[Date]],,2,0,1)),0)</f>
        <v>0</v>
      </c>
      <c r="M1497" s="34">
        <f>YEAR(HistoricalStockProgress[[#This Row],[Date]])</f>
        <v>2023</v>
      </c>
      <c r="N1497" s="34">
        <f>MONTH(HistoricalStockProgress[[#This Row],[Date]])</f>
        <v>4</v>
      </c>
    </row>
    <row r="1498" spans="2:14">
      <c r="B1498" s="15">
        <v>45046</v>
      </c>
      <c r="C1498" s="34" t="s">
        <v>86</v>
      </c>
      <c r="D1498" s="34" t="e" vm="8">
        <f>_xlfn.XLOOKUP(HistoricalStockProgress[[#This Row],[Company Ticker]],CompanyDetailsList[Company Ticker],CompanyDetailsList[Official Name],,0)</f>
        <v>#VALUE!</v>
      </c>
      <c r="E14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4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498" s="17">
        <f>IFERROR(HistoricalStockProgress[[#This Row],[Cost of Shares]]/HistoricalStockProgress[[#This Row],[No. of Shares]],0)</f>
        <v>92.636161128673535</v>
      </c>
      <c r="H1498" s="16" vm="1996">
        <v>151.12</v>
      </c>
      <c r="I1498" s="16">
        <f>IF(HistoricalStockProgress[[#This Row],[No. of Shares]]&lt;&gt;0,HistoricalStockProgress[[#This Row],[Price of Shares]]*HistoricalStockProgress[[#This Row],[No. of Shares]],0)</f>
        <v>17227.68</v>
      </c>
      <c r="J1498" s="16">
        <f>IF(HistoricalStockProgress[[#This Row],[No. of Shares]]&lt;&gt;0,HistoricalStockProgress[[#This Row],[Price of Shares]]-HistoricalStockProgress[[#This Row],[Cost of Shares]]/HistoricalStockProgress[[#This Row],[No. of Shares]],0)</f>
        <v>58.483838871326469</v>
      </c>
      <c r="K1498" s="17">
        <f>IF(HistoricalStockProgress[[#This Row],[Total Price of Shares]]&lt;&gt;0,HistoricalStockProgress[[#This Row],[Total Price of Shares]]-HistoricalStockProgress[[#This Row],[Cost of Shares]],0)</f>
        <v>6667.157631331218</v>
      </c>
      <c r="L1498" s="34" t="b" cm="1">
        <f t="array" ref="L1498">IFERROR(IF(HistoricalStockProgress[[#This Row],[Price of Shares]]="",_xlfn.STOCKHISTORY(HistoricalStockProgress[[#This Row],[Full Company Name]],HistoricalStockProgress[[#This Row],[Date]],,2,0,1)),0)</f>
        <v>0</v>
      </c>
      <c r="M1498" s="34">
        <f>YEAR(HistoricalStockProgress[[#This Row],[Date]])</f>
        <v>2023</v>
      </c>
      <c r="N1498" s="34">
        <f>MONTH(HistoricalStockProgress[[#This Row],[Date]])</f>
        <v>4</v>
      </c>
    </row>
    <row r="1499" spans="2:14">
      <c r="B1499" s="15">
        <v>45046</v>
      </c>
      <c r="C1499" s="34" t="s">
        <v>88</v>
      </c>
      <c r="D1499" s="34" t="e" vm="9">
        <f>_xlfn.XLOOKUP(HistoricalStockProgress[[#This Row],[Company Ticker]],CompanyDetailsList[Company Ticker],CompanyDetailsList[Official Name],,0)</f>
        <v>#VALUE!</v>
      </c>
      <c r="E14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4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499" s="17">
        <f>IFERROR(HistoricalStockProgress[[#This Row],[Cost of Shares]]/HistoricalStockProgress[[#This Row],[No. of Shares]],0)</f>
        <v>187.727755253422</v>
      </c>
      <c r="H1499" s="16" vm="1997">
        <v>295.75</v>
      </c>
      <c r="I1499" s="16">
        <f>IF(HistoricalStockProgress[[#This Row],[No. of Shares]]&lt;&gt;0,HistoricalStockProgress[[#This Row],[Price of Shares]]*HistoricalStockProgress[[#This Row],[No. of Shares]],0)</f>
        <v>17449.25</v>
      </c>
      <c r="J1499" s="16">
        <f>IF(HistoricalStockProgress[[#This Row],[No. of Shares]]&lt;&gt;0,HistoricalStockProgress[[#This Row],[Price of Shares]]-HistoricalStockProgress[[#This Row],[Cost of Shares]]/HistoricalStockProgress[[#This Row],[No. of Shares]],0)</f>
        <v>108.022244746578</v>
      </c>
      <c r="K1499" s="17">
        <f>IF(HistoricalStockProgress[[#This Row],[Total Price of Shares]]&lt;&gt;0,HistoricalStockProgress[[#This Row],[Total Price of Shares]]-HistoricalStockProgress[[#This Row],[Cost of Shares]],0)</f>
        <v>6373.3124400481011</v>
      </c>
      <c r="L1499" s="34" t="b" cm="1">
        <f t="array" ref="L1499">IFERROR(IF(HistoricalStockProgress[[#This Row],[Price of Shares]]="",_xlfn.STOCKHISTORY(HistoricalStockProgress[[#This Row],[Full Company Name]],HistoricalStockProgress[[#This Row],[Date]],,2,0,1)),0)</f>
        <v>0</v>
      </c>
      <c r="M1499" s="34">
        <f>YEAR(HistoricalStockProgress[[#This Row],[Date]])</f>
        <v>2023</v>
      </c>
      <c r="N1499" s="34">
        <f>MONTH(HistoricalStockProgress[[#This Row],[Date]])</f>
        <v>4</v>
      </c>
    </row>
    <row r="1500" spans="2:14">
      <c r="B1500" s="15">
        <v>45046</v>
      </c>
      <c r="C1500" s="34" t="s">
        <v>22</v>
      </c>
      <c r="D1500" s="34" t="e" vm="10">
        <f>_xlfn.XLOOKUP(HistoricalStockProgress[[#This Row],[Company Ticker]],CompanyDetailsList[Company Ticker],CompanyDetailsList[Official Name],,0)</f>
        <v>#VALUE!</v>
      </c>
      <c r="E15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5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500" s="17">
        <f>IFERROR(HistoricalStockProgress[[#This Row],[Cost of Shares]]/HistoricalStockProgress[[#This Row],[No. of Shares]],0)</f>
        <v>130.19784136724968</v>
      </c>
      <c r="H1500" s="16" vm="1998">
        <v>218.8</v>
      </c>
      <c r="I1500" s="16">
        <f>IF(HistoricalStockProgress[[#This Row],[No. of Shares]]&lt;&gt;0,HistoricalStockProgress[[#This Row],[Price of Shares]]*HistoricalStockProgress[[#This Row],[No. of Shares]],0)</f>
        <v>26037.200000000001</v>
      </c>
      <c r="J1500" s="16">
        <f>IF(HistoricalStockProgress[[#This Row],[No. of Shares]]&lt;&gt;0,HistoricalStockProgress[[#This Row],[Price of Shares]]-HistoricalStockProgress[[#This Row],[Cost of Shares]]/HistoricalStockProgress[[#This Row],[No. of Shares]],0)</f>
        <v>88.602158632750331</v>
      </c>
      <c r="K1500" s="17">
        <f>IF(HistoricalStockProgress[[#This Row],[Total Price of Shares]]&lt;&gt;0,HistoricalStockProgress[[#This Row],[Total Price of Shares]]-HistoricalStockProgress[[#This Row],[Cost of Shares]],0)</f>
        <v>10543.656877297288</v>
      </c>
      <c r="L1500" s="34" t="b" cm="1">
        <f t="array" ref="L1500">IFERROR(IF(HistoricalStockProgress[[#This Row],[Price of Shares]]="",_xlfn.STOCKHISTORY(HistoricalStockProgress[[#This Row],[Full Company Name]],HistoricalStockProgress[[#This Row],[Date]],,2,0,1)),0)</f>
        <v>0</v>
      </c>
      <c r="M1500" s="34">
        <f>YEAR(HistoricalStockProgress[[#This Row],[Date]])</f>
        <v>2023</v>
      </c>
      <c r="N1500" s="34">
        <f>MONTH(HistoricalStockProgress[[#This Row],[Date]])</f>
        <v>4</v>
      </c>
    </row>
    <row r="1501" spans="2:14">
      <c r="B1501" s="15">
        <v>45046</v>
      </c>
      <c r="C1501" s="34" t="s">
        <v>91</v>
      </c>
      <c r="D1501" s="34" t="e" vm="11">
        <f>_xlfn.XLOOKUP(HistoricalStockProgress[[#This Row],[Company Ticker]],CompanyDetailsList[Company Ticker],CompanyDetailsList[Official Name],,0)</f>
        <v>#VALUE!</v>
      </c>
      <c r="E15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5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501" s="17">
        <f>IFERROR(HistoricalStockProgress[[#This Row],[Cost of Shares]]/HistoricalStockProgress[[#This Row],[No. of Shares]],0)</f>
        <v>133.15744058830452</v>
      </c>
      <c r="H1501" s="16" vm="1999">
        <v>307.26</v>
      </c>
      <c r="I1501" s="16">
        <f>IF(HistoricalStockProgress[[#This Row],[No. of Shares]]&lt;&gt;0,HistoricalStockProgress[[#This Row],[Price of Shares]]*HistoricalStockProgress[[#This Row],[No. of Shares]],0)</f>
        <v>56228.58</v>
      </c>
      <c r="J1501" s="16">
        <f>IF(HistoricalStockProgress[[#This Row],[No. of Shares]]&lt;&gt;0,HistoricalStockProgress[[#This Row],[Price of Shares]]-HistoricalStockProgress[[#This Row],[Cost of Shares]]/HistoricalStockProgress[[#This Row],[No. of Shares]],0)</f>
        <v>174.10255941169547</v>
      </c>
      <c r="K1501" s="17">
        <f>IF(HistoricalStockProgress[[#This Row],[Total Price of Shares]]&lt;&gt;0,HistoricalStockProgress[[#This Row],[Total Price of Shares]]-HistoricalStockProgress[[#This Row],[Cost of Shares]],0)</f>
        <v>31860.768372340273</v>
      </c>
      <c r="L1501" s="34" t="b" cm="1">
        <f t="array" ref="L1501">IFERROR(IF(HistoricalStockProgress[[#This Row],[Price of Shares]]="",_xlfn.STOCKHISTORY(HistoricalStockProgress[[#This Row],[Full Company Name]],HistoricalStockProgress[[#This Row],[Date]],,2,0,1)),0)</f>
        <v>0</v>
      </c>
      <c r="M1501" s="34">
        <f>YEAR(HistoricalStockProgress[[#This Row],[Date]])</f>
        <v>2023</v>
      </c>
      <c r="N1501" s="34">
        <f>MONTH(HistoricalStockProgress[[#This Row],[Date]])</f>
        <v>4</v>
      </c>
    </row>
    <row r="1502" spans="2:14">
      <c r="B1502" s="15">
        <v>45046</v>
      </c>
      <c r="C1502" s="34" t="s">
        <v>16</v>
      </c>
      <c r="D1502" s="34" t="e" vm="12">
        <f>_xlfn.XLOOKUP(HistoricalStockProgress[[#This Row],[Company Ticker]],CompanyDetailsList[Company Ticker],CompanyDetailsList[Official Name],,0)</f>
        <v>#VALUE!</v>
      </c>
      <c r="E15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5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502" s="17">
        <f>IFERROR(HistoricalStockProgress[[#This Row],[Cost of Shares]]/HistoricalStockProgress[[#This Row],[No. of Shares]],0)</f>
        <v>75.117698177311837</v>
      </c>
      <c r="H1502" s="16" vm="2000">
        <v>118.34</v>
      </c>
      <c r="I1502" s="16">
        <f>IF(HistoricalStockProgress[[#This Row],[No. of Shares]]&lt;&gt;0,HistoricalStockProgress[[#This Row],[Price of Shares]]*HistoricalStockProgress[[#This Row],[No. of Shares]],0)</f>
        <v>21892.9</v>
      </c>
      <c r="J1502" s="16">
        <f>IF(HistoricalStockProgress[[#This Row],[No. of Shares]]&lt;&gt;0,HistoricalStockProgress[[#This Row],[Price of Shares]]-HistoricalStockProgress[[#This Row],[Cost of Shares]]/HistoricalStockProgress[[#This Row],[No. of Shares]],0)</f>
        <v>43.222301822688166</v>
      </c>
      <c r="K1502" s="17">
        <f>IF(HistoricalStockProgress[[#This Row],[Total Price of Shares]]&lt;&gt;0,HistoricalStockProgress[[#This Row],[Total Price of Shares]]-HistoricalStockProgress[[#This Row],[Cost of Shares]],0)</f>
        <v>7996.1258371973126</v>
      </c>
      <c r="L1502" s="34" t="b" cm="1">
        <f t="array" ref="L1502">IFERROR(IF(HistoricalStockProgress[[#This Row],[Price of Shares]]="",_xlfn.STOCKHISTORY(HistoricalStockProgress[[#This Row],[Full Company Name]],HistoricalStockProgress[[#This Row],[Date]],,2,0,1)),0)</f>
        <v>0</v>
      </c>
      <c r="M1502" s="34">
        <f>YEAR(HistoricalStockProgress[[#This Row],[Date]])</f>
        <v>2023</v>
      </c>
      <c r="N1502" s="34">
        <f>MONTH(HistoricalStockProgress[[#This Row],[Date]])</f>
        <v>4</v>
      </c>
    </row>
    <row r="1503" spans="2:14">
      <c r="B1503" s="15">
        <v>45046</v>
      </c>
      <c r="C1503" s="34" t="s">
        <v>95</v>
      </c>
      <c r="D1503" s="34" t="e" vm="13">
        <f>_xlfn.XLOOKUP(HistoricalStockProgress[[#This Row],[Company Ticker]],CompanyDetailsList[Company Ticker],CompanyDetailsList[Official Name],,0)</f>
        <v>#VALUE!</v>
      </c>
      <c r="E15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15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26060.016778018562</v>
      </c>
      <c r="G1503" s="17">
        <f>IFERROR(HistoricalStockProgress[[#This Row],[Cost of Shares]]/HistoricalStockProgress[[#This Row],[No. of Shares]],0)</f>
        <v>234.77492592809514</v>
      </c>
      <c r="H1503" s="16" vm="2001">
        <v>300.54000000000002</v>
      </c>
      <c r="I1503" s="16">
        <f>IF(HistoricalStockProgress[[#This Row],[No. of Shares]]&lt;&gt;0,HistoricalStockProgress[[#This Row],[Price of Shares]]*HistoricalStockProgress[[#This Row],[No. of Shares]],0)</f>
        <v>33359.94</v>
      </c>
      <c r="J1503" s="16">
        <f>IF(HistoricalStockProgress[[#This Row],[No. of Shares]]&lt;&gt;0,HistoricalStockProgress[[#This Row],[Price of Shares]]-HistoricalStockProgress[[#This Row],[Cost of Shares]]/HistoricalStockProgress[[#This Row],[No. of Shares]],0)</f>
        <v>65.765074071904877</v>
      </c>
      <c r="K1503" s="17">
        <f>IF(HistoricalStockProgress[[#This Row],[Total Price of Shares]]&lt;&gt;0,HistoricalStockProgress[[#This Row],[Total Price of Shares]]-HistoricalStockProgress[[#This Row],[Cost of Shares]],0)</f>
        <v>7299.9232219814403</v>
      </c>
      <c r="L1503" s="34" t="b" cm="1">
        <f t="array" ref="L1503">IFERROR(IF(HistoricalStockProgress[[#This Row],[Price of Shares]]="",_xlfn.STOCKHISTORY(HistoricalStockProgress[[#This Row],[Full Company Name]],HistoricalStockProgress[[#This Row],[Date]],,2,0,1)),0)</f>
        <v>0</v>
      </c>
      <c r="M1503" s="34">
        <f>YEAR(HistoricalStockProgress[[#This Row],[Date]])</f>
        <v>2023</v>
      </c>
      <c r="N1503" s="34">
        <f>MONTH(HistoricalStockProgress[[#This Row],[Date]])</f>
        <v>4</v>
      </c>
    </row>
    <row r="1504" spans="2:14">
      <c r="B1504" s="15">
        <v>45046</v>
      </c>
      <c r="C1504" s="34" t="s">
        <v>17</v>
      </c>
      <c r="D1504" s="34" t="e" vm="14">
        <f>_xlfn.XLOOKUP(HistoricalStockProgress[[#This Row],[Company Ticker]],CompanyDetailsList[Company Ticker],CompanyDetailsList[Official Name],,0)</f>
        <v>#VALUE!</v>
      </c>
      <c r="E15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5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26400.485099161626</v>
      </c>
      <c r="G1504" s="17">
        <f>IFERROR(HistoricalStockProgress[[#This Row],[Cost of Shares]]/HistoricalStockProgress[[#This Row],[No. of Shares]],0)</f>
        <v>136.08497473794654</v>
      </c>
      <c r="H1504" s="16" vm="2002">
        <v>126.41</v>
      </c>
      <c r="I1504" s="16">
        <f>IF(HistoricalStockProgress[[#This Row],[No. of Shares]]&lt;&gt;0,HistoricalStockProgress[[#This Row],[Price of Shares]]*HistoricalStockProgress[[#This Row],[No. of Shares]],0)</f>
        <v>24523.54</v>
      </c>
      <c r="J1504" s="16">
        <f>IF(HistoricalStockProgress[[#This Row],[No. of Shares]]&lt;&gt;0,HistoricalStockProgress[[#This Row],[Price of Shares]]-HistoricalStockProgress[[#This Row],[Cost of Shares]]/HistoricalStockProgress[[#This Row],[No. of Shares]],0)</f>
        <v>-9.6749747379465418</v>
      </c>
      <c r="K1504" s="17">
        <f>IF(HistoricalStockProgress[[#This Row],[Total Price of Shares]]&lt;&gt;0,HistoricalStockProgress[[#This Row],[Total Price of Shares]]-HistoricalStockProgress[[#This Row],[Cost of Shares]],0)</f>
        <v>-1876.945099161625</v>
      </c>
      <c r="L1504" s="34" t="b" cm="1">
        <f t="array" ref="L1504">IFERROR(IF(HistoricalStockProgress[[#This Row],[Price of Shares]]="",_xlfn.STOCKHISTORY(HistoricalStockProgress[[#This Row],[Full Company Name]],HistoricalStockProgress[[#This Row],[Date]],,2,0,1)),0)</f>
        <v>0</v>
      </c>
      <c r="M1504" s="34">
        <f>YEAR(HistoricalStockProgress[[#This Row],[Date]])</f>
        <v>2023</v>
      </c>
      <c r="N1504" s="34">
        <f>MONTH(HistoricalStockProgress[[#This Row],[Date]])</f>
        <v>4</v>
      </c>
    </row>
    <row r="1505" spans="2:14">
      <c r="B1505" s="15">
        <v>45046</v>
      </c>
      <c r="C1505" s="34" t="s">
        <v>98</v>
      </c>
      <c r="D1505" s="34" t="e" vm="15">
        <f>_xlfn.XLOOKUP(HistoricalStockProgress[[#This Row],[Company Ticker]],CompanyDetailsList[Company Ticker],CompanyDetailsList[Official Name],,0)</f>
        <v>#VALUE!</v>
      </c>
      <c r="E15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5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6407.714421697975</v>
      </c>
      <c r="G1505" s="17">
        <f>IFERROR(HistoricalStockProgress[[#This Row],[Cost of Shares]]/HistoricalStockProgress[[#This Row],[No. of Shares]],0)</f>
        <v>53.846339678134242</v>
      </c>
      <c r="H1505" s="16" vm="1147">
        <v>76.63</v>
      </c>
      <c r="I1505" s="16">
        <f>IF(HistoricalStockProgress[[#This Row],[No. of Shares]]&lt;&gt;0,HistoricalStockProgress[[#This Row],[Price of Shares]]*HistoricalStockProgress[[#This Row],[No. of Shares]],0)</f>
        <v>9118.9699999999993</v>
      </c>
      <c r="J1505" s="16">
        <f>IF(HistoricalStockProgress[[#This Row],[No. of Shares]]&lt;&gt;0,HistoricalStockProgress[[#This Row],[Price of Shares]]-HistoricalStockProgress[[#This Row],[Cost of Shares]]/HistoricalStockProgress[[#This Row],[No. of Shares]],0)</f>
        <v>22.783660321865753</v>
      </c>
      <c r="K1505" s="17">
        <f>IF(HistoricalStockProgress[[#This Row],[Total Price of Shares]]&lt;&gt;0,HistoricalStockProgress[[#This Row],[Total Price of Shares]]-HistoricalStockProgress[[#This Row],[Cost of Shares]],0)</f>
        <v>2711.2555783020243</v>
      </c>
      <c r="L1505" s="34" t="b" cm="1">
        <f t="array" ref="L1505">IFERROR(IF(HistoricalStockProgress[[#This Row],[Price of Shares]]="",_xlfn.STOCKHISTORY(HistoricalStockProgress[[#This Row],[Full Company Name]],HistoricalStockProgress[[#This Row],[Date]],,2,0,1)),0)</f>
        <v>0</v>
      </c>
      <c r="M1505" s="34">
        <f>YEAR(HistoricalStockProgress[[#This Row],[Date]])</f>
        <v>2023</v>
      </c>
      <c r="N1505" s="34">
        <f>MONTH(HistoricalStockProgress[[#This Row],[Date]])</f>
        <v>4</v>
      </c>
    </row>
    <row r="1506" spans="2:14">
      <c r="B1506" s="15">
        <v>45046</v>
      </c>
      <c r="C1506" s="34" t="s">
        <v>100</v>
      </c>
      <c r="D1506" s="34" t="e" vm="16">
        <f>_xlfn.XLOOKUP(HistoricalStockProgress[[#This Row],[Company Ticker]],CompanyDetailsList[Company Ticker],CompanyDetailsList[Official Name],,0)</f>
        <v>#VALUE!</v>
      </c>
      <c r="E15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5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17699.078573130391</v>
      </c>
      <c r="G1506" s="17">
        <f>IFERROR(HistoricalStockProgress[[#This Row],[Cost of Shares]]/HistoricalStockProgress[[#This Row],[No. of Shares]],0)</f>
        <v>91.232363779022634</v>
      </c>
      <c r="H1506" s="16" vm="2003">
        <v>98.88</v>
      </c>
      <c r="I1506" s="16">
        <f>IF(HistoricalStockProgress[[#This Row],[No. of Shares]]&lt;&gt;0,HistoricalStockProgress[[#This Row],[Price of Shares]]*HistoricalStockProgress[[#This Row],[No. of Shares]],0)</f>
        <v>19182.719999999998</v>
      </c>
      <c r="J1506" s="16">
        <f>IF(HistoricalStockProgress[[#This Row],[No. of Shares]]&lt;&gt;0,HistoricalStockProgress[[#This Row],[Price of Shares]]-HistoricalStockProgress[[#This Row],[Cost of Shares]]/HistoricalStockProgress[[#This Row],[No. of Shares]],0)</f>
        <v>7.6476362209773612</v>
      </c>
      <c r="K1506" s="17">
        <f>IF(HistoricalStockProgress[[#This Row],[Total Price of Shares]]&lt;&gt;0,HistoricalStockProgress[[#This Row],[Total Price of Shares]]-HistoricalStockProgress[[#This Row],[Cost of Shares]],0)</f>
        <v>1483.6414268696062</v>
      </c>
      <c r="L1506" s="34" t="b" cm="1">
        <f t="array" ref="L1506">IFERROR(IF(HistoricalStockProgress[[#This Row],[Price of Shares]]="",_xlfn.STOCKHISTORY(HistoricalStockProgress[[#This Row],[Full Company Name]],HistoricalStockProgress[[#This Row],[Date]],,2,0,1)),0)</f>
        <v>0</v>
      </c>
      <c r="M1506" s="34">
        <f>YEAR(HistoricalStockProgress[[#This Row],[Date]])</f>
        <v>2023</v>
      </c>
      <c r="N1506" s="34">
        <f>MONTH(HistoricalStockProgress[[#This Row],[Date]])</f>
        <v>4</v>
      </c>
    </row>
    <row r="1507" spans="2:14">
      <c r="B1507" s="15">
        <v>45046</v>
      </c>
      <c r="C1507" s="34" t="s">
        <v>15</v>
      </c>
      <c r="D1507" s="34" t="e" vm="17">
        <f>_xlfn.XLOOKUP(HistoricalStockProgress[[#This Row],[Company Ticker]],CompanyDetailsList[Company Ticker],CompanyDetailsList[Official Name],,0)</f>
        <v>#VALUE!</v>
      </c>
      <c r="E15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5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507" s="17">
        <f>IFERROR(HistoricalStockProgress[[#This Row],[Cost of Shares]]/HistoricalStockProgress[[#This Row],[No. of Shares]],0)</f>
        <v>26.081956457072195</v>
      </c>
      <c r="H1507" s="16" vm="2004">
        <v>17.670000000000002</v>
      </c>
      <c r="I1507" s="16">
        <f>IF(HistoricalStockProgress[[#This Row],[No. of Shares]]&lt;&gt;0,HistoricalStockProgress[[#This Row],[Price of Shares]]*HistoricalStockProgress[[#This Row],[No. of Shares]],0)</f>
        <v>2191.0800000000004</v>
      </c>
      <c r="J1507" s="16">
        <f>IF(HistoricalStockProgress[[#This Row],[No. of Shares]]&lt;&gt;0,HistoricalStockProgress[[#This Row],[Price of Shares]]-HistoricalStockProgress[[#This Row],[Cost of Shares]]/HistoricalStockProgress[[#This Row],[No. of Shares]],0)</f>
        <v>-8.4119564570721934</v>
      </c>
      <c r="K1507" s="17">
        <f>IF(HistoricalStockProgress[[#This Row],[Total Price of Shares]]&lt;&gt;0,HistoricalStockProgress[[#This Row],[Total Price of Shares]]-HistoricalStockProgress[[#This Row],[Cost of Shares]],0)</f>
        <v>-1043.0826006769516</v>
      </c>
      <c r="L1507" s="34" t="b" cm="1">
        <f t="array" ref="L1507">IFERROR(IF(HistoricalStockProgress[[#This Row],[Price of Shares]]="",_xlfn.STOCKHISTORY(HistoricalStockProgress[[#This Row],[Full Company Name]],HistoricalStockProgress[[#This Row],[Date]],,2,0,1)),0)</f>
        <v>0</v>
      </c>
      <c r="M1507" s="34">
        <f>YEAR(HistoricalStockProgress[[#This Row],[Date]])</f>
        <v>2023</v>
      </c>
      <c r="N1507" s="34">
        <f>MONTH(HistoricalStockProgress[[#This Row],[Date]])</f>
        <v>4</v>
      </c>
    </row>
    <row r="1508" spans="2:14">
      <c r="B1508" s="15">
        <v>45046</v>
      </c>
      <c r="C1508" s="34" t="s">
        <v>13</v>
      </c>
      <c r="D1508" s="34" t="e" vm="18">
        <f>_xlfn.XLOOKUP(HistoricalStockProgress[[#This Row],[Company Ticker]],CompanyDetailsList[Company Ticker],CompanyDetailsList[Official Name],,0)</f>
        <v>#VALUE!</v>
      </c>
      <c r="E15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5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508" s="17">
        <f>IFERROR(HistoricalStockProgress[[#This Row],[Cost of Shares]]/HistoricalStockProgress[[#This Row],[No. of Shares]],0)</f>
        <v>35.846938938346874</v>
      </c>
      <c r="H1508" s="16" vm="2005">
        <v>38.89</v>
      </c>
      <c r="I1508" s="16">
        <f>IF(HistoricalStockProgress[[#This Row],[No. of Shares]]&lt;&gt;0,HistoricalStockProgress[[#This Row],[Price of Shares]]*HistoricalStockProgress[[#This Row],[No. of Shares]],0)</f>
        <v>2138.9499999999998</v>
      </c>
      <c r="J1508" s="16">
        <f>IF(HistoricalStockProgress[[#This Row],[No. of Shares]]&lt;&gt;0,HistoricalStockProgress[[#This Row],[Price of Shares]]-HistoricalStockProgress[[#This Row],[Cost of Shares]]/HistoricalStockProgress[[#This Row],[No. of Shares]],0)</f>
        <v>3.0430610616531268</v>
      </c>
      <c r="K1508" s="17">
        <f>IF(HistoricalStockProgress[[#This Row],[Total Price of Shares]]&lt;&gt;0,HistoricalStockProgress[[#This Row],[Total Price of Shares]]-HistoricalStockProgress[[#This Row],[Cost of Shares]],0)</f>
        <v>167.36835839092168</v>
      </c>
      <c r="L1508" s="34" t="b" cm="1">
        <f t="array" ref="L1508">IFERROR(IF(HistoricalStockProgress[[#This Row],[Price of Shares]]="",_xlfn.STOCKHISTORY(HistoricalStockProgress[[#This Row],[Full Company Name]],HistoricalStockProgress[[#This Row],[Date]],,2,0,1)),0)</f>
        <v>0</v>
      </c>
      <c r="M1508" s="34">
        <f>YEAR(HistoricalStockProgress[[#This Row],[Date]])</f>
        <v>2023</v>
      </c>
      <c r="N1508" s="34">
        <f>MONTH(HistoricalStockProgress[[#This Row],[Date]])</f>
        <v>4</v>
      </c>
    </row>
    <row r="1509" spans="2:14">
      <c r="B1509" s="15">
        <v>45046</v>
      </c>
      <c r="C1509" s="34" t="s">
        <v>20</v>
      </c>
      <c r="D1509" s="34" t="e" vm="19">
        <f>_xlfn.XLOOKUP(HistoricalStockProgress[[#This Row],[Company Ticker]],CompanyDetailsList[Company Ticker],CompanyDetailsList[Official Name],,0)</f>
        <v>#VALUE!</v>
      </c>
      <c r="E15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5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509" s="17">
        <f>IFERROR(HistoricalStockProgress[[#This Row],[Cost of Shares]]/HistoricalStockProgress[[#This Row],[No. of Shares]],0)</f>
        <v>108.1760767450256</v>
      </c>
      <c r="H1509" s="16" vm="684">
        <v>138.24</v>
      </c>
      <c r="I1509" s="16">
        <f>IF(HistoricalStockProgress[[#This Row],[No. of Shares]]&lt;&gt;0,HistoricalStockProgress[[#This Row],[Price of Shares]]*HistoricalStockProgress[[#This Row],[No. of Shares]],0)</f>
        <v>16035.84</v>
      </c>
      <c r="J1509" s="16">
        <f>IF(HistoricalStockProgress[[#This Row],[No. of Shares]]&lt;&gt;0,HistoricalStockProgress[[#This Row],[Price of Shares]]-HistoricalStockProgress[[#This Row],[Cost of Shares]]/HistoricalStockProgress[[#This Row],[No. of Shares]],0)</f>
        <v>30.063923254974412</v>
      </c>
      <c r="K1509" s="17">
        <f>IF(HistoricalStockProgress[[#This Row],[Total Price of Shares]]&lt;&gt;0,HistoricalStockProgress[[#This Row],[Total Price of Shares]]-HistoricalStockProgress[[#This Row],[Cost of Shares]],0)</f>
        <v>3487.4150975770317</v>
      </c>
      <c r="L1509" s="34" t="b" cm="1">
        <f t="array" ref="L1509">IFERROR(IF(HistoricalStockProgress[[#This Row],[Price of Shares]]="",_xlfn.STOCKHISTORY(HistoricalStockProgress[[#This Row],[Full Company Name]],HistoricalStockProgress[[#This Row],[Date]],,2,0,1)),0)</f>
        <v>0</v>
      </c>
      <c r="M1509" s="34">
        <f>YEAR(HistoricalStockProgress[[#This Row],[Date]])</f>
        <v>2023</v>
      </c>
      <c r="N1509" s="34">
        <f>MONTH(HistoricalStockProgress[[#This Row],[Date]])</f>
        <v>4</v>
      </c>
    </row>
    <row r="1510" spans="2:14">
      <c r="B1510" s="15">
        <v>45046</v>
      </c>
      <c r="C1510" s="34" t="s">
        <v>106</v>
      </c>
      <c r="D1510" s="34" t="e" vm="20">
        <f>_xlfn.XLOOKUP(HistoricalStockProgress[[#This Row],[Company Ticker]],CompanyDetailsList[Company Ticker],CompanyDetailsList[Official Name],,0)</f>
        <v>#VALUE!</v>
      </c>
      <c r="E15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5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510" s="17">
        <f>IFERROR(HistoricalStockProgress[[#This Row],[Cost of Shares]]/HistoricalStockProgress[[#This Row],[No. of Shares]],0)</f>
        <v>108.54870748680406</v>
      </c>
      <c r="H1510" s="16" vm="2006">
        <v>140.26</v>
      </c>
      <c r="I1510" s="16">
        <f>IF(HistoricalStockProgress[[#This Row],[No. of Shares]]&lt;&gt;0,HistoricalStockProgress[[#This Row],[Price of Shares]]*HistoricalStockProgress[[#This Row],[No. of Shares]],0)</f>
        <v>12342.88</v>
      </c>
      <c r="J1510" s="16">
        <f>IF(HistoricalStockProgress[[#This Row],[No. of Shares]]&lt;&gt;0,HistoricalStockProgress[[#This Row],[Price of Shares]]-HistoricalStockProgress[[#This Row],[Cost of Shares]]/HistoricalStockProgress[[#This Row],[No. of Shares]],0)</f>
        <v>31.711292513195929</v>
      </c>
      <c r="K1510" s="17">
        <f>IF(HistoricalStockProgress[[#This Row],[Total Price of Shares]]&lt;&gt;0,HistoricalStockProgress[[#This Row],[Total Price of Shares]]-HistoricalStockProgress[[#This Row],[Cost of Shares]],0)</f>
        <v>2790.5937411612413</v>
      </c>
      <c r="L1510" s="34" t="b" cm="1">
        <f t="array" ref="L1510">IFERROR(IF(HistoricalStockProgress[[#This Row],[Price of Shares]]="",_xlfn.STOCKHISTORY(HistoricalStockProgress[[#This Row],[Full Company Name]],HistoricalStockProgress[[#This Row],[Date]],,2,0,1)),0)</f>
        <v>0</v>
      </c>
      <c r="M1510" s="34">
        <f>YEAR(HistoricalStockProgress[[#This Row],[Date]])</f>
        <v>2023</v>
      </c>
      <c r="N1510" s="34">
        <f>MONTH(HistoricalStockProgress[[#This Row],[Date]])</f>
        <v>4</v>
      </c>
    </row>
    <row r="1511" spans="2:14">
      <c r="B1511" s="15">
        <v>45077</v>
      </c>
      <c r="C1511" s="34" t="s">
        <v>12</v>
      </c>
      <c r="D1511" s="34" t="e" vm="1">
        <f>_xlfn.XLOOKUP(HistoricalStockProgress[[#This Row],[Company Ticker]],CompanyDetailsList[Company Ticker],CompanyDetailsList[Official Name],,0)</f>
        <v>#VALUE!</v>
      </c>
      <c r="E15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5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511" s="17">
        <f>IFERROR(HistoricalStockProgress[[#This Row],[Cost of Shares]]/HistoricalStockProgress[[#This Row],[No. of Shares]],0)</f>
        <v>64.573985995316889</v>
      </c>
      <c r="H1511" s="16" vm="2007">
        <v>59.44</v>
      </c>
      <c r="I1511" s="16">
        <f>IF(HistoricalStockProgress[[#This Row],[No. of Shares]]&lt;&gt;0,HistoricalStockProgress[[#This Row],[Price of Shares]]*HistoricalStockProgress[[#This Row],[No. of Shares]],0)</f>
        <v>5765.6799999999994</v>
      </c>
      <c r="J1511" s="16">
        <f>IF(HistoricalStockProgress[[#This Row],[No. of Shares]]&lt;&gt;0,HistoricalStockProgress[[#This Row],[Price of Shares]]-HistoricalStockProgress[[#This Row],[Cost of Shares]]/HistoricalStockProgress[[#This Row],[No. of Shares]],0)</f>
        <v>-5.1339859953168911</v>
      </c>
      <c r="K1511" s="17">
        <f>IF(HistoricalStockProgress[[#This Row],[Total Price of Shares]]&lt;&gt;0,HistoricalStockProgress[[#This Row],[Total Price of Shares]]-HistoricalStockProgress[[#This Row],[Cost of Shares]],0)</f>
        <v>-497.99664154573838</v>
      </c>
      <c r="L1511" s="34" t="b" cm="1">
        <f t="array" ref="L1511">IFERROR(IF(HistoricalStockProgress[[#This Row],[Price of Shares]]="",_xlfn.STOCKHISTORY(HistoricalStockProgress[[#This Row],[Full Company Name]],HistoricalStockProgress[[#This Row],[Date]],,2,0,1)),0)</f>
        <v>0</v>
      </c>
      <c r="M1511" s="34">
        <f>YEAR(HistoricalStockProgress[[#This Row],[Date]])</f>
        <v>2023</v>
      </c>
      <c r="N1511" s="34">
        <f>MONTH(HistoricalStockProgress[[#This Row],[Date]])</f>
        <v>5</v>
      </c>
    </row>
    <row r="1512" spans="2:14">
      <c r="B1512" s="15">
        <v>45077</v>
      </c>
      <c r="C1512" s="34" t="s">
        <v>14</v>
      </c>
      <c r="D1512" s="34" t="e" vm="2">
        <f>_xlfn.XLOOKUP(HistoricalStockProgress[[#This Row],[Company Ticker]],CompanyDetailsList[Company Ticker],CompanyDetailsList[Official Name],,0)</f>
        <v>#VALUE!</v>
      </c>
      <c r="E15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5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512" s="17">
        <f>IFERROR(HistoricalStockProgress[[#This Row],[Cost of Shares]]/HistoricalStockProgress[[#This Row],[No. of Shares]],0)</f>
        <v>31.580112511620161</v>
      </c>
      <c r="H1512" s="16" vm="2008">
        <v>28.73</v>
      </c>
      <c r="I1512" s="16">
        <f>IF(HistoricalStockProgress[[#This Row],[No. of Shares]]&lt;&gt;0,HistoricalStockProgress[[#This Row],[Price of Shares]]*HistoricalStockProgress[[#This Row],[No. of Shares]],0)</f>
        <v>804.44</v>
      </c>
      <c r="J1512" s="16">
        <f>IF(HistoricalStockProgress[[#This Row],[No. of Shares]]&lt;&gt;0,HistoricalStockProgress[[#This Row],[Price of Shares]]-HistoricalStockProgress[[#This Row],[Cost of Shares]]/HistoricalStockProgress[[#This Row],[No. of Shares]],0)</f>
        <v>-2.8501125116201607</v>
      </c>
      <c r="K1512" s="17">
        <f>IF(HistoricalStockProgress[[#This Row],[Total Price of Shares]]&lt;&gt;0,HistoricalStockProgress[[#This Row],[Total Price of Shares]]-HistoricalStockProgress[[#This Row],[Cost of Shares]],0)</f>
        <v>-79.803150325364413</v>
      </c>
      <c r="L1512" s="34" t="b" cm="1">
        <f t="array" ref="L1512">IFERROR(IF(HistoricalStockProgress[[#This Row],[Price of Shares]]="",_xlfn.STOCKHISTORY(HistoricalStockProgress[[#This Row],[Full Company Name]],HistoricalStockProgress[[#This Row],[Date]],,2,0,1)),0)</f>
        <v>0</v>
      </c>
      <c r="M1512" s="34">
        <f>YEAR(HistoricalStockProgress[[#This Row],[Date]])</f>
        <v>2023</v>
      </c>
      <c r="N1512" s="34">
        <f>MONTH(HistoricalStockProgress[[#This Row],[Date]])</f>
        <v>5</v>
      </c>
    </row>
    <row r="1513" spans="2:14">
      <c r="B1513" s="15">
        <v>45077</v>
      </c>
      <c r="C1513" s="34" t="s">
        <v>19</v>
      </c>
      <c r="D1513" s="34" t="e" vm="3">
        <f>_xlfn.XLOOKUP(HistoricalStockProgress[[#This Row],[Company Ticker]],CompanyDetailsList[Company Ticker],CompanyDetailsList[Official Name],,0)</f>
        <v>#VALUE!</v>
      </c>
      <c r="E15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5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513" s="17">
        <f>IFERROR(HistoricalStockProgress[[#This Row],[Cost of Shares]]/HistoricalStockProgress[[#This Row],[No. of Shares]],0)</f>
        <v>158.45739987816083</v>
      </c>
      <c r="H1513" s="16" vm="2009">
        <v>158.18</v>
      </c>
      <c r="I1513" s="16">
        <f>IF(HistoricalStockProgress[[#This Row],[No. of Shares]]&lt;&gt;0,HistoricalStockProgress[[#This Row],[Price of Shares]]*HistoricalStockProgress[[#This Row],[No. of Shares]],0)</f>
        <v>9016.26</v>
      </c>
      <c r="J1513" s="16">
        <f>IF(HistoricalStockProgress[[#This Row],[No. of Shares]]&lt;&gt;0,HistoricalStockProgress[[#This Row],[Price of Shares]]-HistoricalStockProgress[[#This Row],[Cost of Shares]]/HistoricalStockProgress[[#This Row],[No. of Shares]],0)</f>
        <v>-0.27739987816082134</v>
      </c>
      <c r="K1513" s="17">
        <f>IF(HistoricalStockProgress[[#This Row],[Total Price of Shares]]&lt;&gt;0,HistoricalStockProgress[[#This Row],[Total Price of Shares]]-HistoricalStockProgress[[#This Row],[Cost of Shares]],0)</f>
        <v>-15.811793055167072</v>
      </c>
      <c r="L1513" s="34" t="b" cm="1">
        <f t="array" ref="L1513">IFERROR(IF(HistoricalStockProgress[[#This Row],[Price of Shares]]="",_xlfn.STOCKHISTORY(HistoricalStockProgress[[#This Row],[Full Company Name]],HistoricalStockProgress[[#This Row],[Date]],,2,0,1)),0)</f>
        <v>0</v>
      </c>
      <c r="M1513" s="34">
        <f>YEAR(HistoricalStockProgress[[#This Row],[Date]])</f>
        <v>2023</v>
      </c>
      <c r="N1513" s="34">
        <f>MONTH(HistoricalStockProgress[[#This Row],[Date]])</f>
        <v>5</v>
      </c>
    </row>
    <row r="1514" spans="2:14">
      <c r="B1514" s="15">
        <v>45077</v>
      </c>
      <c r="C1514" s="34" t="s">
        <v>23</v>
      </c>
      <c r="D1514" s="34" t="e" vm="4">
        <f>_xlfn.XLOOKUP(HistoricalStockProgress[[#This Row],[Company Ticker]],CompanyDetailsList[Company Ticker],CompanyDetailsList[Official Name],,0)</f>
        <v>#VALUE!</v>
      </c>
      <c r="E15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85</v>
      </c>
      <c r="F15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4210.4106468589489</v>
      </c>
      <c r="G1514" s="17">
        <f>IFERROR(HistoricalStockProgress[[#This Row],[Cost of Shares]]/HistoricalStockProgress[[#This Row],[No. of Shares]],0)</f>
        <v>49.534242904222928</v>
      </c>
      <c r="H1514" s="16" vm="2010">
        <v>59.66</v>
      </c>
      <c r="I1514" s="16">
        <f>IF(HistoricalStockProgress[[#This Row],[No. of Shares]]&lt;&gt;0,HistoricalStockProgress[[#This Row],[Price of Shares]]*HistoricalStockProgress[[#This Row],[No. of Shares]],0)</f>
        <v>5071.0999999999995</v>
      </c>
      <c r="J1514" s="16">
        <f>IF(HistoricalStockProgress[[#This Row],[No. of Shares]]&lt;&gt;0,HistoricalStockProgress[[#This Row],[Price of Shares]]-HistoricalStockProgress[[#This Row],[Cost of Shares]]/HistoricalStockProgress[[#This Row],[No. of Shares]],0)</f>
        <v>10.125757095777068</v>
      </c>
      <c r="K1514" s="17">
        <f>IF(HistoricalStockProgress[[#This Row],[Total Price of Shares]]&lt;&gt;0,HistoricalStockProgress[[#This Row],[Total Price of Shares]]-HistoricalStockProgress[[#This Row],[Cost of Shares]],0)</f>
        <v>860.68935314105056</v>
      </c>
      <c r="L1514" s="34" t="b" cm="1">
        <f t="array" ref="L1514">IFERROR(IF(HistoricalStockProgress[[#This Row],[Price of Shares]]="",_xlfn.STOCKHISTORY(HistoricalStockProgress[[#This Row],[Full Company Name]],HistoricalStockProgress[[#This Row],[Date]],,2,0,1)),0)</f>
        <v>0</v>
      </c>
      <c r="M1514" s="34">
        <f>YEAR(HistoricalStockProgress[[#This Row],[Date]])</f>
        <v>2023</v>
      </c>
      <c r="N1514" s="34">
        <f>MONTH(HistoricalStockProgress[[#This Row],[Date]])</f>
        <v>5</v>
      </c>
    </row>
    <row r="1515" spans="2:14">
      <c r="B1515" s="15">
        <v>45077</v>
      </c>
      <c r="C1515" s="34" t="s">
        <v>18</v>
      </c>
      <c r="D1515" s="34" t="e" vm="5">
        <f>_xlfn.XLOOKUP(HistoricalStockProgress[[#This Row],[Company Ticker]],CompanyDetailsList[Company Ticker],CompanyDetailsList[Official Name],,0)</f>
        <v>#VALUE!</v>
      </c>
      <c r="E15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5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515" s="17">
        <f>IFERROR(HistoricalStockProgress[[#This Row],[Cost of Shares]]/HistoricalStockProgress[[#This Row],[No. of Shares]],0)</f>
        <v>160.8859607546234</v>
      </c>
      <c r="H1515" s="16" vm="2011">
        <v>182.35</v>
      </c>
      <c r="I1515" s="16">
        <f>IF(HistoricalStockProgress[[#This Row],[No. of Shares]]&lt;&gt;0,HistoricalStockProgress[[#This Row],[Price of Shares]]*HistoricalStockProgress[[#This Row],[No. of Shares]],0)</f>
        <v>7841.05</v>
      </c>
      <c r="J1515" s="16">
        <f>IF(HistoricalStockProgress[[#This Row],[No. of Shares]]&lt;&gt;0,HistoricalStockProgress[[#This Row],[Price of Shares]]-HistoricalStockProgress[[#This Row],[Cost of Shares]]/HistoricalStockProgress[[#This Row],[No. of Shares]],0)</f>
        <v>21.464039245376597</v>
      </c>
      <c r="K1515" s="17">
        <f>IF(HistoricalStockProgress[[#This Row],[Total Price of Shares]]&lt;&gt;0,HistoricalStockProgress[[#This Row],[Total Price of Shares]]-HistoricalStockProgress[[#This Row],[Cost of Shares]],0)</f>
        <v>922.95368755119398</v>
      </c>
      <c r="L1515" s="34" t="b" cm="1">
        <f t="array" ref="L1515">IFERROR(IF(HistoricalStockProgress[[#This Row],[Price of Shares]]="",_xlfn.STOCKHISTORY(HistoricalStockProgress[[#This Row],[Full Company Name]],HistoricalStockProgress[[#This Row],[Date]],,2,0,1)),0)</f>
        <v>0</v>
      </c>
      <c r="M1515" s="34">
        <f>YEAR(HistoricalStockProgress[[#This Row],[Date]])</f>
        <v>2023</v>
      </c>
      <c r="N1515" s="34">
        <f>MONTH(HistoricalStockProgress[[#This Row],[Date]])</f>
        <v>5</v>
      </c>
    </row>
    <row r="1516" spans="2:14">
      <c r="B1516" s="15">
        <v>45077</v>
      </c>
      <c r="C1516" s="34" t="s">
        <v>21</v>
      </c>
      <c r="D1516" s="34" t="e" vm="6">
        <f>_xlfn.XLOOKUP(HistoricalStockProgress[[#This Row],[Company Ticker]],CompanyDetailsList[Company Ticker],CompanyDetailsList[Official Name],,0)</f>
        <v>#VALUE!</v>
      </c>
      <c r="E15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5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516" s="17">
        <f>IFERROR(HistoricalStockProgress[[#This Row],[Cost of Shares]]/HistoricalStockProgress[[#This Row],[No. of Shares]],0)</f>
        <v>139.68700010204148</v>
      </c>
      <c r="H1516" s="16" vm="2012">
        <v>142.5</v>
      </c>
      <c r="I1516" s="16">
        <f>IF(HistoricalStockProgress[[#This Row],[No. of Shares]]&lt;&gt;0,HistoricalStockProgress[[#This Row],[Price of Shares]]*HistoricalStockProgress[[#This Row],[No. of Shares]],0)</f>
        <v>5985</v>
      </c>
      <c r="J1516" s="16">
        <f>IF(HistoricalStockProgress[[#This Row],[No. of Shares]]&lt;&gt;0,HistoricalStockProgress[[#This Row],[Price of Shares]]-HistoricalStockProgress[[#This Row],[Cost of Shares]]/HistoricalStockProgress[[#This Row],[No. of Shares]],0)</f>
        <v>2.8129998979585196</v>
      </c>
      <c r="K1516" s="17">
        <f>IF(HistoricalStockProgress[[#This Row],[Total Price of Shares]]&lt;&gt;0,HistoricalStockProgress[[#This Row],[Total Price of Shares]]-HistoricalStockProgress[[#This Row],[Cost of Shares]],0)</f>
        <v>118.14599571425788</v>
      </c>
      <c r="L1516" s="34" t="b" cm="1">
        <f t="array" ref="L1516">IFERROR(IF(HistoricalStockProgress[[#This Row],[Price of Shares]]="",_xlfn.STOCKHISTORY(HistoricalStockProgress[[#This Row],[Full Company Name]],HistoricalStockProgress[[#This Row],[Date]],,2,0,1)),0)</f>
        <v>0</v>
      </c>
      <c r="M1516" s="34">
        <f>YEAR(HistoricalStockProgress[[#This Row],[Date]])</f>
        <v>2023</v>
      </c>
      <c r="N1516" s="34">
        <f>MONTH(HistoricalStockProgress[[#This Row],[Date]])</f>
        <v>5</v>
      </c>
    </row>
    <row r="1517" spans="2:14">
      <c r="B1517" s="15">
        <v>45077</v>
      </c>
      <c r="C1517" s="34" t="s">
        <v>84</v>
      </c>
      <c r="D1517" s="34" t="e" vm="7">
        <f>_xlfn.XLOOKUP(HistoricalStockProgress[[#This Row],[Company Ticker]],CompanyDetailsList[Company Ticker],CompanyDetailsList[Official Name],,0)</f>
        <v>#VALUE!</v>
      </c>
      <c r="E15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5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517" s="17">
        <f>IFERROR(HistoricalStockProgress[[#This Row],[Cost of Shares]]/HistoricalStockProgress[[#This Row],[No. of Shares]],0)</f>
        <v>104.18087504950869</v>
      </c>
      <c r="H1517" s="16" vm="2013">
        <v>155.06</v>
      </c>
      <c r="I1517" s="16">
        <f>IF(HistoricalStockProgress[[#This Row],[No. of Shares]]&lt;&gt;0,HistoricalStockProgress[[#This Row],[Price of Shares]]*HistoricalStockProgress[[#This Row],[No. of Shares]],0)</f>
        <v>7908.06</v>
      </c>
      <c r="J1517" s="16">
        <f>IF(HistoricalStockProgress[[#This Row],[No. of Shares]]&lt;&gt;0,HistoricalStockProgress[[#This Row],[Price of Shares]]-HistoricalStockProgress[[#This Row],[Cost of Shares]]/HistoricalStockProgress[[#This Row],[No. of Shares]],0)</f>
        <v>50.879124950491317</v>
      </c>
      <c r="K1517" s="17">
        <f>IF(HistoricalStockProgress[[#This Row],[Total Price of Shares]]&lt;&gt;0,HistoricalStockProgress[[#This Row],[Total Price of Shares]]-HistoricalStockProgress[[#This Row],[Cost of Shares]],0)</f>
        <v>2594.8353724750577</v>
      </c>
      <c r="L1517" s="34" t="b" cm="1">
        <f t="array" ref="L1517">IFERROR(IF(HistoricalStockProgress[[#This Row],[Price of Shares]]="",_xlfn.STOCKHISTORY(HistoricalStockProgress[[#This Row],[Full Company Name]],HistoricalStockProgress[[#This Row],[Date]],,2,0,1)),0)</f>
        <v>0</v>
      </c>
      <c r="M1517" s="34">
        <f>YEAR(HistoricalStockProgress[[#This Row],[Date]])</f>
        <v>2023</v>
      </c>
      <c r="N1517" s="34">
        <f>MONTH(HistoricalStockProgress[[#This Row],[Date]])</f>
        <v>5</v>
      </c>
    </row>
    <row r="1518" spans="2:14">
      <c r="B1518" s="15">
        <v>45077</v>
      </c>
      <c r="C1518" s="34" t="s">
        <v>86</v>
      </c>
      <c r="D1518" s="34" t="e" vm="8">
        <f>_xlfn.XLOOKUP(HistoricalStockProgress[[#This Row],[Company Ticker]],CompanyDetailsList[Company Ticker],CompanyDetailsList[Official Name],,0)</f>
        <v>#VALUE!</v>
      </c>
      <c r="E15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5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518" s="17">
        <f>IFERROR(HistoricalStockProgress[[#This Row],[Cost of Shares]]/HistoricalStockProgress[[#This Row],[No. of Shares]],0)</f>
        <v>92.636161128673535</v>
      </c>
      <c r="H1518" s="16" vm="2014">
        <v>137.96</v>
      </c>
      <c r="I1518" s="16">
        <f>IF(HistoricalStockProgress[[#This Row],[No. of Shares]]&lt;&gt;0,HistoricalStockProgress[[#This Row],[Price of Shares]]*HistoricalStockProgress[[#This Row],[No. of Shares]],0)</f>
        <v>15727.44</v>
      </c>
      <c r="J1518" s="16">
        <f>IF(HistoricalStockProgress[[#This Row],[No. of Shares]]&lt;&gt;0,HistoricalStockProgress[[#This Row],[Price of Shares]]-HistoricalStockProgress[[#This Row],[Cost of Shares]]/HistoricalStockProgress[[#This Row],[No. of Shares]],0)</f>
        <v>45.323838871326473</v>
      </c>
      <c r="K1518" s="17">
        <f>IF(HistoricalStockProgress[[#This Row],[Total Price of Shares]]&lt;&gt;0,HistoricalStockProgress[[#This Row],[Total Price of Shares]]-HistoricalStockProgress[[#This Row],[Cost of Shares]],0)</f>
        <v>5166.9176313312182</v>
      </c>
      <c r="L1518" s="34" t="b" cm="1">
        <f t="array" ref="L1518">IFERROR(IF(HistoricalStockProgress[[#This Row],[Price of Shares]]="",_xlfn.STOCKHISTORY(HistoricalStockProgress[[#This Row],[Full Company Name]],HistoricalStockProgress[[#This Row],[Date]],,2,0,1)),0)</f>
        <v>0</v>
      </c>
      <c r="M1518" s="34">
        <f>YEAR(HistoricalStockProgress[[#This Row],[Date]])</f>
        <v>2023</v>
      </c>
      <c r="N1518" s="34">
        <f>MONTH(HistoricalStockProgress[[#This Row],[Date]])</f>
        <v>5</v>
      </c>
    </row>
    <row r="1519" spans="2:14">
      <c r="B1519" s="15">
        <v>45077</v>
      </c>
      <c r="C1519" s="34" t="s">
        <v>88</v>
      </c>
      <c r="D1519" s="34" t="e" vm="9">
        <f>_xlfn.XLOOKUP(HistoricalStockProgress[[#This Row],[Company Ticker]],CompanyDetailsList[Company Ticker],CompanyDetailsList[Official Name],,0)</f>
        <v>#VALUE!</v>
      </c>
      <c r="E15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5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519" s="17">
        <f>IFERROR(HistoricalStockProgress[[#This Row],[Cost of Shares]]/HistoricalStockProgress[[#This Row],[No. of Shares]],0)</f>
        <v>187.727755253422</v>
      </c>
      <c r="H1519" s="16" vm="2015">
        <v>285.11</v>
      </c>
      <c r="I1519" s="16">
        <f>IF(HistoricalStockProgress[[#This Row],[No. of Shares]]&lt;&gt;0,HistoricalStockProgress[[#This Row],[Price of Shares]]*HistoricalStockProgress[[#This Row],[No. of Shares]],0)</f>
        <v>16821.490000000002</v>
      </c>
      <c r="J1519" s="16">
        <f>IF(HistoricalStockProgress[[#This Row],[No. of Shares]]&lt;&gt;0,HistoricalStockProgress[[#This Row],[Price of Shares]]-HistoricalStockProgress[[#This Row],[Cost of Shares]]/HistoricalStockProgress[[#This Row],[No. of Shares]],0)</f>
        <v>97.38224474657801</v>
      </c>
      <c r="K1519" s="17">
        <f>IF(HistoricalStockProgress[[#This Row],[Total Price of Shares]]&lt;&gt;0,HistoricalStockProgress[[#This Row],[Total Price of Shares]]-HistoricalStockProgress[[#This Row],[Cost of Shares]],0)</f>
        <v>5745.5524400481027</v>
      </c>
      <c r="L1519" s="34" t="b" cm="1">
        <f t="array" ref="L1519">IFERROR(IF(HistoricalStockProgress[[#This Row],[Price of Shares]]="",_xlfn.STOCKHISTORY(HistoricalStockProgress[[#This Row],[Full Company Name]],HistoricalStockProgress[[#This Row],[Date]],,2,0,1)),0)</f>
        <v>0</v>
      </c>
      <c r="M1519" s="34">
        <f>YEAR(HistoricalStockProgress[[#This Row],[Date]])</f>
        <v>2023</v>
      </c>
      <c r="N1519" s="34">
        <f>MONTH(HistoricalStockProgress[[#This Row],[Date]])</f>
        <v>5</v>
      </c>
    </row>
    <row r="1520" spans="2:14">
      <c r="B1520" s="15">
        <v>45077</v>
      </c>
      <c r="C1520" s="34" t="s">
        <v>22</v>
      </c>
      <c r="D1520" s="34" t="e" vm="10">
        <f>_xlfn.XLOOKUP(HistoricalStockProgress[[#This Row],[Company Ticker]],CompanyDetailsList[Company Ticker],CompanyDetailsList[Official Name],,0)</f>
        <v>#VALUE!</v>
      </c>
      <c r="E15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5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520" s="17">
        <f>IFERROR(HistoricalStockProgress[[#This Row],[Cost of Shares]]/HistoricalStockProgress[[#This Row],[No. of Shares]],0)</f>
        <v>130.19784136724968</v>
      </c>
      <c r="H1520" s="16" vm="2016">
        <v>205.75</v>
      </c>
      <c r="I1520" s="16">
        <f>IF(HistoricalStockProgress[[#This Row],[No. of Shares]]&lt;&gt;0,HistoricalStockProgress[[#This Row],[Price of Shares]]*HistoricalStockProgress[[#This Row],[No. of Shares]],0)</f>
        <v>24484.25</v>
      </c>
      <c r="J1520" s="16">
        <f>IF(HistoricalStockProgress[[#This Row],[No. of Shares]]&lt;&gt;0,HistoricalStockProgress[[#This Row],[Price of Shares]]-HistoricalStockProgress[[#This Row],[Cost of Shares]]/HistoricalStockProgress[[#This Row],[No. of Shares]],0)</f>
        <v>75.55215863275032</v>
      </c>
      <c r="K1520" s="17">
        <f>IF(HistoricalStockProgress[[#This Row],[Total Price of Shares]]&lt;&gt;0,HistoricalStockProgress[[#This Row],[Total Price of Shares]]-HistoricalStockProgress[[#This Row],[Cost of Shares]],0)</f>
        <v>8990.7068772972871</v>
      </c>
      <c r="L1520" s="34" t="b" cm="1">
        <f t="array" ref="L1520">IFERROR(IF(HistoricalStockProgress[[#This Row],[Price of Shares]]="",_xlfn.STOCKHISTORY(HistoricalStockProgress[[#This Row],[Full Company Name]],HistoricalStockProgress[[#This Row],[Date]],,2,0,1)),0)</f>
        <v>0</v>
      </c>
      <c r="M1520" s="34">
        <f>YEAR(HistoricalStockProgress[[#This Row],[Date]])</f>
        <v>2023</v>
      </c>
      <c r="N1520" s="34">
        <f>MONTH(HistoricalStockProgress[[#This Row],[Date]])</f>
        <v>5</v>
      </c>
    </row>
    <row r="1521" spans="2:14">
      <c r="B1521" s="15">
        <v>45077</v>
      </c>
      <c r="C1521" s="34" t="s">
        <v>91</v>
      </c>
      <c r="D1521" s="34" t="e" vm="11">
        <f>_xlfn.XLOOKUP(HistoricalStockProgress[[#This Row],[Company Ticker]],CompanyDetailsList[Company Ticker],CompanyDetailsList[Official Name],,0)</f>
        <v>#VALUE!</v>
      </c>
      <c r="E15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5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521" s="17">
        <f>IFERROR(HistoricalStockProgress[[#This Row],[Cost of Shares]]/HistoricalStockProgress[[#This Row],[No. of Shares]],0)</f>
        <v>133.15744058830452</v>
      </c>
      <c r="H1521" s="16" vm="2017">
        <v>328.39</v>
      </c>
      <c r="I1521" s="16">
        <f>IF(HistoricalStockProgress[[#This Row],[No. of Shares]]&lt;&gt;0,HistoricalStockProgress[[#This Row],[Price of Shares]]*HistoricalStockProgress[[#This Row],[No. of Shares]],0)</f>
        <v>60095.369999999995</v>
      </c>
      <c r="J1521" s="16">
        <f>IF(HistoricalStockProgress[[#This Row],[No. of Shares]]&lt;&gt;0,HistoricalStockProgress[[#This Row],[Price of Shares]]-HistoricalStockProgress[[#This Row],[Cost of Shares]]/HistoricalStockProgress[[#This Row],[No. of Shares]],0)</f>
        <v>195.23255941169546</v>
      </c>
      <c r="K1521" s="17">
        <f>IF(HistoricalStockProgress[[#This Row],[Total Price of Shares]]&lt;&gt;0,HistoricalStockProgress[[#This Row],[Total Price of Shares]]-HistoricalStockProgress[[#This Row],[Cost of Shares]],0)</f>
        <v>35727.558372340267</v>
      </c>
      <c r="L1521" s="34" t="b" cm="1">
        <f t="array" ref="L1521">IFERROR(IF(HistoricalStockProgress[[#This Row],[Price of Shares]]="",_xlfn.STOCKHISTORY(HistoricalStockProgress[[#This Row],[Full Company Name]],HistoricalStockProgress[[#This Row],[Date]],,2,0,1)),0)</f>
        <v>0</v>
      </c>
      <c r="M1521" s="34">
        <f>YEAR(HistoricalStockProgress[[#This Row],[Date]])</f>
        <v>2023</v>
      </c>
      <c r="N1521" s="34">
        <f>MONTH(HistoricalStockProgress[[#This Row],[Date]])</f>
        <v>5</v>
      </c>
    </row>
    <row r="1522" spans="2:14">
      <c r="B1522" s="15">
        <v>45077</v>
      </c>
      <c r="C1522" s="34" t="s">
        <v>16</v>
      </c>
      <c r="D1522" s="34" t="e" vm="12">
        <f>_xlfn.XLOOKUP(HistoricalStockProgress[[#This Row],[Company Ticker]],CompanyDetailsList[Company Ticker],CompanyDetailsList[Official Name],,0)</f>
        <v>#VALUE!</v>
      </c>
      <c r="E15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5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522" s="17">
        <f>IFERROR(HistoricalStockProgress[[#This Row],[Cost of Shares]]/HistoricalStockProgress[[#This Row],[No. of Shares]],0)</f>
        <v>75.117698177311837</v>
      </c>
      <c r="H1522" s="16" vm="2018">
        <v>102.18</v>
      </c>
      <c r="I1522" s="16">
        <f>IF(HistoricalStockProgress[[#This Row],[No. of Shares]]&lt;&gt;0,HistoricalStockProgress[[#This Row],[Price of Shares]]*HistoricalStockProgress[[#This Row],[No. of Shares]],0)</f>
        <v>18903.300000000003</v>
      </c>
      <c r="J1522" s="16">
        <f>IF(HistoricalStockProgress[[#This Row],[No. of Shares]]&lt;&gt;0,HistoricalStockProgress[[#This Row],[Price of Shares]]-HistoricalStockProgress[[#This Row],[Cost of Shares]]/HistoricalStockProgress[[#This Row],[No. of Shares]],0)</f>
        <v>27.06230182268817</v>
      </c>
      <c r="K1522" s="17">
        <f>IF(HistoricalStockProgress[[#This Row],[Total Price of Shares]]&lt;&gt;0,HistoricalStockProgress[[#This Row],[Total Price of Shares]]-HistoricalStockProgress[[#This Row],[Cost of Shares]],0)</f>
        <v>5006.5258371973141</v>
      </c>
      <c r="L1522" s="34" t="b" cm="1">
        <f t="array" ref="L1522">IFERROR(IF(HistoricalStockProgress[[#This Row],[Price of Shares]]="",_xlfn.STOCKHISTORY(HistoricalStockProgress[[#This Row],[Full Company Name]],HistoricalStockProgress[[#This Row],[Date]],,2,0,1)),0)</f>
        <v>0</v>
      </c>
      <c r="M1522" s="34">
        <f>YEAR(HistoricalStockProgress[[#This Row],[Date]])</f>
        <v>2023</v>
      </c>
      <c r="N1522" s="34">
        <f>MONTH(HistoricalStockProgress[[#This Row],[Date]])</f>
        <v>5</v>
      </c>
    </row>
    <row r="1523" spans="2:14">
      <c r="B1523" s="15">
        <v>45077</v>
      </c>
      <c r="C1523" s="34" t="s">
        <v>95</v>
      </c>
      <c r="D1523" s="34" t="e" vm="13">
        <f>_xlfn.XLOOKUP(HistoricalStockProgress[[#This Row],[Company Ticker]],CompanyDetailsList[Company Ticker],CompanyDetailsList[Official Name],,0)</f>
        <v>#VALUE!</v>
      </c>
      <c r="E15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143</v>
      </c>
      <c r="F15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35362.550411645469</v>
      </c>
      <c r="G1523" s="17">
        <f>IFERROR(HistoricalStockProgress[[#This Row],[Cost of Shares]]/HistoricalStockProgress[[#This Row],[No. of Shares]],0)</f>
        <v>247.29056231919907</v>
      </c>
      <c r="H1523" s="16" vm="2019">
        <v>283.45</v>
      </c>
      <c r="I1523" s="16">
        <f>IF(HistoricalStockProgress[[#This Row],[No. of Shares]]&lt;&gt;0,HistoricalStockProgress[[#This Row],[Price of Shares]]*HistoricalStockProgress[[#This Row],[No. of Shares]],0)</f>
        <v>40533.35</v>
      </c>
      <c r="J1523" s="16">
        <f>IF(HistoricalStockProgress[[#This Row],[No. of Shares]]&lt;&gt;0,HistoricalStockProgress[[#This Row],[Price of Shares]]-HistoricalStockProgress[[#This Row],[Cost of Shares]]/HistoricalStockProgress[[#This Row],[No. of Shares]],0)</f>
        <v>36.15943768080092</v>
      </c>
      <c r="K1523" s="17">
        <f>IF(HistoricalStockProgress[[#This Row],[Total Price of Shares]]&lt;&gt;0,HistoricalStockProgress[[#This Row],[Total Price of Shares]]-HistoricalStockProgress[[#This Row],[Cost of Shares]],0)</f>
        <v>5170.79958835453</v>
      </c>
      <c r="L1523" s="34" t="b" cm="1">
        <f t="array" ref="L1523">IFERROR(IF(HistoricalStockProgress[[#This Row],[Price of Shares]]="",_xlfn.STOCKHISTORY(HistoricalStockProgress[[#This Row],[Full Company Name]],HistoricalStockProgress[[#This Row],[Date]],,2,0,1)),0)</f>
        <v>0</v>
      </c>
      <c r="M1523" s="34">
        <f>YEAR(HistoricalStockProgress[[#This Row],[Date]])</f>
        <v>2023</v>
      </c>
      <c r="N1523" s="34">
        <f>MONTH(HistoricalStockProgress[[#This Row],[Date]])</f>
        <v>5</v>
      </c>
    </row>
    <row r="1524" spans="2:14">
      <c r="B1524" s="15">
        <v>45077</v>
      </c>
      <c r="C1524" s="34" t="s">
        <v>17</v>
      </c>
      <c r="D1524" s="34" t="e" vm="14">
        <f>_xlfn.XLOOKUP(HistoricalStockProgress[[#This Row],[Company Ticker]],CompanyDetailsList[Company Ticker],CompanyDetailsList[Official Name],,0)</f>
        <v>#VALUE!</v>
      </c>
      <c r="E15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5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26400.485099161626</v>
      </c>
      <c r="G1524" s="17">
        <f>IFERROR(HistoricalStockProgress[[#This Row],[Cost of Shares]]/HistoricalStockProgress[[#This Row],[No. of Shares]],0)</f>
        <v>136.08497473794654</v>
      </c>
      <c r="H1524" s="16" vm="2020">
        <v>128.59</v>
      </c>
      <c r="I1524" s="16">
        <f>IF(HistoricalStockProgress[[#This Row],[No. of Shares]]&lt;&gt;0,HistoricalStockProgress[[#This Row],[Price of Shares]]*HistoricalStockProgress[[#This Row],[No. of Shares]],0)</f>
        <v>24946.46</v>
      </c>
      <c r="J1524" s="16">
        <f>IF(HistoricalStockProgress[[#This Row],[No. of Shares]]&lt;&gt;0,HistoricalStockProgress[[#This Row],[Price of Shares]]-HistoricalStockProgress[[#This Row],[Cost of Shares]]/HistoricalStockProgress[[#This Row],[No. of Shares]],0)</f>
        <v>-7.494974737946535</v>
      </c>
      <c r="K1524" s="17">
        <f>IF(HistoricalStockProgress[[#This Row],[Total Price of Shares]]&lt;&gt;0,HistoricalStockProgress[[#This Row],[Total Price of Shares]]-HistoricalStockProgress[[#This Row],[Cost of Shares]],0)</f>
        <v>-1454.0250991616267</v>
      </c>
      <c r="L1524" s="34" t="b" cm="1">
        <f t="array" ref="L1524">IFERROR(IF(HistoricalStockProgress[[#This Row],[Price of Shares]]="",_xlfn.STOCKHISTORY(HistoricalStockProgress[[#This Row],[Full Company Name]],HistoricalStockProgress[[#This Row],[Date]],,2,0,1)),0)</f>
        <v>0</v>
      </c>
      <c r="M1524" s="34">
        <f>YEAR(HistoricalStockProgress[[#This Row],[Date]])</f>
        <v>2023</v>
      </c>
      <c r="N1524" s="34">
        <f>MONTH(HistoricalStockProgress[[#This Row],[Date]])</f>
        <v>5</v>
      </c>
    </row>
    <row r="1525" spans="2:14">
      <c r="B1525" s="15">
        <v>45077</v>
      </c>
      <c r="C1525" s="34" t="s">
        <v>98</v>
      </c>
      <c r="D1525" s="34" t="e" vm="15">
        <f>_xlfn.XLOOKUP(HistoricalStockProgress[[#This Row],[Company Ticker]],CompanyDetailsList[Company Ticker],CompanyDetailsList[Official Name],,0)</f>
        <v>#VALUE!</v>
      </c>
      <c r="E15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5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6407.714421697975</v>
      </c>
      <c r="G1525" s="17">
        <f>IFERROR(HistoricalStockProgress[[#This Row],[Cost of Shares]]/HistoricalStockProgress[[#This Row],[No. of Shares]],0)</f>
        <v>53.846339678134242</v>
      </c>
      <c r="H1525" s="16" vm="2021">
        <v>73.459999999999994</v>
      </c>
      <c r="I1525" s="16">
        <f>IF(HistoricalStockProgress[[#This Row],[No. of Shares]]&lt;&gt;0,HistoricalStockProgress[[#This Row],[Price of Shares]]*HistoricalStockProgress[[#This Row],[No. of Shares]],0)</f>
        <v>8741.74</v>
      </c>
      <c r="J1525" s="16">
        <f>IF(HistoricalStockProgress[[#This Row],[No. of Shares]]&lt;&gt;0,HistoricalStockProgress[[#This Row],[Price of Shares]]-HistoricalStockProgress[[#This Row],[Cost of Shares]]/HistoricalStockProgress[[#This Row],[No. of Shares]],0)</f>
        <v>19.613660321865751</v>
      </c>
      <c r="K1525" s="17">
        <f>IF(HistoricalStockProgress[[#This Row],[Total Price of Shares]]&lt;&gt;0,HistoricalStockProgress[[#This Row],[Total Price of Shares]]-HistoricalStockProgress[[#This Row],[Cost of Shares]],0)</f>
        <v>2334.0255783020248</v>
      </c>
      <c r="L1525" s="34" t="b" cm="1">
        <f t="array" ref="L1525">IFERROR(IF(HistoricalStockProgress[[#This Row],[Price of Shares]]="",_xlfn.STOCKHISTORY(HistoricalStockProgress[[#This Row],[Full Company Name]],HistoricalStockProgress[[#This Row],[Date]],,2,0,1)),0)</f>
        <v>0</v>
      </c>
      <c r="M1525" s="34">
        <f>YEAR(HistoricalStockProgress[[#This Row],[Date]])</f>
        <v>2023</v>
      </c>
      <c r="N1525" s="34">
        <f>MONTH(HistoricalStockProgress[[#This Row],[Date]])</f>
        <v>5</v>
      </c>
    </row>
    <row r="1526" spans="2:14">
      <c r="B1526" s="15">
        <v>45077</v>
      </c>
      <c r="C1526" s="34" t="s">
        <v>100</v>
      </c>
      <c r="D1526" s="34" t="e" vm="16">
        <f>_xlfn.XLOOKUP(HistoricalStockProgress[[#This Row],[Company Ticker]],CompanyDetailsList[Company Ticker],CompanyDetailsList[Official Name],,0)</f>
        <v>#VALUE!</v>
      </c>
      <c r="E15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5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17699.078573130391</v>
      </c>
      <c r="G1526" s="17">
        <f>IFERROR(HistoricalStockProgress[[#This Row],[Cost of Shares]]/HistoricalStockProgress[[#This Row],[No. of Shares]],0)</f>
        <v>91.232363779022634</v>
      </c>
      <c r="H1526" s="16" vm="2022">
        <v>89.29</v>
      </c>
      <c r="I1526" s="16">
        <f>IF(HistoricalStockProgress[[#This Row],[No. of Shares]]&lt;&gt;0,HistoricalStockProgress[[#This Row],[Price of Shares]]*HistoricalStockProgress[[#This Row],[No. of Shares]],0)</f>
        <v>17322.260000000002</v>
      </c>
      <c r="J1526" s="16">
        <f>IF(HistoricalStockProgress[[#This Row],[No. of Shares]]&lt;&gt;0,HistoricalStockProgress[[#This Row],[Price of Shares]]-HistoricalStockProgress[[#This Row],[Cost of Shares]]/HistoricalStockProgress[[#This Row],[No. of Shares]],0)</f>
        <v>-1.942363779022628</v>
      </c>
      <c r="K1526" s="17">
        <f>IF(HistoricalStockProgress[[#This Row],[Total Price of Shares]]&lt;&gt;0,HistoricalStockProgress[[#This Row],[Total Price of Shares]]-HistoricalStockProgress[[#This Row],[Cost of Shares]],0)</f>
        <v>-376.81857313038927</v>
      </c>
      <c r="L1526" s="34" t="b" cm="1">
        <f t="array" ref="L1526">IFERROR(IF(HistoricalStockProgress[[#This Row],[Price of Shares]]="",_xlfn.STOCKHISTORY(HistoricalStockProgress[[#This Row],[Full Company Name]],HistoricalStockProgress[[#This Row],[Date]],,2,0,1)),0)</f>
        <v>0</v>
      </c>
      <c r="M1526" s="34">
        <f>YEAR(HistoricalStockProgress[[#This Row],[Date]])</f>
        <v>2023</v>
      </c>
      <c r="N1526" s="34">
        <f>MONTH(HistoricalStockProgress[[#This Row],[Date]])</f>
        <v>5</v>
      </c>
    </row>
    <row r="1527" spans="2:14">
      <c r="B1527" s="15">
        <v>45077</v>
      </c>
      <c r="C1527" s="34" t="s">
        <v>15</v>
      </c>
      <c r="D1527" s="34" t="e" vm="17">
        <f>_xlfn.XLOOKUP(HistoricalStockProgress[[#This Row],[Company Ticker]],CompanyDetailsList[Company Ticker],CompanyDetailsList[Official Name],,0)</f>
        <v>#VALUE!</v>
      </c>
      <c r="E15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124</v>
      </c>
      <c r="F15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3234.162600676952</v>
      </c>
      <c r="G1527" s="17">
        <f>IFERROR(HistoricalStockProgress[[#This Row],[Cost of Shares]]/HistoricalStockProgress[[#This Row],[No. of Shares]],0)</f>
        <v>26.081956457072195</v>
      </c>
      <c r="H1527" s="16" vm="2023">
        <v>15.73</v>
      </c>
      <c r="I1527" s="16">
        <f>IF(HistoricalStockProgress[[#This Row],[No. of Shares]]&lt;&gt;0,HistoricalStockProgress[[#This Row],[Price of Shares]]*HistoricalStockProgress[[#This Row],[No. of Shares]],0)</f>
        <v>1950.52</v>
      </c>
      <c r="J1527" s="16">
        <f>IF(HistoricalStockProgress[[#This Row],[No. of Shares]]&lt;&gt;0,HistoricalStockProgress[[#This Row],[Price of Shares]]-HistoricalStockProgress[[#This Row],[Cost of Shares]]/HistoricalStockProgress[[#This Row],[No. of Shares]],0)</f>
        <v>-10.351956457072195</v>
      </c>
      <c r="K1527" s="17">
        <f>IF(HistoricalStockProgress[[#This Row],[Total Price of Shares]]&lt;&gt;0,HistoricalStockProgress[[#This Row],[Total Price of Shares]]-HistoricalStockProgress[[#This Row],[Cost of Shares]],0)</f>
        <v>-1283.642600676952</v>
      </c>
      <c r="L1527" s="34" t="b" cm="1">
        <f t="array" ref="L1527">IFERROR(IF(HistoricalStockProgress[[#This Row],[Price of Shares]]="",_xlfn.STOCKHISTORY(HistoricalStockProgress[[#This Row],[Full Company Name]],HistoricalStockProgress[[#This Row],[Date]],,2,0,1)),0)</f>
        <v>0</v>
      </c>
      <c r="M1527" s="34">
        <f>YEAR(HistoricalStockProgress[[#This Row],[Date]])</f>
        <v>2023</v>
      </c>
      <c r="N1527" s="34">
        <f>MONTH(HistoricalStockProgress[[#This Row],[Date]])</f>
        <v>5</v>
      </c>
    </row>
    <row r="1528" spans="2:14">
      <c r="B1528" s="15">
        <v>45077</v>
      </c>
      <c r="C1528" s="34" t="s">
        <v>13</v>
      </c>
      <c r="D1528" s="34" t="e" vm="18">
        <f>_xlfn.XLOOKUP(HistoricalStockProgress[[#This Row],[Company Ticker]],CompanyDetailsList[Company Ticker],CompanyDetailsList[Official Name],,0)</f>
        <v>#VALUE!</v>
      </c>
      <c r="E15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5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528" s="17">
        <f>IFERROR(HistoricalStockProgress[[#This Row],[Cost of Shares]]/HistoricalStockProgress[[#This Row],[No. of Shares]],0)</f>
        <v>35.846938938346874</v>
      </c>
      <c r="H1528" s="16" vm="2024">
        <v>38.020000000000003</v>
      </c>
      <c r="I1528" s="16">
        <f>IF(HistoricalStockProgress[[#This Row],[No. of Shares]]&lt;&gt;0,HistoricalStockProgress[[#This Row],[Price of Shares]]*HistoricalStockProgress[[#This Row],[No. of Shares]],0)</f>
        <v>2091.1000000000004</v>
      </c>
      <c r="J1528" s="16">
        <f>IF(HistoricalStockProgress[[#This Row],[No. of Shares]]&lt;&gt;0,HistoricalStockProgress[[#This Row],[Price of Shares]]-HistoricalStockProgress[[#This Row],[Cost of Shares]]/HistoricalStockProgress[[#This Row],[No. of Shares]],0)</f>
        <v>2.1730610616531294</v>
      </c>
      <c r="K1528" s="17">
        <f>IF(HistoricalStockProgress[[#This Row],[Total Price of Shares]]&lt;&gt;0,HistoricalStockProgress[[#This Row],[Total Price of Shares]]-HistoricalStockProgress[[#This Row],[Cost of Shares]],0)</f>
        <v>119.51835839092223</v>
      </c>
      <c r="L1528" s="34" t="b" cm="1">
        <f t="array" ref="L1528">IFERROR(IF(HistoricalStockProgress[[#This Row],[Price of Shares]]="",_xlfn.STOCKHISTORY(HistoricalStockProgress[[#This Row],[Full Company Name]],HistoricalStockProgress[[#This Row],[Date]],,2,0,1)),0)</f>
        <v>0</v>
      </c>
      <c r="M1528" s="34">
        <f>YEAR(HistoricalStockProgress[[#This Row],[Date]])</f>
        <v>2023</v>
      </c>
      <c r="N1528" s="34">
        <f>MONTH(HistoricalStockProgress[[#This Row],[Date]])</f>
        <v>5</v>
      </c>
    </row>
    <row r="1529" spans="2:14">
      <c r="B1529" s="15">
        <v>45077</v>
      </c>
      <c r="C1529" s="34" t="s">
        <v>20</v>
      </c>
      <c r="D1529" s="34" t="e" vm="19">
        <f>_xlfn.XLOOKUP(HistoricalStockProgress[[#This Row],[Company Ticker]],CompanyDetailsList[Company Ticker],CompanyDetailsList[Official Name],,0)</f>
        <v>#VALUE!</v>
      </c>
      <c r="E15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5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529" s="17">
        <f>IFERROR(HistoricalStockProgress[[#This Row],[Cost of Shares]]/HistoricalStockProgress[[#This Row],[No. of Shares]],0)</f>
        <v>108.1760767450256</v>
      </c>
      <c r="H1529" s="16" vm="2025">
        <v>135.71</v>
      </c>
      <c r="I1529" s="16">
        <f>IF(HistoricalStockProgress[[#This Row],[No. of Shares]]&lt;&gt;0,HistoricalStockProgress[[#This Row],[Price of Shares]]*HistoricalStockProgress[[#This Row],[No. of Shares]],0)</f>
        <v>15742.36</v>
      </c>
      <c r="J1529" s="16">
        <f>IF(HistoricalStockProgress[[#This Row],[No. of Shares]]&lt;&gt;0,HistoricalStockProgress[[#This Row],[Price of Shares]]-HistoricalStockProgress[[#This Row],[Cost of Shares]]/HistoricalStockProgress[[#This Row],[No. of Shares]],0)</f>
        <v>27.533923254974411</v>
      </c>
      <c r="K1529" s="17">
        <f>IF(HistoricalStockProgress[[#This Row],[Total Price of Shares]]&lt;&gt;0,HistoricalStockProgress[[#This Row],[Total Price of Shares]]-HistoricalStockProgress[[#This Row],[Cost of Shares]],0)</f>
        <v>3193.9350975770321</v>
      </c>
      <c r="L1529" s="34" t="b" cm="1">
        <f t="array" ref="L1529">IFERROR(IF(HistoricalStockProgress[[#This Row],[Price of Shares]]="",_xlfn.STOCKHISTORY(HistoricalStockProgress[[#This Row],[Full Company Name]],HistoricalStockProgress[[#This Row],[Date]],,2,0,1)),0)</f>
        <v>0</v>
      </c>
      <c r="M1529" s="34">
        <f>YEAR(HistoricalStockProgress[[#This Row],[Date]])</f>
        <v>2023</v>
      </c>
      <c r="N1529" s="34">
        <f>MONTH(HistoricalStockProgress[[#This Row],[Date]])</f>
        <v>5</v>
      </c>
    </row>
    <row r="1530" spans="2:14">
      <c r="B1530" s="15">
        <v>45077</v>
      </c>
      <c r="C1530" s="34" t="s">
        <v>106</v>
      </c>
      <c r="D1530" s="34" t="e" vm="20">
        <f>_xlfn.XLOOKUP(HistoricalStockProgress[[#This Row],[Company Ticker]],CompanyDetailsList[Company Ticker],CompanyDetailsList[Official Name],,0)</f>
        <v>#VALUE!</v>
      </c>
      <c r="E15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5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530" s="17">
        <f>IFERROR(HistoricalStockProgress[[#This Row],[Cost of Shares]]/HistoricalStockProgress[[#This Row],[No. of Shares]],0)</f>
        <v>108.54870748680406</v>
      </c>
      <c r="H1530" s="16" vm="2026">
        <v>131.29</v>
      </c>
      <c r="I1530" s="16">
        <f>IF(HistoricalStockProgress[[#This Row],[No. of Shares]]&lt;&gt;0,HistoricalStockProgress[[#This Row],[Price of Shares]]*HistoricalStockProgress[[#This Row],[No. of Shares]],0)</f>
        <v>11553.519999999999</v>
      </c>
      <c r="J1530" s="16">
        <f>IF(HistoricalStockProgress[[#This Row],[No. of Shares]]&lt;&gt;0,HistoricalStockProgress[[#This Row],[Price of Shares]]-HistoricalStockProgress[[#This Row],[Cost of Shares]]/HistoricalStockProgress[[#This Row],[No. of Shares]],0)</f>
        <v>22.74129251319593</v>
      </c>
      <c r="K1530" s="17">
        <f>IF(HistoricalStockProgress[[#This Row],[Total Price of Shares]]&lt;&gt;0,HistoricalStockProgress[[#This Row],[Total Price of Shares]]-HistoricalStockProgress[[#This Row],[Cost of Shares]],0)</f>
        <v>2001.2337411612407</v>
      </c>
      <c r="L1530" s="34" t="b" cm="1">
        <f t="array" ref="L1530">IFERROR(IF(HistoricalStockProgress[[#This Row],[Price of Shares]]="",_xlfn.STOCKHISTORY(HistoricalStockProgress[[#This Row],[Full Company Name]],HistoricalStockProgress[[#This Row],[Date]],,2,0,1)),0)</f>
        <v>0</v>
      </c>
      <c r="M1530" s="34">
        <f>YEAR(HistoricalStockProgress[[#This Row],[Date]])</f>
        <v>2023</v>
      </c>
      <c r="N1530" s="34">
        <f>MONTH(HistoricalStockProgress[[#This Row],[Date]])</f>
        <v>5</v>
      </c>
    </row>
    <row r="1531" spans="2:14">
      <c r="B1531" s="15">
        <v>45107</v>
      </c>
      <c r="C1531" s="34" t="s">
        <v>12</v>
      </c>
      <c r="D1531" s="34" t="e" vm="1">
        <f>_xlfn.XLOOKUP(HistoricalStockProgress[[#This Row],[Company Ticker]],CompanyDetailsList[Company Ticker],CompanyDetailsList[Official Name],,0)</f>
        <v>#VALUE!</v>
      </c>
      <c r="E15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5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531" s="17">
        <f>IFERROR(HistoricalStockProgress[[#This Row],[Cost of Shares]]/HistoricalStockProgress[[#This Row],[No. of Shares]],0)</f>
        <v>64.573985995316889</v>
      </c>
      <c r="H1531" s="16" vm="2027">
        <v>59.79</v>
      </c>
      <c r="I1531" s="16">
        <f>IF(HistoricalStockProgress[[#This Row],[No. of Shares]]&lt;&gt;0,HistoricalStockProgress[[#This Row],[Price of Shares]]*HistoricalStockProgress[[#This Row],[No. of Shares]],0)</f>
        <v>5799.63</v>
      </c>
      <c r="J1531" s="16">
        <f>IF(HistoricalStockProgress[[#This Row],[No. of Shares]]&lt;&gt;0,HistoricalStockProgress[[#This Row],[Price of Shares]]-HistoricalStockProgress[[#This Row],[Cost of Shares]]/HistoricalStockProgress[[#This Row],[No. of Shares]],0)</f>
        <v>-4.7839859953168897</v>
      </c>
      <c r="K1531" s="17">
        <f>IF(HistoricalStockProgress[[#This Row],[Total Price of Shares]]&lt;&gt;0,HistoricalStockProgress[[#This Row],[Total Price of Shares]]-HistoricalStockProgress[[#This Row],[Cost of Shares]],0)</f>
        <v>-464.04664154573766</v>
      </c>
      <c r="L1531" s="34" t="b" cm="1">
        <f t="array" ref="L1531">IFERROR(IF(HistoricalStockProgress[[#This Row],[Price of Shares]]="",_xlfn.STOCKHISTORY(HistoricalStockProgress[[#This Row],[Full Company Name]],HistoricalStockProgress[[#This Row],[Date]],,2,0,1)),0)</f>
        <v>0</v>
      </c>
      <c r="M1531" s="34">
        <f>YEAR(HistoricalStockProgress[[#This Row],[Date]])</f>
        <v>2023</v>
      </c>
      <c r="N1531" s="34">
        <f>MONTH(HistoricalStockProgress[[#This Row],[Date]])</f>
        <v>6</v>
      </c>
    </row>
    <row r="1532" spans="2:14">
      <c r="B1532" s="15">
        <v>45107</v>
      </c>
      <c r="C1532" s="34" t="s">
        <v>14</v>
      </c>
      <c r="D1532" s="34" t="e" vm="2">
        <f>_xlfn.XLOOKUP(HistoricalStockProgress[[#This Row],[Company Ticker]],CompanyDetailsList[Company Ticker],CompanyDetailsList[Official Name],,0)</f>
        <v>#VALUE!</v>
      </c>
      <c r="E15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5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532" s="17">
        <f>IFERROR(HistoricalStockProgress[[#This Row],[Cost of Shares]]/HistoricalStockProgress[[#This Row],[No. of Shares]],0)</f>
        <v>31.580112511620161</v>
      </c>
      <c r="H1532" s="16" vm="2028">
        <v>28.56</v>
      </c>
      <c r="I1532" s="16">
        <f>IF(HistoricalStockProgress[[#This Row],[No. of Shares]]&lt;&gt;0,HistoricalStockProgress[[#This Row],[Price of Shares]]*HistoricalStockProgress[[#This Row],[No. of Shares]],0)</f>
        <v>799.68</v>
      </c>
      <c r="J1532" s="16">
        <f>IF(HistoricalStockProgress[[#This Row],[No. of Shares]]&lt;&gt;0,HistoricalStockProgress[[#This Row],[Price of Shares]]-HistoricalStockProgress[[#This Row],[Cost of Shares]]/HistoricalStockProgress[[#This Row],[No. of Shares]],0)</f>
        <v>-3.0201125116201624</v>
      </c>
      <c r="K1532" s="17">
        <f>IF(HistoricalStockProgress[[#This Row],[Total Price of Shares]]&lt;&gt;0,HistoricalStockProgress[[#This Row],[Total Price of Shares]]-HistoricalStockProgress[[#This Row],[Cost of Shares]],0)</f>
        <v>-84.563150325364518</v>
      </c>
      <c r="L1532" s="34" t="b" cm="1">
        <f t="array" ref="L1532">IFERROR(IF(HistoricalStockProgress[[#This Row],[Price of Shares]]="",_xlfn.STOCKHISTORY(HistoricalStockProgress[[#This Row],[Full Company Name]],HistoricalStockProgress[[#This Row],[Date]],,2,0,1)),0)</f>
        <v>0</v>
      </c>
      <c r="M1532" s="34">
        <f>YEAR(HistoricalStockProgress[[#This Row],[Date]])</f>
        <v>2023</v>
      </c>
      <c r="N1532" s="34">
        <f>MONTH(HistoricalStockProgress[[#This Row],[Date]])</f>
        <v>6</v>
      </c>
    </row>
    <row r="1533" spans="2:14">
      <c r="B1533" s="15">
        <v>45107</v>
      </c>
      <c r="C1533" s="34" t="s">
        <v>19</v>
      </c>
      <c r="D1533" s="34" t="e" vm="3">
        <f>_xlfn.XLOOKUP(HistoricalStockProgress[[#This Row],[Company Ticker]],CompanyDetailsList[Company Ticker],CompanyDetailsList[Official Name],,0)</f>
        <v>#VALUE!</v>
      </c>
      <c r="E15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5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533" s="17">
        <f>IFERROR(HistoricalStockProgress[[#This Row],[Cost of Shares]]/HistoricalStockProgress[[#This Row],[No. of Shares]],0)</f>
        <v>158.45739987816083</v>
      </c>
      <c r="H1533" s="16" vm="2029">
        <v>159.04</v>
      </c>
      <c r="I1533" s="16">
        <f>IF(HistoricalStockProgress[[#This Row],[No. of Shares]]&lt;&gt;0,HistoricalStockProgress[[#This Row],[Price of Shares]]*HistoricalStockProgress[[#This Row],[No. of Shares]],0)</f>
        <v>9065.2799999999988</v>
      </c>
      <c r="J1533" s="16">
        <f>IF(HistoricalStockProgress[[#This Row],[No. of Shares]]&lt;&gt;0,HistoricalStockProgress[[#This Row],[Price of Shares]]-HistoricalStockProgress[[#This Row],[Cost of Shares]]/HistoricalStockProgress[[#This Row],[No. of Shares]],0)</f>
        <v>0.58260012183916388</v>
      </c>
      <c r="K1533" s="17">
        <f>IF(HistoricalStockProgress[[#This Row],[Total Price of Shares]]&lt;&gt;0,HistoricalStockProgress[[#This Row],[Total Price of Shares]]-HistoricalStockProgress[[#This Row],[Cost of Shares]],0)</f>
        <v>33.208206944831545</v>
      </c>
      <c r="L1533" s="34" t="b" cm="1">
        <f t="array" ref="L1533">IFERROR(IF(HistoricalStockProgress[[#This Row],[Price of Shares]]="",_xlfn.STOCKHISTORY(HistoricalStockProgress[[#This Row],[Full Company Name]],HistoricalStockProgress[[#This Row],[Date]],,2,0,1)),0)</f>
        <v>0</v>
      </c>
      <c r="M1533" s="34">
        <f>YEAR(HistoricalStockProgress[[#This Row],[Date]])</f>
        <v>2023</v>
      </c>
      <c r="N1533" s="34">
        <f>MONTH(HistoricalStockProgress[[#This Row],[Date]])</f>
        <v>6</v>
      </c>
    </row>
    <row r="1534" spans="2:14">
      <c r="B1534" s="15">
        <v>45107</v>
      </c>
      <c r="C1534" s="34" t="s">
        <v>23</v>
      </c>
      <c r="D1534" s="34" t="e" vm="4">
        <f>_xlfn.XLOOKUP(HistoricalStockProgress[[#This Row],[Company Ticker]],CompanyDetailsList[Company Ticker],CompanyDetailsList[Official Name],,0)</f>
        <v>#VALUE!</v>
      </c>
      <c r="E15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85</v>
      </c>
      <c r="F15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4210.4106468589489</v>
      </c>
      <c r="G1534" s="17">
        <f>IFERROR(HistoricalStockProgress[[#This Row],[Cost of Shares]]/HistoricalStockProgress[[#This Row],[No. of Shares]],0)</f>
        <v>49.534242904222928</v>
      </c>
      <c r="H1534" s="16" vm="2030">
        <v>60.22</v>
      </c>
      <c r="I1534" s="16">
        <f>IF(HistoricalStockProgress[[#This Row],[No. of Shares]]&lt;&gt;0,HistoricalStockProgress[[#This Row],[Price of Shares]]*HistoricalStockProgress[[#This Row],[No. of Shares]],0)</f>
        <v>5118.7</v>
      </c>
      <c r="J1534" s="16">
        <f>IF(HistoricalStockProgress[[#This Row],[No. of Shares]]&lt;&gt;0,HistoricalStockProgress[[#This Row],[Price of Shares]]-HistoricalStockProgress[[#This Row],[Cost of Shares]]/HistoricalStockProgress[[#This Row],[No. of Shares]],0)</f>
        <v>10.68575709577707</v>
      </c>
      <c r="K1534" s="17">
        <f>IF(HistoricalStockProgress[[#This Row],[Total Price of Shares]]&lt;&gt;0,HistoricalStockProgress[[#This Row],[Total Price of Shares]]-HistoricalStockProgress[[#This Row],[Cost of Shares]],0)</f>
        <v>908.28935314105092</v>
      </c>
      <c r="L1534" s="34" t="b" cm="1">
        <f t="array" ref="L1534">IFERROR(IF(HistoricalStockProgress[[#This Row],[Price of Shares]]="",_xlfn.STOCKHISTORY(HistoricalStockProgress[[#This Row],[Full Company Name]],HistoricalStockProgress[[#This Row],[Date]],,2,0,1)),0)</f>
        <v>0</v>
      </c>
      <c r="M1534" s="34">
        <f>YEAR(HistoricalStockProgress[[#This Row],[Date]])</f>
        <v>2023</v>
      </c>
      <c r="N1534" s="34">
        <f>MONTH(HistoricalStockProgress[[#This Row],[Date]])</f>
        <v>6</v>
      </c>
    </row>
    <row r="1535" spans="2:14">
      <c r="B1535" s="15">
        <v>45107</v>
      </c>
      <c r="C1535" s="34" t="s">
        <v>18</v>
      </c>
      <c r="D1535" s="34" t="e" vm="5">
        <f>_xlfn.XLOOKUP(HistoricalStockProgress[[#This Row],[Company Ticker]],CompanyDetailsList[Company Ticker],CompanyDetailsList[Official Name],,0)</f>
        <v>#VALUE!</v>
      </c>
      <c r="E15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5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535" s="17">
        <f>IFERROR(HistoricalStockProgress[[#This Row],[Cost of Shares]]/HistoricalStockProgress[[#This Row],[No. of Shares]],0)</f>
        <v>160.8859607546234</v>
      </c>
      <c r="H1535" s="16" vm="2031">
        <v>185.22</v>
      </c>
      <c r="I1535" s="16">
        <f>IF(HistoricalStockProgress[[#This Row],[No. of Shares]]&lt;&gt;0,HistoricalStockProgress[[#This Row],[Price of Shares]]*HistoricalStockProgress[[#This Row],[No. of Shares]],0)</f>
        <v>7964.46</v>
      </c>
      <c r="J1535" s="16">
        <f>IF(HistoricalStockProgress[[#This Row],[No. of Shares]]&lt;&gt;0,HistoricalStockProgress[[#This Row],[Price of Shares]]-HistoricalStockProgress[[#This Row],[Cost of Shares]]/HistoricalStockProgress[[#This Row],[No. of Shares]],0)</f>
        <v>24.334039245376601</v>
      </c>
      <c r="K1535" s="17">
        <f>IF(HistoricalStockProgress[[#This Row],[Total Price of Shares]]&lt;&gt;0,HistoricalStockProgress[[#This Row],[Total Price of Shares]]-HistoricalStockProgress[[#This Row],[Cost of Shares]],0)</f>
        <v>1046.3636875511938</v>
      </c>
      <c r="L1535" s="34" t="b" cm="1">
        <f t="array" ref="L1535">IFERROR(IF(HistoricalStockProgress[[#This Row],[Price of Shares]]="",_xlfn.STOCKHISTORY(HistoricalStockProgress[[#This Row],[Full Company Name]],HistoricalStockProgress[[#This Row],[Date]],,2,0,1)),0)</f>
        <v>0</v>
      </c>
      <c r="M1535" s="34">
        <f>YEAR(HistoricalStockProgress[[#This Row],[Date]])</f>
        <v>2023</v>
      </c>
      <c r="N1535" s="34">
        <f>MONTH(HistoricalStockProgress[[#This Row],[Date]])</f>
        <v>6</v>
      </c>
    </row>
    <row r="1536" spans="2:14">
      <c r="B1536" s="15">
        <v>45107</v>
      </c>
      <c r="C1536" s="34" t="s">
        <v>21</v>
      </c>
      <c r="D1536" s="34" t="e" vm="6">
        <f>_xlfn.XLOOKUP(HistoricalStockProgress[[#This Row],[Company Ticker]],CompanyDetailsList[Company Ticker],CompanyDetailsList[Official Name],,0)</f>
        <v>#VALUE!</v>
      </c>
      <c r="E15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5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536" s="17">
        <f>IFERROR(HistoricalStockProgress[[#This Row],[Cost of Shares]]/HistoricalStockProgress[[#This Row],[No. of Shares]],0)</f>
        <v>139.68700010204148</v>
      </c>
      <c r="H1536" s="16" vm="2032">
        <v>151.74</v>
      </c>
      <c r="I1536" s="16">
        <f>IF(HistoricalStockProgress[[#This Row],[No. of Shares]]&lt;&gt;0,HistoricalStockProgress[[#This Row],[Price of Shares]]*HistoricalStockProgress[[#This Row],[No. of Shares]],0)</f>
        <v>6373.08</v>
      </c>
      <c r="J1536" s="16">
        <f>IF(HistoricalStockProgress[[#This Row],[No. of Shares]]&lt;&gt;0,HistoricalStockProgress[[#This Row],[Price of Shares]]-HistoricalStockProgress[[#This Row],[Cost of Shares]]/HistoricalStockProgress[[#This Row],[No. of Shares]],0)</f>
        <v>12.052999897958529</v>
      </c>
      <c r="K1536" s="17">
        <f>IF(HistoricalStockProgress[[#This Row],[Total Price of Shares]]&lt;&gt;0,HistoricalStockProgress[[#This Row],[Total Price of Shares]]-HistoricalStockProgress[[#This Row],[Cost of Shares]],0)</f>
        <v>506.22599571425781</v>
      </c>
      <c r="L1536" s="34" t="b" cm="1">
        <f t="array" ref="L1536">IFERROR(IF(HistoricalStockProgress[[#This Row],[Price of Shares]]="",_xlfn.STOCKHISTORY(HistoricalStockProgress[[#This Row],[Full Company Name]],HistoricalStockProgress[[#This Row],[Date]],,2,0,1)),0)</f>
        <v>0</v>
      </c>
      <c r="M1536" s="34">
        <f>YEAR(HistoricalStockProgress[[#This Row],[Date]])</f>
        <v>2023</v>
      </c>
      <c r="N1536" s="34">
        <f>MONTH(HistoricalStockProgress[[#This Row],[Date]])</f>
        <v>6</v>
      </c>
    </row>
    <row r="1537" spans="2:14">
      <c r="B1537" s="15">
        <v>45107</v>
      </c>
      <c r="C1537" s="34" t="s">
        <v>84</v>
      </c>
      <c r="D1537" s="34" t="e" vm="7">
        <f>_xlfn.XLOOKUP(HistoricalStockProgress[[#This Row],[Company Ticker]],CompanyDetailsList[Company Ticker],CompanyDetailsList[Official Name],,0)</f>
        <v>#VALUE!</v>
      </c>
      <c r="E15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5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537" s="17">
        <f>IFERROR(HistoricalStockProgress[[#This Row],[Cost of Shares]]/HistoricalStockProgress[[#This Row],[No. of Shares]],0)</f>
        <v>104.18087504950869</v>
      </c>
      <c r="H1537" s="16" vm="2033">
        <v>165.52</v>
      </c>
      <c r="I1537" s="16">
        <f>IF(HistoricalStockProgress[[#This Row],[No. of Shares]]&lt;&gt;0,HistoricalStockProgress[[#This Row],[Price of Shares]]*HistoricalStockProgress[[#This Row],[No. of Shares]],0)</f>
        <v>8441.52</v>
      </c>
      <c r="J1537" s="16">
        <f>IF(HistoricalStockProgress[[#This Row],[No. of Shares]]&lt;&gt;0,HistoricalStockProgress[[#This Row],[Price of Shares]]-HistoricalStockProgress[[#This Row],[Cost of Shares]]/HistoricalStockProgress[[#This Row],[No. of Shares]],0)</f>
        <v>61.339124950491325</v>
      </c>
      <c r="K1537" s="17">
        <f>IF(HistoricalStockProgress[[#This Row],[Total Price of Shares]]&lt;&gt;0,HistoricalStockProgress[[#This Row],[Total Price of Shares]]-HistoricalStockProgress[[#This Row],[Cost of Shares]],0)</f>
        <v>3128.2953724750578</v>
      </c>
      <c r="L1537" s="34" t="b" cm="1">
        <f t="array" ref="L1537">IFERROR(IF(HistoricalStockProgress[[#This Row],[Price of Shares]]="",_xlfn.STOCKHISTORY(HistoricalStockProgress[[#This Row],[Full Company Name]],HistoricalStockProgress[[#This Row],[Date]],,2,0,1)),0)</f>
        <v>0</v>
      </c>
      <c r="M1537" s="34">
        <f>YEAR(HistoricalStockProgress[[#This Row],[Date]])</f>
        <v>2023</v>
      </c>
      <c r="N1537" s="34">
        <f>MONTH(HistoricalStockProgress[[#This Row],[Date]])</f>
        <v>6</v>
      </c>
    </row>
    <row r="1538" spans="2:14">
      <c r="B1538" s="15">
        <v>45107</v>
      </c>
      <c r="C1538" s="34" t="s">
        <v>86</v>
      </c>
      <c r="D1538" s="34" t="e" vm="8">
        <f>_xlfn.XLOOKUP(HistoricalStockProgress[[#This Row],[Company Ticker]],CompanyDetailsList[Company Ticker],CompanyDetailsList[Official Name],,0)</f>
        <v>#VALUE!</v>
      </c>
      <c r="E15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5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538" s="17">
        <f>IFERROR(HistoricalStockProgress[[#This Row],[Cost of Shares]]/HistoricalStockProgress[[#This Row],[No. of Shares]],0)</f>
        <v>92.636161128673535</v>
      </c>
      <c r="H1538" s="16" vm="1947">
        <v>134.72999999999999</v>
      </c>
      <c r="I1538" s="16">
        <f>IF(HistoricalStockProgress[[#This Row],[No. of Shares]]&lt;&gt;0,HistoricalStockProgress[[#This Row],[Price of Shares]]*HistoricalStockProgress[[#This Row],[No. of Shares]],0)</f>
        <v>15359.22</v>
      </c>
      <c r="J1538" s="16">
        <f>IF(HistoricalStockProgress[[#This Row],[No. of Shares]]&lt;&gt;0,HistoricalStockProgress[[#This Row],[Price of Shares]]-HistoricalStockProgress[[#This Row],[Cost of Shares]]/HistoricalStockProgress[[#This Row],[No. of Shares]],0)</f>
        <v>42.093838871326454</v>
      </c>
      <c r="K1538" s="17">
        <f>IF(HistoricalStockProgress[[#This Row],[Total Price of Shares]]&lt;&gt;0,HistoricalStockProgress[[#This Row],[Total Price of Shares]]-HistoricalStockProgress[[#This Row],[Cost of Shares]],0)</f>
        <v>4798.6976313312171</v>
      </c>
      <c r="L1538" s="34" t="b" cm="1">
        <f t="array" ref="L1538">IFERROR(IF(HistoricalStockProgress[[#This Row],[Price of Shares]]="",_xlfn.STOCKHISTORY(HistoricalStockProgress[[#This Row],[Full Company Name]],HistoricalStockProgress[[#This Row],[Date]],,2,0,1)),0)</f>
        <v>0</v>
      </c>
      <c r="M1538" s="34">
        <f>YEAR(HistoricalStockProgress[[#This Row],[Date]])</f>
        <v>2023</v>
      </c>
      <c r="N1538" s="34">
        <f>MONTH(HistoricalStockProgress[[#This Row],[Date]])</f>
        <v>6</v>
      </c>
    </row>
    <row r="1539" spans="2:14">
      <c r="B1539" s="15">
        <v>45107</v>
      </c>
      <c r="C1539" s="34" t="s">
        <v>88</v>
      </c>
      <c r="D1539" s="34" t="e" vm="9">
        <f>_xlfn.XLOOKUP(HistoricalStockProgress[[#This Row],[Company Ticker]],CompanyDetailsList[Company Ticker],CompanyDetailsList[Official Name],,0)</f>
        <v>#VALUE!</v>
      </c>
      <c r="E15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5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539" s="17">
        <f>IFERROR(HistoricalStockProgress[[#This Row],[Cost of Shares]]/HistoricalStockProgress[[#This Row],[No. of Shares]],0)</f>
        <v>187.727755253422</v>
      </c>
      <c r="H1539" s="16" vm="2034">
        <v>298.41000000000003</v>
      </c>
      <c r="I1539" s="16">
        <f>IF(HistoricalStockProgress[[#This Row],[No. of Shares]]&lt;&gt;0,HistoricalStockProgress[[#This Row],[Price of Shares]]*HistoricalStockProgress[[#This Row],[No. of Shares]],0)</f>
        <v>17606.190000000002</v>
      </c>
      <c r="J1539" s="16">
        <f>IF(HistoricalStockProgress[[#This Row],[No. of Shares]]&lt;&gt;0,HistoricalStockProgress[[#This Row],[Price of Shares]]-HistoricalStockProgress[[#This Row],[Cost of Shares]]/HistoricalStockProgress[[#This Row],[No. of Shares]],0)</f>
        <v>110.68224474657802</v>
      </c>
      <c r="K1539" s="17">
        <f>IF(HistoricalStockProgress[[#This Row],[Total Price of Shares]]&lt;&gt;0,HistoricalStockProgress[[#This Row],[Total Price of Shares]]-HistoricalStockProgress[[#This Row],[Cost of Shares]],0)</f>
        <v>6530.2524400481034</v>
      </c>
      <c r="L1539" s="34" t="b" cm="1">
        <f t="array" ref="L1539">IFERROR(IF(HistoricalStockProgress[[#This Row],[Price of Shares]]="",_xlfn.STOCKHISTORY(HistoricalStockProgress[[#This Row],[Full Company Name]],HistoricalStockProgress[[#This Row],[Date]],,2,0,1)),0)</f>
        <v>0</v>
      </c>
      <c r="M1539" s="34">
        <f>YEAR(HistoricalStockProgress[[#This Row],[Date]])</f>
        <v>2023</v>
      </c>
      <c r="N1539" s="34">
        <f>MONTH(HistoricalStockProgress[[#This Row],[Date]])</f>
        <v>6</v>
      </c>
    </row>
    <row r="1540" spans="2:14">
      <c r="B1540" s="15">
        <v>45107</v>
      </c>
      <c r="C1540" s="34" t="s">
        <v>22</v>
      </c>
      <c r="D1540" s="34" t="e" vm="10">
        <f>_xlfn.XLOOKUP(HistoricalStockProgress[[#This Row],[Company Ticker]],CompanyDetailsList[Company Ticker],CompanyDetailsList[Official Name],,0)</f>
        <v>#VALUE!</v>
      </c>
      <c r="E15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5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540" s="17">
        <f>IFERROR(HistoricalStockProgress[[#This Row],[Cost of Shares]]/HistoricalStockProgress[[#This Row],[No. of Shares]],0)</f>
        <v>130.19784136724968</v>
      </c>
      <c r="H1540" s="16" vm="2035">
        <v>246.05</v>
      </c>
      <c r="I1540" s="16">
        <f>IF(HistoricalStockProgress[[#This Row],[No. of Shares]]&lt;&gt;0,HistoricalStockProgress[[#This Row],[Price of Shares]]*HistoricalStockProgress[[#This Row],[No. of Shares]],0)</f>
        <v>29279.95</v>
      </c>
      <c r="J1540" s="16">
        <f>IF(HistoricalStockProgress[[#This Row],[No. of Shares]]&lt;&gt;0,HistoricalStockProgress[[#This Row],[Price of Shares]]-HistoricalStockProgress[[#This Row],[Cost of Shares]]/HistoricalStockProgress[[#This Row],[No. of Shares]],0)</f>
        <v>115.85215863275033</v>
      </c>
      <c r="K1540" s="17">
        <f>IF(HistoricalStockProgress[[#This Row],[Total Price of Shares]]&lt;&gt;0,HistoricalStockProgress[[#This Row],[Total Price of Shares]]-HistoricalStockProgress[[#This Row],[Cost of Shares]],0)</f>
        <v>13786.406877297288</v>
      </c>
      <c r="L1540" s="34" t="b" cm="1">
        <f t="array" ref="L1540">IFERROR(IF(HistoricalStockProgress[[#This Row],[Price of Shares]]="",_xlfn.STOCKHISTORY(HistoricalStockProgress[[#This Row],[Full Company Name]],HistoricalStockProgress[[#This Row],[Date]],,2,0,1)),0)</f>
        <v>0</v>
      </c>
      <c r="M1540" s="34">
        <f>YEAR(HistoricalStockProgress[[#This Row],[Date]])</f>
        <v>2023</v>
      </c>
      <c r="N1540" s="34">
        <f>MONTH(HistoricalStockProgress[[#This Row],[Date]])</f>
        <v>6</v>
      </c>
    </row>
    <row r="1541" spans="2:14">
      <c r="B1541" s="15">
        <v>45107</v>
      </c>
      <c r="C1541" s="34" t="s">
        <v>91</v>
      </c>
      <c r="D1541" s="34" t="e" vm="11">
        <f>_xlfn.XLOOKUP(HistoricalStockProgress[[#This Row],[Company Ticker]],CompanyDetailsList[Company Ticker],CompanyDetailsList[Official Name],,0)</f>
        <v>#VALUE!</v>
      </c>
      <c r="E15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5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541" s="17">
        <f>IFERROR(HistoricalStockProgress[[#This Row],[Cost of Shares]]/HistoricalStockProgress[[#This Row],[No. of Shares]],0)</f>
        <v>133.15744058830452</v>
      </c>
      <c r="H1541" s="16" vm="2036">
        <v>340.54</v>
      </c>
      <c r="I1541" s="16">
        <f>IF(HistoricalStockProgress[[#This Row],[No. of Shares]]&lt;&gt;0,HistoricalStockProgress[[#This Row],[Price of Shares]]*HistoricalStockProgress[[#This Row],[No. of Shares]],0)</f>
        <v>62318.820000000007</v>
      </c>
      <c r="J1541" s="16">
        <f>IF(HistoricalStockProgress[[#This Row],[No. of Shares]]&lt;&gt;0,HistoricalStockProgress[[#This Row],[Price of Shares]]-HistoricalStockProgress[[#This Row],[Cost of Shares]]/HistoricalStockProgress[[#This Row],[No. of Shares]],0)</f>
        <v>207.3825594116955</v>
      </c>
      <c r="K1541" s="17">
        <f>IF(HistoricalStockProgress[[#This Row],[Total Price of Shares]]&lt;&gt;0,HistoricalStockProgress[[#This Row],[Total Price of Shares]]-HistoricalStockProgress[[#This Row],[Cost of Shares]],0)</f>
        <v>37951.008372340279</v>
      </c>
      <c r="L1541" s="34" t="b" cm="1">
        <f t="array" ref="L1541">IFERROR(IF(HistoricalStockProgress[[#This Row],[Price of Shares]]="",_xlfn.STOCKHISTORY(HistoricalStockProgress[[#This Row],[Full Company Name]],HistoricalStockProgress[[#This Row],[Date]],,2,0,1)),0)</f>
        <v>0</v>
      </c>
      <c r="M1541" s="34">
        <f>YEAR(HistoricalStockProgress[[#This Row],[Date]])</f>
        <v>2023</v>
      </c>
      <c r="N1541" s="34">
        <f>MONTH(HistoricalStockProgress[[#This Row],[Date]])</f>
        <v>6</v>
      </c>
    </row>
    <row r="1542" spans="2:14">
      <c r="B1542" s="15">
        <v>45107</v>
      </c>
      <c r="C1542" s="34" t="s">
        <v>16</v>
      </c>
      <c r="D1542" s="34" t="e" vm="12">
        <f>_xlfn.XLOOKUP(HistoricalStockProgress[[#This Row],[Company Ticker]],CompanyDetailsList[Company Ticker],CompanyDetailsList[Official Name],,0)</f>
        <v>#VALUE!</v>
      </c>
      <c r="E15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5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542" s="17">
        <f>IFERROR(HistoricalStockProgress[[#This Row],[Cost of Shares]]/HistoricalStockProgress[[#This Row],[No. of Shares]],0)</f>
        <v>75.117698177311837</v>
      </c>
      <c r="H1542" s="16" vm="2037">
        <v>107.25</v>
      </c>
      <c r="I1542" s="16">
        <f>IF(HistoricalStockProgress[[#This Row],[No. of Shares]]&lt;&gt;0,HistoricalStockProgress[[#This Row],[Price of Shares]]*HistoricalStockProgress[[#This Row],[No. of Shares]],0)</f>
        <v>19841.25</v>
      </c>
      <c r="J1542" s="16">
        <f>IF(HistoricalStockProgress[[#This Row],[No. of Shares]]&lt;&gt;0,HistoricalStockProgress[[#This Row],[Price of Shares]]-HistoricalStockProgress[[#This Row],[Cost of Shares]]/HistoricalStockProgress[[#This Row],[No. of Shares]],0)</f>
        <v>32.132301822688163</v>
      </c>
      <c r="K1542" s="17">
        <f>IF(HistoricalStockProgress[[#This Row],[Total Price of Shares]]&lt;&gt;0,HistoricalStockProgress[[#This Row],[Total Price of Shares]]-HistoricalStockProgress[[#This Row],[Cost of Shares]],0)</f>
        <v>5944.4758371973112</v>
      </c>
      <c r="L1542" s="34" t="b" cm="1">
        <f t="array" ref="L1542">IFERROR(IF(HistoricalStockProgress[[#This Row],[Price of Shares]]="",_xlfn.STOCKHISTORY(HistoricalStockProgress[[#This Row],[Full Company Name]],HistoricalStockProgress[[#This Row],[Date]],,2,0,1)),0)</f>
        <v>0</v>
      </c>
      <c r="M1542" s="34">
        <f>YEAR(HistoricalStockProgress[[#This Row],[Date]])</f>
        <v>2023</v>
      </c>
      <c r="N1542" s="34">
        <f>MONTH(HistoricalStockProgress[[#This Row],[Date]])</f>
        <v>6</v>
      </c>
    </row>
    <row r="1543" spans="2:14">
      <c r="B1543" s="15">
        <v>45107</v>
      </c>
      <c r="C1543" s="34" t="s">
        <v>95</v>
      </c>
      <c r="D1543" s="34" t="e" vm="13">
        <f>_xlfn.XLOOKUP(HistoricalStockProgress[[#This Row],[Company Ticker]],CompanyDetailsList[Company Ticker],CompanyDetailsList[Official Name],,0)</f>
        <v>#VALUE!</v>
      </c>
      <c r="E15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143</v>
      </c>
      <c r="F15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35362.550411645469</v>
      </c>
      <c r="G1543" s="17">
        <f>IFERROR(HistoricalStockProgress[[#This Row],[Cost of Shares]]/HistoricalStockProgress[[#This Row],[No. of Shares]],0)</f>
        <v>247.29056231919907</v>
      </c>
      <c r="H1543" s="16" vm="2038">
        <v>310.64</v>
      </c>
      <c r="I1543" s="16">
        <f>IF(HistoricalStockProgress[[#This Row],[No. of Shares]]&lt;&gt;0,HistoricalStockProgress[[#This Row],[Price of Shares]]*HistoricalStockProgress[[#This Row],[No. of Shares]],0)</f>
        <v>44421.52</v>
      </c>
      <c r="J1543" s="16">
        <f>IF(HistoricalStockProgress[[#This Row],[No. of Shares]]&lt;&gt;0,HistoricalStockProgress[[#This Row],[Price of Shares]]-HistoricalStockProgress[[#This Row],[Cost of Shares]]/HistoricalStockProgress[[#This Row],[No. of Shares]],0)</f>
        <v>63.349437680800918</v>
      </c>
      <c r="K1543" s="17">
        <f>IF(HistoricalStockProgress[[#This Row],[Total Price of Shares]]&lt;&gt;0,HistoricalStockProgress[[#This Row],[Total Price of Shares]]-HistoricalStockProgress[[#This Row],[Cost of Shares]],0)</f>
        <v>9058.9695883545282</v>
      </c>
      <c r="L1543" s="34" t="b" cm="1">
        <f t="array" ref="L1543">IFERROR(IF(HistoricalStockProgress[[#This Row],[Price of Shares]]="",_xlfn.STOCKHISTORY(HistoricalStockProgress[[#This Row],[Full Company Name]],HistoricalStockProgress[[#This Row],[Date]],,2,0,1)),0)</f>
        <v>0</v>
      </c>
      <c r="M1543" s="34">
        <f>YEAR(HistoricalStockProgress[[#This Row],[Date]])</f>
        <v>2023</v>
      </c>
      <c r="N1543" s="34">
        <f>MONTH(HistoricalStockProgress[[#This Row],[Date]])</f>
        <v>6</v>
      </c>
    </row>
    <row r="1544" spans="2:14">
      <c r="B1544" s="15">
        <v>45107</v>
      </c>
      <c r="C1544" s="34" t="s">
        <v>17</v>
      </c>
      <c r="D1544" s="34" t="e" vm="14">
        <f>_xlfn.XLOOKUP(HistoricalStockProgress[[#This Row],[Company Ticker]],CompanyDetailsList[Company Ticker],CompanyDetailsList[Official Name],,0)</f>
        <v>#VALUE!</v>
      </c>
      <c r="E15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5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26400.485099161626</v>
      </c>
      <c r="G1544" s="17">
        <f>IFERROR(HistoricalStockProgress[[#This Row],[Cost of Shares]]/HistoricalStockProgress[[#This Row],[No. of Shares]],0)</f>
        <v>136.08497473794654</v>
      </c>
      <c r="H1544" s="16" vm="2039">
        <v>133.81</v>
      </c>
      <c r="I1544" s="16">
        <f>IF(HistoricalStockProgress[[#This Row],[No. of Shares]]&lt;&gt;0,HistoricalStockProgress[[#This Row],[Price of Shares]]*HistoricalStockProgress[[#This Row],[No. of Shares]],0)</f>
        <v>25959.14</v>
      </c>
      <c r="J1544" s="16">
        <f>IF(HistoricalStockProgress[[#This Row],[No. of Shares]]&lt;&gt;0,HistoricalStockProgress[[#This Row],[Price of Shares]]-HistoricalStockProgress[[#This Row],[Cost of Shares]]/HistoricalStockProgress[[#This Row],[No. of Shares]],0)</f>
        <v>-2.2749747379465362</v>
      </c>
      <c r="K1544" s="17">
        <f>IF(HistoricalStockProgress[[#This Row],[Total Price of Shares]]&lt;&gt;0,HistoricalStockProgress[[#This Row],[Total Price of Shares]]-HistoricalStockProgress[[#This Row],[Cost of Shares]],0)</f>
        <v>-441.34509916162642</v>
      </c>
      <c r="L1544" s="34" t="b" cm="1">
        <f t="array" ref="L1544">IFERROR(IF(HistoricalStockProgress[[#This Row],[Price of Shares]]="",_xlfn.STOCKHISTORY(HistoricalStockProgress[[#This Row],[Full Company Name]],HistoricalStockProgress[[#This Row],[Date]],,2,0,1)),0)</f>
        <v>0</v>
      </c>
      <c r="M1544" s="34">
        <f>YEAR(HistoricalStockProgress[[#This Row],[Date]])</f>
        <v>2023</v>
      </c>
      <c r="N1544" s="34">
        <f>MONTH(HistoricalStockProgress[[#This Row],[Date]])</f>
        <v>6</v>
      </c>
    </row>
    <row r="1545" spans="2:14">
      <c r="B1545" s="15">
        <v>45107</v>
      </c>
      <c r="C1545" s="34" t="s">
        <v>98</v>
      </c>
      <c r="D1545" s="34" t="e" vm="15">
        <f>_xlfn.XLOOKUP(HistoricalStockProgress[[#This Row],[Company Ticker]],CompanyDetailsList[Company Ticker],CompanyDetailsList[Official Name],,0)</f>
        <v>#VALUE!</v>
      </c>
      <c r="E15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5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6407.714421697975</v>
      </c>
      <c r="G1545" s="17">
        <f>IFERROR(HistoricalStockProgress[[#This Row],[Cost of Shares]]/HistoricalStockProgress[[#This Row],[No. of Shares]],0)</f>
        <v>53.846339678134242</v>
      </c>
      <c r="H1545" s="16" vm="2040">
        <v>74.2</v>
      </c>
      <c r="I1545" s="16">
        <f>IF(HistoricalStockProgress[[#This Row],[No. of Shares]]&lt;&gt;0,HistoricalStockProgress[[#This Row],[Price of Shares]]*HistoricalStockProgress[[#This Row],[No. of Shares]],0)</f>
        <v>8829.8000000000011</v>
      </c>
      <c r="J1545" s="16">
        <f>IF(HistoricalStockProgress[[#This Row],[No. of Shares]]&lt;&gt;0,HistoricalStockProgress[[#This Row],[Price of Shares]]-HistoricalStockProgress[[#This Row],[Cost of Shares]]/HistoricalStockProgress[[#This Row],[No. of Shares]],0)</f>
        <v>20.35366032186576</v>
      </c>
      <c r="K1545" s="17">
        <f>IF(HistoricalStockProgress[[#This Row],[Total Price of Shares]]&lt;&gt;0,HistoricalStockProgress[[#This Row],[Total Price of Shares]]-HistoricalStockProgress[[#This Row],[Cost of Shares]],0)</f>
        <v>2422.0855783020261</v>
      </c>
      <c r="L1545" s="34" t="b" cm="1">
        <f t="array" ref="L1545">IFERROR(IF(HistoricalStockProgress[[#This Row],[Price of Shares]]="",_xlfn.STOCKHISTORY(HistoricalStockProgress[[#This Row],[Full Company Name]],HistoricalStockProgress[[#This Row],[Date]],,2,0,1)),0)</f>
        <v>0</v>
      </c>
      <c r="M1545" s="34">
        <f>YEAR(HistoricalStockProgress[[#This Row],[Date]])</f>
        <v>2023</v>
      </c>
      <c r="N1545" s="34">
        <f>MONTH(HistoricalStockProgress[[#This Row],[Date]])</f>
        <v>6</v>
      </c>
    </row>
    <row r="1546" spans="2:14">
      <c r="B1546" s="15">
        <v>45107</v>
      </c>
      <c r="C1546" s="34" t="s">
        <v>100</v>
      </c>
      <c r="D1546" s="34" t="e" vm="16">
        <f>_xlfn.XLOOKUP(HistoricalStockProgress[[#This Row],[Company Ticker]],CompanyDetailsList[Company Ticker],CompanyDetailsList[Official Name],,0)</f>
        <v>#VALUE!</v>
      </c>
      <c r="E15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5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17699.078573130391</v>
      </c>
      <c r="G1546" s="17">
        <f>IFERROR(HistoricalStockProgress[[#This Row],[Cost of Shares]]/HistoricalStockProgress[[#This Row],[No. of Shares]],0)</f>
        <v>91.232363779022634</v>
      </c>
      <c r="H1546" s="16" vm="2041">
        <v>89.74</v>
      </c>
      <c r="I1546" s="16">
        <f>IF(HistoricalStockProgress[[#This Row],[No. of Shares]]&lt;&gt;0,HistoricalStockProgress[[#This Row],[Price of Shares]]*HistoricalStockProgress[[#This Row],[No. of Shares]],0)</f>
        <v>17409.559999999998</v>
      </c>
      <c r="J1546" s="16">
        <f>IF(HistoricalStockProgress[[#This Row],[No. of Shares]]&lt;&gt;0,HistoricalStockProgress[[#This Row],[Price of Shares]]-HistoricalStockProgress[[#This Row],[Cost of Shares]]/HistoricalStockProgress[[#This Row],[No. of Shares]],0)</f>
        <v>-1.4923637790226394</v>
      </c>
      <c r="K1546" s="17">
        <f>IF(HistoricalStockProgress[[#This Row],[Total Price of Shares]]&lt;&gt;0,HistoricalStockProgress[[#This Row],[Total Price of Shares]]-HistoricalStockProgress[[#This Row],[Cost of Shares]],0)</f>
        <v>-289.51857313039363</v>
      </c>
      <c r="L1546" s="34" t="b" cm="1">
        <f t="array" ref="L1546">IFERROR(IF(HistoricalStockProgress[[#This Row],[Price of Shares]]="",_xlfn.STOCKHISTORY(HistoricalStockProgress[[#This Row],[Full Company Name]],HistoricalStockProgress[[#This Row],[Date]],,2,0,1)),0)</f>
        <v>0</v>
      </c>
      <c r="M1546" s="34">
        <f>YEAR(HistoricalStockProgress[[#This Row],[Date]])</f>
        <v>2023</v>
      </c>
      <c r="N1546" s="34">
        <f>MONTH(HistoricalStockProgress[[#This Row],[Date]])</f>
        <v>6</v>
      </c>
    </row>
    <row r="1547" spans="2:14">
      <c r="B1547" s="15">
        <v>45107</v>
      </c>
      <c r="C1547" s="34" t="s">
        <v>15</v>
      </c>
      <c r="D1547" s="34" t="e" vm="17">
        <f>_xlfn.XLOOKUP(HistoricalStockProgress[[#This Row],[Company Ticker]],CompanyDetailsList[Company Ticker],CompanyDetailsList[Official Name],,0)</f>
        <v>#VALUE!</v>
      </c>
      <c r="E15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133</v>
      </c>
      <c r="F15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3377.7842958499027</v>
      </c>
      <c r="G1547" s="17">
        <f>IFERROR(HistoricalStockProgress[[#This Row],[Cost of Shares]]/HistoricalStockProgress[[#This Row],[No. of Shares]],0)</f>
        <v>25.396874404886486</v>
      </c>
      <c r="H1547" s="16" vm="521">
        <v>15.95</v>
      </c>
      <c r="I1547" s="16">
        <f>IF(HistoricalStockProgress[[#This Row],[No. of Shares]]&lt;&gt;0,HistoricalStockProgress[[#This Row],[Price of Shares]]*HistoricalStockProgress[[#This Row],[No. of Shares]],0)</f>
        <v>2121.35</v>
      </c>
      <c r="J1547" s="16">
        <f>IF(HistoricalStockProgress[[#This Row],[No. of Shares]]&lt;&gt;0,HistoricalStockProgress[[#This Row],[Price of Shares]]-HistoricalStockProgress[[#This Row],[Cost of Shares]]/HistoricalStockProgress[[#This Row],[No. of Shares]],0)</f>
        <v>-9.4468744048864863</v>
      </c>
      <c r="K1547" s="17">
        <f>IF(HistoricalStockProgress[[#This Row],[Total Price of Shares]]&lt;&gt;0,HistoricalStockProgress[[#This Row],[Total Price of Shares]]-HistoricalStockProgress[[#This Row],[Cost of Shares]],0)</f>
        <v>-1256.4342958499028</v>
      </c>
      <c r="L1547" s="34" t="b" cm="1">
        <f t="array" ref="L1547">IFERROR(IF(HistoricalStockProgress[[#This Row],[Price of Shares]]="",_xlfn.STOCKHISTORY(HistoricalStockProgress[[#This Row],[Full Company Name]],HistoricalStockProgress[[#This Row],[Date]],,2,0,1)),0)</f>
        <v>0</v>
      </c>
      <c r="M1547" s="34">
        <f>YEAR(HistoricalStockProgress[[#This Row],[Date]])</f>
        <v>2023</v>
      </c>
      <c r="N1547" s="34">
        <f>MONTH(HistoricalStockProgress[[#This Row],[Date]])</f>
        <v>6</v>
      </c>
    </row>
    <row r="1548" spans="2:14">
      <c r="B1548" s="15">
        <v>45107</v>
      </c>
      <c r="C1548" s="34" t="s">
        <v>13</v>
      </c>
      <c r="D1548" s="34" t="e" vm="18">
        <f>_xlfn.XLOOKUP(HistoricalStockProgress[[#This Row],[Company Ticker]],CompanyDetailsList[Company Ticker],CompanyDetailsList[Official Name],,0)</f>
        <v>#VALUE!</v>
      </c>
      <c r="E15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5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548" s="17">
        <f>IFERROR(HistoricalStockProgress[[#This Row],[Cost of Shares]]/HistoricalStockProgress[[#This Row],[No. of Shares]],0)</f>
        <v>35.846938938346874</v>
      </c>
      <c r="H1548" s="16" vm="2042">
        <v>36.68</v>
      </c>
      <c r="I1548" s="16">
        <f>IF(HistoricalStockProgress[[#This Row],[No. of Shares]]&lt;&gt;0,HistoricalStockProgress[[#This Row],[Price of Shares]]*HistoricalStockProgress[[#This Row],[No. of Shares]],0)</f>
        <v>2017.4</v>
      </c>
      <c r="J1548" s="16">
        <f>IF(HistoricalStockProgress[[#This Row],[No. of Shares]]&lt;&gt;0,HistoricalStockProgress[[#This Row],[Price of Shares]]-HistoricalStockProgress[[#This Row],[Cost of Shares]]/HistoricalStockProgress[[#This Row],[No. of Shares]],0)</f>
        <v>0.83306106165312599</v>
      </c>
      <c r="K1548" s="17">
        <f>IF(HistoricalStockProgress[[#This Row],[Total Price of Shares]]&lt;&gt;0,HistoricalStockProgress[[#This Row],[Total Price of Shares]]-HistoricalStockProgress[[#This Row],[Cost of Shares]],0)</f>
        <v>45.818358390921958</v>
      </c>
      <c r="L1548" s="34" t="b" cm="1">
        <f t="array" ref="L1548">IFERROR(IF(HistoricalStockProgress[[#This Row],[Price of Shares]]="",_xlfn.STOCKHISTORY(HistoricalStockProgress[[#This Row],[Full Company Name]],HistoricalStockProgress[[#This Row],[Date]],,2,0,1)),0)</f>
        <v>0</v>
      </c>
      <c r="M1548" s="34">
        <f>YEAR(HistoricalStockProgress[[#This Row],[Date]])</f>
        <v>2023</v>
      </c>
      <c r="N1548" s="34">
        <f>MONTH(HistoricalStockProgress[[#This Row],[Date]])</f>
        <v>6</v>
      </c>
    </row>
    <row r="1549" spans="2:14">
      <c r="B1549" s="15">
        <v>45107</v>
      </c>
      <c r="C1549" s="34" t="s">
        <v>20</v>
      </c>
      <c r="D1549" s="34" t="e" vm="19">
        <f>_xlfn.XLOOKUP(HistoricalStockProgress[[#This Row],[Company Ticker]],CompanyDetailsList[Company Ticker],CompanyDetailsList[Official Name],,0)</f>
        <v>#VALUE!</v>
      </c>
      <c r="E15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5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549" s="17">
        <f>IFERROR(HistoricalStockProgress[[#This Row],[Cost of Shares]]/HistoricalStockProgress[[#This Row],[No. of Shares]],0)</f>
        <v>108.1760767450256</v>
      </c>
      <c r="H1549" s="16" vm="2043">
        <v>145.44</v>
      </c>
      <c r="I1549" s="16">
        <f>IF(HistoricalStockProgress[[#This Row],[No. of Shares]]&lt;&gt;0,HistoricalStockProgress[[#This Row],[Price of Shares]]*HistoricalStockProgress[[#This Row],[No. of Shares]],0)</f>
        <v>16871.04</v>
      </c>
      <c r="J1549" s="16">
        <f>IF(HistoricalStockProgress[[#This Row],[No. of Shares]]&lt;&gt;0,HistoricalStockProgress[[#This Row],[Price of Shares]]-HistoricalStockProgress[[#This Row],[Cost of Shares]]/HistoricalStockProgress[[#This Row],[No. of Shares]],0)</f>
        <v>37.263923254974401</v>
      </c>
      <c r="K1549" s="17">
        <f>IF(HistoricalStockProgress[[#This Row],[Total Price of Shares]]&lt;&gt;0,HistoricalStockProgress[[#This Row],[Total Price of Shares]]-HistoricalStockProgress[[#This Row],[Cost of Shares]],0)</f>
        <v>4322.6150975770324</v>
      </c>
      <c r="L1549" s="34" t="b" cm="1">
        <f t="array" ref="L1549">IFERROR(IF(HistoricalStockProgress[[#This Row],[Price of Shares]]="",_xlfn.STOCKHISTORY(HistoricalStockProgress[[#This Row],[Full Company Name]],HistoricalStockProgress[[#This Row],[Date]],,2,0,1)),0)</f>
        <v>0</v>
      </c>
      <c r="M1549" s="34">
        <f>YEAR(HistoricalStockProgress[[#This Row],[Date]])</f>
        <v>2023</v>
      </c>
      <c r="N1549" s="34">
        <f>MONTH(HistoricalStockProgress[[#This Row],[Date]])</f>
        <v>6</v>
      </c>
    </row>
    <row r="1550" spans="2:14">
      <c r="B1550" s="15">
        <v>45107</v>
      </c>
      <c r="C1550" s="34" t="s">
        <v>106</v>
      </c>
      <c r="D1550" s="34" t="e" vm="20">
        <f>_xlfn.XLOOKUP(HistoricalStockProgress[[#This Row],[Company Ticker]],CompanyDetailsList[Company Ticker],CompanyDetailsList[Official Name],,0)</f>
        <v>#VALUE!</v>
      </c>
      <c r="E15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5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550" s="17">
        <f>IFERROR(HistoricalStockProgress[[#This Row],[Cost of Shares]]/HistoricalStockProgress[[#This Row],[No. of Shares]],0)</f>
        <v>108.54870748680406</v>
      </c>
      <c r="H1550" s="16" vm="1459">
        <v>148.30000000000001</v>
      </c>
      <c r="I1550" s="16">
        <f>IF(HistoricalStockProgress[[#This Row],[No. of Shares]]&lt;&gt;0,HistoricalStockProgress[[#This Row],[Price of Shares]]*HistoricalStockProgress[[#This Row],[No. of Shares]],0)</f>
        <v>13050.400000000001</v>
      </c>
      <c r="J1550" s="16">
        <f>IF(HistoricalStockProgress[[#This Row],[No. of Shares]]&lt;&gt;0,HistoricalStockProgress[[#This Row],[Price of Shares]]-HistoricalStockProgress[[#This Row],[Cost of Shares]]/HistoricalStockProgress[[#This Row],[No. of Shares]],0)</f>
        <v>39.751292513195949</v>
      </c>
      <c r="K1550" s="17">
        <f>IF(HistoricalStockProgress[[#This Row],[Total Price of Shares]]&lt;&gt;0,HistoricalStockProgress[[#This Row],[Total Price of Shares]]-HistoricalStockProgress[[#This Row],[Cost of Shares]],0)</f>
        <v>3498.1137411612435</v>
      </c>
      <c r="L1550" s="34" t="b" cm="1">
        <f t="array" ref="L1550">IFERROR(IF(HistoricalStockProgress[[#This Row],[Price of Shares]]="",_xlfn.STOCKHISTORY(HistoricalStockProgress[[#This Row],[Full Company Name]],HistoricalStockProgress[[#This Row],[Date]],,2,0,1)),0)</f>
        <v>0</v>
      </c>
      <c r="M1550" s="34">
        <f>YEAR(HistoricalStockProgress[[#This Row],[Date]])</f>
        <v>2023</v>
      </c>
      <c r="N1550" s="34">
        <f>MONTH(HistoricalStockProgress[[#This Row],[Date]])</f>
        <v>6</v>
      </c>
    </row>
    <row r="1551" spans="2:14">
      <c r="B1551" s="15">
        <v>45138</v>
      </c>
      <c r="C1551" s="34" t="s">
        <v>12</v>
      </c>
      <c r="D1551" s="34" t="e" vm="1">
        <f>_xlfn.XLOOKUP(HistoricalStockProgress[[#This Row],[Company Ticker]],CompanyDetailsList[Company Ticker],CompanyDetailsList[Official Name],,0)</f>
        <v>#VALUE!</v>
      </c>
      <c r="E15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5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551" s="17">
        <f>IFERROR(HistoricalStockProgress[[#This Row],[Cost of Shares]]/HistoricalStockProgress[[#This Row],[No. of Shares]],0)</f>
        <v>64.573985995316889</v>
      </c>
      <c r="H1551" s="16" vm="593">
        <v>60.97</v>
      </c>
      <c r="I1551" s="16">
        <f>IF(HistoricalStockProgress[[#This Row],[No. of Shares]]&lt;&gt;0,HistoricalStockProgress[[#This Row],[Price of Shares]]*HistoricalStockProgress[[#This Row],[No. of Shares]],0)</f>
        <v>5914.09</v>
      </c>
      <c r="J1551" s="16">
        <f>IF(HistoricalStockProgress[[#This Row],[No. of Shares]]&lt;&gt;0,HistoricalStockProgress[[#This Row],[Price of Shares]]-HistoricalStockProgress[[#This Row],[Cost of Shares]]/HistoricalStockProgress[[#This Row],[No. of Shares]],0)</f>
        <v>-3.60398599531689</v>
      </c>
      <c r="K1551" s="17">
        <f>IF(HistoricalStockProgress[[#This Row],[Total Price of Shares]]&lt;&gt;0,HistoricalStockProgress[[#This Row],[Total Price of Shares]]-HistoricalStockProgress[[#This Row],[Cost of Shares]],0)</f>
        <v>-349.58664154573762</v>
      </c>
      <c r="L1551" s="34" t="b" cm="1">
        <f t="array" ref="L1551">IFERROR(IF(HistoricalStockProgress[[#This Row],[Price of Shares]]="",_xlfn.STOCKHISTORY(HistoricalStockProgress[[#This Row],[Full Company Name]],HistoricalStockProgress[[#This Row],[Date]],,2,0,1)),0)</f>
        <v>0</v>
      </c>
      <c r="M1551" s="34">
        <f>YEAR(HistoricalStockProgress[[#This Row],[Date]])</f>
        <v>2023</v>
      </c>
      <c r="N1551" s="34">
        <f>MONTH(HistoricalStockProgress[[#This Row],[Date]])</f>
        <v>7</v>
      </c>
    </row>
    <row r="1552" spans="2:14">
      <c r="B1552" s="15">
        <v>45138</v>
      </c>
      <c r="C1552" s="34" t="s">
        <v>14</v>
      </c>
      <c r="D1552" s="34" t="e" vm="2">
        <f>_xlfn.XLOOKUP(HistoricalStockProgress[[#This Row],[Company Ticker]],CompanyDetailsList[Company Ticker],CompanyDetailsList[Official Name],,0)</f>
        <v>#VALUE!</v>
      </c>
      <c r="E15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5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552" s="17">
        <f>IFERROR(HistoricalStockProgress[[#This Row],[Cost of Shares]]/HistoricalStockProgress[[#This Row],[No. of Shares]],0)</f>
        <v>31.580112511620161</v>
      </c>
      <c r="H1552" s="16" vm="2044">
        <v>26.41</v>
      </c>
      <c r="I1552" s="16">
        <f>IF(HistoricalStockProgress[[#This Row],[No. of Shares]]&lt;&gt;0,HistoricalStockProgress[[#This Row],[Price of Shares]]*HistoricalStockProgress[[#This Row],[No. of Shares]],0)</f>
        <v>739.48</v>
      </c>
      <c r="J1552" s="16">
        <f>IF(HistoricalStockProgress[[#This Row],[No. of Shares]]&lt;&gt;0,HistoricalStockProgress[[#This Row],[Price of Shares]]-HistoricalStockProgress[[#This Row],[Cost of Shares]]/HistoricalStockProgress[[#This Row],[No. of Shares]],0)</f>
        <v>-5.1701125116201609</v>
      </c>
      <c r="K1552" s="17">
        <f>IF(HistoricalStockProgress[[#This Row],[Total Price of Shares]]&lt;&gt;0,HistoricalStockProgress[[#This Row],[Total Price of Shares]]-HistoricalStockProgress[[#This Row],[Cost of Shares]],0)</f>
        <v>-144.76315032536445</v>
      </c>
      <c r="L1552" s="34" t="b" cm="1">
        <f t="array" ref="L1552">IFERROR(IF(HistoricalStockProgress[[#This Row],[Price of Shares]]="",_xlfn.STOCKHISTORY(HistoricalStockProgress[[#This Row],[Full Company Name]],HistoricalStockProgress[[#This Row],[Date]],,2,0,1)),0)</f>
        <v>0</v>
      </c>
      <c r="M1552" s="34">
        <f>YEAR(HistoricalStockProgress[[#This Row],[Date]])</f>
        <v>2023</v>
      </c>
      <c r="N1552" s="34">
        <f>MONTH(HistoricalStockProgress[[#This Row],[Date]])</f>
        <v>7</v>
      </c>
    </row>
    <row r="1553" spans="2:14">
      <c r="B1553" s="15">
        <v>45138</v>
      </c>
      <c r="C1553" s="34" t="s">
        <v>19</v>
      </c>
      <c r="D1553" s="34" t="e" vm="3">
        <f>_xlfn.XLOOKUP(HistoricalStockProgress[[#This Row],[Company Ticker]],CompanyDetailsList[Company Ticker],CompanyDetailsList[Official Name],,0)</f>
        <v>#VALUE!</v>
      </c>
      <c r="E15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5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553" s="17">
        <f>IFERROR(HistoricalStockProgress[[#This Row],[Cost of Shares]]/HistoricalStockProgress[[#This Row],[No. of Shares]],0)</f>
        <v>158.45739987816083</v>
      </c>
      <c r="H1553" s="16" vm="2045">
        <v>151.47999999999999</v>
      </c>
      <c r="I1553" s="16">
        <f>IF(HistoricalStockProgress[[#This Row],[No. of Shares]]&lt;&gt;0,HistoricalStockProgress[[#This Row],[Price of Shares]]*HistoricalStockProgress[[#This Row],[No. of Shares]],0)</f>
        <v>8634.3599999999988</v>
      </c>
      <c r="J1553" s="16">
        <f>IF(HistoricalStockProgress[[#This Row],[No. of Shares]]&lt;&gt;0,HistoricalStockProgress[[#This Row],[Price of Shares]]-HistoricalStockProgress[[#This Row],[Cost of Shares]]/HistoricalStockProgress[[#This Row],[No. of Shares]],0)</f>
        <v>-6.9773998781608384</v>
      </c>
      <c r="K1553" s="17">
        <f>IF(HistoricalStockProgress[[#This Row],[Total Price of Shares]]&lt;&gt;0,HistoricalStockProgress[[#This Row],[Total Price of Shares]]-HistoricalStockProgress[[#This Row],[Cost of Shares]],0)</f>
        <v>-397.71179305516853</v>
      </c>
      <c r="L1553" s="34" t="b" cm="1">
        <f t="array" ref="L1553">IFERROR(IF(HistoricalStockProgress[[#This Row],[Price of Shares]]="",_xlfn.STOCKHISTORY(HistoricalStockProgress[[#This Row],[Full Company Name]],HistoricalStockProgress[[#This Row],[Date]],,2,0,1)),0)</f>
        <v>0</v>
      </c>
      <c r="M1553" s="34">
        <f>YEAR(HistoricalStockProgress[[#This Row],[Date]])</f>
        <v>2023</v>
      </c>
      <c r="N1553" s="34">
        <f>MONTH(HistoricalStockProgress[[#This Row],[Date]])</f>
        <v>7</v>
      </c>
    </row>
    <row r="1554" spans="2:14">
      <c r="B1554" s="15">
        <v>45138</v>
      </c>
      <c r="C1554" s="34" t="s">
        <v>23</v>
      </c>
      <c r="D1554" s="34" t="e" vm="4">
        <f>_xlfn.XLOOKUP(HistoricalStockProgress[[#This Row],[Company Ticker]],CompanyDetailsList[Company Ticker],CompanyDetailsList[Official Name],,0)</f>
        <v>#VALUE!</v>
      </c>
      <c r="E15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85</v>
      </c>
      <c r="F15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4210.4106468589489</v>
      </c>
      <c r="G1554" s="17">
        <f>IFERROR(HistoricalStockProgress[[#This Row],[Cost of Shares]]/HistoricalStockProgress[[#This Row],[No. of Shares]],0)</f>
        <v>49.534242904222928</v>
      </c>
      <c r="H1554" s="16" vm="2046">
        <v>61.93</v>
      </c>
      <c r="I1554" s="16">
        <f>IF(HistoricalStockProgress[[#This Row],[No. of Shares]]&lt;&gt;0,HistoricalStockProgress[[#This Row],[Price of Shares]]*HistoricalStockProgress[[#This Row],[No. of Shares]],0)</f>
        <v>5264.05</v>
      </c>
      <c r="J1554" s="16">
        <f>IF(HistoricalStockProgress[[#This Row],[No. of Shares]]&lt;&gt;0,HistoricalStockProgress[[#This Row],[Price of Shares]]-HistoricalStockProgress[[#This Row],[Cost of Shares]]/HistoricalStockProgress[[#This Row],[No. of Shares]],0)</f>
        <v>12.395757095777071</v>
      </c>
      <c r="K1554" s="17">
        <f>IF(HistoricalStockProgress[[#This Row],[Total Price of Shares]]&lt;&gt;0,HistoricalStockProgress[[#This Row],[Total Price of Shares]]-HistoricalStockProgress[[#This Row],[Cost of Shares]],0)</f>
        <v>1053.6393531410513</v>
      </c>
      <c r="L1554" s="34" t="b" cm="1">
        <f t="array" ref="L1554">IFERROR(IF(HistoricalStockProgress[[#This Row],[Price of Shares]]="",_xlfn.STOCKHISTORY(HistoricalStockProgress[[#This Row],[Full Company Name]],HistoricalStockProgress[[#This Row],[Date]],,2,0,1)),0)</f>
        <v>0</v>
      </c>
      <c r="M1554" s="34">
        <f>YEAR(HistoricalStockProgress[[#This Row],[Date]])</f>
        <v>2023</v>
      </c>
      <c r="N1554" s="34">
        <f>MONTH(HistoricalStockProgress[[#This Row],[Date]])</f>
        <v>7</v>
      </c>
    </row>
    <row r="1555" spans="2:14">
      <c r="B1555" s="15">
        <v>45138</v>
      </c>
      <c r="C1555" s="34" t="s">
        <v>18</v>
      </c>
      <c r="D1555" s="34" t="e" vm="5">
        <f>_xlfn.XLOOKUP(HistoricalStockProgress[[#This Row],[Company Ticker]],CompanyDetailsList[Company Ticker],CompanyDetailsList[Official Name],,0)</f>
        <v>#VALUE!</v>
      </c>
      <c r="E15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5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555" s="17">
        <f>IFERROR(HistoricalStockProgress[[#This Row],[Cost of Shares]]/HistoricalStockProgress[[#This Row],[No. of Shares]],0)</f>
        <v>160.8859607546234</v>
      </c>
      <c r="H1555" s="16" vm="2047">
        <v>187.46</v>
      </c>
      <c r="I1555" s="16">
        <f>IF(HistoricalStockProgress[[#This Row],[No. of Shares]]&lt;&gt;0,HistoricalStockProgress[[#This Row],[Price of Shares]]*HistoricalStockProgress[[#This Row],[No. of Shares]],0)</f>
        <v>8060.7800000000007</v>
      </c>
      <c r="J1555" s="16">
        <f>IF(HistoricalStockProgress[[#This Row],[No. of Shares]]&lt;&gt;0,HistoricalStockProgress[[#This Row],[Price of Shares]]-HistoricalStockProgress[[#This Row],[Cost of Shares]]/HistoricalStockProgress[[#This Row],[No. of Shares]],0)</f>
        <v>26.574039245376611</v>
      </c>
      <c r="K1555" s="17">
        <f>IF(HistoricalStockProgress[[#This Row],[Total Price of Shares]]&lt;&gt;0,HistoricalStockProgress[[#This Row],[Total Price of Shares]]-HistoricalStockProgress[[#This Row],[Cost of Shares]],0)</f>
        <v>1142.6836875511945</v>
      </c>
      <c r="L1555" s="34" t="b" cm="1">
        <f t="array" ref="L1555">IFERROR(IF(HistoricalStockProgress[[#This Row],[Price of Shares]]="",_xlfn.STOCKHISTORY(HistoricalStockProgress[[#This Row],[Full Company Name]],HistoricalStockProgress[[#This Row],[Date]],,2,0,1)),0)</f>
        <v>0</v>
      </c>
      <c r="M1555" s="34">
        <f>YEAR(HistoricalStockProgress[[#This Row],[Date]])</f>
        <v>2023</v>
      </c>
      <c r="N1555" s="34">
        <f>MONTH(HistoricalStockProgress[[#This Row],[Date]])</f>
        <v>7</v>
      </c>
    </row>
    <row r="1556" spans="2:14">
      <c r="B1556" s="15">
        <v>45138</v>
      </c>
      <c r="C1556" s="34" t="s">
        <v>21</v>
      </c>
      <c r="D1556" s="34" t="e" vm="6">
        <f>_xlfn.XLOOKUP(HistoricalStockProgress[[#This Row],[Company Ticker]],CompanyDetailsList[Company Ticker],CompanyDetailsList[Official Name],,0)</f>
        <v>#VALUE!</v>
      </c>
      <c r="E15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5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556" s="17">
        <f>IFERROR(HistoricalStockProgress[[#This Row],[Cost of Shares]]/HistoricalStockProgress[[#This Row],[No. of Shares]],0)</f>
        <v>139.68700010204148</v>
      </c>
      <c r="H1556" s="16" vm="2048">
        <v>156.30000000000001</v>
      </c>
      <c r="I1556" s="16">
        <f>IF(HistoricalStockProgress[[#This Row],[No. of Shares]]&lt;&gt;0,HistoricalStockProgress[[#This Row],[Price of Shares]]*HistoricalStockProgress[[#This Row],[No. of Shares]],0)</f>
        <v>6564.6</v>
      </c>
      <c r="J1556" s="16">
        <f>IF(HistoricalStockProgress[[#This Row],[No. of Shares]]&lt;&gt;0,HistoricalStockProgress[[#This Row],[Price of Shares]]-HistoricalStockProgress[[#This Row],[Cost of Shares]]/HistoricalStockProgress[[#This Row],[No. of Shares]],0)</f>
        <v>16.612999897958531</v>
      </c>
      <c r="K1556" s="17">
        <f>IF(HistoricalStockProgress[[#This Row],[Total Price of Shares]]&lt;&gt;0,HistoricalStockProgress[[#This Row],[Total Price of Shares]]-HistoricalStockProgress[[#This Row],[Cost of Shares]],0)</f>
        <v>697.74599571425824</v>
      </c>
      <c r="L1556" s="34" t="b" cm="1">
        <f t="array" ref="L1556">IFERROR(IF(HistoricalStockProgress[[#This Row],[Price of Shares]]="",_xlfn.STOCKHISTORY(HistoricalStockProgress[[#This Row],[Full Company Name]],HistoricalStockProgress[[#This Row],[Date]],,2,0,1)),0)</f>
        <v>0</v>
      </c>
      <c r="M1556" s="34">
        <f>YEAR(HistoricalStockProgress[[#This Row],[Date]])</f>
        <v>2023</v>
      </c>
      <c r="N1556" s="34">
        <f>MONTH(HistoricalStockProgress[[#This Row],[Date]])</f>
        <v>7</v>
      </c>
    </row>
    <row r="1557" spans="2:14">
      <c r="B1557" s="15">
        <v>45138</v>
      </c>
      <c r="C1557" s="34" t="s">
        <v>84</v>
      </c>
      <c r="D1557" s="34" t="e" vm="7">
        <f>_xlfn.XLOOKUP(HistoricalStockProgress[[#This Row],[Company Ticker]],CompanyDetailsList[Company Ticker],CompanyDetailsList[Official Name],,0)</f>
        <v>#VALUE!</v>
      </c>
      <c r="E15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5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557" s="17">
        <f>IFERROR(HistoricalStockProgress[[#This Row],[Cost of Shares]]/HistoricalStockProgress[[#This Row],[No. of Shares]],0)</f>
        <v>104.18087504950869</v>
      </c>
      <c r="H1557" s="16" vm="2049">
        <v>167.53</v>
      </c>
      <c r="I1557" s="16">
        <f>IF(HistoricalStockProgress[[#This Row],[No. of Shares]]&lt;&gt;0,HistoricalStockProgress[[#This Row],[Price of Shares]]*HistoricalStockProgress[[#This Row],[No. of Shares]],0)</f>
        <v>8544.0300000000007</v>
      </c>
      <c r="J1557" s="16">
        <f>IF(HistoricalStockProgress[[#This Row],[No. of Shares]]&lt;&gt;0,HistoricalStockProgress[[#This Row],[Price of Shares]]-HistoricalStockProgress[[#This Row],[Cost of Shares]]/HistoricalStockProgress[[#This Row],[No. of Shares]],0)</f>
        <v>63.349124950491316</v>
      </c>
      <c r="K1557" s="17">
        <f>IF(HistoricalStockProgress[[#This Row],[Total Price of Shares]]&lt;&gt;0,HistoricalStockProgress[[#This Row],[Total Price of Shares]]-HistoricalStockProgress[[#This Row],[Cost of Shares]],0)</f>
        <v>3230.805372475058</v>
      </c>
      <c r="L1557" s="34" t="b" cm="1">
        <f t="array" ref="L1557">IFERROR(IF(HistoricalStockProgress[[#This Row],[Price of Shares]]="",_xlfn.STOCKHISTORY(HistoricalStockProgress[[#This Row],[Full Company Name]],HistoricalStockProgress[[#This Row],[Date]],,2,0,1)),0)</f>
        <v>0</v>
      </c>
      <c r="M1557" s="34">
        <f>YEAR(HistoricalStockProgress[[#This Row],[Date]])</f>
        <v>2023</v>
      </c>
      <c r="N1557" s="34">
        <f>MONTH(HistoricalStockProgress[[#This Row],[Date]])</f>
        <v>7</v>
      </c>
    </row>
    <row r="1558" spans="2:14">
      <c r="B1558" s="15">
        <v>45138</v>
      </c>
      <c r="C1558" s="34" t="s">
        <v>86</v>
      </c>
      <c r="D1558" s="34" t="e" vm="8">
        <f>_xlfn.XLOOKUP(HistoricalStockProgress[[#This Row],[Company Ticker]],CompanyDetailsList[Company Ticker],CompanyDetailsList[Official Name],,0)</f>
        <v>#VALUE!</v>
      </c>
      <c r="E15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5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558" s="17">
        <f>IFERROR(HistoricalStockProgress[[#This Row],[Cost of Shares]]/HistoricalStockProgress[[#This Row],[No. of Shares]],0)</f>
        <v>92.636161128673535</v>
      </c>
      <c r="H1558" s="16" vm="2050">
        <v>149.58000000000001</v>
      </c>
      <c r="I1558" s="16">
        <f>IF(HistoricalStockProgress[[#This Row],[No. of Shares]]&lt;&gt;0,HistoricalStockProgress[[#This Row],[Price of Shares]]*HistoricalStockProgress[[#This Row],[No. of Shares]],0)</f>
        <v>17052.120000000003</v>
      </c>
      <c r="J1558" s="16">
        <f>IF(HistoricalStockProgress[[#This Row],[No. of Shares]]&lt;&gt;0,HistoricalStockProgress[[#This Row],[Price of Shares]]-HistoricalStockProgress[[#This Row],[Cost of Shares]]/HistoricalStockProgress[[#This Row],[No. of Shares]],0)</f>
        <v>56.943838871326477</v>
      </c>
      <c r="K1558" s="17">
        <f>IF(HistoricalStockProgress[[#This Row],[Total Price of Shares]]&lt;&gt;0,HistoricalStockProgress[[#This Row],[Total Price of Shares]]-HistoricalStockProgress[[#This Row],[Cost of Shares]],0)</f>
        <v>6491.5976313312203</v>
      </c>
      <c r="L1558" s="34" t="b" cm="1">
        <f t="array" ref="L1558">IFERROR(IF(HistoricalStockProgress[[#This Row],[Price of Shares]]="",_xlfn.STOCKHISTORY(HistoricalStockProgress[[#This Row],[Full Company Name]],HistoricalStockProgress[[#This Row],[Date]],,2,0,1)),0)</f>
        <v>0</v>
      </c>
      <c r="M1558" s="34">
        <f>YEAR(HistoricalStockProgress[[#This Row],[Date]])</f>
        <v>2023</v>
      </c>
      <c r="N1558" s="34">
        <f>MONTH(HistoricalStockProgress[[#This Row],[Date]])</f>
        <v>7</v>
      </c>
    </row>
    <row r="1559" spans="2:14">
      <c r="B1559" s="15">
        <v>45138</v>
      </c>
      <c r="C1559" s="34" t="s">
        <v>88</v>
      </c>
      <c r="D1559" s="34" t="e" vm="9">
        <f>_xlfn.XLOOKUP(HistoricalStockProgress[[#This Row],[Company Ticker]],CompanyDetailsList[Company Ticker],CompanyDetailsList[Official Name],,0)</f>
        <v>#VALUE!</v>
      </c>
      <c r="E15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59</v>
      </c>
      <c r="F15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11075.937559951899</v>
      </c>
      <c r="G1559" s="17">
        <f>IFERROR(HistoricalStockProgress[[#This Row],[Cost of Shares]]/HistoricalStockProgress[[#This Row],[No. of Shares]],0)</f>
        <v>187.727755253422</v>
      </c>
      <c r="H1559" s="16" vm="2051">
        <v>293.2</v>
      </c>
      <c r="I1559" s="16">
        <f>IF(HistoricalStockProgress[[#This Row],[No. of Shares]]&lt;&gt;0,HistoricalStockProgress[[#This Row],[Price of Shares]]*HistoricalStockProgress[[#This Row],[No. of Shares]],0)</f>
        <v>17298.8</v>
      </c>
      <c r="J1559" s="16">
        <f>IF(HistoricalStockProgress[[#This Row],[No. of Shares]]&lt;&gt;0,HistoricalStockProgress[[#This Row],[Price of Shares]]-HistoricalStockProgress[[#This Row],[Cost of Shares]]/HistoricalStockProgress[[#This Row],[No. of Shares]],0)</f>
        <v>105.47224474657799</v>
      </c>
      <c r="K1559" s="17">
        <f>IF(HistoricalStockProgress[[#This Row],[Total Price of Shares]]&lt;&gt;0,HistoricalStockProgress[[#This Row],[Total Price of Shares]]-HistoricalStockProgress[[#This Row],[Cost of Shares]],0)</f>
        <v>6222.8624400481003</v>
      </c>
      <c r="L1559" s="34" t="b" cm="1">
        <f t="array" ref="L1559">IFERROR(IF(HistoricalStockProgress[[#This Row],[Price of Shares]]="",_xlfn.STOCKHISTORY(HistoricalStockProgress[[#This Row],[Full Company Name]],HistoricalStockProgress[[#This Row],[Date]],,2,0,1)),0)</f>
        <v>0</v>
      </c>
      <c r="M1559" s="34">
        <f>YEAR(HistoricalStockProgress[[#This Row],[Date]])</f>
        <v>2023</v>
      </c>
      <c r="N1559" s="34">
        <f>MONTH(HistoricalStockProgress[[#This Row],[Date]])</f>
        <v>7</v>
      </c>
    </row>
    <row r="1560" spans="2:14">
      <c r="B1560" s="15">
        <v>45138</v>
      </c>
      <c r="C1560" s="34" t="s">
        <v>22</v>
      </c>
      <c r="D1560" s="34" t="e" vm="10">
        <f>_xlfn.XLOOKUP(HistoricalStockProgress[[#This Row],[Company Ticker]],CompanyDetailsList[Company Ticker],CompanyDetailsList[Official Name],,0)</f>
        <v>#VALUE!</v>
      </c>
      <c r="E15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5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560" s="17">
        <f>IFERROR(HistoricalStockProgress[[#This Row],[Cost of Shares]]/HistoricalStockProgress[[#This Row],[No. of Shares]],0)</f>
        <v>130.19784136724968</v>
      </c>
      <c r="H1560" s="16" vm="2052">
        <v>265.17</v>
      </c>
      <c r="I1560" s="16">
        <f>IF(HistoricalStockProgress[[#This Row],[No. of Shares]]&lt;&gt;0,HistoricalStockProgress[[#This Row],[Price of Shares]]*HistoricalStockProgress[[#This Row],[No. of Shares]],0)</f>
        <v>31555.230000000003</v>
      </c>
      <c r="J1560" s="16">
        <f>IF(HistoricalStockProgress[[#This Row],[No. of Shares]]&lt;&gt;0,HistoricalStockProgress[[#This Row],[Price of Shares]]-HistoricalStockProgress[[#This Row],[Cost of Shares]]/HistoricalStockProgress[[#This Row],[No. of Shares]],0)</f>
        <v>134.97215863275034</v>
      </c>
      <c r="K1560" s="17">
        <f>IF(HistoricalStockProgress[[#This Row],[Total Price of Shares]]&lt;&gt;0,HistoricalStockProgress[[#This Row],[Total Price of Shares]]-HistoricalStockProgress[[#This Row],[Cost of Shares]],0)</f>
        <v>16061.68687729729</v>
      </c>
      <c r="L1560" s="34" t="b" cm="1">
        <f t="array" ref="L1560">IFERROR(IF(HistoricalStockProgress[[#This Row],[Price of Shares]]="",_xlfn.STOCKHISTORY(HistoricalStockProgress[[#This Row],[Full Company Name]],HistoricalStockProgress[[#This Row],[Date]],,2,0,1)),0)</f>
        <v>0</v>
      </c>
      <c r="M1560" s="34">
        <f>YEAR(HistoricalStockProgress[[#This Row],[Date]])</f>
        <v>2023</v>
      </c>
      <c r="N1560" s="34">
        <f>MONTH(HistoricalStockProgress[[#This Row],[Date]])</f>
        <v>7</v>
      </c>
    </row>
    <row r="1561" spans="2:14">
      <c r="B1561" s="15">
        <v>45138</v>
      </c>
      <c r="C1561" s="34" t="s">
        <v>91</v>
      </c>
      <c r="D1561" s="34" t="e" vm="11">
        <f>_xlfn.XLOOKUP(HistoricalStockProgress[[#This Row],[Company Ticker]],CompanyDetailsList[Company Ticker],CompanyDetailsList[Official Name],,0)</f>
        <v>#VALUE!</v>
      </c>
      <c r="E15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5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561" s="17">
        <f>IFERROR(HistoricalStockProgress[[#This Row],[Cost of Shares]]/HistoricalStockProgress[[#This Row],[No. of Shares]],0)</f>
        <v>133.15744058830452</v>
      </c>
      <c r="H1561" s="16" vm="2053">
        <v>335.92</v>
      </c>
      <c r="I1561" s="16">
        <f>IF(HistoricalStockProgress[[#This Row],[No. of Shares]]&lt;&gt;0,HistoricalStockProgress[[#This Row],[Price of Shares]]*HistoricalStockProgress[[#This Row],[No. of Shares]],0)</f>
        <v>61473.36</v>
      </c>
      <c r="J1561" s="16">
        <f>IF(HistoricalStockProgress[[#This Row],[No. of Shares]]&lt;&gt;0,HistoricalStockProgress[[#This Row],[Price of Shares]]-HistoricalStockProgress[[#This Row],[Cost of Shares]]/HistoricalStockProgress[[#This Row],[No. of Shares]],0)</f>
        <v>202.76255941169549</v>
      </c>
      <c r="K1561" s="17">
        <f>IF(HistoricalStockProgress[[#This Row],[Total Price of Shares]]&lt;&gt;0,HistoricalStockProgress[[#This Row],[Total Price of Shares]]-HistoricalStockProgress[[#This Row],[Cost of Shares]],0)</f>
        <v>37105.548372340272</v>
      </c>
      <c r="L1561" s="34" t="b" cm="1">
        <f t="array" ref="L1561">IFERROR(IF(HistoricalStockProgress[[#This Row],[Price of Shares]]="",_xlfn.STOCKHISTORY(HistoricalStockProgress[[#This Row],[Full Company Name]],HistoricalStockProgress[[#This Row],[Date]],,2,0,1)),0)</f>
        <v>0</v>
      </c>
      <c r="M1561" s="34">
        <f>YEAR(HistoricalStockProgress[[#This Row],[Date]])</f>
        <v>2023</v>
      </c>
      <c r="N1561" s="34">
        <f>MONTH(HistoricalStockProgress[[#This Row],[Date]])</f>
        <v>7</v>
      </c>
    </row>
    <row r="1562" spans="2:14">
      <c r="B1562" s="15">
        <v>45138</v>
      </c>
      <c r="C1562" s="34" t="s">
        <v>16</v>
      </c>
      <c r="D1562" s="34" t="e" vm="12">
        <f>_xlfn.XLOOKUP(HistoricalStockProgress[[#This Row],[Company Ticker]],CompanyDetailsList[Company Ticker],CompanyDetailsList[Official Name],,0)</f>
        <v>#VALUE!</v>
      </c>
      <c r="E15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5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562" s="17">
        <f>IFERROR(HistoricalStockProgress[[#This Row],[Cost of Shares]]/HistoricalStockProgress[[#This Row],[No. of Shares]],0)</f>
        <v>75.117698177311837</v>
      </c>
      <c r="H1562" s="16" vm="2054">
        <v>107.24</v>
      </c>
      <c r="I1562" s="16">
        <f>IF(HistoricalStockProgress[[#This Row],[No. of Shares]]&lt;&gt;0,HistoricalStockProgress[[#This Row],[Price of Shares]]*HistoricalStockProgress[[#This Row],[No. of Shares]],0)</f>
        <v>19839.399999999998</v>
      </c>
      <c r="J1562" s="16">
        <f>IF(HistoricalStockProgress[[#This Row],[No. of Shares]]&lt;&gt;0,HistoricalStockProgress[[#This Row],[Price of Shares]]-HistoricalStockProgress[[#This Row],[Cost of Shares]]/HistoricalStockProgress[[#This Row],[No. of Shares]],0)</f>
        <v>32.122301822688158</v>
      </c>
      <c r="K1562" s="17">
        <f>IF(HistoricalStockProgress[[#This Row],[Total Price of Shares]]&lt;&gt;0,HistoricalStockProgress[[#This Row],[Total Price of Shares]]-HistoricalStockProgress[[#This Row],[Cost of Shares]],0)</f>
        <v>5942.625837197309</v>
      </c>
      <c r="L1562" s="34" t="b" cm="1">
        <f t="array" ref="L1562">IFERROR(IF(HistoricalStockProgress[[#This Row],[Price of Shares]]="",_xlfn.STOCKHISTORY(HistoricalStockProgress[[#This Row],[Full Company Name]],HistoricalStockProgress[[#This Row],[Date]],,2,0,1)),0)</f>
        <v>0</v>
      </c>
      <c r="M1562" s="34">
        <f>YEAR(HistoricalStockProgress[[#This Row],[Date]])</f>
        <v>2023</v>
      </c>
      <c r="N1562" s="34">
        <f>MONTH(HistoricalStockProgress[[#This Row],[Date]])</f>
        <v>7</v>
      </c>
    </row>
    <row r="1563" spans="2:14">
      <c r="B1563" s="15">
        <v>45138</v>
      </c>
      <c r="C1563" s="34" t="s">
        <v>95</v>
      </c>
      <c r="D1563" s="34" t="e" vm="13">
        <f>_xlfn.XLOOKUP(HistoricalStockProgress[[#This Row],[Company Ticker]],CompanyDetailsList[Company Ticker],CompanyDetailsList[Official Name],,0)</f>
        <v>#VALUE!</v>
      </c>
      <c r="E15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143</v>
      </c>
      <c r="F15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35362.550411645469</v>
      </c>
      <c r="G1563" s="17">
        <f>IFERROR(HistoricalStockProgress[[#This Row],[Cost of Shares]]/HistoricalStockProgress[[#This Row],[No. of Shares]],0)</f>
        <v>247.29056231919907</v>
      </c>
      <c r="H1563" s="16" vm="2055">
        <v>333.84</v>
      </c>
      <c r="I1563" s="16">
        <f>IF(HistoricalStockProgress[[#This Row],[No. of Shares]]&lt;&gt;0,HistoricalStockProgress[[#This Row],[Price of Shares]]*HistoricalStockProgress[[#This Row],[No. of Shares]],0)</f>
        <v>47739.119999999995</v>
      </c>
      <c r="J1563" s="16">
        <f>IF(HistoricalStockProgress[[#This Row],[No. of Shares]]&lt;&gt;0,HistoricalStockProgress[[#This Row],[Price of Shares]]-HistoricalStockProgress[[#This Row],[Cost of Shares]]/HistoricalStockProgress[[#This Row],[No. of Shares]],0)</f>
        <v>86.549437680800906</v>
      </c>
      <c r="K1563" s="17">
        <f>IF(HistoricalStockProgress[[#This Row],[Total Price of Shares]]&lt;&gt;0,HistoricalStockProgress[[#This Row],[Total Price of Shares]]-HistoricalStockProgress[[#This Row],[Cost of Shares]],0)</f>
        <v>12376.569588354527</v>
      </c>
      <c r="L1563" s="34" t="b" cm="1">
        <f t="array" ref="L1563">IFERROR(IF(HistoricalStockProgress[[#This Row],[Price of Shares]]="",_xlfn.STOCKHISTORY(HistoricalStockProgress[[#This Row],[Full Company Name]],HistoricalStockProgress[[#This Row],[Date]],,2,0,1)),0)</f>
        <v>0</v>
      </c>
      <c r="M1563" s="34">
        <f>YEAR(HistoricalStockProgress[[#This Row],[Date]])</f>
        <v>2023</v>
      </c>
      <c r="N1563" s="34">
        <f>MONTH(HistoricalStockProgress[[#This Row],[Date]])</f>
        <v>7</v>
      </c>
    </row>
    <row r="1564" spans="2:14">
      <c r="B1564" s="15">
        <v>45138</v>
      </c>
      <c r="C1564" s="34" t="s">
        <v>17</v>
      </c>
      <c r="D1564" s="34" t="e" vm="14">
        <f>_xlfn.XLOOKUP(HistoricalStockProgress[[#This Row],[Company Ticker]],CompanyDetailsList[Company Ticker],CompanyDetailsList[Official Name],,0)</f>
        <v>#VALUE!</v>
      </c>
      <c r="E15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5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26400.485099161626</v>
      </c>
      <c r="G1564" s="17">
        <f>IFERROR(HistoricalStockProgress[[#This Row],[Cost of Shares]]/HistoricalStockProgress[[#This Row],[No. of Shares]],0)</f>
        <v>136.08497473794654</v>
      </c>
      <c r="H1564" s="16" vm="2056">
        <v>144.18</v>
      </c>
      <c r="I1564" s="16">
        <f>IF(HistoricalStockProgress[[#This Row],[No. of Shares]]&lt;&gt;0,HistoricalStockProgress[[#This Row],[Price of Shares]]*HistoricalStockProgress[[#This Row],[No. of Shares]],0)</f>
        <v>27970.920000000002</v>
      </c>
      <c r="J1564" s="16">
        <f>IF(HistoricalStockProgress[[#This Row],[No. of Shares]]&lt;&gt;0,HistoricalStockProgress[[#This Row],[Price of Shares]]-HistoricalStockProgress[[#This Row],[Cost of Shares]]/HistoricalStockProgress[[#This Row],[No. of Shares]],0)</f>
        <v>8.0950252620534684</v>
      </c>
      <c r="K1564" s="17">
        <f>IF(HistoricalStockProgress[[#This Row],[Total Price of Shares]]&lt;&gt;0,HistoricalStockProgress[[#This Row],[Total Price of Shares]]-HistoricalStockProgress[[#This Row],[Cost of Shares]],0)</f>
        <v>1570.4349008383761</v>
      </c>
      <c r="L1564" s="34" t="b" cm="1">
        <f t="array" ref="L1564">IFERROR(IF(HistoricalStockProgress[[#This Row],[Price of Shares]]="",_xlfn.STOCKHISTORY(HistoricalStockProgress[[#This Row],[Full Company Name]],HistoricalStockProgress[[#This Row],[Date]],,2,0,1)),0)</f>
        <v>0</v>
      </c>
      <c r="M1564" s="34">
        <f>YEAR(HistoricalStockProgress[[#This Row],[Date]])</f>
        <v>2023</v>
      </c>
      <c r="N1564" s="34">
        <f>MONTH(HistoricalStockProgress[[#This Row],[Date]])</f>
        <v>7</v>
      </c>
    </row>
    <row r="1565" spans="2:14">
      <c r="B1565" s="15">
        <v>45138</v>
      </c>
      <c r="C1565" s="34" t="s">
        <v>98</v>
      </c>
      <c r="D1565" s="34" t="e" vm="15">
        <f>_xlfn.XLOOKUP(HistoricalStockProgress[[#This Row],[Company Ticker]],CompanyDetailsList[Company Ticker],CompanyDetailsList[Official Name],,0)</f>
        <v>#VALUE!</v>
      </c>
      <c r="E15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5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6407.714421697975</v>
      </c>
      <c r="G1565" s="17">
        <f>IFERROR(HistoricalStockProgress[[#This Row],[Cost of Shares]]/HistoricalStockProgress[[#This Row],[No. of Shares]],0)</f>
        <v>53.846339678134242</v>
      </c>
      <c r="H1565" s="16" vm="2057">
        <v>73.3</v>
      </c>
      <c r="I1565" s="16">
        <f>IF(HistoricalStockProgress[[#This Row],[No. of Shares]]&lt;&gt;0,HistoricalStockProgress[[#This Row],[Price of Shares]]*HistoricalStockProgress[[#This Row],[No. of Shares]],0)</f>
        <v>8722.6999999999989</v>
      </c>
      <c r="J1565" s="16">
        <f>IF(HistoricalStockProgress[[#This Row],[No. of Shares]]&lt;&gt;0,HistoricalStockProgress[[#This Row],[Price of Shares]]-HistoricalStockProgress[[#This Row],[Cost of Shares]]/HistoricalStockProgress[[#This Row],[No. of Shares]],0)</f>
        <v>19.453660321865755</v>
      </c>
      <c r="K1565" s="17">
        <f>IF(HistoricalStockProgress[[#This Row],[Total Price of Shares]]&lt;&gt;0,HistoricalStockProgress[[#This Row],[Total Price of Shares]]-HistoricalStockProgress[[#This Row],[Cost of Shares]],0)</f>
        <v>2314.9855783020239</v>
      </c>
      <c r="L1565" s="34" t="b" cm="1">
        <f t="array" ref="L1565">IFERROR(IF(HistoricalStockProgress[[#This Row],[Price of Shares]]="",_xlfn.STOCKHISTORY(HistoricalStockProgress[[#This Row],[Full Company Name]],HistoricalStockProgress[[#This Row],[Date]],,2,0,1)),0)</f>
        <v>0</v>
      </c>
      <c r="M1565" s="34">
        <f>YEAR(HistoricalStockProgress[[#This Row],[Date]])</f>
        <v>2023</v>
      </c>
      <c r="N1565" s="34">
        <f>MONTH(HistoricalStockProgress[[#This Row],[Date]])</f>
        <v>7</v>
      </c>
    </row>
    <row r="1566" spans="2:14">
      <c r="B1566" s="15">
        <v>45138</v>
      </c>
      <c r="C1566" s="34" t="s">
        <v>100</v>
      </c>
      <c r="D1566" s="34" t="e" vm="16">
        <f>_xlfn.XLOOKUP(HistoricalStockProgress[[#This Row],[Company Ticker]],CompanyDetailsList[Company Ticker],CompanyDetailsList[Official Name],,0)</f>
        <v>#VALUE!</v>
      </c>
      <c r="E15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217</v>
      </c>
      <c r="F15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19839.340255178511</v>
      </c>
      <c r="G1566" s="17">
        <f>IFERROR(HistoricalStockProgress[[#This Row],[Cost of Shares]]/HistoricalStockProgress[[#This Row],[No. of Shares]],0)</f>
        <v>91.425531129854889</v>
      </c>
      <c r="H1566" s="16" vm="2058">
        <v>93.62</v>
      </c>
      <c r="I1566" s="16">
        <f>IF(HistoricalStockProgress[[#This Row],[No. of Shares]]&lt;&gt;0,HistoricalStockProgress[[#This Row],[Price of Shares]]*HistoricalStockProgress[[#This Row],[No. of Shares]],0)</f>
        <v>20315.54</v>
      </c>
      <c r="J1566" s="16">
        <f>IF(HistoricalStockProgress[[#This Row],[No. of Shares]]&lt;&gt;0,HistoricalStockProgress[[#This Row],[Price of Shares]]-HistoricalStockProgress[[#This Row],[Cost of Shares]]/HistoricalStockProgress[[#This Row],[No. of Shares]],0)</f>
        <v>2.1944688701451156</v>
      </c>
      <c r="K1566" s="17">
        <f>IF(HistoricalStockProgress[[#This Row],[Total Price of Shares]]&lt;&gt;0,HistoricalStockProgress[[#This Row],[Total Price of Shares]]-HistoricalStockProgress[[#This Row],[Cost of Shares]],0)</f>
        <v>476.19974482148973</v>
      </c>
      <c r="L1566" s="34" t="b" cm="1">
        <f t="array" ref="L1566">IFERROR(IF(HistoricalStockProgress[[#This Row],[Price of Shares]]="",_xlfn.STOCKHISTORY(HistoricalStockProgress[[#This Row],[Full Company Name]],HistoricalStockProgress[[#This Row],[Date]],,2,0,1)),0)</f>
        <v>0</v>
      </c>
      <c r="M1566" s="34">
        <f>YEAR(HistoricalStockProgress[[#This Row],[Date]])</f>
        <v>2023</v>
      </c>
      <c r="N1566" s="34">
        <f>MONTH(HistoricalStockProgress[[#This Row],[Date]])</f>
        <v>7</v>
      </c>
    </row>
    <row r="1567" spans="2:14">
      <c r="B1567" s="15">
        <v>45138</v>
      </c>
      <c r="C1567" s="34" t="s">
        <v>15</v>
      </c>
      <c r="D1567" s="34" t="e" vm="17">
        <f>_xlfn.XLOOKUP(HistoricalStockProgress[[#This Row],[Company Ticker]],CompanyDetailsList[Company Ticker],CompanyDetailsList[Official Name],,0)</f>
        <v>#VALUE!</v>
      </c>
      <c r="E15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133</v>
      </c>
      <c r="F15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3377.7842958499027</v>
      </c>
      <c r="G1567" s="17">
        <f>IFERROR(HistoricalStockProgress[[#This Row],[Cost of Shares]]/HistoricalStockProgress[[#This Row],[No. of Shares]],0)</f>
        <v>25.396874404886486</v>
      </c>
      <c r="H1567" s="16" vm="2059">
        <v>14.52</v>
      </c>
      <c r="I1567" s="16">
        <f>IF(HistoricalStockProgress[[#This Row],[No. of Shares]]&lt;&gt;0,HistoricalStockProgress[[#This Row],[Price of Shares]]*HistoricalStockProgress[[#This Row],[No. of Shares]],0)</f>
        <v>1931.1599999999999</v>
      </c>
      <c r="J1567" s="16">
        <f>IF(HistoricalStockProgress[[#This Row],[No. of Shares]]&lt;&gt;0,HistoricalStockProgress[[#This Row],[Price of Shares]]-HistoricalStockProgress[[#This Row],[Cost of Shares]]/HistoricalStockProgress[[#This Row],[No. of Shares]],0)</f>
        <v>-10.876874404886486</v>
      </c>
      <c r="K1567" s="17">
        <f>IF(HistoricalStockProgress[[#This Row],[Total Price of Shares]]&lt;&gt;0,HistoricalStockProgress[[#This Row],[Total Price of Shares]]-HistoricalStockProgress[[#This Row],[Cost of Shares]],0)</f>
        <v>-1446.6242958499029</v>
      </c>
      <c r="L1567" s="34" t="b" cm="1">
        <f t="array" ref="L1567">IFERROR(IF(HistoricalStockProgress[[#This Row],[Price of Shares]]="",_xlfn.STOCKHISTORY(HistoricalStockProgress[[#This Row],[Full Company Name]],HistoricalStockProgress[[#This Row],[Date]],,2,0,1)),0)</f>
        <v>0</v>
      </c>
      <c r="M1567" s="34">
        <f>YEAR(HistoricalStockProgress[[#This Row],[Date]])</f>
        <v>2023</v>
      </c>
      <c r="N1567" s="34">
        <f>MONTH(HistoricalStockProgress[[#This Row],[Date]])</f>
        <v>7</v>
      </c>
    </row>
    <row r="1568" spans="2:14">
      <c r="B1568" s="15">
        <v>45138</v>
      </c>
      <c r="C1568" s="34" t="s">
        <v>13</v>
      </c>
      <c r="D1568" s="34" t="e" vm="18">
        <f>_xlfn.XLOOKUP(HistoricalStockProgress[[#This Row],[Company Ticker]],CompanyDetailsList[Company Ticker],CompanyDetailsList[Official Name],,0)</f>
        <v>#VALUE!</v>
      </c>
      <c r="E15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5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568" s="17">
        <f>IFERROR(HistoricalStockProgress[[#This Row],[Cost of Shares]]/HistoricalStockProgress[[#This Row],[No. of Shares]],0)</f>
        <v>35.846938938346874</v>
      </c>
      <c r="H1568" s="16" vm="2060">
        <v>36.06</v>
      </c>
      <c r="I1568" s="16">
        <f>IF(HistoricalStockProgress[[#This Row],[No. of Shares]]&lt;&gt;0,HistoricalStockProgress[[#This Row],[Price of Shares]]*HistoricalStockProgress[[#This Row],[No. of Shares]],0)</f>
        <v>1983.3000000000002</v>
      </c>
      <c r="J1568" s="16">
        <f>IF(HistoricalStockProgress[[#This Row],[No. of Shares]]&lt;&gt;0,HistoricalStockProgress[[#This Row],[Price of Shares]]-HistoricalStockProgress[[#This Row],[Cost of Shares]]/HistoricalStockProgress[[#This Row],[No. of Shares]],0)</f>
        <v>0.21306106165312855</v>
      </c>
      <c r="K1568" s="17">
        <f>IF(HistoricalStockProgress[[#This Row],[Total Price of Shares]]&lt;&gt;0,HistoricalStockProgress[[#This Row],[Total Price of Shares]]-HistoricalStockProgress[[#This Row],[Cost of Shares]],0)</f>
        <v>11.718358390922049</v>
      </c>
      <c r="L1568" s="34" t="b" cm="1">
        <f t="array" ref="L1568">IFERROR(IF(HistoricalStockProgress[[#This Row],[Price of Shares]]="",_xlfn.STOCKHISTORY(HistoricalStockProgress[[#This Row],[Full Company Name]],HistoricalStockProgress[[#This Row],[Date]],,2,0,1)),0)</f>
        <v>0</v>
      </c>
      <c r="M1568" s="34">
        <f>YEAR(HistoricalStockProgress[[#This Row],[Date]])</f>
        <v>2023</v>
      </c>
      <c r="N1568" s="34">
        <f>MONTH(HistoricalStockProgress[[#This Row],[Date]])</f>
        <v>7</v>
      </c>
    </row>
    <row r="1569" spans="2:14">
      <c r="B1569" s="15">
        <v>45138</v>
      </c>
      <c r="C1569" s="34" t="s">
        <v>20</v>
      </c>
      <c r="D1569" s="34" t="e" vm="19">
        <f>_xlfn.XLOOKUP(HistoricalStockProgress[[#This Row],[Company Ticker]],CompanyDetailsList[Company Ticker],CompanyDetailsList[Official Name],,0)</f>
        <v>#VALUE!</v>
      </c>
      <c r="E15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5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569" s="17">
        <f>IFERROR(HistoricalStockProgress[[#This Row],[Cost of Shares]]/HistoricalStockProgress[[#This Row],[No. of Shares]],0)</f>
        <v>108.1760767450256</v>
      </c>
      <c r="H1569" s="16" vm="2061">
        <v>157.96</v>
      </c>
      <c r="I1569" s="16">
        <f>IF(HistoricalStockProgress[[#This Row],[No. of Shares]]&lt;&gt;0,HistoricalStockProgress[[#This Row],[Price of Shares]]*HistoricalStockProgress[[#This Row],[No. of Shares]],0)</f>
        <v>18323.36</v>
      </c>
      <c r="J1569" s="16">
        <f>IF(HistoricalStockProgress[[#This Row],[No. of Shares]]&lt;&gt;0,HistoricalStockProgress[[#This Row],[Price of Shares]]-HistoricalStockProgress[[#This Row],[Cost of Shares]]/HistoricalStockProgress[[#This Row],[No. of Shares]],0)</f>
        <v>49.783923254974411</v>
      </c>
      <c r="K1569" s="17">
        <f>IF(HistoricalStockProgress[[#This Row],[Total Price of Shares]]&lt;&gt;0,HistoricalStockProgress[[#This Row],[Total Price of Shares]]-HistoricalStockProgress[[#This Row],[Cost of Shares]],0)</f>
        <v>5774.9350975770321</v>
      </c>
      <c r="L1569" s="34" t="b" cm="1">
        <f t="array" ref="L1569">IFERROR(IF(HistoricalStockProgress[[#This Row],[Price of Shares]]="",_xlfn.STOCKHISTORY(HistoricalStockProgress[[#This Row],[Full Company Name]],HistoricalStockProgress[[#This Row],[Date]],,2,0,1)),0)</f>
        <v>0</v>
      </c>
      <c r="M1569" s="34">
        <f>YEAR(HistoricalStockProgress[[#This Row],[Date]])</f>
        <v>2023</v>
      </c>
      <c r="N1569" s="34">
        <f>MONTH(HistoricalStockProgress[[#This Row],[Date]])</f>
        <v>7</v>
      </c>
    </row>
    <row r="1570" spans="2:14">
      <c r="B1570" s="15">
        <v>45138</v>
      </c>
      <c r="C1570" s="34" t="s">
        <v>106</v>
      </c>
      <c r="D1570" s="34" t="e" vm="20">
        <f>_xlfn.XLOOKUP(HistoricalStockProgress[[#This Row],[Company Ticker]],CompanyDetailsList[Company Ticker],CompanyDetailsList[Official Name],,0)</f>
        <v>#VALUE!</v>
      </c>
      <c r="E15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5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570" s="17">
        <f>IFERROR(HistoricalStockProgress[[#This Row],[Cost of Shares]]/HistoricalStockProgress[[#This Row],[No. of Shares]],0)</f>
        <v>108.54870748680406</v>
      </c>
      <c r="H1570" s="16" vm="2062">
        <v>143.9</v>
      </c>
      <c r="I1570" s="16">
        <f>IF(HistoricalStockProgress[[#This Row],[No. of Shares]]&lt;&gt;0,HistoricalStockProgress[[#This Row],[Price of Shares]]*HistoricalStockProgress[[#This Row],[No. of Shares]],0)</f>
        <v>12663.2</v>
      </c>
      <c r="J1570" s="16">
        <f>IF(HistoricalStockProgress[[#This Row],[No. of Shares]]&lt;&gt;0,HistoricalStockProgress[[#This Row],[Price of Shares]]-HistoricalStockProgress[[#This Row],[Cost of Shares]]/HistoricalStockProgress[[#This Row],[No. of Shares]],0)</f>
        <v>35.351292513195943</v>
      </c>
      <c r="K1570" s="17">
        <f>IF(HistoricalStockProgress[[#This Row],[Total Price of Shares]]&lt;&gt;0,HistoricalStockProgress[[#This Row],[Total Price of Shares]]-HistoricalStockProgress[[#This Row],[Cost of Shares]],0)</f>
        <v>3110.9137411612428</v>
      </c>
      <c r="L1570" s="34" t="b" cm="1">
        <f t="array" ref="L1570">IFERROR(IF(HistoricalStockProgress[[#This Row],[Price of Shares]]="",_xlfn.STOCKHISTORY(HistoricalStockProgress[[#This Row],[Full Company Name]],HistoricalStockProgress[[#This Row],[Date]],,2,0,1)),0)</f>
        <v>0</v>
      </c>
      <c r="M1570" s="34">
        <f>YEAR(HistoricalStockProgress[[#This Row],[Date]])</f>
        <v>2023</v>
      </c>
      <c r="N1570" s="34">
        <f>MONTH(HistoricalStockProgress[[#This Row],[Date]])</f>
        <v>7</v>
      </c>
    </row>
    <row r="1571" spans="2:14">
      <c r="B1571" s="15">
        <v>45169</v>
      </c>
      <c r="C1571" s="34" t="s">
        <v>12</v>
      </c>
      <c r="D1571" s="34" t="e" vm="1">
        <f>_xlfn.XLOOKUP(HistoricalStockProgress[[#This Row],[Company Ticker]],CompanyDetailsList[Company Ticker],CompanyDetailsList[Official Name],,0)</f>
        <v>#VALUE!</v>
      </c>
      <c r="E15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5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571" s="17">
        <f>IFERROR(HistoricalStockProgress[[#This Row],[Cost of Shares]]/HistoricalStockProgress[[#This Row],[No. of Shares]],0)</f>
        <v>64.573985995316889</v>
      </c>
      <c r="H1571" s="16" vm="500">
        <v>56.04</v>
      </c>
      <c r="I1571" s="16">
        <f>IF(HistoricalStockProgress[[#This Row],[No. of Shares]]&lt;&gt;0,HistoricalStockProgress[[#This Row],[Price of Shares]]*HistoricalStockProgress[[#This Row],[No. of Shares]],0)</f>
        <v>5435.88</v>
      </c>
      <c r="J1571" s="16">
        <f>IF(HistoricalStockProgress[[#This Row],[No. of Shares]]&lt;&gt;0,HistoricalStockProgress[[#This Row],[Price of Shares]]-HistoricalStockProgress[[#This Row],[Cost of Shares]]/HistoricalStockProgress[[#This Row],[No. of Shares]],0)</f>
        <v>-8.5339859953168897</v>
      </c>
      <c r="K1571" s="17">
        <f>IF(HistoricalStockProgress[[#This Row],[Total Price of Shares]]&lt;&gt;0,HistoricalStockProgress[[#This Row],[Total Price of Shares]]-HistoricalStockProgress[[#This Row],[Cost of Shares]],0)</f>
        <v>-827.79664154573766</v>
      </c>
      <c r="L1571" s="34" t="b" cm="1">
        <f t="array" ref="L1571">IFERROR(IF(HistoricalStockProgress[[#This Row],[Price of Shares]]="",_xlfn.STOCKHISTORY(HistoricalStockProgress[[#This Row],[Full Company Name]],HistoricalStockProgress[[#This Row],[Date]],,2,0,1)),0)</f>
        <v>0</v>
      </c>
      <c r="M1571" s="34">
        <f>YEAR(HistoricalStockProgress[[#This Row],[Date]])</f>
        <v>2023</v>
      </c>
      <c r="N1571" s="34">
        <f>MONTH(HistoricalStockProgress[[#This Row],[Date]])</f>
        <v>8</v>
      </c>
    </row>
    <row r="1572" spans="2:14">
      <c r="B1572" s="15">
        <v>45169</v>
      </c>
      <c r="C1572" s="34" t="s">
        <v>14</v>
      </c>
      <c r="D1572" s="34" t="e" vm="2">
        <f>_xlfn.XLOOKUP(HistoricalStockProgress[[#This Row],[Company Ticker]],CompanyDetailsList[Company Ticker],CompanyDetailsList[Official Name],,0)</f>
        <v>#VALUE!</v>
      </c>
      <c r="E15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5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572" s="17">
        <f>IFERROR(HistoricalStockProgress[[#This Row],[Cost of Shares]]/HistoricalStockProgress[[#This Row],[No. of Shares]],0)</f>
        <v>31.580112511620161</v>
      </c>
      <c r="H1572" s="16" vm="2063">
        <v>24.77</v>
      </c>
      <c r="I1572" s="16">
        <f>IF(HistoricalStockProgress[[#This Row],[No. of Shares]]&lt;&gt;0,HistoricalStockProgress[[#This Row],[Price of Shares]]*HistoricalStockProgress[[#This Row],[No. of Shares]],0)</f>
        <v>693.56</v>
      </c>
      <c r="J1572" s="16">
        <f>IF(HistoricalStockProgress[[#This Row],[No. of Shares]]&lt;&gt;0,HistoricalStockProgress[[#This Row],[Price of Shares]]-HistoricalStockProgress[[#This Row],[Cost of Shares]]/HistoricalStockProgress[[#This Row],[No. of Shares]],0)</f>
        <v>-6.8101125116201615</v>
      </c>
      <c r="K1572" s="17">
        <f>IF(HistoricalStockProgress[[#This Row],[Total Price of Shares]]&lt;&gt;0,HistoricalStockProgress[[#This Row],[Total Price of Shares]]-HistoricalStockProgress[[#This Row],[Cost of Shares]],0)</f>
        <v>-190.68315032536452</v>
      </c>
      <c r="L1572" s="34" t="b" cm="1">
        <f t="array" ref="L1572">IFERROR(IF(HistoricalStockProgress[[#This Row],[Price of Shares]]="",_xlfn.STOCKHISTORY(HistoricalStockProgress[[#This Row],[Full Company Name]],HistoricalStockProgress[[#This Row],[Date]],,2,0,1)),0)</f>
        <v>0</v>
      </c>
      <c r="M1572" s="34">
        <f>YEAR(HistoricalStockProgress[[#This Row],[Date]])</f>
        <v>2023</v>
      </c>
      <c r="N1572" s="34">
        <f>MONTH(HistoricalStockProgress[[#This Row],[Date]])</f>
        <v>8</v>
      </c>
    </row>
    <row r="1573" spans="2:14">
      <c r="B1573" s="15">
        <v>45169</v>
      </c>
      <c r="C1573" s="34" t="s">
        <v>19</v>
      </c>
      <c r="D1573" s="34" t="e" vm="3">
        <f>_xlfn.XLOOKUP(HistoricalStockProgress[[#This Row],[Company Ticker]],CompanyDetailsList[Company Ticker],CompanyDetailsList[Official Name],,0)</f>
        <v>#VALUE!</v>
      </c>
      <c r="E15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5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573" s="17">
        <f>IFERROR(HistoricalStockProgress[[#This Row],[Cost of Shares]]/HistoricalStockProgress[[#This Row],[No. of Shares]],0)</f>
        <v>158.45739987816083</v>
      </c>
      <c r="H1573" s="16" vm="2064">
        <v>156.44999999999999</v>
      </c>
      <c r="I1573" s="16">
        <f>IF(HistoricalStockProgress[[#This Row],[No. of Shares]]&lt;&gt;0,HistoricalStockProgress[[#This Row],[Price of Shares]]*HistoricalStockProgress[[#This Row],[No. of Shares]],0)</f>
        <v>8917.65</v>
      </c>
      <c r="J1573" s="16">
        <f>IF(HistoricalStockProgress[[#This Row],[No. of Shares]]&lt;&gt;0,HistoricalStockProgress[[#This Row],[Price of Shares]]-HistoricalStockProgress[[#This Row],[Cost of Shares]]/HistoricalStockProgress[[#This Row],[No. of Shares]],0)</f>
        <v>-2.0073998781608395</v>
      </c>
      <c r="K1573" s="17">
        <f>IF(HistoricalStockProgress[[#This Row],[Total Price of Shares]]&lt;&gt;0,HistoricalStockProgress[[#This Row],[Total Price of Shares]]-HistoricalStockProgress[[#This Row],[Cost of Shares]],0)</f>
        <v>-114.42179305516765</v>
      </c>
      <c r="L1573" s="34" t="b" cm="1">
        <f t="array" ref="L1573">IFERROR(IF(HistoricalStockProgress[[#This Row],[Price of Shares]]="",_xlfn.STOCKHISTORY(HistoricalStockProgress[[#This Row],[Full Company Name]],HistoricalStockProgress[[#This Row],[Date]],,2,0,1)),0)</f>
        <v>0</v>
      </c>
      <c r="M1573" s="34">
        <f>YEAR(HistoricalStockProgress[[#This Row],[Date]])</f>
        <v>2023</v>
      </c>
      <c r="N1573" s="34">
        <f>MONTH(HistoricalStockProgress[[#This Row],[Date]])</f>
        <v>8</v>
      </c>
    </row>
    <row r="1574" spans="2:14">
      <c r="B1574" s="15">
        <v>45169</v>
      </c>
      <c r="C1574" s="34" t="s">
        <v>23</v>
      </c>
      <c r="D1574" s="34" t="e" vm="4">
        <f>_xlfn.XLOOKUP(HistoricalStockProgress[[#This Row],[Company Ticker]],CompanyDetailsList[Company Ticker],CompanyDetailsList[Official Name],,0)</f>
        <v>#VALUE!</v>
      </c>
      <c r="E15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85</v>
      </c>
      <c r="F15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4210.4106468589489</v>
      </c>
      <c r="G1574" s="17">
        <f>IFERROR(HistoricalStockProgress[[#This Row],[Cost of Shares]]/HistoricalStockProgress[[#This Row],[No. of Shares]],0)</f>
        <v>49.534242904222928</v>
      </c>
      <c r="H1574" s="16" vm="2065">
        <v>59.83</v>
      </c>
      <c r="I1574" s="16">
        <f>IF(HistoricalStockProgress[[#This Row],[No. of Shares]]&lt;&gt;0,HistoricalStockProgress[[#This Row],[Price of Shares]]*HistoricalStockProgress[[#This Row],[No. of Shares]],0)</f>
        <v>5085.55</v>
      </c>
      <c r="J1574" s="16">
        <f>IF(HistoricalStockProgress[[#This Row],[No. of Shares]]&lt;&gt;0,HistoricalStockProgress[[#This Row],[Price of Shares]]-HistoricalStockProgress[[#This Row],[Cost of Shares]]/HistoricalStockProgress[[#This Row],[No. of Shares]],0)</f>
        <v>10.29575709577707</v>
      </c>
      <c r="K1574" s="17">
        <f>IF(HistoricalStockProgress[[#This Row],[Total Price of Shares]]&lt;&gt;0,HistoricalStockProgress[[#This Row],[Total Price of Shares]]-HistoricalStockProgress[[#This Row],[Cost of Shares]],0)</f>
        <v>875.13935314105129</v>
      </c>
      <c r="L1574" s="34" t="b" cm="1">
        <f t="array" ref="L1574">IFERROR(IF(HistoricalStockProgress[[#This Row],[Price of Shares]]="",_xlfn.STOCKHISTORY(HistoricalStockProgress[[#This Row],[Full Company Name]],HistoricalStockProgress[[#This Row],[Date]],,2,0,1)),0)</f>
        <v>0</v>
      </c>
      <c r="M1574" s="34">
        <f>YEAR(HistoricalStockProgress[[#This Row],[Date]])</f>
        <v>2023</v>
      </c>
      <c r="N1574" s="34">
        <f>MONTH(HistoricalStockProgress[[#This Row],[Date]])</f>
        <v>8</v>
      </c>
    </row>
    <row r="1575" spans="2:14">
      <c r="B1575" s="15">
        <v>45169</v>
      </c>
      <c r="C1575" s="34" t="s">
        <v>18</v>
      </c>
      <c r="D1575" s="34" t="e" vm="5">
        <f>_xlfn.XLOOKUP(HistoricalStockProgress[[#This Row],[Company Ticker]],CompanyDetailsList[Company Ticker],CompanyDetailsList[Official Name],,0)</f>
        <v>#VALUE!</v>
      </c>
      <c r="E15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5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575" s="17">
        <f>IFERROR(HistoricalStockProgress[[#This Row],[Cost of Shares]]/HistoricalStockProgress[[#This Row],[No. of Shares]],0)</f>
        <v>160.8859607546234</v>
      </c>
      <c r="H1575" s="16" vm="2066">
        <v>177.92</v>
      </c>
      <c r="I1575" s="16">
        <f>IF(HistoricalStockProgress[[#This Row],[No. of Shares]]&lt;&gt;0,HistoricalStockProgress[[#This Row],[Price of Shares]]*HistoricalStockProgress[[#This Row],[No. of Shares]],0)</f>
        <v>7650.5599999999995</v>
      </c>
      <c r="J1575" s="16">
        <f>IF(HistoricalStockProgress[[#This Row],[No. of Shares]]&lt;&gt;0,HistoricalStockProgress[[#This Row],[Price of Shares]]-HistoricalStockProgress[[#This Row],[Cost of Shares]]/HistoricalStockProgress[[#This Row],[No. of Shares]],0)</f>
        <v>17.03403924537659</v>
      </c>
      <c r="K1575" s="17">
        <f>IF(HistoricalStockProgress[[#This Row],[Total Price of Shares]]&lt;&gt;0,HistoricalStockProgress[[#This Row],[Total Price of Shares]]-HistoricalStockProgress[[#This Row],[Cost of Shares]],0)</f>
        <v>732.46368755119329</v>
      </c>
      <c r="L1575" s="34" t="b" cm="1">
        <f t="array" ref="L1575">IFERROR(IF(HistoricalStockProgress[[#This Row],[Price of Shares]]="",_xlfn.STOCKHISTORY(HistoricalStockProgress[[#This Row],[Full Company Name]],HistoricalStockProgress[[#This Row],[Date]],,2,0,1)),0)</f>
        <v>0</v>
      </c>
      <c r="M1575" s="34">
        <f>YEAR(HistoricalStockProgress[[#This Row],[Date]])</f>
        <v>2023</v>
      </c>
      <c r="N1575" s="34">
        <f>MONTH(HistoricalStockProgress[[#This Row],[Date]])</f>
        <v>8</v>
      </c>
    </row>
    <row r="1576" spans="2:14">
      <c r="B1576" s="15">
        <v>45169</v>
      </c>
      <c r="C1576" s="34" t="s">
        <v>21</v>
      </c>
      <c r="D1576" s="34" t="e" vm="6">
        <f>_xlfn.XLOOKUP(HistoricalStockProgress[[#This Row],[Company Ticker]],CompanyDetailsList[Company Ticker],CompanyDetailsList[Official Name],,0)</f>
        <v>#VALUE!</v>
      </c>
      <c r="E15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5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576" s="17">
        <f>IFERROR(HistoricalStockProgress[[#This Row],[Cost of Shares]]/HistoricalStockProgress[[#This Row],[No. of Shares]],0)</f>
        <v>139.68700010204148</v>
      </c>
      <c r="H1576" s="16" vm="2067">
        <v>154.34</v>
      </c>
      <c r="I1576" s="16">
        <f>IF(HistoricalStockProgress[[#This Row],[No. of Shares]]&lt;&gt;0,HistoricalStockProgress[[#This Row],[Price of Shares]]*HistoricalStockProgress[[#This Row],[No. of Shares]],0)</f>
        <v>6482.28</v>
      </c>
      <c r="J1576" s="16">
        <f>IF(HistoricalStockProgress[[#This Row],[No. of Shares]]&lt;&gt;0,HistoricalStockProgress[[#This Row],[Price of Shares]]-HistoricalStockProgress[[#This Row],[Cost of Shares]]/HistoricalStockProgress[[#This Row],[No. of Shares]],0)</f>
        <v>14.652999897958523</v>
      </c>
      <c r="K1576" s="17">
        <f>IF(HistoricalStockProgress[[#This Row],[Total Price of Shares]]&lt;&gt;0,HistoricalStockProgress[[#This Row],[Total Price of Shares]]-HistoricalStockProgress[[#This Row],[Cost of Shares]],0)</f>
        <v>615.42599571425762</v>
      </c>
      <c r="L1576" s="34" t="b" cm="1">
        <f t="array" ref="L1576">IFERROR(IF(HistoricalStockProgress[[#This Row],[Price of Shares]]="",_xlfn.STOCKHISTORY(HistoricalStockProgress[[#This Row],[Full Company Name]],HistoricalStockProgress[[#This Row],[Date]],,2,0,1)),0)</f>
        <v>0</v>
      </c>
      <c r="M1576" s="34">
        <f>YEAR(HistoricalStockProgress[[#This Row],[Date]])</f>
        <v>2023</v>
      </c>
      <c r="N1576" s="34">
        <f>MONTH(HistoricalStockProgress[[#This Row],[Date]])</f>
        <v>8</v>
      </c>
    </row>
    <row r="1577" spans="2:14">
      <c r="B1577" s="15">
        <v>45169</v>
      </c>
      <c r="C1577" s="34" t="s">
        <v>84</v>
      </c>
      <c r="D1577" s="34" t="e" vm="7">
        <f>_xlfn.XLOOKUP(HistoricalStockProgress[[#This Row],[Company Ticker]],CompanyDetailsList[Company Ticker],CompanyDetailsList[Official Name],,0)</f>
        <v>#VALUE!</v>
      </c>
      <c r="E15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5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577" s="17">
        <f>IFERROR(HistoricalStockProgress[[#This Row],[Cost of Shares]]/HistoricalStockProgress[[#This Row],[No. of Shares]],0)</f>
        <v>104.18087504950869</v>
      </c>
      <c r="H1577" s="16" vm="2068">
        <v>161.68</v>
      </c>
      <c r="I1577" s="16">
        <f>IF(HistoricalStockProgress[[#This Row],[No. of Shares]]&lt;&gt;0,HistoricalStockProgress[[#This Row],[Price of Shares]]*HistoricalStockProgress[[#This Row],[No. of Shares]],0)</f>
        <v>8245.68</v>
      </c>
      <c r="J1577" s="16">
        <f>IF(HistoricalStockProgress[[#This Row],[No. of Shares]]&lt;&gt;0,HistoricalStockProgress[[#This Row],[Price of Shares]]-HistoricalStockProgress[[#This Row],[Cost of Shares]]/HistoricalStockProgress[[#This Row],[No. of Shares]],0)</f>
        <v>57.499124950491321</v>
      </c>
      <c r="K1577" s="17">
        <f>IF(HistoricalStockProgress[[#This Row],[Total Price of Shares]]&lt;&gt;0,HistoricalStockProgress[[#This Row],[Total Price of Shares]]-HistoricalStockProgress[[#This Row],[Cost of Shares]],0)</f>
        <v>2932.4553724750576</v>
      </c>
      <c r="L1577" s="34" t="b" cm="1">
        <f t="array" ref="L1577">IFERROR(IF(HistoricalStockProgress[[#This Row],[Price of Shares]]="",_xlfn.STOCKHISTORY(HistoricalStockProgress[[#This Row],[Full Company Name]],HistoricalStockProgress[[#This Row],[Date]],,2,0,1)),0)</f>
        <v>0</v>
      </c>
      <c r="M1577" s="34">
        <f>YEAR(HistoricalStockProgress[[#This Row],[Date]])</f>
        <v>2023</v>
      </c>
      <c r="N1577" s="34">
        <f>MONTH(HistoricalStockProgress[[#This Row],[Date]])</f>
        <v>8</v>
      </c>
    </row>
    <row r="1578" spans="2:14">
      <c r="B1578" s="15">
        <v>45169</v>
      </c>
      <c r="C1578" s="34" t="s">
        <v>86</v>
      </c>
      <c r="D1578" s="34" t="e" vm="8">
        <f>_xlfn.XLOOKUP(HistoricalStockProgress[[#This Row],[Company Ticker]],CompanyDetailsList[Company Ticker],CompanyDetailsList[Official Name],,0)</f>
        <v>#VALUE!</v>
      </c>
      <c r="E15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114</v>
      </c>
      <c r="F15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10560.522368668782</v>
      </c>
      <c r="G1578" s="17">
        <f>IFERROR(HistoricalStockProgress[[#This Row],[Cost of Shares]]/HistoricalStockProgress[[#This Row],[No. of Shares]],0)</f>
        <v>92.636161128673535</v>
      </c>
      <c r="H1578" s="16" vm="2069">
        <v>146.96</v>
      </c>
      <c r="I1578" s="16">
        <f>IF(HistoricalStockProgress[[#This Row],[No. of Shares]]&lt;&gt;0,HistoricalStockProgress[[#This Row],[Price of Shares]]*HistoricalStockProgress[[#This Row],[No. of Shares]],0)</f>
        <v>16753.440000000002</v>
      </c>
      <c r="J1578" s="16">
        <f>IF(HistoricalStockProgress[[#This Row],[No. of Shares]]&lt;&gt;0,HistoricalStockProgress[[#This Row],[Price of Shares]]-HistoricalStockProgress[[#This Row],[Cost of Shares]]/HistoricalStockProgress[[#This Row],[No. of Shares]],0)</f>
        <v>54.323838871326473</v>
      </c>
      <c r="K1578" s="17">
        <f>IF(HistoricalStockProgress[[#This Row],[Total Price of Shares]]&lt;&gt;0,HistoricalStockProgress[[#This Row],[Total Price of Shares]]-HistoricalStockProgress[[#This Row],[Cost of Shares]],0)</f>
        <v>6192.91763133122</v>
      </c>
      <c r="L1578" s="34" t="b" cm="1">
        <f t="array" ref="L1578">IFERROR(IF(HistoricalStockProgress[[#This Row],[Price of Shares]]="",_xlfn.STOCKHISTORY(HistoricalStockProgress[[#This Row],[Full Company Name]],HistoricalStockProgress[[#This Row],[Date]],,2,0,1)),0)</f>
        <v>0</v>
      </c>
      <c r="M1578" s="34">
        <f>YEAR(HistoricalStockProgress[[#This Row],[Date]])</f>
        <v>2023</v>
      </c>
      <c r="N1578" s="34">
        <f>MONTH(HistoricalStockProgress[[#This Row],[Date]])</f>
        <v>8</v>
      </c>
    </row>
    <row r="1579" spans="2:14">
      <c r="B1579" s="15">
        <v>45169</v>
      </c>
      <c r="C1579" s="34" t="s">
        <v>88</v>
      </c>
      <c r="D1579" s="34" t="e" vm="9">
        <f>_xlfn.XLOOKUP(HistoricalStockProgress[[#This Row],[Company Ticker]],CompanyDetailsList[Company Ticker],CompanyDetailsList[Official Name],,0)</f>
        <v>#VALUE!</v>
      </c>
      <c r="E15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68</v>
      </c>
      <c r="F15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13660.356292131106</v>
      </c>
      <c r="G1579" s="17">
        <f>IFERROR(HistoricalStockProgress[[#This Row],[Cost of Shares]]/HistoricalStockProgress[[#This Row],[No. of Shares]],0)</f>
        <v>200.88759253133981</v>
      </c>
      <c r="H1579" s="16" vm="2070">
        <v>281.14999999999998</v>
      </c>
      <c r="I1579" s="16">
        <f>IF(HistoricalStockProgress[[#This Row],[No. of Shares]]&lt;&gt;0,HistoricalStockProgress[[#This Row],[Price of Shares]]*HistoricalStockProgress[[#This Row],[No. of Shares]],0)</f>
        <v>19118.199999999997</v>
      </c>
      <c r="J1579" s="16">
        <f>IF(HistoricalStockProgress[[#This Row],[No. of Shares]]&lt;&gt;0,HistoricalStockProgress[[#This Row],[Price of Shares]]-HistoricalStockProgress[[#This Row],[Cost of Shares]]/HistoricalStockProgress[[#This Row],[No. of Shares]],0)</f>
        <v>80.262407468660172</v>
      </c>
      <c r="K1579" s="17">
        <f>IF(HistoricalStockProgress[[#This Row],[Total Price of Shares]]&lt;&gt;0,HistoricalStockProgress[[#This Row],[Total Price of Shares]]-HistoricalStockProgress[[#This Row],[Cost of Shares]],0)</f>
        <v>5457.8437078688912</v>
      </c>
      <c r="L1579" s="34" t="b" cm="1">
        <f t="array" ref="L1579">IFERROR(IF(HistoricalStockProgress[[#This Row],[Price of Shares]]="",_xlfn.STOCKHISTORY(HistoricalStockProgress[[#This Row],[Full Company Name]],HistoricalStockProgress[[#This Row],[Date]],,2,0,1)),0)</f>
        <v>0</v>
      </c>
      <c r="M1579" s="34">
        <f>YEAR(HistoricalStockProgress[[#This Row],[Date]])</f>
        <v>2023</v>
      </c>
      <c r="N1579" s="34">
        <f>MONTH(HistoricalStockProgress[[#This Row],[Date]])</f>
        <v>8</v>
      </c>
    </row>
    <row r="1580" spans="2:14">
      <c r="B1580" s="15">
        <v>45169</v>
      </c>
      <c r="C1580" s="34" t="s">
        <v>22</v>
      </c>
      <c r="D1580" s="34" t="e" vm="10">
        <f>_xlfn.XLOOKUP(HistoricalStockProgress[[#This Row],[Company Ticker]],CompanyDetailsList[Company Ticker],CompanyDetailsList[Official Name],,0)</f>
        <v>#VALUE!</v>
      </c>
      <c r="E15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5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580" s="17">
        <f>IFERROR(HistoricalStockProgress[[#This Row],[Cost of Shares]]/HistoricalStockProgress[[#This Row],[No. of Shares]],0)</f>
        <v>130.19784136724968</v>
      </c>
      <c r="H1580" s="16" vm="2071">
        <v>281.13</v>
      </c>
      <c r="I1580" s="16">
        <f>IF(HistoricalStockProgress[[#This Row],[No. of Shares]]&lt;&gt;0,HistoricalStockProgress[[#This Row],[Price of Shares]]*HistoricalStockProgress[[#This Row],[No. of Shares]],0)</f>
        <v>33454.47</v>
      </c>
      <c r="J1580" s="16">
        <f>IF(HistoricalStockProgress[[#This Row],[No. of Shares]]&lt;&gt;0,HistoricalStockProgress[[#This Row],[Price of Shares]]-HistoricalStockProgress[[#This Row],[Cost of Shares]]/HistoricalStockProgress[[#This Row],[No. of Shares]],0)</f>
        <v>150.93215863275032</v>
      </c>
      <c r="K1580" s="17">
        <f>IF(HistoricalStockProgress[[#This Row],[Total Price of Shares]]&lt;&gt;0,HistoricalStockProgress[[#This Row],[Total Price of Shares]]-HistoricalStockProgress[[#This Row],[Cost of Shares]],0)</f>
        <v>17960.926877297286</v>
      </c>
      <c r="L1580" s="34" t="b" cm="1">
        <f t="array" ref="L1580">IFERROR(IF(HistoricalStockProgress[[#This Row],[Price of Shares]]="",_xlfn.STOCKHISTORY(HistoricalStockProgress[[#This Row],[Full Company Name]],HistoricalStockProgress[[#This Row],[Date]],,2,0,1)),0)</f>
        <v>0</v>
      </c>
      <c r="M1580" s="34">
        <f>YEAR(HistoricalStockProgress[[#This Row],[Date]])</f>
        <v>2023</v>
      </c>
      <c r="N1580" s="34">
        <f>MONTH(HistoricalStockProgress[[#This Row],[Date]])</f>
        <v>8</v>
      </c>
    </row>
    <row r="1581" spans="2:14">
      <c r="B1581" s="15">
        <v>45169</v>
      </c>
      <c r="C1581" s="34" t="s">
        <v>91</v>
      </c>
      <c r="D1581" s="34" t="e" vm="11">
        <f>_xlfn.XLOOKUP(HistoricalStockProgress[[#This Row],[Company Ticker]],CompanyDetailsList[Company Ticker],CompanyDetailsList[Official Name],,0)</f>
        <v>#VALUE!</v>
      </c>
      <c r="E15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5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581" s="17">
        <f>IFERROR(HistoricalStockProgress[[#This Row],[Cost of Shares]]/HistoricalStockProgress[[#This Row],[No. of Shares]],0)</f>
        <v>133.15744058830452</v>
      </c>
      <c r="H1581" s="16" vm="2072">
        <v>327.76</v>
      </c>
      <c r="I1581" s="16">
        <f>IF(HistoricalStockProgress[[#This Row],[No. of Shares]]&lt;&gt;0,HistoricalStockProgress[[#This Row],[Price of Shares]]*HistoricalStockProgress[[#This Row],[No. of Shares]],0)</f>
        <v>59980.08</v>
      </c>
      <c r="J1581" s="16">
        <f>IF(HistoricalStockProgress[[#This Row],[No. of Shares]]&lt;&gt;0,HistoricalStockProgress[[#This Row],[Price of Shares]]-HistoricalStockProgress[[#This Row],[Cost of Shares]]/HistoricalStockProgress[[#This Row],[No. of Shares]],0)</f>
        <v>194.60255941169547</v>
      </c>
      <c r="K1581" s="17">
        <f>IF(HistoricalStockProgress[[#This Row],[Total Price of Shares]]&lt;&gt;0,HistoricalStockProgress[[#This Row],[Total Price of Shares]]-HistoricalStockProgress[[#This Row],[Cost of Shares]],0)</f>
        <v>35612.268372340273</v>
      </c>
      <c r="L1581" s="34" t="b" cm="1">
        <f t="array" ref="L1581">IFERROR(IF(HistoricalStockProgress[[#This Row],[Price of Shares]]="",_xlfn.STOCKHISTORY(HistoricalStockProgress[[#This Row],[Full Company Name]],HistoricalStockProgress[[#This Row],[Date]],,2,0,1)),0)</f>
        <v>0</v>
      </c>
      <c r="M1581" s="34">
        <f>YEAR(HistoricalStockProgress[[#This Row],[Date]])</f>
        <v>2023</v>
      </c>
      <c r="N1581" s="34">
        <f>MONTH(HistoricalStockProgress[[#This Row],[Date]])</f>
        <v>8</v>
      </c>
    </row>
    <row r="1582" spans="2:14">
      <c r="B1582" s="15">
        <v>45169</v>
      </c>
      <c r="C1582" s="34" t="s">
        <v>16</v>
      </c>
      <c r="D1582" s="34" t="e" vm="12">
        <f>_xlfn.XLOOKUP(HistoricalStockProgress[[#This Row],[Company Ticker]],CompanyDetailsList[Company Ticker],CompanyDetailsList[Official Name],,0)</f>
        <v>#VALUE!</v>
      </c>
      <c r="E15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5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582" s="17">
        <f>IFERROR(HistoricalStockProgress[[#This Row],[Cost of Shares]]/HistoricalStockProgress[[#This Row],[No. of Shares]],0)</f>
        <v>75.117698177311837</v>
      </c>
      <c r="H1582" s="16" vm="1047">
        <v>111.19</v>
      </c>
      <c r="I1582" s="16">
        <f>IF(HistoricalStockProgress[[#This Row],[No. of Shares]]&lt;&gt;0,HistoricalStockProgress[[#This Row],[Price of Shares]]*HistoricalStockProgress[[#This Row],[No. of Shares]],0)</f>
        <v>20570.149999999998</v>
      </c>
      <c r="J1582" s="16">
        <f>IF(HistoricalStockProgress[[#This Row],[No. of Shares]]&lt;&gt;0,HistoricalStockProgress[[#This Row],[Price of Shares]]-HistoricalStockProgress[[#This Row],[Cost of Shares]]/HistoricalStockProgress[[#This Row],[No. of Shares]],0)</f>
        <v>36.072301822688161</v>
      </c>
      <c r="K1582" s="17">
        <f>IF(HistoricalStockProgress[[#This Row],[Total Price of Shares]]&lt;&gt;0,HistoricalStockProgress[[#This Row],[Total Price of Shares]]-HistoricalStockProgress[[#This Row],[Cost of Shares]],0)</f>
        <v>6673.375837197309</v>
      </c>
      <c r="L1582" s="34" t="b" cm="1">
        <f t="array" ref="L1582">IFERROR(IF(HistoricalStockProgress[[#This Row],[Price of Shares]]="",_xlfn.STOCKHISTORY(HistoricalStockProgress[[#This Row],[Full Company Name]],HistoricalStockProgress[[#This Row],[Date]],,2,0,1)),0)</f>
        <v>0</v>
      </c>
      <c r="M1582" s="34">
        <f>YEAR(HistoricalStockProgress[[#This Row],[Date]])</f>
        <v>2023</v>
      </c>
      <c r="N1582" s="34">
        <f>MONTH(HistoricalStockProgress[[#This Row],[Date]])</f>
        <v>8</v>
      </c>
    </row>
    <row r="1583" spans="2:14">
      <c r="B1583" s="15">
        <v>45169</v>
      </c>
      <c r="C1583" s="34" t="s">
        <v>95</v>
      </c>
      <c r="D1583" s="34" t="e" vm="13">
        <f>_xlfn.XLOOKUP(HistoricalStockProgress[[#This Row],[Company Ticker]],CompanyDetailsList[Company Ticker],CompanyDetailsList[Official Name],,0)</f>
        <v>#VALUE!</v>
      </c>
      <c r="E15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143</v>
      </c>
      <c r="F15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35362.550411645469</v>
      </c>
      <c r="G1583" s="17">
        <f>IFERROR(HistoricalStockProgress[[#This Row],[Cost of Shares]]/HistoricalStockProgress[[#This Row],[No. of Shares]],0)</f>
        <v>247.29056231919907</v>
      </c>
      <c r="H1583" s="16" vm="2073">
        <v>330.3</v>
      </c>
      <c r="I1583" s="16">
        <f>IF(HistoricalStockProgress[[#This Row],[No. of Shares]]&lt;&gt;0,HistoricalStockProgress[[#This Row],[Price of Shares]]*HistoricalStockProgress[[#This Row],[No. of Shares]],0)</f>
        <v>47232.9</v>
      </c>
      <c r="J1583" s="16">
        <f>IF(HistoricalStockProgress[[#This Row],[No. of Shares]]&lt;&gt;0,HistoricalStockProgress[[#This Row],[Price of Shares]]-HistoricalStockProgress[[#This Row],[Cost of Shares]]/HistoricalStockProgress[[#This Row],[No. of Shares]],0)</f>
        <v>83.009437680800943</v>
      </c>
      <c r="K1583" s="17">
        <f>IF(HistoricalStockProgress[[#This Row],[Total Price of Shares]]&lt;&gt;0,HistoricalStockProgress[[#This Row],[Total Price of Shares]]-HistoricalStockProgress[[#This Row],[Cost of Shares]],0)</f>
        <v>11870.349588354533</v>
      </c>
      <c r="L1583" s="34" t="b" cm="1">
        <f t="array" ref="L1583">IFERROR(IF(HistoricalStockProgress[[#This Row],[Price of Shares]]="",_xlfn.STOCKHISTORY(HistoricalStockProgress[[#This Row],[Full Company Name]],HistoricalStockProgress[[#This Row],[Date]],,2,0,1)),0)</f>
        <v>0</v>
      </c>
      <c r="M1583" s="34">
        <f>YEAR(HistoricalStockProgress[[#This Row],[Date]])</f>
        <v>2023</v>
      </c>
      <c r="N1583" s="34">
        <f>MONTH(HistoricalStockProgress[[#This Row],[Date]])</f>
        <v>8</v>
      </c>
    </row>
    <row r="1584" spans="2:14">
      <c r="B1584" s="15">
        <v>45169</v>
      </c>
      <c r="C1584" s="34" t="s">
        <v>17</v>
      </c>
      <c r="D1584" s="34" t="e" vm="14">
        <f>_xlfn.XLOOKUP(HistoricalStockProgress[[#This Row],[Company Ticker]],CompanyDetailsList[Company Ticker],CompanyDetailsList[Official Name],,0)</f>
        <v>#VALUE!</v>
      </c>
      <c r="E15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5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26400.485099161626</v>
      </c>
      <c r="G1584" s="17">
        <f>IFERROR(HistoricalStockProgress[[#This Row],[Cost of Shares]]/HistoricalStockProgress[[#This Row],[No. of Shares]],0)</f>
        <v>136.08497473794654</v>
      </c>
      <c r="H1584" s="16" vm="777">
        <v>146.83000000000001</v>
      </c>
      <c r="I1584" s="16">
        <f>IF(HistoricalStockProgress[[#This Row],[No. of Shares]]&lt;&gt;0,HistoricalStockProgress[[#This Row],[Price of Shares]]*HistoricalStockProgress[[#This Row],[No. of Shares]],0)</f>
        <v>28485.020000000004</v>
      </c>
      <c r="J1584" s="16">
        <f>IF(HistoricalStockProgress[[#This Row],[No. of Shares]]&lt;&gt;0,HistoricalStockProgress[[#This Row],[Price of Shares]]-HistoricalStockProgress[[#This Row],[Cost of Shares]]/HistoricalStockProgress[[#This Row],[No. of Shares]],0)</f>
        <v>10.745025262053474</v>
      </c>
      <c r="K1584" s="17">
        <f>IF(HistoricalStockProgress[[#This Row],[Total Price of Shares]]&lt;&gt;0,HistoricalStockProgress[[#This Row],[Total Price of Shares]]-HistoricalStockProgress[[#This Row],[Cost of Shares]],0)</f>
        <v>2084.5349008383782</v>
      </c>
      <c r="L1584" s="34" t="b" cm="1">
        <f t="array" ref="L1584">IFERROR(IF(HistoricalStockProgress[[#This Row],[Price of Shares]]="",_xlfn.STOCKHISTORY(HistoricalStockProgress[[#This Row],[Full Company Name]],HistoricalStockProgress[[#This Row],[Date]],,2,0,1)),0)</f>
        <v>0</v>
      </c>
      <c r="M1584" s="34">
        <f>YEAR(HistoricalStockProgress[[#This Row],[Date]])</f>
        <v>2023</v>
      </c>
      <c r="N1584" s="34">
        <f>MONTH(HistoricalStockProgress[[#This Row],[Date]])</f>
        <v>8</v>
      </c>
    </row>
    <row r="1585" spans="2:14">
      <c r="B1585" s="15">
        <v>45169</v>
      </c>
      <c r="C1585" s="34" t="s">
        <v>98</v>
      </c>
      <c r="D1585" s="34" t="e" vm="15">
        <f>_xlfn.XLOOKUP(HistoricalStockProgress[[#This Row],[Company Ticker]],CompanyDetailsList[Company Ticker],CompanyDetailsList[Official Name],,0)</f>
        <v>#VALUE!</v>
      </c>
      <c r="E15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5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6407.714421697975</v>
      </c>
      <c r="G1585" s="17">
        <f>IFERROR(HistoricalStockProgress[[#This Row],[Cost of Shares]]/HistoricalStockProgress[[#This Row],[No. of Shares]],0)</f>
        <v>53.846339678134242</v>
      </c>
      <c r="H1585" s="16" vm="2074">
        <v>66.8</v>
      </c>
      <c r="I1585" s="16">
        <f>IF(HistoricalStockProgress[[#This Row],[No. of Shares]]&lt;&gt;0,HistoricalStockProgress[[#This Row],[Price of Shares]]*HistoricalStockProgress[[#This Row],[No. of Shares]],0)</f>
        <v>7949.2</v>
      </c>
      <c r="J1585" s="16">
        <f>IF(HistoricalStockProgress[[#This Row],[No. of Shares]]&lt;&gt;0,HistoricalStockProgress[[#This Row],[Price of Shares]]-HistoricalStockProgress[[#This Row],[Cost of Shares]]/HistoricalStockProgress[[#This Row],[No. of Shares]],0)</f>
        <v>12.953660321865755</v>
      </c>
      <c r="K1585" s="17">
        <f>IF(HistoricalStockProgress[[#This Row],[Total Price of Shares]]&lt;&gt;0,HistoricalStockProgress[[#This Row],[Total Price of Shares]]-HistoricalStockProgress[[#This Row],[Cost of Shares]],0)</f>
        <v>1541.4855783020248</v>
      </c>
      <c r="L1585" s="34" t="b" cm="1">
        <f t="array" ref="L1585">IFERROR(IF(HistoricalStockProgress[[#This Row],[Price of Shares]]="",_xlfn.STOCKHISTORY(HistoricalStockProgress[[#This Row],[Full Company Name]],HistoricalStockProgress[[#This Row],[Date]],,2,0,1)),0)</f>
        <v>0</v>
      </c>
      <c r="M1585" s="34">
        <f>YEAR(HistoricalStockProgress[[#This Row],[Date]])</f>
        <v>2023</v>
      </c>
      <c r="N1585" s="34">
        <f>MONTH(HistoricalStockProgress[[#This Row],[Date]])</f>
        <v>8</v>
      </c>
    </row>
    <row r="1586" spans="2:14">
      <c r="B1586" s="15">
        <v>45169</v>
      </c>
      <c r="C1586" s="34" t="s">
        <v>100</v>
      </c>
      <c r="D1586" s="34" t="e" vm="16">
        <f>_xlfn.XLOOKUP(HistoricalStockProgress[[#This Row],[Company Ticker]],CompanyDetailsList[Company Ticker],CompanyDetailsList[Official Name],,0)</f>
        <v>#VALUE!</v>
      </c>
      <c r="E15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217</v>
      </c>
      <c r="F15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19839.340255178511</v>
      </c>
      <c r="G1586" s="17">
        <f>IFERROR(HistoricalStockProgress[[#This Row],[Cost of Shares]]/HistoricalStockProgress[[#This Row],[No. of Shares]],0)</f>
        <v>91.425531129854889</v>
      </c>
      <c r="H1586" s="16" vm="2075">
        <v>88.8</v>
      </c>
      <c r="I1586" s="16">
        <f>IF(HistoricalStockProgress[[#This Row],[No. of Shares]]&lt;&gt;0,HistoricalStockProgress[[#This Row],[Price of Shares]]*HistoricalStockProgress[[#This Row],[No. of Shares]],0)</f>
        <v>19269.599999999999</v>
      </c>
      <c r="J1586" s="16">
        <f>IF(HistoricalStockProgress[[#This Row],[No. of Shares]]&lt;&gt;0,HistoricalStockProgress[[#This Row],[Price of Shares]]-HistoricalStockProgress[[#This Row],[Cost of Shares]]/HistoricalStockProgress[[#This Row],[No. of Shares]],0)</f>
        <v>-2.6255311298548918</v>
      </c>
      <c r="K1586" s="17">
        <f>IF(HistoricalStockProgress[[#This Row],[Total Price of Shares]]&lt;&gt;0,HistoricalStockProgress[[#This Row],[Total Price of Shares]]-HistoricalStockProgress[[#This Row],[Cost of Shares]],0)</f>
        <v>-569.7402551785126</v>
      </c>
      <c r="L1586" s="34" t="b" cm="1">
        <f t="array" ref="L1586">IFERROR(IF(HistoricalStockProgress[[#This Row],[Price of Shares]]="",_xlfn.STOCKHISTORY(HistoricalStockProgress[[#This Row],[Full Company Name]],HistoricalStockProgress[[#This Row],[Date]],,2,0,1)),0)</f>
        <v>0</v>
      </c>
      <c r="M1586" s="34">
        <f>YEAR(HistoricalStockProgress[[#This Row],[Date]])</f>
        <v>2023</v>
      </c>
      <c r="N1586" s="34">
        <f>MONTH(HistoricalStockProgress[[#This Row],[Date]])</f>
        <v>8</v>
      </c>
    </row>
    <row r="1587" spans="2:14">
      <c r="B1587" s="15">
        <v>45169</v>
      </c>
      <c r="C1587" s="34" t="s">
        <v>15</v>
      </c>
      <c r="D1587" s="34" t="e" vm="17">
        <f>_xlfn.XLOOKUP(HistoricalStockProgress[[#This Row],[Company Ticker]],CompanyDetailsList[Company Ticker],CompanyDetailsList[Official Name],,0)</f>
        <v>#VALUE!</v>
      </c>
      <c r="E15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133</v>
      </c>
      <c r="F15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3377.7842958499027</v>
      </c>
      <c r="G1587" s="17">
        <f>IFERROR(HistoricalStockProgress[[#This Row],[Cost of Shares]]/HistoricalStockProgress[[#This Row],[No. of Shares]],0)</f>
        <v>25.396874404886486</v>
      </c>
      <c r="H1587" s="16" vm="2076">
        <v>14.79</v>
      </c>
      <c r="I1587" s="16">
        <f>IF(HistoricalStockProgress[[#This Row],[No. of Shares]]&lt;&gt;0,HistoricalStockProgress[[#This Row],[Price of Shares]]*HistoricalStockProgress[[#This Row],[No. of Shares]],0)</f>
        <v>1967.07</v>
      </c>
      <c r="J1587" s="16">
        <f>IF(HistoricalStockProgress[[#This Row],[No. of Shares]]&lt;&gt;0,HistoricalStockProgress[[#This Row],[Price of Shares]]-HistoricalStockProgress[[#This Row],[Cost of Shares]]/HistoricalStockProgress[[#This Row],[No. of Shares]],0)</f>
        <v>-10.606874404886486</v>
      </c>
      <c r="K1587" s="17">
        <f>IF(HistoricalStockProgress[[#This Row],[Total Price of Shares]]&lt;&gt;0,HistoricalStockProgress[[#This Row],[Total Price of Shares]]-HistoricalStockProgress[[#This Row],[Cost of Shares]],0)</f>
        <v>-1410.7142958499028</v>
      </c>
      <c r="L1587" s="34" t="b" cm="1">
        <f t="array" ref="L1587">IFERROR(IF(HistoricalStockProgress[[#This Row],[Price of Shares]]="",_xlfn.STOCKHISTORY(HistoricalStockProgress[[#This Row],[Full Company Name]],HistoricalStockProgress[[#This Row],[Date]],,2,0,1)),0)</f>
        <v>0</v>
      </c>
      <c r="M1587" s="34">
        <f>YEAR(HistoricalStockProgress[[#This Row],[Date]])</f>
        <v>2023</v>
      </c>
      <c r="N1587" s="34">
        <f>MONTH(HistoricalStockProgress[[#This Row],[Date]])</f>
        <v>8</v>
      </c>
    </row>
    <row r="1588" spans="2:14">
      <c r="B1588" s="15">
        <v>45169</v>
      </c>
      <c r="C1588" s="34" t="s">
        <v>13</v>
      </c>
      <c r="D1588" s="34" t="e" vm="18">
        <f>_xlfn.XLOOKUP(HistoricalStockProgress[[#This Row],[Company Ticker]],CompanyDetailsList[Company Ticker],CompanyDetailsList[Official Name],,0)</f>
        <v>#VALUE!</v>
      </c>
      <c r="E15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5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588" s="17">
        <f>IFERROR(HistoricalStockProgress[[#This Row],[Cost of Shares]]/HistoricalStockProgress[[#This Row],[No. of Shares]],0)</f>
        <v>35.846938938346874</v>
      </c>
      <c r="H1588" s="16" vm="2077">
        <v>35.380000000000003</v>
      </c>
      <c r="I1588" s="16">
        <f>IF(HistoricalStockProgress[[#This Row],[No. of Shares]]&lt;&gt;0,HistoricalStockProgress[[#This Row],[Price of Shares]]*HistoricalStockProgress[[#This Row],[No. of Shares]],0)</f>
        <v>1945.9</v>
      </c>
      <c r="J1588" s="16">
        <f>IF(HistoricalStockProgress[[#This Row],[No. of Shares]]&lt;&gt;0,HistoricalStockProgress[[#This Row],[Price of Shares]]-HistoricalStockProgress[[#This Row],[Cost of Shares]]/HistoricalStockProgress[[#This Row],[No. of Shares]],0)</f>
        <v>-0.46693893834687117</v>
      </c>
      <c r="K1588" s="17">
        <f>IF(HistoricalStockProgress[[#This Row],[Total Price of Shares]]&lt;&gt;0,HistoricalStockProgress[[#This Row],[Total Price of Shares]]-HistoricalStockProgress[[#This Row],[Cost of Shares]],0)</f>
        <v>-25.681641609078042</v>
      </c>
      <c r="L1588" s="34" t="b" cm="1">
        <f t="array" ref="L1588">IFERROR(IF(HistoricalStockProgress[[#This Row],[Price of Shares]]="",_xlfn.STOCKHISTORY(HistoricalStockProgress[[#This Row],[Full Company Name]],HistoricalStockProgress[[#This Row],[Date]],,2,0,1)),0)</f>
        <v>0</v>
      </c>
      <c r="M1588" s="34">
        <f>YEAR(HistoricalStockProgress[[#This Row],[Date]])</f>
        <v>2023</v>
      </c>
      <c r="N1588" s="34">
        <f>MONTH(HistoricalStockProgress[[#This Row],[Date]])</f>
        <v>8</v>
      </c>
    </row>
    <row r="1589" spans="2:14">
      <c r="B1589" s="15">
        <v>45169</v>
      </c>
      <c r="C1589" s="34" t="s">
        <v>20</v>
      </c>
      <c r="D1589" s="34" t="e" vm="19">
        <f>_xlfn.XLOOKUP(HistoricalStockProgress[[#This Row],[Company Ticker]],CompanyDetailsList[Company Ticker],CompanyDetailsList[Official Name],,0)</f>
        <v>#VALUE!</v>
      </c>
      <c r="E15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5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589" s="17">
        <f>IFERROR(HistoricalStockProgress[[#This Row],[Cost of Shares]]/HistoricalStockProgress[[#This Row],[No. of Shares]],0)</f>
        <v>108.1760767450256</v>
      </c>
      <c r="H1589" s="16" vm="2078">
        <v>146.33000000000001</v>
      </c>
      <c r="I1589" s="16">
        <f>IF(HistoricalStockProgress[[#This Row],[No. of Shares]]&lt;&gt;0,HistoricalStockProgress[[#This Row],[Price of Shares]]*HistoricalStockProgress[[#This Row],[No. of Shares]],0)</f>
        <v>16974.280000000002</v>
      </c>
      <c r="J1589" s="16">
        <f>IF(HistoricalStockProgress[[#This Row],[No. of Shares]]&lt;&gt;0,HistoricalStockProgress[[#This Row],[Price of Shares]]-HistoricalStockProgress[[#This Row],[Cost of Shares]]/HistoricalStockProgress[[#This Row],[No. of Shares]],0)</f>
        <v>38.153923254974416</v>
      </c>
      <c r="K1589" s="17">
        <f>IF(HistoricalStockProgress[[#This Row],[Total Price of Shares]]&lt;&gt;0,HistoricalStockProgress[[#This Row],[Total Price of Shares]]-HistoricalStockProgress[[#This Row],[Cost of Shares]],0)</f>
        <v>4425.855097577034</v>
      </c>
      <c r="L1589" s="34" t="b" cm="1">
        <f t="array" ref="L1589">IFERROR(IF(HistoricalStockProgress[[#This Row],[Price of Shares]]="",_xlfn.STOCKHISTORY(HistoricalStockProgress[[#This Row],[Full Company Name]],HistoricalStockProgress[[#This Row],[Date]],,2,0,1)),0)</f>
        <v>0</v>
      </c>
      <c r="M1589" s="34">
        <f>YEAR(HistoricalStockProgress[[#This Row],[Date]])</f>
        <v>2023</v>
      </c>
      <c r="N1589" s="34">
        <f>MONTH(HistoricalStockProgress[[#This Row],[Date]])</f>
        <v>8</v>
      </c>
    </row>
    <row r="1590" spans="2:14">
      <c r="B1590" s="15">
        <v>45169</v>
      </c>
      <c r="C1590" s="34" t="s">
        <v>106</v>
      </c>
      <c r="D1590" s="34" t="e" vm="20">
        <f>_xlfn.XLOOKUP(HistoricalStockProgress[[#This Row],[Company Ticker]],CompanyDetailsList[Company Ticker],CompanyDetailsList[Official Name],,0)</f>
        <v>#VALUE!</v>
      </c>
      <c r="E15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5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590" s="17">
        <f>IFERROR(HistoricalStockProgress[[#This Row],[Cost of Shares]]/HistoricalStockProgress[[#This Row],[No. of Shares]],0)</f>
        <v>108.54870748680406</v>
      </c>
      <c r="H1590" s="16" vm="2079">
        <v>141.76</v>
      </c>
      <c r="I1590" s="16">
        <f>IF(HistoricalStockProgress[[#This Row],[No. of Shares]]&lt;&gt;0,HistoricalStockProgress[[#This Row],[Price of Shares]]*HistoricalStockProgress[[#This Row],[No. of Shares]],0)</f>
        <v>12474.88</v>
      </c>
      <c r="J1590" s="16">
        <f>IF(HistoricalStockProgress[[#This Row],[No. of Shares]]&lt;&gt;0,HistoricalStockProgress[[#This Row],[Price of Shares]]-HistoricalStockProgress[[#This Row],[Cost of Shares]]/HistoricalStockProgress[[#This Row],[No. of Shares]],0)</f>
        <v>33.211292513195929</v>
      </c>
      <c r="K1590" s="17">
        <f>IF(HistoricalStockProgress[[#This Row],[Total Price of Shares]]&lt;&gt;0,HistoricalStockProgress[[#This Row],[Total Price of Shares]]-HistoricalStockProgress[[#This Row],[Cost of Shares]],0)</f>
        <v>2922.5937411612413</v>
      </c>
      <c r="L1590" s="34" t="b" cm="1">
        <f t="array" ref="L1590">IFERROR(IF(HistoricalStockProgress[[#This Row],[Price of Shares]]="",_xlfn.STOCKHISTORY(HistoricalStockProgress[[#This Row],[Full Company Name]],HistoricalStockProgress[[#This Row],[Date]],,2,0,1)),0)</f>
        <v>0</v>
      </c>
      <c r="M1590" s="34">
        <f>YEAR(HistoricalStockProgress[[#This Row],[Date]])</f>
        <v>2023</v>
      </c>
      <c r="N1590" s="34">
        <f>MONTH(HistoricalStockProgress[[#This Row],[Date]])</f>
        <v>8</v>
      </c>
    </row>
    <row r="1591" spans="2:14">
      <c r="B1591" s="15">
        <v>45199</v>
      </c>
      <c r="C1591" s="34" t="s">
        <v>12</v>
      </c>
      <c r="D1591" s="34" t="e" vm="1">
        <f>_xlfn.XLOOKUP(HistoricalStockProgress[[#This Row],[Company Ticker]],CompanyDetailsList[Company Ticker],CompanyDetailsList[Official Name],,0)</f>
        <v>#VALUE!</v>
      </c>
      <c r="E15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5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591" s="17">
        <f>IFERROR(HistoricalStockProgress[[#This Row],[Cost of Shares]]/HistoricalStockProgress[[#This Row],[No. of Shares]],0)</f>
        <v>64.573985995316889</v>
      </c>
      <c r="H1591" s="16" vm="2080">
        <v>49.94</v>
      </c>
      <c r="I1591" s="16">
        <f>IF(HistoricalStockProgress[[#This Row],[No. of Shares]]&lt;&gt;0,HistoricalStockProgress[[#This Row],[Price of Shares]]*HistoricalStockProgress[[#This Row],[No. of Shares]],0)</f>
        <v>4844.1799999999994</v>
      </c>
      <c r="J1591" s="16">
        <f>IF(HistoricalStockProgress[[#This Row],[No. of Shares]]&lt;&gt;0,HistoricalStockProgress[[#This Row],[Price of Shares]]-HistoricalStockProgress[[#This Row],[Cost of Shares]]/HistoricalStockProgress[[#This Row],[No. of Shares]],0)</f>
        <v>-14.633985995316891</v>
      </c>
      <c r="K1591" s="17">
        <f>IF(HistoricalStockProgress[[#This Row],[Total Price of Shares]]&lt;&gt;0,HistoricalStockProgress[[#This Row],[Total Price of Shares]]-HistoricalStockProgress[[#This Row],[Cost of Shares]],0)</f>
        <v>-1419.4966415457384</v>
      </c>
      <c r="L1591" s="34" t="b" cm="1">
        <f t="array" ref="L1591">IFERROR(IF(HistoricalStockProgress[[#This Row],[Price of Shares]]="",_xlfn.STOCKHISTORY(HistoricalStockProgress[[#This Row],[Full Company Name]],HistoricalStockProgress[[#This Row],[Date]],,2,0,1)),0)</f>
        <v>0</v>
      </c>
      <c r="M1591" s="34">
        <f>YEAR(HistoricalStockProgress[[#This Row],[Date]])</f>
        <v>2023</v>
      </c>
      <c r="N1591" s="34">
        <f>MONTH(HistoricalStockProgress[[#This Row],[Date]])</f>
        <v>9</v>
      </c>
    </row>
    <row r="1592" spans="2:14">
      <c r="B1592" s="15">
        <v>45199</v>
      </c>
      <c r="C1592" s="34" t="s">
        <v>14</v>
      </c>
      <c r="D1592" s="34" t="e" vm="2">
        <f>_xlfn.XLOOKUP(HistoricalStockProgress[[#This Row],[Company Ticker]],CompanyDetailsList[Company Ticker],CompanyDetailsList[Official Name],,0)</f>
        <v>#VALUE!</v>
      </c>
      <c r="E15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5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592" s="17">
        <f>IFERROR(HistoricalStockProgress[[#This Row],[Cost of Shares]]/HistoricalStockProgress[[#This Row],[No. of Shares]],0)</f>
        <v>31.580112511620161</v>
      </c>
      <c r="H1592" s="16" vm="2081">
        <v>21.16</v>
      </c>
      <c r="I1592" s="16">
        <f>IF(HistoricalStockProgress[[#This Row],[No. of Shares]]&lt;&gt;0,HistoricalStockProgress[[#This Row],[Price of Shares]]*HistoricalStockProgress[[#This Row],[No. of Shares]],0)</f>
        <v>592.48</v>
      </c>
      <c r="J1592" s="16">
        <f>IF(HistoricalStockProgress[[#This Row],[No. of Shares]]&lt;&gt;0,HistoricalStockProgress[[#This Row],[Price of Shares]]-HistoricalStockProgress[[#This Row],[Cost of Shares]]/HistoricalStockProgress[[#This Row],[No. of Shares]],0)</f>
        <v>-10.420112511620161</v>
      </c>
      <c r="K1592" s="17">
        <f>IF(HistoricalStockProgress[[#This Row],[Total Price of Shares]]&lt;&gt;0,HistoricalStockProgress[[#This Row],[Total Price of Shares]]-HistoricalStockProgress[[#This Row],[Cost of Shares]],0)</f>
        <v>-291.76315032536445</v>
      </c>
      <c r="L1592" s="34" t="b" cm="1">
        <f t="array" ref="L1592">IFERROR(IF(HistoricalStockProgress[[#This Row],[Price of Shares]]="",_xlfn.STOCKHISTORY(HistoricalStockProgress[[#This Row],[Full Company Name]],HistoricalStockProgress[[#This Row],[Date]],,2,0,1)),0)</f>
        <v>0</v>
      </c>
      <c r="M1592" s="34">
        <f>YEAR(HistoricalStockProgress[[#This Row],[Date]])</f>
        <v>2023</v>
      </c>
      <c r="N1592" s="34">
        <f>MONTH(HistoricalStockProgress[[#This Row],[Date]])</f>
        <v>9</v>
      </c>
    </row>
    <row r="1593" spans="2:14">
      <c r="B1593" s="15">
        <v>45199</v>
      </c>
      <c r="C1593" s="34" t="s">
        <v>19</v>
      </c>
      <c r="D1593" s="34" t="e" vm="3">
        <f>_xlfn.XLOOKUP(HistoricalStockProgress[[#This Row],[Company Ticker]],CompanyDetailsList[Company Ticker],CompanyDetailsList[Official Name],,0)</f>
        <v>#VALUE!</v>
      </c>
      <c r="E15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5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593" s="17">
        <f>IFERROR(HistoricalStockProgress[[#This Row],[Cost of Shares]]/HistoricalStockProgress[[#This Row],[No. of Shares]],0)</f>
        <v>158.45739987816083</v>
      </c>
      <c r="H1593" s="16" vm="2082">
        <v>131.06</v>
      </c>
      <c r="I1593" s="16">
        <f>IF(HistoricalStockProgress[[#This Row],[No. of Shares]]&lt;&gt;0,HistoricalStockProgress[[#This Row],[Price of Shares]]*HistoricalStockProgress[[#This Row],[No. of Shares]],0)</f>
        <v>7470.42</v>
      </c>
      <c r="J1593" s="16">
        <f>IF(HistoricalStockProgress[[#This Row],[No. of Shares]]&lt;&gt;0,HistoricalStockProgress[[#This Row],[Price of Shares]]-HistoricalStockProgress[[#This Row],[Cost of Shares]]/HistoricalStockProgress[[#This Row],[No. of Shares]],0)</f>
        <v>-27.397399878160826</v>
      </c>
      <c r="K1593" s="17">
        <f>IF(HistoricalStockProgress[[#This Row],[Total Price of Shares]]&lt;&gt;0,HistoricalStockProgress[[#This Row],[Total Price of Shares]]-HistoricalStockProgress[[#This Row],[Cost of Shares]],0)</f>
        <v>-1561.6517930551672</v>
      </c>
      <c r="L1593" s="34" t="b" cm="1">
        <f t="array" ref="L1593">IFERROR(IF(HistoricalStockProgress[[#This Row],[Price of Shares]]="",_xlfn.STOCKHISTORY(HistoricalStockProgress[[#This Row],[Full Company Name]],HistoricalStockProgress[[#This Row],[Date]],,2,0,1)),0)</f>
        <v>0</v>
      </c>
      <c r="M1593" s="34">
        <f>YEAR(HistoricalStockProgress[[#This Row],[Date]])</f>
        <v>2023</v>
      </c>
      <c r="N1593" s="34">
        <f>MONTH(HistoricalStockProgress[[#This Row],[Date]])</f>
        <v>9</v>
      </c>
    </row>
    <row r="1594" spans="2:14">
      <c r="B1594" s="15">
        <v>45199</v>
      </c>
      <c r="C1594" s="34" t="s">
        <v>23</v>
      </c>
      <c r="D1594" s="34" t="e" vm="4">
        <f>_xlfn.XLOOKUP(HistoricalStockProgress[[#This Row],[Company Ticker]],CompanyDetailsList[Company Ticker],CompanyDetailsList[Official Name],,0)</f>
        <v>#VALUE!</v>
      </c>
      <c r="E15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85</v>
      </c>
      <c r="F15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4210.4106468589489</v>
      </c>
      <c r="G1594" s="17">
        <f>IFERROR(HistoricalStockProgress[[#This Row],[Cost of Shares]]/HistoricalStockProgress[[#This Row],[No. of Shares]],0)</f>
        <v>49.534242904222928</v>
      </c>
      <c r="H1594" s="16" vm="2083">
        <v>55.98</v>
      </c>
      <c r="I1594" s="16">
        <f>IF(HistoricalStockProgress[[#This Row],[No. of Shares]]&lt;&gt;0,HistoricalStockProgress[[#This Row],[Price of Shares]]*HistoricalStockProgress[[#This Row],[No. of Shares]],0)</f>
        <v>4758.3</v>
      </c>
      <c r="J1594" s="16">
        <f>IF(HistoricalStockProgress[[#This Row],[No. of Shares]]&lt;&gt;0,HistoricalStockProgress[[#This Row],[Price of Shares]]-HistoricalStockProgress[[#This Row],[Cost of Shares]]/HistoricalStockProgress[[#This Row],[No. of Shares]],0)</f>
        <v>6.4457570957770685</v>
      </c>
      <c r="K1594" s="17">
        <f>IF(HistoricalStockProgress[[#This Row],[Total Price of Shares]]&lt;&gt;0,HistoricalStockProgress[[#This Row],[Total Price of Shares]]-HistoricalStockProgress[[#This Row],[Cost of Shares]],0)</f>
        <v>547.88935314105129</v>
      </c>
      <c r="L1594" s="34" t="b" cm="1">
        <f t="array" ref="L1594">IFERROR(IF(HistoricalStockProgress[[#This Row],[Price of Shares]]="",_xlfn.STOCKHISTORY(HistoricalStockProgress[[#This Row],[Full Company Name]],HistoricalStockProgress[[#This Row],[Date]],,2,0,1)),0)</f>
        <v>0</v>
      </c>
      <c r="M1594" s="34">
        <f>YEAR(HistoricalStockProgress[[#This Row],[Date]])</f>
        <v>2023</v>
      </c>
      <c r="N1594" s="34">
        <f>MONTH(HistoricalStockProgress[[#This Row],[Date]])</f>
        <v>9</v>
      </c>
    </row>
    <row r="1595" spans="2:14">
      <c r="B1595" s="15">
        <v>45199</v>
      </c>
      <c r="C1595" s="34" t="s">
        <v>18</v>
      </c>
      <c r="D1595" s="34" t="e" vm="5">
        <f>_xlfn.XLOOKUP(HistoricalStockProgress[[#This Row],[Company Ticker]],CompanyDetailsList[Company Ticker],CompanyDetailsList[Official Name],,0)</f>
        <v>#VALUE!</v>
      </c>
      <c r="E15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5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595" s="17">
        <f>IFERROR(HistoricalStockProgress[[#This Row],[Cost of Shares]]/HistoricalStockProgress[[#This Row],[No. of Shares]],0)</f>
        <v>160.8859607546234</v>
      </c>
      <c r="H1595" s="16" vm="2084">
        <v>169.44</v>
      </c>
      <c r="I1595" s="16">
        <f>IF(HistoricalStockProgress[[#This Row],[No. of Shares]]&lt;&gt;0,HistoricalStockProgress[[#This Row],[Price of Shares]]*HistoricalStockProgress[[#This Row],[No. of Shares]],0)</f>
        <v>7285.92</v>
      </c>
      <c r="J1595" s="16">
        <f>IF(HistoricalStockProgress[[#This Row],[No. of Shares]]&lt;&gt;0,HistoricalStockProgress[[#This Row],[Price of Shares]]-HistoricalStockProgress[[#This Row],[Cost of Shares]]/HistoricalStockProgress[[#This Row],[No. of Shares]],0)</f>
        <v>8.5540392453766003</v>
      </c>
      <c r="K1595" s="17">
        <f>IF(HistoricalStockProgress[[#This Row],[Total Price of Shares]]&lt;&gt;0,HistoricalStockProgress[[#This Row],[Total Price of Shares]]-HistoricalStockProgress[[#This Row],[Cost of Shares]],0)</f>
        <v>367.82368755119387</v>
      </c>
      <c r="L1595" s="34" t="b" cm="1">
        <f t="array" ref="L1595">IFERROR(IF(HistoricalStockProgress[[#This Row],[Price of Shares]]="",_xlfn.STOCKHISTORY(HistoricalStockProgress[[#This Row],[Full Company Name]],HistoricalStockProgress[[#This Row],[Date]],,2,0,1)),0)</f>
        <v>0</v>
      </c>
      <c r="M1595" s="34">
        <f>YEAR(HistoricalStockProgress[[#This Row],[Date]])</f>
        <v>2023</v>
      </c>
      <c r="N1595" s="34">
        <f>MONTH(HistoricalStockProgress[[#This Row],[Date]])</f>
        <v>9</v>
      </c>
    </row>
    <row r="1596" spans="2:14">
      <c r="B1596" s="15">
        <v>45199</v>
      </c>
      <c r="C1596" s="34" t="s">
        <v>21</v>
      </c>
      <c r="D1596" s="34" t="e" vm="6">
        <f>_xlfn.XLOOKUP(HistoricalStockProgress[[#This Row],[Company Ticker]],CompanyDetailsList[Company Ticker],CompanyDetailsList[Official Name],,0)</f>
        <v>#VALUE!</v>
      </c>
      <c r="E15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5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596" s="17">
        <f>IFERROR(HistoricalStockProgress[[#This Row],[Cost of Shares]]/HistoricalStockProgress[[#This Row],[No. of Shares]],0)</f>
        <v>139.68700010204148</v>
      </c>
      <c r="H1596" s="16" vm="2085">
        <v>145.86000000000001</v>
      </c>
      <c r="I1596" s="16">
        <f>IF(HistoricalStockProgress[[#This Row],[No. of Shares]]&lt;&gt;0,HistoricalStockProgress[[#This Row],[Price of Shares]]*HistoricalStockProgress[[#This Row],[No. of Shares]],0)</f>
        <v>6126.1200000000008</v>
      </c>
      <c r="J1596" s="16">
        <f>IF(HistoricalStockProgress[[#This Row],[No. of Shares]]&lt;&gt;0,HistoricalStockProgress[[#This Row],[Price of Shares]]-HistoricalStockProgress[[#This Row],[Cost of Shares]]/HistoricalStockProgress[[#This Row],[No. of Shares]],0)</f>
        <v>6.1729998979585332</v>
      </c>
      <c r="K1596" s="17">
        <f>IF(HistoricalStockProgress[[#This Row],[Total Price of Shares]]&lt;&gt;0,HistoricalStockProgress[[#This Row],[Total Price of Shares]]-HistoricalStockProgress[[#This Row],[Cost of Shares]],0)</f>
        <v>259.26599571425868</v>
      </c>
      <c r="L1596" s="34" t="b" cm="1">
        <f t="array" ref="L1596">IFERROR(IF(HistoricalStockProgress[[#This Row],[Price of Shares]]="",_xlfn.STOCKHISTORY(HistoricalStockProgress[[#This Row],[Full Company Name]],HistoricalStockProgress[[#This Row],[Date]],,2,0,1)),0)</f>
        <v>0</v>
      </c>
      <c r="M1596" s="34">
        <f>YEAR(HistoricalStockProgress[[#This Row],[Date]])</f>
        <v>2023</v>
      </c>
      <c r="N1596" s="34">
        <f>MONTH(HistoricalStockProgress[[#This Row],[Date]])</f>
        <v>9</v>
      </c>
    </row>
    <row r="1597" spans="2:14">
      <c r="B1597" s="15">
        <v>45199</v>
      </c>
      <c r="C1597" s="34" t="s">
        <v>84</v>
      </c>
      <c r="D1597" s="34" t="e" vm="7">
        <f>_xlfn.XLOOKUP(HistoricalStockProgress[[#This Row],[Company Ticker]],CompanyDetailsList[Company Ticker],CompanyDetailsList[Official Name],,0)</f>
        <v>#VALUE!</v>
      </c>
      <c r="E15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5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597" s="17">
        <f>IFERROR(HistoricalStockProgress[[#This Row],[Cost of Shares]]/HistoricalStockProgress[[#This Row],[No. of Shares]],0)</f>
        <v>104.18087504950869</v>
      </c>
      <c r="H1597" s="16" vm="2086">
        <v>155.75</v>
      </c>
      <c r="I1597" s="16">
        <f>IF(HistoricalStockProgress[[#This Row],[No. of Shares]]&lt;&gt;0,HistoricalStockProgress[[#This Row],[Price of Shares]]*HistoricalStockProgress[[#This Row],[No. of Shares]],0)</f>
        <v>7943.25</v>
      </c>
      <c r="J1597" s="16">
        <f>IF(HistoricalStockProgress[[#This Row],[No. of Shares]]&lt;&gt;0,HistoricalStockProgress[[#This Row],[Price of Shares]]-HistoricalStockProgress[[#This Row],[Cost of Shares]]/HistoricalStockProgress[[#This Row],[No. of Shares]],0)</f>
        <v>51.569124950491315</v>
      </c>
      <c r="K1597" s="17">
        <f>IF(HistoricalStockProgress[[#This Row],[Total Price of Shares]]&lt;&gt;0,HistoricalStockProgress[[#This Row],[Total Price of Shares]]-HistoricalStockProgress[[#This Row],[Cost of Shares]],0)</f>
        <v>2630.0253724750573</v>
      </c>
      <c r="L1597" s="34" t="b" cm="1">
        <f t="array" ref="L1597">IFERROR(IF(HistoricalStockProgress[[#This Row],[Price of Shares]]="",_xlfn.STOCKHISTORY(HistoricalStockProgress[[#This Row],[Full Company Name]],HistoricalStockProgress[[#This Row],[Date]],,2,0,1)),0)</f>
        <v>0</v>
      </c>
      <c r="M1597" s="34">
        <f>YEAR(HistoricalStockProgress[[#This Row],[Date]])</f>
        <v>2023</v>
      </c>
      <c r="N1597" s="34">
        <f>MONTH(HistoricalStockProgress[[#This Row],[Date]])</f>
        <v>9</v>
      </c>
    </row>
    <row r="1598" spans="2:14">
      <c r="B1598" s="15">
        <v>45199</v>
      </c>
      <c r="C1598" s="34" t="s">
        <v>86</v>
      </c>
      <c r="D1598" s="34" t="e" vm="8">
        <f>_xlfn.XLOOKUP(HistoricalStockProgress[[#This Row],[Company Ticker]],CompanyDetailsList[Company Ticker],CompanyDetailsList[Official Name],,0)</f>
        <v>#VALUE!</v>
      </c>
      <c r="E15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120</v>
      </c>
      <c r="F15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11434.543004354886</v>
      </c>
      <c r="G1598" s="17">
        <f>IFERROR(HistoricalStockProgress[[#This Row],[Cost of Shares]]/HistoricalStockProgress[[#This Row],[No. of Shares]],0)</f>
        <v>95.287858369624047</v>
      </c>
      <c r="H1598" s="16" vm="2087">
        <v>149.06</v>
      </c>
      <c r="I1598" s="16">
        <f>IF(HistoricalStockProgress[[#This Row],[No. of Shares]]&lt;&gt;0,HistoricalStockProgress[[#This Row],[Price of Shares]]*HistoricalStockProgress[[#This Row],[No. of Shares]],0)</f>
        <v>17887.2</v>
      </c>
      <c r="J1598" s="16">
        <f>IF(HistoricalStockProgress[[#This Row],[No. of Shares]]&lt;&gt;0,HistoricalStockProgress[[#This Row],[Price of Shares]]-HistoricalStockProgress[[#This Row],[Cost of Shares]]/HistoricalStockProgress[[#This Row],[No. of Shares]],0)</f>
        <v>53.772141630375955</v>
      </c>
      <c r="K1598" s="17">
        <f>IF(HistoricalStockProgress[[#This Row],[Total Price of Shares]]&lt;&gt;0,HistoricalStockProgress[[#This Row],[Total Price of Shares]]-HistoricalStockProgress[[#This Row],[Cost of Shares]],0)</f>
        <v>6452.6569956451149</v>
      </c>
      <c r="L1598" s="34" t="b" cm="1">
        <f t="array" ref="L1598">IFERROR(IF(HistoricalStockProgress[[#This Row],[Price of Shares]]="",_xlfn.STOCKHISTORY(HistoricalStockProgress[[#This Row],[Full Company Name]],HistoricalStockProgress[[#This Row],[Date]],,2,0,1)),0)</f>
        <v>0</v>
      </c>
      <c r="M1598" s="34">
        <f>YEAR(HistoricalStockProgress[[#This Row],[Date]])</f>
        <v>2023</v>
      </c>
      <c r="N1598" s="34">
        <f>MONTH(HistoricalStockProgress[[#This Row],[Date]])</f>
        <v>9</v>
      </c>
    </row>
    <row r="1599" spans="2:14">
      <c r="B1599" s="15">
        <v>45199</v>
      </c>
      <c r="C1599" s="34" t="s">
        <v>88</v>
      </c>
      <c r="D1599" s="34" t="e" vm="9">
        <f>_xlfn.XLOOKUP(HistoricalStockProgress[[#This Row],[Company Ticker]],CompanyDetailsList[Company Ticker],CompanyDetailsList[Official Name],,0)</f>
        <v>#VALUE!</v>
      </c>
      <c r="E15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68</v>
      </c>
      <c r="F15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13660.356292131106</v>
      </c>
      <c r="G1599" s="17">
        <f>IFERROR(HistoricalStockProgress[[#This Row],[Cost of Shares]]/HistoricalStockProgress[[#This Row],[No. of Shares]],0)</f>
        <v>200.88759253133981</v>
      </c>
      <c r="H1599" s="16" vm="2088">
        <v>263.44</v>
      </c>
      <c r="I1599" s="16">
        <f>IF(HistoricalStockProgress[[#This Row],[No. of Shares]]&lt;&gt;0,HistoricalStockProgress[[#This Row],[Price of Shares]]*HistoricalStockProgress[[#This Row],[No. of Shares]],0)</f>
        <v>17913.919999999998</v>
      </c>
      <c r="J1599" s="16">
        <f>IF(HistoricalStockProgress[[#This Row],[No. of Shares]]&lt;&gt;0,HistoricalStockProgress[[#This Row],[Price of Shares]]-HistoricalStockProgress[[#This Row],[Cost of Shares]]/HistoricalStockProgress[[#This Row],[No. of Shares]],0)</f>
        <v>62.552407468660192</v>
      </c>
      <c r="K1599" s="17">
        <f>IF(HistoricalStockProgress[[#This Row],[Total Price of Shares]]&lt;&gt;0,HistoricalStockProgress[[#This Row],[Total Price of Shares]]-HistoricalStockProgress[[#This Row],[Cost of Shares]],0)</f>
        <v>4253.5637078688924</v>
      </c>
      <c r="L1599" s="34" t="b" cm="1">
        <f t="array" ref="L1599">IFERROR(IF(HistoricalStockProgress[[#This Row],[Price of Shares]]="",_xlfn.STOCKHISTORY(HistoricalStockProgress[[#This Row],[Full Company Name]],HistoricalStockProgress[[#This Row],[Date]],,2,0,1)),0)</f>
        <v>0</v>
      </c>
      <c r="M1599" s="34">
        <f>YEAR(HistoricalStockProgress[[#This Row],[Date]])</f>
        <v>2023</v>
      </c>
      <c r="N1599" s="34">
        <f>MONTH(HistoricalStockProgress[[#This Row],[Date]])</f>
        <v>9</v>
      </c>
    </row>
    <row r="1600" spans="2:14">
      <c r="B1600" s="15">
        <v>45199</v>
      </c>
      <c r="C1600" s="34" t="s">
        <v>22</v>
      </c>
      <c r="D1600" s="34" t="e" vm="10">
        <f>_xlfn.XLOOKUP(HistoricalStockProgress[[#This Row],[Company Ticker]],CompanyDetailsList[Company Ticker],CompanyDetailsList[Official Name],,0)</f>
        <v>#VALUE!</v>
      </c>
      <c r="E16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6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600" s="17">
        <f>IFERROR(HistoricalStockProgress[[#This Row],[Cost of Shares]]/HistoricalStockProgress[[#This Row],[No. of Shares]],0)</f>
        <v>130.19784136724968</v>
      </c>
      <c r="H1600" s="16" vm="2089">
        <v>273</v>
      </c>
      <c r="I1600" s="16">
        <f>IF(HistoricalStockProgress[[#This Row],[No. of Shares]]&lt;&gt;0,HistoricalStockProgress[[#This Row],[Price of Shares]]*HistoricalStockProgress[[#This Row],[No. of Shares]],0)</f>
        <v>32487</v>
      </c>
      <c r="J1600" s="16">
        <f>IF(HistoricalStockProgress[[#This Row],[No. of Shares]]&lt;&gt;0,HistoricalStockProgress[[#This Row],[Price of Shares]]-HistoricalStockProgress[[#This Row],[Cost of Shares]]/HistoricalStockProgress[[#This Row],[No. of Shares]],0)</f>
        <v>142.80215863275032</v>
      </c>
      <c r="K1600" s="17">
        <f>IF(HistoricalStockProgress[[#This Row],[Total Price of Shares]]&lt;&gt;0,HistoricalStockProgress[[#This Row],[Total Price of Shares]]-HistoricalStockProgress[[#This Row],[Cost of Shares]],0)</f>
        <v>16993.456877297285</v>
      </c>
      <c r="L1600" s="34" t="b" cm="1">
        <f t="array" ref="L1600">IFERROR(IF(HistoricalStockProgress[[#This Row],[Price of Shares]]="",_xlfn.STOCKHISTORY(HistoricalStockProgress[[#This Row],[Full Company Name]],HistoricalStockProgress[[#This Row],[Date]],,2,0,1)),0)</f>
        <v>0</v>
      </c>
      <c r="M1600" s="34">
        <f>YEAR(HistoricalStockProgress[[#This Row],[Date]])</f>
        <v>2023</v>
      </c>
      <c r="N1600" s="34">
        <f>MONTH(HistoricalStockProgress[[#This Row],[Date]])</f>
        <v>9</v>
      </c>
    </row>
    <row r="1601" spans="2:14">
      <c r="B1601" s="15">
        <v>45199</v>
      </c>
      <c r="C1601" s="34" t="s">
        <v>91</v>
      </c>
      <c r="D1601" s="34" t="e" vm="11">
        <f>_xlfn.XLOOKUP(HistoricalStockProgress[[#This Row],[Company Ticker]],CompanyDetailsList[Company Ticker],CompanyDetailsList[Official Name],,0)</f>
        <v>#VALUE!</v>
      </c>
      <c r="E16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6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601" s="17">
        <f>IFERROR(HistoricalStockProgress[[#This Row],[Cost of Shares]]/HistoricalStockProgress[[#This Row],[No. of Shares]],0)</f>
        <v>133.15744058830452</v>
      </c>
      <c r="H1601" s="16" vm="2090">
        <v>315.75</v>
      </c>
      <c r="I1601" s="16">
        <f>IF(HistoricalStockProgress[[#This Row],[No. of Shares]]&lt;&gt;0,HistoricalStockProgress[[#This Row],[Price of Shares]]*HistoricalStockProgress[[#This Row],[No. of Shares]],0)</f>
        <v>57782.25</v>
      </c>
      <c r="J1601" s="16">
        <f>IF(HistoricalStockProgress[[#This Row],[No. of Shares]]&lt;&gt;0,HistoricalStockProgress[[#This Row],[Price of Shares]]-HistoricalStockProgress[[#This Row],[Cost of Shares]]/HistoricalStockProgress[[#This Row],[No. of Shares]],0)</f>
        <v>182.59255941169548</v>
      </c>
      <c r="K1601" s="17">
        <f>IF(HistoricalStockProgress[[#This Row],[Total Price of Shares]]&lt;&gt;0,HistoricalStockProgress[[#This Row],[Total Price of Shares]]-HistoricalStockProgress[[#This Row],[Cost of Shares]],0)</f>
        <v>33414.438372340272</v>
      </c>
      <c r="L1601" s="34" t="b" cm="1">
        <f t="array" ref="L1601">IFERROR(IF(HistoricalStockProgress[[#This Row],[Price of Shares]]="",_xlfn.STOCKHISTORY(HistoricalStockProgress[[#This Row],[Full Company Name]],HistoricalStockProgress[[#This Row],[Date]],,2,0,1)),0)</f>
        <v>0</v>
      </c>
      <c r="M1601" s="34">
        <f>YEAR(HistoricalStockProgress[[#This Row],[Date]])</f>
        <v>2023</v>
      </c>
      <c r="N1601" s="34">
        <f>MONTH(HistoricalStockProgress[[#This Row],[Date]])</f>
        <v>9</v>
      </c>
    </row>
    <row r="1602" spans="2:14">
      <c r="B1602" s="15">
        <v>45199</v>
      </c>
      <c r="C1602" s="34" t="s">
        <v>16</v>
      </c>
      <c r="D1602" s="34" t="e" vm="12">
        <f>_xlfn.XLOOKUP(HistoricalStockProgress[[#This Row],[Company Ticker]],CompanyDetailsList[Company Ticker],CompanyDetailsList[Official Name],,0)</f>
        <v>#VALUE!</v>
      </c>
      <c r="E16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6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602" s="17">
        <f>IFERROR(HistoricalStockProgress[[#This Row],[Cost of Shares]]/HistoricalStockProgress[[#This Row],[No. of Shares]],0)</f>
        <v>75.117698177311837</v>
      </c>
      <c r="H1602" s="16" vm="2091">
        <v>117.58</v>
      </c>
      <c r="I1602" s="16">
        <f>IF(HistoricalStockProgress[[#This Row],[No. of Shares]]&lt;&gt;0,HistoricalStockProgress[[#This Row],[Price of Shares]]*HistoricalStockProgress[[#This Row],[No. of Shares]],0)</f>
        <v>21752.3</v>
      </c>
      <c r="J1602" s="16">
        <f>IF(HistoricalStockProgress[[#This Row],[No. of Shares]]&lt;&gt;0,HistoricalStockProgress[[#This Row],[Price of Shares]]-HistoricalStockProgress[[#This Row],[Cost of Shares]]/HistoricalStockProgress[[#This Row],[No. of Shares]],0)</f>
        <v>42.462301822688161</v>
      </c>
      <c r="K1602" s="17">
        <f>IF(HistoricalStockProgress[[#This Row],[Total Price of Shares]]&lt;&gt;0,HistoricalStockProgress[[#This Row],[Total Price of Shares]]-HistoricalStockProgress[[#This Row],[Cost of Shares]],0)</f>
        <v>7855.5258371973105</v>
      </c>
      <c r="L1602" s="34" t="b" cm="1">
        <f t="array" ref="L1602">IFERROR(IF(HistoricalStockProgress[[#This Row],[Price of Shares]]="",_xlfn.STOCKHISTORY(HistoricalStockProgress[[#This Row],[Full Company Name]],HistoricalStockProgress[[#This Row],[Date]],,2,0,1)),0)</f>
        <v>0</v>
      </c>
      <c r="M1602" s="34">
        <f>YEAR(HistoricalStockProgress[[#This Row],[Date]])</f>
        <v>2023</v>
      </c>
      <c r="N1602" s="34">
        <f>MONTH(HistoricalStockProgress[[#This Row],[Date]])</f>
        <v>9</v>
      </c>
    </row>
    <row r="1603" spans="2:14">
      <c r="B1603" s="15">
        <v>45199</v>
      </c>
      <c r="C1603" s="34" t="s">
        <v>95</v>
      </c>
      <c r="D1603" s="34" t="e" vm="13">
        <f>_xlfn.XLOOKUP(HistoricalStockProgress[[#This Row],[Company Ticker]],CompanyDetailsList[Company Ticker],CompanyDetailsList[Official Name],,0)</f>
        <v>#VALUE!</v>
      </c>
      <c r="E16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143</v>
      </c>
      <c r="F16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35362.550411645469</v>
      </c>
      <c r="G1603" s="17">
        <f>IFERROR(HistoricalStockProgress[[#This Row],[Cost of Shares]]/HistoricalStockProgress[[#This Row],[No. of Shares]],0)</f>
        <v>247.29056231919907</v>
      </c>
      <c r="H1603" s="16" vm="2092">
        <v>302.16000000000003</v>
      </c>
      <c r="I1603" s="16">
        <f>IF(HistoricalStockProgress[[#This Row],[No. of Shares]]&lt;&gt;0,HistoricalStockProgress[[#This Row],[Price of Shares]]*HistoricalStockProgress[[#This Row],[No. of Shares]],0)</f>
        <v>43208.880000000005</v>
      </c>
      <c r="J1603" s="16">
        <f>IF(HistoricalStockProgress[[#This Row],[No. of Shares]]&lt;&gt;0,HistoricalStockProgress[[#This Row],[Price of Shares]]-HistoricalStockProgress[[#This Row],[Cost of Shares]]/HistoricalStockProgress[[#This Row],[No. of Shares]],0)</f>
        <v>54.869437680800957</v>
      </c>
      <c r="K1603" s="17">
        <f>IF(HistoricalStockProgress[[#This Row],[Total Price of Shares]]&lt;&gt;0,HistoricalStockProgress[[#This Row],[Total Price of Shares]]-HistoricalStockProgress[[#This Row],[Cost of Shares]],0)</f>
        <v>7846.3295883545361</v>
      </c>
      <c r="L1603" s="34" t="b" cm="1">
        <f t="array" ref="L1603">IFERROR(IF(HistoricalStockProgress[[#This Row],[Price of Shares]]="",_xlfn.STOCKHISTORY(HistoricalStockProgress[[#This Row],[Full Company Name]],HistoricalStockProgress[[#This Row],[Date]],,2,0,1)),0)</f>
        <v>0</v>
      </c>
      <c r="M1603" s="34">
        <f>YEAR(HistoricalStockProgress[[#This Row],[Date]])</f>
        <v>2023</v>
      </c>
      <c r="N1603" s="34">
        <f>MONTH(HistoricalStockProgress[[#This Row],[Date]])</f>
        <v>9</v>
      </c>
    </row>
    <row r="1604" spans="2:14">
      <c r="B1604" s="15">
        <v>45199</v>
      </c>
      <c r="C1604" s="34" t="s">
        <v>17</v>
      </c>
      <c r="D1604" s="34" t="e" vm="14">
        <f>_xlfn.XLOOKUP(HistoricalStockProgress[[#This Row],[Company Ticker]],CompanyDetailsList[Company Ticker],CompanyDetailsList[Official Name],,0)</f>
        <v>#VALUE!</v>
      </c>
      <c r="E16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6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26400.485099161626</v>
      </c>
      <c r="G1604" s="17">
        <f>IFERROR(HistoricalStockProgress[[#This Row],[Cost of Shares]]/HistoricalStockProgress[[#This Row],[No. of Shares]],0)</f>
        <v>136.08497473794654</v>
      </c>
      <c r="H1604" s="16" vm="2093">
        <v>140.30000000000001</v>
      </c>
      <c r="I1604" s="16">
        <f>IF(HistoricalStockProgress[[#This Row],[No. of Shares]]&lt;&gt;0,HistoricalStockProgress[[#This Row],[Price of Shares]]*HistoricalStockProgress[[#This Row],[No. of Shares]],0)</f>
        <v>27218.2</v>
      </c>
      <c r="J1604" s="16">
        <f>IF(HistoricalStockProgress[[#This Row],[No. of Shares]]&lt;&gt;0,HistoricalStockProgress[[#This Row],[Price of Shares]]-HistoricalStockProgress[[#This Row],[Cost of Shares]]/HistoricalStockProgress[[#This Row],[No. of Shares]],0)</f>
        <v>4.2150252620534729</v>
      </c>
      <c r="K1604" s="17">
        <f>IF(HistoricalStockProgress[[#This Row],[Total Price of Shares]]&lt;&gt;0,HistoricalStockProgress[[#This Row],[Total Price of Shares]]-HistoricalStockProgress[[#This Row],[Cost of Shares]],0)</f>
        <v>817.71490083837489</v>
      </c>
      <c r="L1604" s="34" t="b" cm="1">
        <f t="array" ref="L1604">IFERROR(IF(HistoricalStockProgress[[#This Row],[Price of Shares]]="",_xlfn.STOCKHISTORY(HistoricalStockProgress[[#This Row],[Full Company Name]],HistoricalStockProgress[[#This Row],[Date]],,2,0,1)),0)</f>
        <v>0</v>
      </c>
      <c r="M1604" s="34">
        <f>YEAR(HistoricalStockProgress[[#This Row],[Date]])</f>
        <v>2023</v>
      </c>
      <c r="N1604" s="34">
        <f>MONTH(HistoricalStockProgress[[#This Row],[Date]])</f>
        <v>9</v>
      </c>
    </row>
    <row r="1605" spans="2:14">
      <c r="B1605" s="15">
        <v>45199</v>
      </c>
      <c r="C1605" s="34" t="s">
        <v>98</v>
      </c>
      <c r="D1605" s="34" t="e" vm="15">
        <f>_xlfn.XLOOKUP(HistoricalStockProgress[[#This Row],[Company Ticker]],CompanyDetailsList[Company Ticker],CompanyDetailsList[Official Name],,0)</f>
        <v>#VALUE!</v>
      </c>
      <c r="E16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6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6407.714421697975</v>
      </c>
      <c r="G1605" s="17">
        <f>IFERROR(HistoricalStockProgress[[#This Row],[Cost of Shares]]/HistoricalStockProgress[[#This Row],[No. of Shares]],0)</f>
        <v>53.846339678134242</v>
      </c>
      <c r="H1605" s="16" vm="2094">
        <v>57.29</v>
      </c>
      <c r="I1605" s="16">
        <f>IF(HistoricalStockProgress[[#This Row],[No. of Shares]]&lt;&gt;0,HistoricalStockProgress[[#This Row],[Price of Shares]]*HistoricalStockProgress[[#This Row],[No. of Shares]],0)</f>
        <v>6817.51</v>
      </c>
      <c r="J1605" s="16">
        <f>IF(HistoricalStockProgress[[#This Row],[No. of Shares]]&lt;&gt;0,HistoricalStockProgress[[#This Row],[Price of Shares]]-HistoricalStockProgress[[#This Row],[Cost of Shares]]/HistoricalStockProgress[[#This Row],[No. of Shares]],0)</f>
        <v>3.4436603218657567</v>
      </c>
      <c r="K1605" s="17">
        <f>IF(HistoricalStockProgress[[#This Row],[Total Price of Shares]]&lt;&gt;0,HistoricalStockProgress[[#This Row],[Total Price of Shares]]-HistoricalStockProgress[[#This Row],[Cost of Shares]],0)</f>
        <v>409.79557830202521</v>
      </c>
      <c r="L1605" s="34" t="b" cm="1">
        <f t="array" ref="L1605">IFERROR(IF(HistoricalStockProgress[[#This Row],[Price of Shares]]="",_xlfn.STOCKHISTORY(HistoricalStockProgress[[#This Row],[Full Company Name]],HistoricalStockProgress[[#This Row],[Date]],,2,0,1)),0)</f>
        <v>0</v>
      </c>
      <c r="M1605" s="34">
        <f>YEAR(HistoricalStockProgress[[#This Row],[Date]])</f>
        <v>2023</v>
      </c>
      <c r="N1605" s="34">
        <f>MONTH(HistoricalStockProgress[[#This Row],[Date]])</f>
        <v>9</v>
      </c>
    </row>
    <row r="1606" spans="2:14">
      <c r="B1606" s="15">
        <v>45199</v>
      </c>
      <c r="C1606" s="34" t="s">
        <v>100</v>
      </c>
      <c r="D1606" s="34" t="e" vm="16">
        <f>_xlfn.XLOOKUP(HistoricalStockProgress[[#This Row],[Company Ticker]],CompanyDetailsList[Company Ticker],CompanyDetailsList[Official Name],,0)</f>
        <v>#VALUE!</v>
      </c>
      <c r="E16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217</v>
      </c>
      <c r="F16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19839.340255178511</v>
      </c>
      <c r="G1606" s="17">
        <f>IFERROR(HistoricalStockProgress[[#This Row],[Cost of Shares]]/HistoricalStockProgress[[#This Row],[No. of Shares]],0)</f>
        <v>91.425531129854889</v>
      </c>
      <c r="H1606" s="16" vm="2095">
        <v>88.26</v>
      </c>
      <c r="I1606" s="16">
        <f>IF(HistoricalStockProgress[[#This Row],[No. of Shares]]&lt;&gt;0,HistoricalStockProgress[[#This Row],[Price of Shares]]*HistoricalStockProgress[[#This Row],[No. of Shares]],0)</f>
        <v>19152.420000000002</v>
      </c>
      <c r="J1606" s="16">
        <f>IF(HistoricalStockProgress[[#This Row],[No. of Shares]]&lt;&gt;0,HistoricalStockProgress[[#This Row],[Price of Shares]]-HistoricalStockProgress[[#This Row],[Cost of Shares]]/HistoricalStockProgress[[#This Row],[No. of Shares]],0)</f>
        <v>-3.1655311298548838</v>
      </c>
      <c r="K1606" s="17">
        <f>IF(HistoricalStockProgress[[#This Row],[Total Price of Shares]]&lt;&gt;0,HistoricalStockProgress[[#This Row],[Total Price of Shares]]-HistoricalStockProgress[[#This Row],[Cost of Shares]],0)</f>
        <v>-686.92025517850925</v>
      </c>
      <c r="L1606" s="34" t="b" cm="1">
        <f t="array" ref="L1606">IFERROR(IF(HistoricalStockProgress[[#This Row],[Price of Shares]]="",_xlfn.STOCKHISTORY(HistoricalStockProgress[[#This Row],[Full Company Name]],HistoricalStockProgress[[#This Row],[Date]],,2,0,1)),0)</f>
        <v>0</v>
      </c>
      <c r="M1606" s="34">
        <f>YEAR(HistoricalStockProgress[[#This Row],[Date]])</f>
        <v>2023</v>
      </c>
      <c r="N1606" s="34">
        <f>MONTH(HistoricalStockProgress[[#This Row],[Date]])</f>
        <v>9</v>
      </c>
    </row>
    <row r="1607" spans="2:14">
      <c r="B1607" s="15">
        <v>45199</v>
      </c>
      <c r="C1607" s="34" t="s">
        <v>15</v>
      </c>
      <c r="D1607" s="34" t="e" vm="17">
        <f>_xlfn.XLOOKUP(HistoricalStockProgress[[#This Row],[Company Ticker]],CompanyDetailsList[Company Ticker],CompanyDetailsList[Official Name],,0)</f>
        <v>#VALUE!</v>
      </c>
      <c r="E16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133</v>
      </c>
      <c r="F16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3377.7842958499027</v>
      </c>
      <c r="G1607" s="17">
        <f>IFERROR(HistoricalStockProgress[[#This Row],[Cost of Shares]]/HistoricalStockProgress[[#This Row],[No. of Shares]],0)</f>
        <v>25.396874404886486</v>
      </c>
      <c r="H1607" s="16" vm="2096">
        <v>15.02</v>
      </c>
      <c r="I1607" s="16">
        <f>IF(HistoricalStockProgress[[#This Row],[No. of Shares]]&lt;&gt;0,HistoricalStockProgress[[#This Row],[Price of Shares]]*HistoricalStockProgress[[#This Row],[No. of Shares]],0)</f>
        <v>1997.6599999999999</v>
      </c>
      <c r="J1607" s="16">
        <f>IF(HistoricalStockProgress[[#This Row],[No. of Shares]]&lt;&gt;0,HistoricalStockProgress[[#This Row],[Price of Shares]]-HistoricalStockProgress[[#This Row],[Cost of Shares]]/HistoricalStockProgress[[#This Row],[No. of Shares]],0)</f>
        <v>-10.376874404886486</v>
      </c>
      <c r="K1607" s="17">
        <f>IF(HistoricalStockProgress[[#This Row],[Total Price of Shares]]&lt;&gt;0,HistoricalStockProgress[[#This Row],[Total Price of Shares]]-HistoricalStockProgress[[#This Row],[Cost of Shares]],0)</f>
        <v>-1380.1242958499029</v>
      </c>
      <c r="L1607" s="34" t="b" cm="1">
        <f t="array" ref="L1607">IFERROR(IF(HistoricalStockProgress[[#This Row],[Price of Shares]]="",_xlfn.STOCKHISTORY(HistoricalStockProgress[[#This Row],[Full Company Name]],HistoricalStockProgress[[#This Row],[Date]],,2,0,1)),0)</f>
        <v>0</v>
      </c>
      <c r="M1607" s="34">
        <f>YEAR(HistoricalStockProgress[[#This Row],[Date]])</f>
        <v>2023</v>
      </c>
      <c r="N1607" s="34">
        <f>MONTH(HistoricalStockProgress[[#This Row],[Date]])</f>
        <v>9</v>
      </c>
    </row>
    <row r="1608" spans="2:14">
      <c r="B1608" s="15">
        <v>45199</v>
      </c>
      <c r="C1608" s="34" t="s">
        <v>13</v>
      </c>
      <c r="D1608" s="34" t="e" vm="18">
        <f>_xlfn.XLOOKUP(HistoricalStockProgress[[#This Row],[Company Ticker]],CompanyDetailsList[Company Ticker],CompanyDetailsList[Official Name],,0)</f>
        <v>#VALUE!</v>
      </c>
      <c r="E16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6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608" s="17">
        <f>IFERROR(HistoricalStockProgress[[#This Row],[Cost of Shares]]/HistoricalStockProgress[[#This Row],[No. of Shares]],0)</f>
        <v>35.846938938346874</v>
      </c>
      <c r="H1608" s="16" vm="2097">
        <v>33.17</v>
      </c>
      <c r="I1608" s="16">
        <f>IF(HistoricalStockProgress[[#This Row],[No. of Shares]]&lt;&gt;0,HistoricalStockProgress[[#This Row],[Price of Shares]]*HistoricalStockProgress[[#This Row],[No. of Shares]],0)</f>
        <v>1824.3500000000001</v>
      </c>
      <c r="J1608" s="16">
        <f>IF(HistoricalStockProgress[[#This Row],[No. of Shares]]&lt;&gt;0,HistoricalStockProgress[[#This Row],[Price of Shares]]-HistoricalStockProgress[[#This Row],[Cost of Shares]]/HistoricalStockProgress[[#This Row],[No. of Shares]],0)</f>
        <v>-2.676938938346872</v>
      </c>
      <c r="K1608" s="17">
        <f>IF(HistoricalStockProgress[[#This Row],[Total Price of Shares]]&lt;&gt;0,HistoricalStockProgress[[#This Row],[Total Price of Shares]]-HistoricalStockProgress[[#This Row],[Cost of Shares]],0)</f>
        <v>-147.231641609078</v>
      </c>
      <c r="L1608" s="34" t="b" cm="1">
        <f t="array" ref="L1608">IFERROR(IF(HistoricalStockProgress[[#This Row],[Price of Shares]]="",_xlfn.STOCKHISTORY(HistoricalStockProgress[[#This Row],[Full Company Name]],HistoricalStockProgress[[#This Row],[Date]],,2,0,1)),0)</f>
        <v>0</v>
      </c>
      <c r="M1608" s="34">
        <f>YEAR(HistoricalStockProgress[[#This Row],[Date]])</f>
        <v>2023</v>
      </c>
      <c r="N1608" s="34">
        <f>MONTH(HistoricalStockProgress[[#This Row],[Date]])</f>
        <v>9</v>
      </c>
    </row>
    <row r="1609" spans="2:14">
      <c r="B1609" s="15">
        <v>45199</v>
      </c>
      <c r="C1609" s="34" t="s">
        <v>20</v>
      </c>
      <c r="D1609" s="34" t="e" vm="19">
        <f>_xlfn.XLOOKUP(HistoricalStockProgress[[#This Row],[Company Ticker]],CompanyDetailsList[Company Ticker],CompanyDetailsList[Official Name],,0)</f>
        <v>#VALUE!</v>
      </c>
      <c r="E16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6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609" s="17">
        <f>IFERROR(HistoricalStockProgress[[#This Row],[Cost of Shares]]/HistoricalStockProgress[[#This Row],[No. of Shares]],0)</f>
        <v>108.1760767450256</v>
      </c>
      <c r="H1609" s="16" vm="2098">
        <v>145.02000000000001</v>
      </c>
      <c r="I1609" s="16">
        <f>IF(HistoricalStockProgress[[#This Row],[No. of Shares]]&lt;&gt;0,HistoricalStockProgress[[#This Row],[Price of Shares]]*HistoricalStockProgress[[#This Row],[No. of Shares]],0)</f>
        <v>16822.32</v>
      </c>
      <c r="J1609" s="16">
        <f>IF(HistoricalStockProgress[[#This Row],[No. of Shares]]&lt;&gt;0,HistoricalStockProgress[[#This Row],[Price of Shares]]-HistoricalStockProgress[[#This Row],[Cost of Shares]]/HistoricalStockProgress[[#This Row],[No. of Shares]],0)</f>
        <v>36.843923254974413</v>
      </c>
      <c r="K1609" s="17">
        <f>IF(HistoricalStockProgress[[#This Row],[Total Price of Shares]]&lt;&gt;0,HistoricalStockProgress[[#This Row],[Total Price of Shares]]-HistoricalStockProgress[[#This Row],[Cost of Shares]],0)</f>
        <v>4273.8950975770313</v>
      </c>
      <c r="L1609" s="34" t="b" cm="1">
        <f t="array" ref="L1609">IFERROR(IF(HistoricalStockProgress[[#This Row],[Price of Shares]]="",_xlfn.STOCKHISTORY(HistoricalStockProgress[[#This Row],[Full Company Name]],HistoricalStockProgress[[#This Row],[Date]],,2,0,1)),0)</f>
        <v>0</v>
      </c>
      <c r="M1609" s="34">
        <f>YEAR(HistoricalStockProgress[[#This Row],[Date]])</f>
        <v>2023</v>
      </c>
      <c r="N1609" s="34">
        <f>MONTH(HistoricalStockProgress[[#This Row],[Date]])</f>
        <v>9</v>
      </c>
    </row>
    <row r="1610" spans="2:14">
      <c r="B1610" s="15">
        <v>45199</v>
      </c>
      <c r="C1610" s="34" t="s">
        <v>106</v>
      </c>
      <c r="D1610" s="34" t="e" vm="20">
        <f>_xlfn.XLOOKUP(HistoricalStockProgress[[#This Row],[Company Ticker]],CompanyDetailsList[Company Ticker],CompanyDetailsList[Official Name],,0)</f>
        <v>#VALUE!</v>
      </c>
      <c r="E16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6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610" s="17">
        <f>IFERROR(HistoricalStockProgress[[#This Row],[Cost of Shares]]/HistoricalStockProgress[[#This Row],[No. of Shares]],0)</f>
        <v>108.54870748680406</v>
      </c>
      <c r="H1610" s="16" vm="2099">
        <v>129.80000000000001</v>
      </c>
      <c r="I1610" s="16">
        <f>IF(HistoricalStockProgress[[#This Row],[No. of Shares]]&lt;&gt;0,HistoricalStockProgress[[#This Row],[Price of Shares]]*HistoricalStockProgress[[#This Row],[No. of Shares]],0)</f>
        <v>11422.400000000001</v>
      </c>
      <c r="J1610" s="16">
        <f>IF(HistoricalStockProgress[[#This Row],[No. of Shares]]&lt;&gt;0,HistoricalStockProgress[[#This Row],[Price of Shares]]-HistoricalStockProgress[[#This Row],[Cost of Shares]]/HistoricalStockProgress[[#This Row],[No. of Shares]],0)</f>
        <v>21.251292513195949</v>
      </c>
      <c r="K1610" s="17">
        <f>IF(HistoricalStockProgress[[#This Row],[Total Price of Shares]]&lt;&gt;0,HistoricalStockProgress[[#This Row],[Total Price of Shares]]-HistoricalStockProgress[[#This Row],[Cost of Shares]],0)</f>
        <v>1870.1137411612435</v>
      </c>
      <c r="L1610" s="34" t="b" cm="1">
        <f t="array" ref="L1610">IFERROR(IF(HistoricalStockProgress[[#This Row],[Price of Shares]]="",_xlfn.STOCKHISTORY(HistoricalStockProgress[[#This Row],[Full Company Name]],HistoricalStockProgress[[#This Row],[Date]],,2,0,1)),0)</f>
        <v>0</v>
      </c>
      <c r="M1610" s="34">
        <f>YEAR(HistoricalStockProgress[[#This Row],[Date]])</f>
        <v>2023</v>
      </c>
      <c r="N1610" s="34">
        <f>MONTH(HistoricalStockProgress[[#This Row],[Date]])</f>
        <v>9</v>
      </c>
    </row>
    <row r="1611" spans="2:14">
      <c r="B1611" s="15">
        <v>45230</v>
      </c>
      <c r="C1611" s="34" t="s">
        <v>12</v>
      </c>
      <c r="D1611" s="34" t="e" vm="1">
        <f>_xlfn.XLOOKUP(HistoricalStockProgress[[#This Row],[Company Ticker]],CompanyDetailsList[Company Ticker],CompanyDetailsList[Official Name],,0)</f>
        <v>#VALUE!</v>
      </c>
      <c r="E16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6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611" s="17">
        <f>IFERROR(HistoricalStockProgress[[#This Row],[Cost of Shares]]/HistoricalStockProgress[[#This Row],[No. of Shares]],0)</f>
        <v>64.573985995316889</v>
      </c>
      <c r="H1611" s="16" vm="2100">
        <v>47.38</v>
      </c>
      <c r="I1611" s="16">
        <f>IF(HistoricalStockProgress[[#This Row],[No. of Shares]]&lt;&gt;0,HistoricalStockProgress[[#This Row],[Price of Shares]]*HistoricalStockProgress[[#This Row],[No. of Shares]],0)</f>
        <v>4595.8600000000006</v>
      </c>
      <c r="J1611" s="16">
        <f>IF(HistoricalStockProgress[[#This Row],[No. of Shares]]&lt;&gt;0,HistoricalStockProgress[[#This Row],[Price of Shares]]-HistoricalStockProgress[[#This Row],[Cost of Shares]]/HistoricalStockProgress[[#This Row],[No. of Shares]],0)</f>
        <v>-17.193985995316886</v>
      </c>
      <c r="K1611" s="17">
        <f>IF(HistoricalStockProgress[[#This Row],[Total Price of Shares]]&lt;&gt;0,HistoricalStockProgress[[#This Row],[Total Price of Shares]]-HistoricalStockProgress[[#This Row],[Cost of Shares]],0)</f>
        <v>-1667.8166415457372</v>
      </c>
      <c r="L1611" s="34" t="b" cm="1">
        <f t="array" ref="L1611">IFERROR(IF(HistoricalStockProgress[[#This Row],[Price of Shares]]="",_xlfn.STOCKHISTORY(HistoricalStockProgress[[#This Row],[Full Company Name]],HistoricalStockProgress[[#This Row],[Date]],,2,0,1)),0)</f>
        <v>0</v>
      </c>
      <c r="M1611" s="34">
        <f>YEAR(HistoricalStockProgress[[#This Row],[Date]])</f>
        <v>2023</v>
      </c>
      <c r="N1611" s="34">
        <f>MONTH(HistoricalStockProgress[[#This Row],[Date]])</f>
        <v>10</v>
      </c>
    </row>
    <row r="1612" spans="2:14">
      <c r="B1612" s="15">
        <v>45230</v>
      </c>
      <c r="C1612" s="34" t="s">
        <v>14</v>
      </c>
      <c r="D1612" s="34" t="e" vm="2">
        <f>_xlfn.XLOOKUP(HistoricalStockProgress[[#This Row],[Company Ticker]],CompanyDetailsList[Company Ticker],CompanyDetailsList[Official Name],,0)</f>
        <v>#VALUE!</v>
      </c>
      <c r="E16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28</v>
      </c>
      <c r="F16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884.24315032536447</v>
      </c>
      <c r="G1612" s="17">
        <f>IFERROR(HistoricalStockProgress[[#This Row],[Cost of Shares]]/HistoricalStockProgress[[#This Row],[No. of Shares]],0)</f>
        <v>31.580112511620161</v>
      </c>
      <c r="H1612" s="16" vm="2101">
        <v>21.71</v>
      </c>
      <c r="I1612" s="16">
        <f>IF(HistoricalStockProgress[[#This Row],[No. of Shares]]&lt;&gt;0,HistoricalStockProgress[[#This Row],[Price of Shares]]*HistoricalStockProgress[[#This Row],[No. of Shares]],0)</f>
        <v>607.88</v>
      </c>
      <c r="J1612" s="16">
        <f>IF(HistoricalStockProgress[[#This Row],[No. of Shares]]&lt;&gt;0,HistoricalStockProgress[[#This Row],[Price of Shares]]-HistoricalStockProgress[[#This Row],[Cost of Shares]]/HistoricalStockProgress[[#This Row],[No. of Shares]],0)</f>
        <v>-9.8701125116201602</v>
      </c>
      <c r="K1612" s="17">
        <f>IF(HistoricalStockProgress[[#This Row],[Total Price of Shares]]&lt;&gt;0,HistoricalStockProgress[[#This Row],[Total Price of Shares]]-HistoricalStockProgress[[#This Row],[Cost of Shares]],0)</f>
        <v>-276.36315032536447</v>
      </c>
      <c r="L1612" s="34" t="b" cm="1">
        <f t="array" ref="L1612">IFERROR(IF(HistoricalStockProgress[[#This Row],[Price of Shares]]="",_xlfn.STOCKHISTORY(HistoricalStockProgress[[#This Row],[Full Company Name]],HistoricalStockProgress[[#This Row],[Date]],,2,0,1)),0)</f>
        <v>0</v>
      </c>
      <c r="M1612" s="34">
        <f>YEAR(HistoricalStockProgress[[#This Row],[Date]])</f>
        <v>2023</v>
      </c>
      <c r="N1612" s="34">
        <f>MONTH(HistoricalStockProgress[[#This Row],[Date]])</f>
        <v>10</v>
      </c>
    </row>
    <row r="1613" spans="2:14">
      <c r="B1613" s="15">
        <v>45230</v>
      </c>
      <c r="C1613" s="34" t="s">
        <v>19</v>
      </c>
      <c r="D1613" s="34" t="e" vm="3">
        <f>_xlfn.XLOOKUP(HistoricalStockProgress[[#This Row],[Company Ticker]],CompanyDetailsList[Company Ticker],CompanyDetailsList[Official Name],,0)</f>
        <v>#VALUE!</v>
      </c>
      <c r="E16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6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613" s="17">
        <f>IFERROR(HistoricalStockProgress[[#This Row],[Cost of Shares]]/HistoricalStockProgress[[#This Row],[No. of Shares]],0)</f>
        <v>158.45739987816083</v>
      </c>
      <c r="H1613" s="16" vm="2102">
        <v>117.7</v>
      </c>
      <c r="I1613" s="16">
        <f>IF(HistoricalStockProgress[[#This Row],[No. of Shares]]&lt;&gt;0,HistoricalStockProgress[[#This Row],[Price of Shares]]*HistoricalStockProgress[[#This Row],[No. of Shares]],0)</f>
        <v>6708.9000000000005</v>
      </c>
      <c r="J1613" s="16">
        <f>IF(HistoricalStockProgress[[#This Row],[No. of Shares]]&lt;&gt;0,HistoricalStockProgress[[#This Row],[Price of Shares]]-HistoricalStockProgress[[#This Row],[Cost of Shares]]/HistoricalStockProgress[[#This Row],[No. of Shares]],0)</f>
        <v>-40.757399878160825</v>
      </c>
      <c r="K1613" s="17">
        <f>IF(HistoricalStockProgress[[#This Row],[Total Price of Shares]]&lt;&gt;0,HistoricalStockProgress[[#This Row],[Total Price of Shares]]-HistoricalStockProgress[[#This Row],[Cost of Shares]],0)</f>
        <v>-2323.1717930551667</v>
      </c>
      <c r="L1613" s="34" t="b" cm="1">
        <f t="array" ref="L1613">IFERROR(IF(HistoricalStockProgress[[#This Row],[Price of Shares]]="",_xlfn.STOCKHISTORY(HistoricalStockProgress[[#This Row],[Full Company Name]],HistoricalStockProgress[[#This Row],[Date]],,2,0,1)),0)</f>
        <v>0</v>
      </c>
      <c r="M1613" s="34">
        <f>YEAR(HistoricalStockProgress[[#This Row],[Date]])</f>
        <v>2023</v>
      </c>
      <c r="N1613" s="34">
        <f>MONTH(HistoricalStockProgress[[#This Row],[Date]])</f>
        <v>10</v>
      </c>
    </row>
    <row r="1614" spans="2:14">
      <c r="B1614" s="15">
        <v>45230</v>
      </c>
      <c r="C1614" s="34" t="s">
        <v>23</v>
      </c>
      <c r="D1614" s="34" t="e" vm="4">
        <f>_xlfn.XLOOKUP(HistoricalStockProgress[[#This Row],[Company Ticker]],CompanyDetailsList[Company Ticker],CompanyDetailsList[Official Name],,0)</f>
        <v>#VALUE!</v>
      </c>
      <c r="E16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16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1614" s="17">
        <f>IFERROR(HistoricalStockProgress[[#This Row],[Cost of Shares]]/HistoricalStockProgress[[#This Row],[No. of Shares]],0)</f>
        <v>50.781277236510277</v>
      </c>
      <c r="H1614" s="16" vm="2103">
        <v>56.49</v>
      </c>
      <c r="I1614" s="16">
        <f>IF(HistoricalStockProgress[[#This Row],[No. of Shares]]&lt;&gt;0,HistoricalStockProgress[[#This Row],[Price of Shares]]*HistoricalStockProgress[[#This Row],[No. of Shares]],0)</f>
        <v>6609.33</v>
      </c>
      <c r="J1614" s="16">
        <f>IF(HistoricalStockProgress[[#This Row],[No. of Shares]]&lt;&gt;0,HistoricalStockProgress[[#This Row],[Price of Shares]]-HistoricalStockProgress[[#This Row],[Cost of Shares]]/HistoricalStockProgress[[#This Row],[No. of Shares]],0)</f>
        <v>5.7087227634897246</v>
      </c>
      <c r="K1614" s="17">
        <f>IF(HistoricalStockProgress[[#This Row],[Total Price of Shares]]&lt;&gt;0,HistoricalStockProgress[[#This Row],[Total Price of Shares]]-HistoricalStockProgress[[#This Row],[Cost of Shares]],0)</f>
        <v>667.92056332829725</v>
      </c>
      <c r="L1614" s="34" t="b" cm="1">
        <f t="array" ref="L1614">IFERROR(IF(HistoricalStockProgress[[#This Row],[Price of Shares]]="",_xlfn.STOCKHISTORY(HistoricalStockProgress[[#This Row],[Full Company Name]],HistoricalStockProgress[[#This Row],[Date]],,2,0,1)),0)</f>
        <v>0</v>
      </c>
      <c r="M1614" s="34">
        <f>YEAR(HistoricalStockProgress[[#This Row],[Date]])</f>
        <v>2023</v>
      </c>
      <c r="N1614" s="34">
        <f>MONTH(HistoricalStockProgress[[#This Row],[Date]])</f>
        <v>10</v>
      </c>
    </row>
    <row r="1615" spans="2:14">
      <c r="B1615" s="15">
        <v>45230</v>
      </c>
      <c r="C1615" s="34" t="s">
        <v>18</v>
      </c>
      <c r="D1615" s="34" t="e" vm="5">
        <f>_xlfn.XLOOKUP(HistoricalStockProgress[[#This Row],[Company Ticker]],CompanyDetailsList[Company Ticker],CompanyDetailsList[Official Name],,0)</f>
        <v>#VALUE!</v>
      </c>
      <c r="E16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6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615" s="17">
        <f>IFERROR(HistoricalStockProgress[[#This Row],[Cost of Shares]]/HistoricalStockProgress[[#This Row],[No. of Shares]],0)</f>
        <v>160.8859607546234</v>
      </c>
      <c r="H1615" s="16" vm="2104">
        <v>163.28</v>
      </c>
      <c r="I1615" s="16">
        <f>IF(HistoricalStockProgress[[#This Row],[No. of Shares]]&lt;&gt;0,HistoricalStockProgress[[#This Row],[Price of Shares]]*HistoricalStockProgress[[#This Row],[No. of Shares]],0)</f>
        <v>7021.04</v>
      </c>
      <c r="J1615" s="16">
        <f>IF(HistoricalStockProgress[[#This Row],[No. of Shares]]&lt;&gt;0,HistoricalStockProgress[[#This Row],[Price of Shares]]-HistoricalStockProgress[[#This Row],[Cost of Shares]]/HistoricalStockProgress[[#This Row],[No. of Shares]],0)</f>
        <v>2.3940392453766037</v>
      </c>
      <c r="K1615" s="17">
        <f>IF(HistoricalStockProgress[[#This Row],[Total Price of Shares]]&lt;&gt;0,HistoricalStockProgress[[#This Row],[Total Price of Shares]]-HistoricalStockProgress[[#This Row],[Cost of Shares]],0)</f>
        <v>102.94368755119376</v>
      </c>
      <c r="L1615" s="34" t="b" cm="1">
        <f t="array" ref="L1615">IFERROR(IF(HistoricalStockProgress[[#This Row],[Price of Shares]]="",_xlfn.STOCKHISTORY(HistoricalStockProgress[[#This Row],[Full Company Name]],HistoricalStockProgress[[#This Row],[Date]],,2,0,1)),0)</f>
        <v>0</v>
      </c>
      <c r="M1615" s="34">
        <f>YEAR(HistoricalStockProgress[[#This Row],[Date]])</f>
        <v>2023</v>
      </c>
      <c r="N1615" s="34">
        <f>MONTH(HistoricalStockProgress[[#This Row],[Date]])</f>
        <v>10</v>
      </c>
    </row>
    <row r="1616" spans="2:14">
      <c r="B1616" s="15">
        <v>45230</v>
      </c>
      <c r="C1616" s="34" t="s">
        <v>21</v>
      </c>
      <c r="D1616" s="34" t="e" vm="6">
        <f>_xlfn.XLOOKUP(HistoricalStockProgress[[#This Row],[Company Ticker]],CompanyDetailsList[Company Ticker],CompanyDetailsList[Official Name],,0)</f>
        <v>#VALUE!</v>
      </c>
      <c r="E16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6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616" s="17">
        <f>IFERROR(HistoricalStockProgress[[#This Row],[Cost of Shares]]/HistoricalStockProgress[[#This Row],[No. of Shares]],0)</f>
        <v>139.68700010204148</v>
      </c>
      <c r="H1616" s="16" vm="2105">
        <v>150.03</v>
      </c>
      <c r="I1616" s="16">
        <f>IF(HistoricalStockProgress[[#This Row],[No. of Shares]]&lt;&gt;0,HistoricalStockProgress[[#This Row],[Price of Shares]]*HistoricalStockProgress[[#This Row],[No. of Shares]],0)</f>
        <v>6301.26</v>
      </c>
      <c r="J1616" s="16">
        <f>IF(HistoricalStockProgress[[#This Row],[No. of Shares]]&lt;&gt;0,HistoricalStockProgress[[#This Row],[Price of Shares]]-HistoricalStockProgress[[#This Row],[Cost of Shares]]/HistoricalStockProgress[[#This Row],[No. of Shares]],0)</f>
        <v>10.342999897958521</v>
      </c>
      <c r="K1616" s="17">
        <f>IF(HistoricalStockProgress[[#This Row],[Total Price of Shares]]&lt;&gt;0,HistoricalStockProgress[[#This Row],[Total Price of Shares]]-HistoricalStockProgress[[#This Row],[Cost of Shares]],0)</f>
        <v>434.4059957142581</v>
      </c>
      <c r="L1616" s="34" t="b" cm="1">
        <f t="array" ref="L1616">IFERROR(IF(HistoricalStockProgress[[#This Row],[Price of Shares]]="",_xlfn.STOCKHISTORY(HistoricalStockProgress[[#This Row],[Full Company Name]],HistoricalStockProgress[[#This Row],[Date]],,2,0,1)),0)</f>
        <v>0</v>
      </c>
      <c r="M1616" s="34">
        <f>YEAR(HistoricalStockProgress[[#This Row],[Date]])</f>
        <v>2023</v>
      </c>
      <c r="N1616" s="34">
        <f>MONTH(HistoricalStockProgress[[#This Row],[Date]])</f>
        <v>10</v>
      </c>
    </row>
    <row r="1617" spans="2:14">
      <c r="B1617" s="15">
        <v>45230</v>
      </c>
      <c r="C1617" s="34" t="s">
        <v>84</v>
      </c>
      <c r="D1617" s="34" t="e" vm="7">
        <f>_xlfn.XLOOKUP(HistoricalStockProgress[[#This Row],[Company Ticker]],CompanyDetailsList[Company Ticker],CompanyDetailsList[Official Name],,0)</f>
        <v>#VALUE!</v>
      </c>
      <c r="E16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6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617" s="17">
        <f>IFERROR(HistoricalStockProgress[[#This Row],[Cost of Shares]]/HistoricalStockProgress[[#This Row],[No. of Shares]],0)</f>
        <v>104.18087504950869</v>
      </c>
      <c r="H1617" s="16" vm="2106">
        <v>148.34</v>
      </c>
      <c r="I1617" s="16">
        <f>IF(HistoricalStockProgress[[#This Row],[No. of Shares]]&lt;&gt;0,HistoricalStockProgress[[#This Row],[Price of Shares]]*HistoricalStockProgress[[#This Row],[No. of Shares]],0)</f>
        <v>7565.34</v>
      </c>
      <c r="J1617" s="16">
        <f>IF(HistoricalStockProgress[[#This Row],[No. of Shares]]&lt;&gt;0,HistoricalStockProgress[[#This Row],[Price of Shares]]-HistoricalStockProgress[[#This Row],[Cost of Shares]]/HistoricalStockProgress[[#This Row],[No. of Shares]],0)</f>
        <v>44.159124950491318</v>
      </c>
      <c r="K1617" s="17">
        <f>IF(HistoricalStockProgress[[#This Row],[Total Price of Shares]]&lt;&gt;0,HistoricalStockProgress[[#This Row],[Total Price of Shares]]-HistoricalStockProgress[[#This Row],[Cost of Shares]],0)</f>
        <v>2252.1153724750575</v>
      </c>
      <c r="L1617" s="34" t="b" cm="1">
        <f t="array" ref="L1617">IFERROR(IF(HistoricalStockProgress[[#This Row],[Price of Shares]]="",_xlfn.STOCKHISTORY(HistoricalStockProgress[[#This Row],[Full Company Name]],HistoricalStockProgress[[#This Row],[Date]],,2,0,1)),0)</f>
        <v>0</v>
      </c>
      <c r="M1617" s="34">
        <f>YEAR(HistoricalStockProgress[[#This Row],[Date]])</f>
        <v>2023</v>
      </c>
      <c r="N1617" s="34">
        <f>MONTH(HistoricalStockProgress[[#This Row],[Date]])</f>
        <v>10</v>
      </c>
    </row>
    <row r="1618" spans="2:14">
      <c r="B1618" s="15">
        <v>45230</v>
      </c>
      <c r="C1618" s="34" t="s">
        <v>86</v>
      </c>
      <c r="D1618" s="34" t="e" vm="8">
        <f>_xlfn.XLOOKUP(HistoricalStockProgress[[#This Row],[Company Ticker]],CompanyDetailsList[Company Ticker],CompanyDetailsList[Official Name],,0)</f>
        <v>#VALUE!</v>
      </c>
      <c r="E16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120</v>
      </c>
      <c r="F16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11434.543004354886</v>
      </c>
      <c r="G1618" s="17">
        <f>IFERROR(HistoricalStockProgress[[#This Row],[Cost of Shares]]/HistoricalStockProgress[[#This Row],[No. of Shares]],0)</f>
        <v>95.287858369624047</v>
      </c>
      <c r="H1618" s="16" vm="2107">
        <v>141.18</v>
      </c>
      <c r="I1618" s="16">
        <f>IF(HistoricalStockProgress[[#This Row],[No. of Shares]]&lt;&gt;0,HistoricalStockProgress[[#This Row],[Price of Shares]]*HistoricalStockProgress[[#This Row],[No. of Shares]],0)</f>
        <v>16941.600000000002</v>
      </c>
      <c r="J1618" s="16">
        <f>IF(HistoricalStockProgress[[#This Row],[No. of Shares]]&lt;&gt;0,HistoricalStockProgress[[#This Row],[Price of Shares]]-HistoricalStockProgress[[#This Row],[Cost of Shares]]/HistoricalStockProgress[[#This Row],[No. of Shares]],0)</f>
        <v>45.89214163037596</v>
      </c>
      <c r="K1618" s="17">
        <f>IF(HistoricalStockProgress[[#This Row],[Total Price of Shares]]&lt;&gt;0,HistoricalStockProgress[[#This Row],[Total Price of Shares]]-HistoricalStockProgress[[#This Row],[Cost of Shares]],0)</f>
        <v>5507.0569956451163</v>
      </c>
      <c r="L1618" s="34" t="b" cm="1">
        <f t="array" ref="L1618">IFERROR(IF(HistoricalStockProgress[[#This Row],[Price of Shares]]="",_xlfn.STOCKHISTORY(HistoricalStockProgress[[#This Row],[Full Company Name]],HistoricalStockProgress[[#This Row],[Date]],,2,0,1)),0)</f>
        <v>0</v>
      </c>
      <c r="M1618" s="34">
        <f>YEAR(HistoricalStockProgress[[#This Row],[Date]])</f>
        <v>2023</v>
      </c>
      <c r="N1618" s="34">
        <f>MONTH(HistoricalStockProgress[[#This Row],[Date]])</f>
        <v>10</v>
      </c>
    </row>
    <row r="1619" spans="2:14">
      <c r="B1619" s="15">
        <v>45230</v>
      </c>
      <c r="C1619" s="34" t="s">
        <v>88</v>
      </c>
      <c r="D1619" s="34" t="e" vm="9">
        <f>_xlfn.XLOOKUP(HistoricalStockProgress[[#This Row],[Company Ticker]],CompanyDetailsList[Company Ticker],CompanyDetailsList[Official Name],,0)</f>
        <v>#VALUE!</v>
      </c>
      <c r="E16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68</v>
      </c>
      <c r="F16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13660.356292131106</v>
      </c>
      <c r="G1619" s="17">
        <f>IFERROR(HistoricalStockProgress[[#This Row],[Cost of Shares]]/HistoricalStockProgress[[#This Row],[No. of Shares]],0)</f>
        <v>200.88759253133981</v>
      </c>
      <c r="H1619" s="16" vm="2108">
        <v>262.17</v>
      </c>
      <c r="I1619" s="16">
        <f>IF(HistoricalStockProgress[[#This Row],[No. of Shares]]&lt;&gt;0,HistoricalStockProgress[[#This Row],[Price of Shares]]*HistoricalStockProgress[[#This Row],[No. of Shares]],0)</f>
        <v>17827.560000000001</v>
      </c>
      <c r="J1619" s="16">
        <f>IF(HistoricalStockProgress[[#This Row],[No. of Shares]]&lt;&gt;0,HistoricalStockProgress[[#This Row],[Price of Shares]]-HistoricalStockProgress[[#This Row],[Cost of Shares]]/HistoricalStockProgress[[#This Row],[No. of Shares]],0)</f>
        <v>61.28240746866021</v>
      </c>
      <c r="K1619" s="17">
        <f>IF(HistoricalStockProgress[[#This Row],[Total Price of Shares]]&lt;&gt;0,HistoricalStockProgress[[#This Row],[Total Price of Shares]]-HistoricalStockProgress[[#This Row],[Cost of Shares]],0)</f>
        <v>4167.2037078688954</v>
      </c>
      <c r="L1619" s="34" t="b" cm="1">
        <f t="array" ref="L1619">IFERROR(IF(HistoricalStockProgress[[#This Row],[Price of Shares]]="",_xlfn.STOCKHISTORY(HistoricalStockProgress[[#This Row],[Full Company Name]],HistoricalStockProgress[[#This Row],[Date]],,2,0,1)),0)</f>
        <v>0</v>
      </c>
      <c r="M1619" s="34">
        <f>YEAR(HistoricalStockProgress[[#This Row],[Date]])</f>
        <v>2023</v>
      </c>
      <c r="N1619" s="34">
        <f>MONTH(HistoricalStockProgress[[#This Row],[Date]])</f>
        <v>10</v>
      </c>
    </row>
    <row r="1620" spans="2:14">
      <c r="B1620" s="15">
        <v>45230</v>
      </c>
      <c r="C1620" s="34" t="s">
        <v>22</v>
      </c>
      <c r="D1620" s="34" t="e" vm="10">
        <f>_xlfn.XLOOKUP(HistoricalStockProgress[[#This Row],[Company Ticker]],CompanyDetailsList[Company Ticker],CompanyDetailsList[Official Name],,0)</f>
        <v>#VALUE!</v>
      </c>
      <c r="E16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6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620" s="17">
        <f>IFERROR(HistoricalStockProgress[[#This Row],[Cost of Shares]]/HistoricalStockProgress[[#This Row],[No. of Shares]],0)</f>
        <v>130.19784136724968</v>
      </c>
      <c r="H1620" s="16" vm="2109">
        <v>226.05</v>
      </c>
      <c r="I1620" s="16">
        <f>IF(HistoricalStockProgress[[#This Row],[No. of Shares]]&lt;&gt;0,HistoricalStockProgress[[#This Row],[Price of Shares]]*HistoricalStockProgress[[#This Row],[No. of Shares]],0)</f>
        <v>26899.95</v>
      </c>
      <c r="J1620" s="16">
        <f>IF(HistoricalStockProgress[[#This Row],[No. of Shares]]&lt;&gt;0,HistoricalStockProgress[[#This Row],[Price of Shares]]-HistoricalStockProgress[[#This Row],[Cost of Shares]]/HistoricalStockProgress[[#This Row],[No. of Shares]],0)</f>
        <v>95.852158632750331</v>
      </c>
      <c r="K1620" s="17">
        <f>IF(HistoricalStockProgress[[#This Row],[Total Price of Shares]]&lt;&gt;0,HistoricalStockProgress[[#This Row],[Total Price of Shares]]-HistoricalStockProgress[[#This Row],[Cost of Shares]],0)</f>
        <v>11406.406877297288</v>
      </c>
      <c r="L1620" s="34" t="b" cm="1">
        <f t="array" ref="L1620">IFERROR(IF(HistoricalStockProgress[[#This Row],[Price of Shares]]="",_xlfn.STOCKHISTORY(HistoricalStockProgress[[#This Row],[Full Company Name]],HistoricalStockProgress[[#This Row],[Date]],,2,0,1)),0)</f>
        <v>0</v>
      </c>
      <c r="M1620" s="34">
        <f>YEAR(HistoricalStockProgress[[#This Row],[Date]])</f>
        <v>2023</v>
      </c>
      <c r="N1620" s="34">
        <f>MONTH(HistoricalStockProgress[[#This Row],[Date]])</f>
        <v>10</v>
      </c>
    </row>
    <row r="1621" spans="2:14">
      <c r="B1621" s="15">
        <v>45230</v>
      </c>
      <c r="C1621" s="34" t="s">
        <v>91</v>
      </c>
      <c r="D1621" s="34" t="e" vm="11">
        <f>_xlfn.XLOOKUP(HistoricalStockProgress[[#This Row],[Company Ticker]],CompanyDetailsList[Company Ticker],CompanyDetailsList[Official Name],,0)</f>
        <v>#VALUE!</v>
      </c>
      <c r="E16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6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621" s="17">
        <f>IFERROR(HistoricalStockProgress[[#This Row],[Cost of Shares]]/HistoricalStockProgress[[#This Row],[No. of Shares]],0)</f>
        <v>133.15744058830452</v>
      </c>
      <c r="H1621" s="16" vm="2110">
        <v>338.11</v>
      </c>
      <c r="I1621" s="16">
        <f>IF(HistoricalStockProgress[[#This Row],[No. of Shares]]&lt;&gt;0,HistoricalStockProgress[[#This Row],[Price of Shares]]*HistoricalStockProgress[[#This Row],[No. of Shares]],0)</f>
        <v>61874.130000000005</v>
      </c>
      <c r="J1621" s="16">
        <f>IF(HistoricalStockProgress[[#This Row],[No. of Shares]]&lt;&gt;0,HistoricalStockProgress[[#This Row],[Price of Shares]]-HistoricalStockProgress[[#This Row],[Cost of Shares]]/HistoricalStockProgress[[#This Row],[No. of Shares]],0)</f>
        <v>204.95255941169549</v>
      </c>
      <c r="K1621" s="17">
        <f>IF(HistoricalStockProgress[[#This Row],[Total Price of Shares]]&lt;&gt;0,HistoricalStockProgress[[#This Row],[Total Price of Shares]]-HistoricalStockProgress[[#This Row],[Cost of Shares]],0)</f>
        <v>37506.318372340276</v>
      </c>
      <c r="L1621" s="34" t="b" cm="1">
        <f t="array" ref="L1621">IFERROR(IF(HistoricalStockProgress[[#This Row],[Price of Shares]]="",_xlfn.STOCKHISTORY(HistoricalStockProgress[[#This Row],[Full Company Name]],HistoricalStockProgress[[#This Row],[Date]],,2,0,1)),0)</f>
        <v>0</v>
      </c>
      <c r="M1621" s="34">
        <f>YEAR(HistoricalStockProgress[[#This Row],[Date]])</f>
        <v>2023</v>
      </c>
      <c r="N1621" s="34">
        <f>MONTH(HistoricalStockProgress[[#This Row],[Date]])</f>
        <v>10</v>
      </c>
    </row>
    <row r="1622" spans="2:14">
      <c r="B1622" s="15">
        <v>45230</v>
      </c>
      <c r="C1622" s="34" t="s">
        <v>16</v>
      </c>
      <c r="D1622" s="34" t="e" vm="12">
        <f>_xlfn.XLOOKUP(HistoricalStockProgress[[#This Row],[Company Ticker]],CompanyDetailsList[Company Ticker],CompanyDetailsList[Official Name],,0)</f>
        <v>#VALUE!</v>
      </c>
      <c r="E16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6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622" s="17">
        <f>IFERROR(HistoricalStockProgress[[#This Row],[Cost of Shares]]/HistoricalStockProgress[[#This Row],[No. of Shares]],0)</f>
        <v>75.117698177311837</v>
      </c>
      <c r="H1622" s="16" vm="2111">
        <v>105.85</v>
      </c>
      <c r="I1622" s="16">
        <f>IF(HistoricalStockProgress[[#This Row],[No. of Shares]]&lt;&gt;0,HistoricalStockProgress[[#This Row],[Price of Shares]]*HistoricalStockProgress[[#This Row],[No. of Shares]],0)</f>
        <v>19582.25</v>
      </c>
      <c r="J1622" s="16">
        <f>IF(HistoricalStockProgress[[#This Row],[No. of Shares]]&lt;&gt;0,HistoricalStockProgress[[#This Row],[Price of Shares]]-HistoricalStockProgress[[#This Row],[Cost of Shares]]/HistoricalStockProgress[[#This Row],[No. of Shares]],0)</f>
        <v>30.732301822688157</v>
      </c>
      <c r="K1622" s="17">
        <f>IF(HistoricalStockProgress[[#This Row],[Total Price of Shares]]&lt;&gt;0,HistoricalStockProgress[[#This Row],[Total Price of Shares]]-HistoricalStockProgress[[#This Row],[Cost of Shares]],0)</f>
        <v>5685.4758371973112</v>
      </c>
      <c r="L1622" s="34" t="b" cm="1">
        <f t="array" ref="L1622">IFERROR(IF(HistoricalStockProgress[[#This Row],[Price of Shares]]="",_xlfn.STOCKHISTORY(HistoricalStockProgress[[#This Row],[Full Company Name]],HistoricalStockProgress[[#This Row],[Date]],,2,0,1)),0)</f>
        <v>0</v>
      </c>
      <c r="M1622" s="34">
        <f>YEAR(HistoricalStockProgress[[#This Row],[Date]])</f>
        <v>2023</v>
      </c>
      <c r="N1622" s="34">
        <f>MONTH(HistoricalStockProgress[[#This Row],[Date]])</f>
        <v>10</v>
      </c>
    </row>
    <row r="1623" spans="2:14">
      <c r="B1623" s="15">
        <v>45230</v>
      </c>
      <c r="C1623" s="34" t="s">
        <v>95</v>
      </c>
      <c r="D1623" s="34" t="e" vm="13">
        <f>_xlfn.XLOOKUP(HistoricalStockProgress[[#This Row],[Company Ticker]],CompanyDetailsList[Company Ticker],CompanyDetailsList[Official Name],,0)</f>
        <v>#VALUE!</v>
      </c>
      <c r="E16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143</v>
      </c>
      <c r="F16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35362.550411645469</v>
      </c>
      <c r="G1623" s="17">
        <f>IFERROR(HistoricalStockProgress[[#This Row],[Cost of Shares]]/HistoricalStockProgress[[#This Row],[No. of Shares]],0)</f>
        <v>247.29056231919907</v>
      </c>
      <c r="H1623" s="16" vm="2112">
        <v>284.69</v>
      </c>
      <c r="I1623" s="16">
        <f>IF(HistoricalStockProgress[[#This Row],[No. of Shares]]&lt;&gt;0,HistoricalStockProgress[[#This Row],[Price of Shares]]*HistoricalStockProgress[[#This Row],[No. of Shares]],0)</f>
        <v>40710.67</v>
      </c>
      <c r="J1623" s="16">
        <f>IF(HistoricalStockProgress[[#This Row],[No. of Shares]]&lt;&gt;0,HistoricalStockProgress[[#This Row],[Price of Shares]]-HistoricalStockProgress[[#This Row],[Cost of Shares]]/HistoricalStockProgress[[#This Row],[No. of Shares]],0)</f>
        <v>37.399437680800929</v>
      </c>
      <c r="K1623" s="17">
        <f>IF(HistoricalStockProgress[[#This Row],[Total Price of Shares]]&lt;&gt;0,HistoricalStockProgress[[#This Row],[Total Price of Shares]]-HistoricalStockProgress[[#This Row],[Cost of Shares]],0)</f>
        <v>5348.1195883545297</v>
      </c>
      <c r="L1623" s="34" t="b" cm="1">
        <f t="array" ref="L1623">IFERROR(IF(HistoricalStockProgress[[#This Row],[Price of Shares]]="",_xlfn.STOCKHISTORY(HistoricalStockProgress[[#This Row],[Full Company Name]],HistoricalStockProgress[[#This Row],[Date]],,2,0,1)),0)</f>
        <v>0</v>
      </c>
      <c r="M1623" s="34">
        <f>YEAR(HistoricalStockProgress[[#This Row],[Date]])</f>
        <v>2023</v>
      </c>
      <c r="N1623" s="34">
        <f>MONTH(HistoricalStockProgress[[#This Row],[Date]])</f>
        <v>10</v>
      </c>
    </row>
    <row r="1624" spans="2:14">
      <c r="B1624" s="15">
        <v>45230</v>
      </c>
      <c r="C1624" s="34" t="s">
        <v>17</v>
      </c>
      <c r="D1624" s="34" t="e" vm="14">
        <f>_xlfn.XLOOKUP(HistoricalStockProgress[[#This Row],[Company Ticker]],CompanyDetailsList[Company Ticker],CompanyDetailsList[Official Name],,0)</f>
        <v>#VALUE!</v>
      </c>
      <c r="E16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6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26400.485099161626</v>
      </c>
      <c r="G1624" s="17">
        <f>IFERROR(HistoricalStockProgress[[#This Row],[Cost of Shares]]/HistoricalStockProgress[[#This Row],[No. of Shares]],0)</f>
        <v>136.08497473794654</v>
      </c>
      <c r="H1624" s="16" vm="2113">
        <v>144.63999999999999</v>
      </c>
      <c r="I1624" s="16">
        <f>IF(HistoricalStockProgress[[#This Row],[No. of Shares]]&lt;&gt;0,HistoricalStockProgress[[#This Row],[Price of Shares]]*HistoricalStockProgress[[#This Row],[No. of Shares]],0)</f>
        <v>28060.159999999996</v>
      </c>
      <c r="J1624" s="16">
        <f>IF(HistoricalStockProgress[[#This Row],[No. of Shares]]&lt;&gt;0,HistoricalStockProgress[[#This Row],[Price of Shares]]-HistoricalStockProgress[[#This Row],[Cost of Shares]]/HistoricalStockProgress[[#This Row],[No. of Shares]],0)</f>
        <v>8.5550252620534479</v>
      </c>
      <c r="K1624" s="17">
        <f>IF(HistoricalStockProgress[[#This Row],[Total Price of Shares]]&lt;&gt;0,HistoricalStockProgress[[#This Row],[Total Price of Shares]]-HistoricalStockProgress[[#This Row],[Cost of Shares]],0)</f>
        <v>1659.6749008383704</v>
      </c>
      <c r="L1624" s="34" t="b" cm="1">
        <f t="array" ref="L1624">IFERROR(IF(HistoricalStockProgress[[#This Row],[Price of Shares]]="",_xlfn.STOCKHISTORY(HistoricalStockProgress[[#This Row],[Full Company Name]],HistoricalStockProgress[[#This Row],[Date]],,2,0,1)),0)</f>
        <v>0</v>
      </c>
      <c r="M1624" s="34">
        <f>YEAR(HistoricalStockProgress[[#This Row],[Date]])</f>
        <v>2023</v>
      </c>
      <c r="N1624" s="34">
        <f>MONTH(HistoricalStockProgress[[#This Row],[Date]])</f>
        <v>10</v>
      </c>
    </row>
    <row r="1625" spans="2:14">
      <c r="B1625" s="15">
        <v>45230</v>
      </c>
      <c r="C1625" s="34" t="s">
        <v>98</v>
      </c>
      <c r="D1625" s="34" t="e" vm="15">
        <f>_xlfn.XLOOKUP(HistoricalStockProgress[[#This Row],[Company Ticker]],CompanyDetailsList[Company Ticker],CompanyDetailsList[Official Name],,0)</f>
        <v>#VALUE!</v>
      </c>
      <c r="E16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6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6407.714421697975</v>
      </c>
      <c r="G1625" s="17">
        <f>IFERROR(HistoricalStockProgress[[#This Row],[Cost of Shares]]/HistoricalStockProgress[[#This Row],[No. of Shares]],0)</f>
        <v>53.846339678134242</v>
      </c>
      <c r="H1625" s="16" vm="2114">
        <v>58.3</v>
      </c>
      <c r="I1625" s="16">
        <f>IF(HistoricalStockProgress[[#This Row],[No. of Shares]]&lt;&gt;0,HistoricalStockProgress[[#This Row],[Price of Shares]]*HistoricalStockProgress[[#This Row],[No. of Shares]],0)</f>
        <v>6937.7</v>
      </c>
      <c r="J1625" s="16">
        <f>IF(HistoricalStockProgress[[#This Row],[No. of Shares]]&lt;&gt;0,HistoricalStockProgress[[#This Row],[Price of Shares]]-HistoricalStockProgress[[#This Row],[Cost of Shares]]/HistoricalStockProgress[[#This Row],[No. of Shares]],0)</f>
        <v>4.4536603218657547</v>
      </c>
      <c r="K1625" s="17">
        <f>IF(HistoricalStockProgress[[#This Row],[Total Price of Shares]]&lt;&gt;0,HistoricalStockProgress[[#This Row],[Total Price of Shares]]-HistoricalStockProgress[[#This Row],[Cost of Shares]],0)</f>
        <v>529.98557830202481</v>
      </c>
      <c r="L1625" s="34" t="b" cm="1">
        <f t="array" ref="L1625">IFERROR(IF(HistoricalStockProgress[[#This Row],[Price of Shares]]="",_xlfn.STOCKHISTORY(HistoricalStockProgress[[#This Row],[Full Company Name]],HistoricalStockProgress[[#This Row],[Date]],,2,0,1)),0)</f>
        <v>0</v>
      </c>
      <c r="M1625" s="34">
        <f>YEAR(HistoricalStockProgress[[#This Row],[Date]])</f>
        <v>2023</v>
      </c>
      <c r="N1625" s="34">
        <f>MONTH(HistoricalStockProgress[[#This Row],[Date]])</f>
        <v>10</v>
      </c>
    </row>
    <row r="1626" spans="2:14">
      <c r="B1626" s="15">
        <v>45230</v>
      </c>
      <c r="C1626" s="34" t="s">
        <v>100</v>
      </c>
      <c r="D1626" s="34" t="e" vm="16">
        <f>_xlfn.XLOOKUP(HistoricalStockProgress[[#This Row],[Company Ticker]],CompanyDetailsList[Company Ticker],CompanyDetailsList[Official Name],,0)</f>
        <v>#VALUE!</v>
      </c>
      <c r="E16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217</v>
      </c>
      <c r="F16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19839.340255178511</v>
      </c>
      <c r="G1626" s="17">
        <f>IFERROR(HistoricalStockProgress[[#This Row],[Cost of Shares]]/HistoricalStockProgress[[#This Row],[No. of Shares]],0)</f>
        <v>91.425531129854889</v>
      </c>
      <c r="H1626" s="16" vm="2115">
        <v>88.89</v>
      </c>
      <c r="I1626" s="16">
        <f>IF(HistoricalStockProgress[[#This Row],[No. of Shares]]&lt;&gt;0,HistoricalStockProgress[[#This Row],[Price of Shares]]*HistoricalStockProgress[[#This Row],[No. of Shares]],0)</f>
        <v>19289.13</v>
      </c>
      <c r="J1626" s="16">
        <f>IF(HistoricalStockProgress[[#This Row],[No. of Shares]]&lt;&gt;0,HistoricalStockProgress[[#This Row],[Price of Shares]]-HistoricalStockProgress[[#This Row],[Cost of Shares]]/HistoricalStockProgress[[#This Row],[No. of Shares]],0)</f>
        <v>-2.5355311298548884</v>
      </c>
      <c r="K1626" s="17">
        <f>IF(HistoricalStockProgress[[#This Row],[Total Price of Shares]]&lt;&gt;0,HistoricalStockProgress[[#This Row],[Total Price of Shares]]-HistoricalStockProgress[[#This Row],[Cost of Shares]],0)</f>
        <v>-550.21025517851012</v>
      </c>
      <c r="L1626" s="34" t="b" cm="1">
        <f t="array" ref="L1626">IFERROR(IF(HistoricalStockProgress[[#This Row],[Price of Shares]]="",_xlfn.STOCKHISTORY(HistoricalStockProgress[[#This Row],[Full Company Name]],HistoricalStockProgress[[#This Row],[Date]],,2,0,1)),0)</f>
        <v>0</v>
      </c>
      <c r="M1626" s="34">
        <f>YEAR(HistoricalStockProgress[[#This Row],[Date]])</f>
        <v>2023</v>
      </c>
      <c r="N1626" s="34">
        <f>MONTH(HistoricalStockProgress[[#This Row],[Date]])</f>
        <v>10</v>
      </c>
    </row>
    <row r="1627" spans="2:14">
      <c r="B1627" s="15">
        <v>45230</v>
      </c>
      <c r="C1627" s="34" t="s">
        <v>15</v>
      </c>
      <c r="D1627" s="34" t="e" vm="17">
        <f>_xlfn.XLOOKUP(HistoricalStockProgress[[#This Row],[Company Ticker]],CompanyDetailsList[Company Ticker],CompanyDetailsList[Official Name],,0)</f>
        <v>#VALUE!</v>
      </c>
      <c r="E16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133</v>
      </c>
      <c r="F16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3377.7842958499027</v>
      </c>
      <c r="G1627" s="17">
        <f>IFERROR(HistoricalStockProgress[[#This Row],[Cost of Shares]]/HistoricalStockProgress[[#This Row],[No. of Shares]],0)</f>
        <v>25.396874404886486</v>
      </c>
      <c r="H1627" s="16" vm="2116">
        <v>15.4</v>
      </c>
      <c r="I1627" s="16">
        <f>IF(HistoricalStockProgress[[#This Row],[No. of Shares]]&lt;&gt;0,HistoricalStockProgress[[#This Row],[Price of Shares]]*HistoricalStockProgress[[#This Row],[No. of Shares]],0)</f>
        <v>2048.2000000000003</v>
      </c>
      <c r="J1627" s="16">
        <f>IF(HistoricalStockProgress[[#This Row],[No. of Shares]]&lt;&gt;0,HistoricalStockProgress[[#This Row],[Price of Shares]]-HistoricalStockProgress[[#This Row],[Cost of Shares]]/HistoricalStockProgress[[#This Row],[No. of Shares]],0)</f>
        <v>-9.9968744048864853</v>
      </c>
      <c r="K1627" s="17">
        <f>IF(HistoricalStockProgress[[#This Row],[Total Price of Shares]]&lt;&gt;0,HistoricalStockProgress[[#This Row],[Total Price of Shares]]-HistoricalStockProgress[[#This Row],[Cost of Shares]],0)</f>
        <v>-1329.5842958499024</v>
      </c>
      <c r="L1627" s="34" t="b" cm="1">
        <f t="array" ref="L1627">IFERROR(IF(HistoricalStockProgress[[#This Row],[Price of Shares]]="",_xlfn.STOCKHISTORY(HistoricalStockProgress[[#This Row],[Full Company Name]],HistoricalStockProgress[[#This Row],[Date]],,2,0,1)),0)</f>
        <v>0</v>
      </c>
      <c r="M1627" s="34">
        <f>YEAR(HistoricalStockProgress[[#This Row],[Date]])</f>
        <v>2023</v>
      </c>
      <c r="N1627" s="34">
        <f>MONTH(HistoricalStockProgress[[#This Row],[Date]])</f>
        <v>10</v>
      </c>
    </row>
    <row r="1628" spans="2:14">
      <c r="B1628" s="15">
        <v>45230</v>
      </c>
      <c r="C1628" s="34" t="s">
        <v>13</v>
      </c>
      <c r="D1628" s="34" t="e" vm="18">
        <f>_xlfn.XLOOKUP(HistoricalStockProgress[[#This Row],[Company Ticker]],CompanyDetailsList[Company Ticker],CompanyDetailsList[Official Name],,0)</f>
        <v>#VALUE!</v>
      </c>
      <c r="E16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6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628" s="17">
        <f>IFERROR(HistoricalStockProgress[[#This Row],[Cost of Shares]]/HistoricalStockProgress[[#This Row],[No. of Shares]],0)</f>
        <v>35.846938938346874</v>
      </c>
      <c r="H1628" s="16" vm="2117">
        <v>30.56</v>
      </c>
      <c r="I1628" s="16">
        <f>IF(HistoricalStockProgress[[#This Row],[No. of Shares]]&lt;&gt;0,HistoricalStockProgress[[#This Row],[Price of Shares]]*HistoricalStockProgress[[#This Row],[No. of Shares]],0)</f>
        <v>1680.8</v>
      </c>
      <c r="J1628" s="16">
        <f>IF(HistoricalStockProgress[[#This Row],[No. of Shares]]&lt;&gt;0,HistoricalStockProgress[[#This Row],[Price of Shares]]-HistoricalStockProgress[[#This Row],[Cost of Shares]]/HistoricalStockProgress[[#This Row],[No. of Shares]],0)</f>
        <v>-5.286938938346875</v>
      </c>
      <c r="K1628" s="17">
        <f>IF(HistoricalStockProgress[[#This Row],[Total Price of Shares]]&lt;&gt;0,HistoricalStockProgress[[#This Row],[Total Price of Shares]]-HistoricalStockProgress[[#This Row],[Cost of Shares]],0)</f>
        <v>-290.78164160907818</v>
      </c>
      <c r="L1628" s="34" t="b" cm="1">
        <f t="array" ref="L1628">IFERROR(IF(HistoricalStockProgress[[#This Row],[Price of Shares]]="",_xlfn.STOCKHISTORY(HistoricalStockProgress[[#This Row],[Full Company Name]],HistoricalStockProgress[[#This Row],[Date]],,2,0,1)),0)</f>
        <v>0</v>
      </c>
      <c r="M1628" s="34">
        <f>YEAR(HistoricalStockProgress[[#This Row],[Date]])</f>
        <v>2023</v>
      </c>
      <c r="N1628" s="34">
        <f>MONTH(HistoricalStockProgress[[#This Row],[Date]])</f>
        <v>10</v>
      </c>
    </row>
    <row r="1629" spans="2:14">
      <c r="B1629" s="15">
        <v>45230</v>
      </c>
      <c r="C1629" s="34" t="s">
        <v>20</v>
      </c>
      <c r="D1629" s="34" t="e" vm="19">
        <f>_xlfn.XLOOKUP(HistoricalStockProgress[[#This Row],[Company Ticker]],CompanyDetailsList[Company Ticker],CompanyDetailsList[Official Name],,0)</f>
        <v>#VALUE!</v>
      </c>
      <c r="E16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6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629" s="17">
        <f>IFERROR(HistoricalStockProgress[[#This Row],[Cost of Shares]]/HistoricalStockProgress[[#This Row],[No. of Shares]],0)</f>
        <v>108.1760767450256</v>
      </c>
      <c r="H1629" s="16" vm="2118">
        <v>139.06</v>
      </c>
      <c r="I1629" s="16">
        <f>IF(HistoricalStockProgress[[#This Row],[No. of Shares]]&lt;&gt;0,HistoricalStockProgress[[#This Row],[Price of Shares]]*HistoricalStockProgress[[#This Row],[No. of Shares]],0)</f>
        <v>16130.960000000001</v>
      </c>
      <c r="J1629" s="16">
        <f>IF(HistoricalStockProgress[[#This Row],[No. of Shares]]&lt;&gt;0,HistoricalStockProgress[[#This Row],[Price of Shares]]-HistoricalStockProgress[[#This Row],[Cost of Shares]]/HistoricalStockProgress[[#This Row],[No. of Shares]],0)</f>
        <v>30.883923254974405</v>
      </c>
      <c r="K1629" s="17">
        <f>IF(HistoricalStockProgress[[#This Row],[Total Price of Shares]]&lt;&gt;0,HistoricalStockProgress[[#This Row],[Total Price of Shares]]-HistoricalStockProgress[[#This Row],[Cost of Shares]],0)</f>
        <v>3582.5350975770325</v>
      </c>
      <c r="L1629" s="34" t="b" cm="1">
        <f t="array" ref="L1629">IFERROR(IF(HistoricalStockProgress[[#This Row],[Price of Shares]]="",_xlfn.STOCKHISTORY(HistoricalStockProgress[[#This Row],[Full Company Name]],HistoricalStockProgress[[#This Row],[Date]],,2,0,1)),0)</f>
        <v>0</v>
      </c>
      <c r="M1629" s="34">
        <f>YEAR(HistoricalStockProgress[[#This Row],[Date]])</f>
        <v>2023</v>
      </c>
      <c r="N1629" s="34">
        <f>MONTH(HistoricalStockProgress[[#This Row],[Date]])</f>
        <v>10</v>
      </c>
    </row>
    <row r="1630" spans="2:14">
      <c r="B1630" s="15">
        <v>45230</v>
      </c>
      <c r="C1630" s="34" t="s">
        <v>106</v>
      </c>
      <c r="D1630" s="34" t="e" vm="20">
        <f>_xlfn.XLOOKUP(HistoricalStockProgress[[#This Row],[Company Ticker]],CompanyDetailsList[Company Ticker],CompanyDetailsList[Official Name],,0)</f>
        <v>#VALUE!</v>
      </c>
      <c r="E16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6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630" s="17">
        <f>IFERROR(HistoricalStockProgress[[#This Row],[Cost of Shares]]/HistoricalStockProgress[[#This Row],[No. of Shares]],0)</f>
        <v>108.54870748680406</v>
      </c>
      <c r="H1630" s="16" vm="473">
        <v>122.77</v>
      </c>
      <c r="I1630" s="16">
        <f>IF(HistoricalStockProgress[[#This Row],[No. of Shares]]&lt;&gt;0,HistoricalStockProgress[[#This Row],[Price of Shares]]*HistoricalStockProgress[[#This Row],[No. of Shares]],0)</f>
        <v>10803.76</v>
      </c>
      <c r="J1630" s="16">
        <f>IF(HistoricalStockProgress[[#This Row],[No. of Shares]]&lt;&gt;0,HistoricalStockProgress[[#This Row],[Price of Shares]]-HistoricalStockProgress[[#This Row],[Cost of Shares]]/HistoricalStockProgress[[#This Row],[No. of Shares]],0)</f>
        <v>14.221292513195934</v>
      </c>
      <c r="K1630" s="17">
        <f>IF(HistoricalStockProgress[[#This Row],[Total Price of Shares]]&lt;&gt;0,HistoricalStockProgress[[#This Row],[Total Price of Shares]]-HistoricalStockProgress[[#This Row],[Cost of Shares]],0)</f>
        <v>1251.4737411612423</v>
      </c>
      <c r="L1630" s="34" t="b" cm="1">
        <f t="array" ref="L1630">IFERROR(IF(HistoricalStockProgress[[#This Row],[Price of Shares]]="",_xlfn.STOCKHISTORY(HistoricalStockProgress[[#This Row],[Full Company Name]],HistoricalStockProgress[[#This Row],[Date]],,2,0,1)),0)</f>
        <v>0</v>
      </c>
      <c r="M1630" s="34">
        <f>YEAR(HistoricalStockProgress[[#This Row],[Date]])</f>
        <v>2023</v>
      </c>
      <c r="N1630" s="34">
        <f>MONTH(HistoricalStockProgress[[#This Row],[Date]])</f>
        <v>10</v>
      </c>
    </row>
    <row r="1631" spans="2:14">
      <c r="B1631" s="15">
        <v>45260</v>
      </c>
      <c r="C1631" s="34" t="s">
        <v>12</v>
      </c>
      <c r="D1631" s="34" t="e" vm="1">
        <f>_xlfn.XLOOKUP(HistoricalStockProgress[[#This Row],[Company Ticker]],CompanyDetailsList[Company Ticker],CompanyDetailsList[Official Name],,0)</f>
        <v>#VALUE!</v>
      </c>
      <c r="E16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6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631" s="17">
        <f>IFERROR(HistoricalStockProgress[[#This Row],[Cost of Shares]]/HistoricalStockProgress[[#This Row],[No. of Shares]],0)</f>
        <v>64.573985995316889</v>
      </c>
      <c r="H1631" s="16" vm="2119">
        <v>53.96</v>
      </c>
      <c r="I1631" s="16">
        <f>IF(HistoricalStockProgress[[#This Row],[No. of Shares]]&lt;&gt;0,HistoricalStockProgress[[#This Row],[Price of Shares]]*HistoricalStockProgress[[#This Row],[No. of Shares]],0)</f>
        <v>5234.12</v>
      </c>
      <c r="J1631" s="16">
        <f>IF(HistoricalStockProgress[[#This Row],[No. of Shares]]&lt;&gt;0,HistoricalStockProgress[[#This Row],[Price of Shares]]-HistoricalStockProgress[[#This Row],[Cost of Shares]]/HistoricalStockProgress[[#This Row],[No. of Shares]],0)</f>
        <v>-10.613985995316888</v>
      </c>
      <c r="K1631" s="17">
        <f>IF(HistoricalStockProgress[[#This Row],[Total Price of Shares]]&lt;&gt;0,HistoricalStockProgress[[#This Row],[Total Price of Shares]]-HistoricalStockProgress[[#This Row],[Cost of Shares]],0)</f>
        <v>-1029.5566415457379</v>
      </c>
      <c r="L1631" s="34" t="b" cm="1">
        <f t="array" ref="L1631">IFERROR(IF(HistoricalStockProgress[[#This Row],[Price of Shares]]="",_xlfn.STOCKHISTORY(HistoricalStockProgress[[#This Row],[Full Company Name]],HistoricalStockProgress[[#This Row],[Date]],,2,0,1)),0)</f>
        <v>0</v>
      </c>
      <c r="M1631" s="34">
        <f>YEAR(HistoricalStockProgress[[#This Row],[Date]])</f>
        <v>2023</v>
      </c>
      <c r="N1631" s="34">
        <f>MONTH(HistoricalStockProgress[[#This Row],[Date]])</f>
        <v>11</v>
      </c>
    </row>
    <row r="1632" spans="2:14">
      <c r="B1632" s="15">
        <v>45260</v>
      </c>
      <c r="C1632" s="34" t="s">
        <v>14</v>
      </c>
      <c r="D1632" s="34" t="e" vm="2">
        <f>_xlfn.XLOOKUP(HistoricalStockProgress[[#This Row],[Company Ticker]],CompanyDetailsList[Company Ticker],CompanyDetailsList[Official Name],,0)</f>
        <v>#VALUE!</v>
      </c>
      <c r="E16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16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1632" s="17">
        <f>IFERROR(HistoricalStockProgress[[#This Row],[Cost of Shares]]/HistoricalStockProgress[[#This Row],[No. of Shares]],0)</f>
        <v>26.819337355148658</v>
      </c>
      <c r="H1632" s="16" vm="2120">
        <v>24.97</v>
      </c>
      <c r="I1632" s="16">
        <f>IF(HistoricalStockProgress[[#This Row],[No. of Shares]]&lt;&gt;0,HistoricalStockProgress[[#This Row],[Price of Shares]]*HistoricalStockProgress[[#This Row],[No. of Shares]],0)</f>
        <v>1573.11</v>
      </c>
      <c r="J1632" s="16">
        <f>IF(HistoricalStockProgress[[#This Row],[No. of Shares]]&lt;&gt;0,HistoricalStockProgress[[#This Row],[Price of Shares]]-HistoricalStockProgress[[#This Row],[Cost of Shares]]/HistoricalStockProgress[[#This Row],[No. of Shares]],0)</f>
        <v>-1.8493373551486592</v>
      </c>
      <c r="K1632" s="17">
        <f>IF(HistoricalStockProgress[[#This Row],[Total Price of Shares]]&lt;&gt;0,HistoricalStockProgress[[#This Row],[Total Price of Shares]]-HistoricalStockProgress[[#This Row],[Cost of Shares]],0)</f>
        <v>-116.50825337436549</v>
      </c>
      <c r="L1632" s="34" t="b" cm="1">
        <f t="array" ref="L1632">IFERROR(IF(HistoricalStockProgress[[#This Row],[Price of Shares]]="",_xlfn.STOCKHISTORY(HistoricalStockProgress[[#This Row],[Full Company Name]],HistoricalStockProgress[[#This Row],[Date]],,2,0,1)),0)</f>
        <v>0</v>
      </c>
      <c r="M1632" s="34">
        <f>YEAR(HistoricalStockProgress[[#This Row],[Date]])</f>
        <v>2023</v>
      </c>
      <c r="N1632" s="34">
        <f>MONTH(HistoricalStockProgress[[#This Row],[Date]])</f>
        <v>11</v>
      </c>
    </row>
    <row r="1633" spans="2:14">
      <c r="B1633" s="15">
        <v>45260</v>
      </c>
      <c r="C1633" s="34" t="s">
        <v>19</v>
      </c>
      <c r="D1633" s="34" t="e" vm="3">
        <f>_xlfn.XLOOKUP(HistoricalStockProgress[[#This Row],[Company Ticker]],CompanyDetailsList[Company Ticker],CompanyDetailsList[Official Name],,0)</f>
        <v>#VALUE!</v>
      </c>
      <c r="E16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6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633" s="17">
        <f>IFERROR(HistoricalStockProgress[[#This Row],[Cost of Shares]]/HistoricalStockProgress[[#This Row],[No. of Shares]],0)</f>
        <v>158.45739987816083</v>
      </c>
      <c r="H1633" s="16" vm="1971">
        <v>143.35</v>
      </c>
      <c r="I1633" s="16">
        <f>IF(HistoricalStockProgress[[#This Row],[No. of Shares]]&lt;&gt;0,HistoricalStockProgress[[#This Row],[Price of Shares]]*HistoricalStockProgress[[#This Row],[No. of Shares]],0)</f>
        <v>8170.95</v>
      </c>
      <c r="J1633" s="16">
        <f>IF(HistoricalStockProgress[[#This Row],[No. of Shares]]&lt;&gt;0,HistoricalStockProgress[[#This Row],[Price of Shares]]-HistoricalStockProgress[[#This Row],[Cost of Shares]]/HistoricalStockProgress[[#This Row],[No. of Shares]],0)</f>
        <v>-15.107399878160834</v>
      </c>
      <c r="K1633" s="17">
        <f>IF(HistoricalStockProgress[[#This Row],[Total Price of Shares]]&lt;&gt;0,HistoricalStockProgress[[#This Row],[Total Price of Shares]]-HistoricalStockProgress[[#This Row],[Cost of Shares]],0)</f>
        <v>-861.12179305516747</v>
      </c>
      <c r="L1633" s="34" t="b" cm="1">
        <f t="array" ref="L1633">IFERROR(IF(HistoricalStockProgress[[#This Row],[Price of Shares]]="",_xlfn.STOCKHISTORY(HistoricalStockProgress[[#This Row],[Full Company Name]],HistoricalStockProgress[[#This Row],[Date]],,2,0,1)),0)</f>
        <v>0</v>
      </c>
      <c r="M1633" s="34">
        <f>YEAR(HistoricalStockProgress[[#This Row],[Date]])</f>
        <v>2023</v>
      </c>
      <c r="N1633" s="34">
        <f>MONTH(HistoricalStockProgress[[#This Row],[Date]])</f>
        <v>11</v>
      </c>
    </row>
    <row r="1634" spans="2:14">
      <c r="B1634" s="15">
        <v>45260</v>
      </c>
      <c r="C1634" s="34" t="s">
        <v>23</v>
      </c>
      <c r="D1634" s="34" t="e" vm="4">
        <f>_xlfn.XLOOKUP(HistoricalStockProgress[[#This Row],[Company Ticker]],CompanyDetailsList[Company Ticker],CompanyDetailsList[Official Name],,0)</f>
        <v>#VALUE!</v>
      </c>
      <c r="E16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16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1634" s="17">
        <f>IFERROR(HistoricalStockProgress[[#This Row],[Cost of Shares]]/HistoricalStockProgress[[#This Row],[No. of Shares]],0)</f>
        <v>50.781277236510277</v>
      </c>
      <c r="H1634" s="16" vm="2121">
        <v>58.44</v>
      </c>
      <c r="I1634" s="16">
        <f>IF(HistoricalStockProgress[[#This Row],[No. of Shares]]&lt;&gt;0,HistoricalStockProgress[[#This Row],[Price of Shares]]*HistoricalStockProgress[[#This Row],[No. of Shares]],0)</f>
        <v>6837.48</v>
      </c>
      <c r="J1634" s="16">
        <f>IF(HistoricalStockProgress[[#This Row],[No. of Shares]]&lt;&gt;0,HistoricalStockProgress[[#This Row],[Price of Shares]]-HistoricalStockProgress[[#This Row],[Cost of Shares]]/HistoricalStockProgress[[#This Row],[No. of Shares]],0)</f>
        <v>7.6587227634897204</v>
      </c>
      <c r="K1634" s="17">
        <f>IF(HistoricalStockProgress[[#This Row],[Total Price of Shares]]&lt;&gt;0,HistoricalStockProgress[[#This Row],[Total Price of Shares]]-HistoricalStockProgress[[#This Row],[Cost of Shares]],0)</f>
        <v>896.07056332829688</v>
      </c>
      <c r="L1634" s="34" t="b" cm="1">
        <f t="array" ref="L1634">IFERROR(IF(HistoricalStockProgress[[#This Row],[Price of Shares]]="",_xlfn.STOCKHISTORY(HistoricalStockProgress[[#This Row],[Full Company Name]],HistoricalStockProgress[[#This Row],[Date]],,2,0,1)),0)</f>
        <v>0</v>
      </c>
      <c r="M1634" s="34">
        <f>YEAR(HistoricalStockProgress[[#This Row],[Date]])</f>
        <v>2023</v>
      </c>
      <c r="N1634" s="34">
        <f>MONTH(HistoricalStockProgress[[#This Row],[Date]])</f>
        <v>11</v>
      </c>
    </row>
    <row r="1635" spans="2:14">
      <c r="B1635" s="15">
        <v>45260</v>
      </c>
      <c r="C1635" s="34" t="s">
        <v>18</v>
      </c>
      <c r="D1635" s="34" t="e" vm="5">
        <f>_xlfn.XLOOKUP(HistoricalStockProgress[[#This Row],[Company Ticker]],CompanyDetailsList[Company Ticker],CompanyDetailsList[Official Name],,0)</f>
        <v>#VALUE!</v>
      </c>
      <c r="E16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6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635" s="17">
        <f>IFERROR(HistoricalStockProgress[[#This Row],[Cost of Shares]]/HistoricalStockProgress[[#This Row],[No. of Shares]],0)</f>
        <v>160.8859607546234</v>
      </c>
      <c r="H1635" s="16" vm="2122">
        <v>168.29</v>
      </c>
      <c r="I1635" s="16">
        <f>IF(HistoricalStockProgress[[#This Row],[No. of Shares]]&lt;&gt;0,HistoricalStockProgress[[#This Row],[Price of Shares]]*HistoricalStockProgress[[#This Row],[No. of Shares]],0)</f>
        <v>7236.4699999999993</v>
      </c>
      <c r="J1635" s="16">
        <f>IF(HistoricalStockProgress[[#This Row],[No. of Shares]]&lt;&gt;0,HistoricalStockProgress[[#This Row],[Price of Shares]]-HistoricalStockProgress[[#This Row],[Cost of Shares]]/HistoricalStockProgress[[#This Row],[No. of Shares]],0)</f>
        <v>7.4040392453765946</v>
      </c>
      <c r="K1635" s="17">
        <f>IF(HistoricalStockProgress[[#This Row],[Total Price of Shares]]&lt;&gt;0,HistoricalStockProgress[[#This Row],[Total Price of Shares]]-HistoricalStockProgress[[#This Row],[Cost of Shares]],0)</f>
        <v>318.37368755119314</v>
      </c>
      <c r="L1635" s="34" t="b" cm="1">
        <f t="array" ref="L1635">IFERROR(IF(HistoricalStockProgress[[#This Row],[Price of Shares]]="",_xlfn.STOCKHISTORY(HistoricalStockProgress[[#This Row],[Full Company Name]],HistoricalStockProgress[[#This Row],[Date]],,2,0,1)),0)</f>
        <v>0</v>
      </c>
      <c r="M1635" s="34">
        <f>YEAR(HistoricalStockProgress[[#This Row],[Date]])</f>
        <v>2023</v>
      </c>
      <c r="N1635" s="34">
        <f>MONTH(HistoricalStockProgress[[#This Row],[Date]])</f>
        <v>11</v>
      </c>
    </row>
    <row r="1636" spans="2:14">
      <c r="B1636" s="15">
        <v>45260</v>
      </c>
      <c r="C1636" s="34" t="s">
        <v>21</v>
      </c>
      <c r="D1636" s="34" t="e" vm="6">
        <f>_xlfn.XLOOKUP(HistoricalStockProgress[[#This Row],[Company Ticker]],CompanyDetailsList[Company Ticker],CompanyDetailsList[Official Name],,0)</f>
        <v>#VALUE!</v>
      </c>
      <c r="E16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6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636" s="17">
        <f>IFERROR(HistoricalStockProgress[[#This Row],[Cost of Shares]]/HistoricalStockProgress[[#This Row],[No. of Shares]],0)</f>
        <v>139.68700010204148</v>
      </c>
      <c r="H1636" s="16" vm="2123">
        <v>153.52000000000001</v>
      </c>
      <c r="I1636" s="16">
        <f>IF(HistoricalStockProgress[[#This Row],[No. of Shares]]&lt;&gt;0,HistoricalStockProgress[[#This Row],[Price of Shares]]*HistoricalStockProgress[[#This Row],[No. of Shares]],0)</f>
        <v>6447.84</v>
      </c>
      <c r="J1636" s="16">
        <f>IF(HistoricalStockProgress[[#This Row],[No. of Shares]]&lt;&gt;0,HistoricalStockProgress[[#This Row],[Price of Shares]]-HistoricalStockProgress[[#This Row],[Cost of Shares]]/HistoricalStockProgress[[#This Row],[No. of Shares]],0)</f>
        <v>13.83299989795853</v>
      </c>
      <c r="K1636" s="17">
        <f>IF(HistoricalStockProgress[[#This Row],[Total Price of Shares]]&lt;&gt;0,HistoricalStockProgress[[#This Row],[Total Price of Shares]]-HistoricalStockProgress[[#This Row],[Cost of Shares]],0)</f>
        <v>580.98599571425802</v>
      </c>
      <c r="L1636" s="34" t="b" cm="1">
        <f t="array" ref="L1636">IFERROR(IF(HistoricalStockProgress[[#This Row],[Price of Shares]]="",_xlfn.STOCKHISTORY(HistoricalStockProgress[[#This Row],[Full Company Name]],HistoricalStockProgress[[#This Row],[Date]],,2,0,1)),0)</f>
        <v>0</v>
      </c>
      <c r="M1636" s="34">
        <f>YEAR(HistoricalStockProgress[[#This Row],[Date]])</f>
        <v>2023</v>
      </c>
      <c r="N1636" s="34">
        <f>MONTH(HistoricalStockProgress[[#This Row],[Date]])</f>
        <v>11</v>
      </c>
    </row>
    <row r="1637" spans="2:14">
      <c r="B1637" s="15">
        <v>45260</v>
      </c>
      <c r="C1637" s="34" t="s">
        <v>84</v>
      </c>
      <c r="D1637" s="34" t="e" vm="7">
        <f>_xlfn.XLOOKUP(HistoricalStockProgress[[#This Row],[Company Ticker]],CompanyDetailsList[Company Ticker],CompanyDetailsList[Official Name],,0)</f>
        <v>#VALUE!</v>
      </c>
      <c r="E16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6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637" s="17">
        <f>IFERROR(HistoricalStockProgress[[#This Row],[Cost of Shares]]/HistoricalStockProgress[[#This Row],[No. of Shares]],0)</f>
        <v>104.18087504950869</v>
      </c>
      <c r="H1637" s="16" vm="2124">
        <v>154.66</v>
      </c>
      <c r="I1637" s="16">
        <f>IF(HistoricalStockProgress[[#This Row],[No. of Shares]]&lt;&gt;0,HistoricalStockProgress[[#This Row],[Price of Shares]]*HistoricalStockProgress[[#This Row],[No. of Shares]],0)</f>
        <v>7887.66</v>
      </c>
      <c r="J1637" s="16">
        <f>IF(HistoricalStockProgress[[#This Row],[No. of Shares]]&lt;&gt;0,HistoricalStockProgress[[#This Row],[Price of Shares]]-HistoricalStockProgress[[#This Row],[Cost of Shares]]/HistoricalStockProgress[[#This Row],[No. of Shares]],0)</f>
        <v>50.479124950491311</v>
      </c>
      <c r="K1637" s="17">
        <f>IF(HistoricalStockProgress[[#This Row],[Total Price of Shares]]&lt;&gt;0,HistoricalStockProgress[[#This Row],[Total Price of Shares]]-HistoricalStockProgress[[#This Row],[Cost of Shares]],0)</f>
        <v>2574.4353724750572</v>
      </c>
      <c r="L1637" s="34" t="b" cm="1">
        <f t="array" ref="L1637">IFERROR(IF(HistoricalStockProgress[[#This Row],[Price of Shares]]="",_xlfn.STOCKHISTORY(HistoricalStockProgress[[#This Row],[Full Company Name]],HistoricalStockProgress[[#This Row],[Date]],,2,0,1)),0)</f>
        <v>0</v>
      </c>
      <c r="M1637" s="34">
        <f>YEAR(HistoricalStockProgress[[#This Row],[Date]])</f>
        <v>2023</v>
      </c>
      <c r="N1637" s="34">
        <f>MONTH(HistoricalStockProgress[[#This Row],[Date]])</f>
        <v>11</v>
      </c>
    </row>
    <row r="1638" spans="2:14">
      <c r="B1638" s="15">
        <v>45260</v>
      </c>
      <c r="C1638" s="34" t="s">
        <v>86</v>
      </c>
      <c r="D1638" s="34" t="e" vm="8">
        <f>_xlfn.XLOOKUP(HistoricalStockProgress[[#This Row],[Company Ticker]],CompanyDetailsList[Company Ticker],CompanyDetailsList[Official Name],,0)</f>
        <v>#VALUE!</v>
      </c>
      <c r="E16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120</v>
      </c>
      <c r="F16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11434.543004354886</v>
      </c>
      <c r="G1638" s="17">
        <f>IFERROR(HistoricalStockProgress[[#This Row],[Cost of Shares]]/HistoricalStockProgress[[#This Row],[No. of Shares]],0)</f>
        <v>95.287858369624047</v>
      </c>
      <c r="H1638" s="16" vm="1615">
        <v>142.38999999999999</v>
      </c>
      <c r="I1638" s="16">
        <f>IF(HistoricalStockProgress[[#This Row],[No. of Shares]]&lt;&gt;0,HistoricalStockProgress[[#This Row],[Price of Shares]]*HistoricalStockProgress[[#This Row],[No. of Shares]],0)</f>
        <v>17086.8</v>
      </c>
      <c r="J1638" s="16">
        <f>IF(HistoricalStockProgress[[#This Row],[No. of Shares]]&lt;&gt;0,HistoricalStockProgress[[#This Row],[Price of Shares]]-HistoricalStockProgress[[#This Row],[Cost of Shares]]/HistoricalStockProgress[[#This Row],[No. of Shares]],0)</f>
        <v>47.102141630375939</v>
      </c>
      <c r="K1638" s="17">
        <f>IF(HistoricalStockProgress[[#This Row],[Total Price of Shares]]&lt;&gt;0,HistoricalStockProgress[[#This Row],[Total Price of Shares]]-HistoricalStockProgress[[#This Row],[Cost of Shares]],0)</f>
        <v>5652.2569956451134</v>
      </c>
      <c r="L1638" s="34" t="b" cm="1">
        <f t="array" ref="L1638">IFERROR(IF(HistoricalStockProgress[[#This Row],[Price of Shares]]="",_xlfn.STOCKHISTORY(HistoricalStockProgress[[#This Row],[Full Company Name]],HistoricalStockProgress[[#This Row],[Date]],,2,0,1)),0)</f>
        <v>0</v>
      </c>
      <c r="M1638" s="34">
        <f>YEAR(HistoricalStockProgress[[#This Row],[Date]])</f>
        <v>2023</v>
      </c>
      <c r="N1638" s="34">
        <f>MONTH(HistoricalStockProgress[[#This Row],[Date]])</f>
        <v>11</v>
      </c>
    </row>
    <row r="1639" spans="2:14">
      <c r="B1639" s="15">
        <v>45260</v>
      </c>
      <c r="C1639" s="34" t="s">
        <v>88</v>
      </c>
      <c r="D1639" s="34" t="e" vm="9">
        <f>_xlfn.XLOOKUP(HistoricalStockProgress[[#This Row],[Company Ticker]],CompanyDetailsList[Company Ticker],CompanyDetailsList[Official Name],,0)</f>
        <v>#VALUE!</v>
      </c>
      <c r="E16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68</v>
      </c>
      <c r="F16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13660.356292131106</v>
      </c>
      <c r="G1639" s="17">
        <f>IFERROR(HistoricalStockProgress[[#This Row],[Cost of Shares]]/HistoricalStockProgress[[#This Row],[No. of Shares]],0)</f>
        <v>200.88759253133981</v>
      </c>
      <c r="H1639" s="16" vm="2125">
        <v>281.83999999999997</v>
      </c>
      <c r="I1639" s="16">
        <f>IF(HistoricalStockProgress[[#This Row],[No. of Shares]]&lt;&gt;0,HistoricalStockProgress[[#This Row],[Price of Shares]]*HistoricalStockProgress[[#This Row],[No. of Shares]],0)</f>
        <v>19165.12</v>
      </c>
      <c r="J1639" s="16">
        <f>IF(HistoricalStockProgress[[#This Row],[No. of Shares]]&lt;&gt;0,HistoricalStockProgress[[#This Row],[Price of Shares]]-HistoricalStockProgress[[#This Row],[Cost of Shares]]/HistoricalStockProgress[[#This Row],[No. of Shares]],0)</f>
        <v>80.952407468660169</v>
      </c>
      <c r="K1639" s="17">
        <f>IF(HistoricalStockProgress[[#This Row],[Total Price of Shares]]&lt;&gt;0,HistoricalStockProgress[[#This Row],[Total Price of Shares]]-HistoricalStockProgress[[#This Row],[Cost of Shares]],0)</f>
        <v>5504.7637078688931</v>
      </c>
      <c r="L1639" s="34" t="b" cm="1">
        <f t="array" ref="L1639">IFERROR(IF(HistoricalStockProgress[[#This Row],[Price of Shares]]="",_xlfn.STOCKHISTORY(HistoricalStockProgress[[#This Row],[Full Company Name]],HistoricalStockProgress[[#This Row],[Date]],,2,0,1)),0)</f>
        <v>0</v>
      </c>
      <c r="M1639" s="34">
        <f>YEAR(HistoricalStockProgress[[#This Row],[Date]])</f>
        <v>2023</v>
      </c>
      <c r="N1639" s="34">
        <f>MONTH(HistoricalStockProgress[[#This Row],[Date]])</f>
        <v>11</v>
      </c>
    </row>
    <row r="1640" spans="2:14">
      <c r="B1640" s="15">
        <v>45260</v>
      </c>
      <c r="C1640" s="34" t="s">
        <v>22</v>
      </c>
      <c r="D1640" s="34" t="e" vm="10">
        <f>_xlfn.XLOOKUP(HistoricalStockProgress[[#This Row],[Company Ticker]],CompanyDetailsList[Company Ticker],CompanyDetailsList[Official Name],,0)</f>
        <v>#VALUE!</v>
      </c>
      <c r="E16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6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640" s="17">
        <f>IFERROR(HistoricalStockProgress[[#This Row],[Cost of Shares]]/HistoricalStockProgress[[#This Row],[No. of Shares]],0)</f>
        <v>130.19784136724968</v>
      </c>
      <c r="H1640" s="16" vm="2126">
        <v>250.72</v>
      </c>
      <c r="I1640" s="16">
        <f>IF(HistoricalStockProgress[[#This Row],[No. of Shares]]&lt;&gt;0,HistoricalStockProgress[[#This Row],[Price of Shares]]*HistoricalStockProgress[[#This Row],[No. of Shares]],0)</f>
        <v>29835.68</v>
      </c>
      <c r="J1640" s="16">
        <f>IF(HistoricalStockProgress[[#This Row],[No. of Shares]]&lt;&gt;0,HistoricalStockProgress[[#This Row],[Price of Shares]]-HistoricalStockProgress[[#This Row],[Cost of Shares]]/HistoricalStockProgress[[#This Row],[No. of Shares]],0)</f>
        <v>120.52215863275032</v>
      </c>
      <c r="K1640" s="17">
        <f>IF(HistoricalStockProgress[[#This Row],[Total Price of Shares]]&lt;&gt;0,HistoricalStockProgress[[#This Row],[Total Price of Shares]]-HistoricalStockProgress[[#This Row],[Cost of Shares]],0)</f>
        <v>14342.136877297287</v>
      </c>
      <c r="L1640" s="34" t="b" cm="1">
        <f t="array" ref="L1640">IFERROR(IF(HistoricalStockProgress[[#This Row],[Price of Shares]]="",_xlfn.STOCKHISTORY(HistoricalStockProgress[[#This Row],[Full Company Name]],HistoricalStockProgress[[#This Row],[Date]],,2,0,1)),0)</f>
        <v>0</v>
      </c>
      <c r="M1640" s="34">
        <f>YEAR(HistoricalStockProgress[[#This Row],[Date]])</f>
        <v>2023</v>
      </c>
      <c r="N1640" s="34">
        <f>MONTH(HistoricalStockProgress[[#This Row],[Date]])</f>
        <v>11</v>
      </c>
    </row>
    <row r="1641" spans="2:14">
      <c r="B1641" s="15">
        <v>45260</v>
      </c>
      <c r="C1641" s="34" t="s">
        <v>91</v>
      </c>
      <c r="D1641" s="34" t="e" vm="11">
        <f>_xlfn.XLOOKUP(HistoricalStockProgress[[#This Row],[Company Ticker]],CompanyDetailsList[Company Ticker],CompanyDetailsList[Official Name],,0)</f>
        <v>#VALUE!</v>
      </c>
      <c r="E16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6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641" s="17">
        <f>IFERROR(HistoricalStockProgress[[#This Row],[Cost of Shares]]/HistoricalStockProgress[[#This Row],[No. of Shares]],0)</f>
        <v>133.15744058830452</v>
      </c>
      <c r="H1641" s="16" vm="2127">
        <v>378.91</v>
      </c>
      <c r="I1641" s="16">
        <f>IF(HistoricalStockProgress[[#This Row],[No. of Shares]]&lt;&gt;0,HistoricalStockProgress[[#This Row],[Price of Shares]]*HistoricalStockProgress[[#This Row],[No. of Shares]],0)</f>
        <v>69340.53</v>
      </c>
      <c r="J1641" s="16">
        <f>IF(HistoricalStockProgress[[#This Row],[No. of Shares]]&lt;&gt;0,HistoricalStockProgress[[#This Row],[Price of Shares]]-HistoricalStockProgress[[#This Row],[Cost of Shares]]/HistoricalStockProgress[[#This Row],[No. of Shares]],0)</f>
        <v>245.7525594116955</v>
      </c>
      <c r="K1641" s="17">
        <f>IF(HistoricalStockProgress[[#This Row],[Total Price of Shares]]&lt;&gt;0,HistoricalStockProgress[[#This Row],[Total Price of Shares]]-HistoricalStockProgress[[#This Row],[Cost of Shares]],0)</f>
        <v>44972.71837234027</v>
      </c>
      <c r="L1641" s="34" t="b" cm="1">
        <f t="array" ref="L1641">IFERROR(IF(HistoricalStockProgress[[#This Row],[Price of Shares]]="",_xlfn.STOCKHISTORY(HistoricalStockProgress[[#This Row],[Full Company Name]],HistoricalStockProgress[[#This Row],[Date]],,2,0,1)),0)</f>
        <v>0</v>
      </c>
      <c r="M1641" s="34">
        <f>YEAR(HistoricalStockProgress[[#This Row],[Date]])</f>
        <v>2023</v>
      </c>
      <c r="N1641" s="34">
        <f>MONTH(HistoricalStockProgress[[#This Row],[Date]])</f>
        <v>11</v>
      </c>
    </row>
    <row r="1642" spans="2:14">
      <c r="B1642" s="15">
        <v>45260</v>
      </c>
      <c r="C1642" s="34" t="s">
        <v>16</v>
      </c>
      <c r="D1642" s="34" t="e" vm="12">
        <f>_xlfn.XLOOKUP(HistoricalStockProgress[[#This Row],[Company Ticker]],CompanyDetailsList[Company Ticker],CompanyDetailsList[Official Name],,0)</f>
        <v>#VALUE!</v>
      </c>
      <c r="E16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6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642" s="17">
        <f>IFERROR(HistoricalStockProgress[[#This Row],[Cost of Shares]]/HistoricalStockProgress[[#This Row],[No. of Shares]],0)</f>
        <v>75.117698177311837</v>
      </c>
      <c r="H1642" s="16" vm="2128">
        <v>102.74</v>
      </c>
      <c r="I1642" s="16">
        <f>IF(HistoricalStockProgress[[#This Row],[No. of Shares]]&lt;&gt;0,HistoricalStockProgress[[#This Row],[Price of Shares]]*HistoricalStockProgress[[#This Row],[No. of Shares]],0)</f>
        <v>19006.899999999998</v>
      </c>
      <c r="J1642" s="16">
        <f>IF(HistoricalStockProgress[[#This Row],[No. of Shares]]&lt;&gt;0,HistoricalStockProgress[[#This Row],[Price of Shares]]-HistoricalStockProgress[[#This Row],[Cost of Shares]]/HistoricalStockProgress[[#This Row],[No. of Shares]],0)</f>
        <v>27.622301822688158</v>
      </c>
      <c r="K1642" s="17">
        <f>IF(HistoricalStockProgress[[#This Row],[Total Price of Shares]]&lt;&gt;0,HistoricalStockProgress[[#This Row],[Total Price of Shares]]-HistoricalStockProgress[[#This Row],[Cost of Shares]],0)</f>
        <v>5110.125837197309</v>
      </c>
      <c r="L1642" s="34" t="b" cm="1">
        <f t="array" ref="L1642">IFERROR(IF(HistoricalStockProgress[[#This Row],[Price of Shares]]="",_xlfn.STOCKHISTORY(HistoricalStockProgress[[#This Row],[Full Company Name]],HistoricalStockProgress[[#This Row],[Date]],,2,0,1)),0)</f>
        <v>0</v>
      </c>
      <c r="M1642" s="34">
        <f>YEAR(HistoricalStockProgress[[#This Row],[Date]])</f>
        <v>2023</v>
      </c>
      <c r="N1642" s="34">
        <f>MONTH(HistoricalStockProgress[[#This Row],[Date]])</f>
        <v>11</v>
      </c>
    </row>
    <row r="1643" spans="2:14">
      <c r="B1643" s="15">
        <v>45260</v>
      </c>
      <c r="C1643" s="34" t="s">
        <v>95</v>
      </c>
      <c r="D1643" s="34" t="e" vm="13">
        <f>_xlfn.XLOOKUP(HistoricalStockProgress[[#This Row],[Company Ticker]],CompanyDetailsList[Company Ticker],CompanyDetailsList[Official Name],,0)</f>
        <v>#VALUE!</v>
      </c>
      <c r="E16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143</v>
      </c>
      <c r="F16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35362.550411645469</v>
      </c>
      <c r="G1643" s="17">
        <f>IFERROR(HistoricalStockProgress[[#This Row],[Cost of Shares]]/HistoricalStockProgress[[#This Row],[No. of Shares]],0)</f>
        <v>247.29056231919907</v>
      </c>
      <c r="H1643" s="16" vm="2129">
        <v>313.49</v>
      </c>
      <c r="I1643" s="16">
        <f>IF(HistoricalStockProgress[[#This Row],[No. of Shares]]&lt;&gt;0,HistoricalStockProgress[[#This Row],[Price of Shares]]*HistoricalStockProgress[[#This Row],[No. of Shares]],0)</f>
        <v>44829.07</v>
      </c>
      <c r="J1643" s="16">
        <f>IF(HistoricalStockProgress[[#This Row],[No. of Shares]]&lt;&gt;0,HistoricalStockProgress[[#This Row],[Price of Shares]]-HistoricalStockProgress[[#This Row],[Cost of Shares]]/HistoricalStockProgress[[#This Row],[No. of Shares]],0)</f>
        <v>66.199437680800941</v>
      </c>
      <c r="K1643" s="17">
        <f>IF(HistoricalStockProgress[[#This Row],[Total Price of Shares]]&lt;&gt;0,HistoricalStockProgress[[#This Row],[Total Price of Shares]]-HistoricalStockProgress[[#This Row],[Cost of Shares]],0)</f>
        <v>9466.5195883545312</v>
      </c>
      <c r="L1643" s="34" t="b" cm="1">
        <f t="array" ref="L1643">IFERROR(IF(HistoricalStockProgress[[#This Row],[Price of Shares]]="",_xlfn.STOCKHISTORY(HistoricalStockProgress[[#This Row],[Full Company Name]],HistoricalStockProgress[[#This Row],[Date]],,2,0,1)),0)</f>
        <v>0</v>
      </c>
      <c r="M1643" s="34">
        <f>YEAR(HistoricalStockProgress[[#This Row],[Date]])</f>
        <v>2023</v>
      </c>
      <c r="N1643" s="34">
        <f>MONTH(HistoricalStockProgress[[#This Row],[Date]])</f>
        <v>11</v>
      </c>
    </row>
    <row r="1644" spans="2:14">
      <c r="B1644" s="15">
        <v>45260</v>
      </c>
      <c r="C1644" s="34" t="s">
        <v>17</v>
      </c>
      <c r="D1644" s="34" t="e" vm="14">
        <f>_xlfn.XLOOKUP(HistoricalStockProgress[[#This Row],[Company Ticker]],CompanyDetailsList[Company Ticker],CompanyDetailsList[Official Name],,0)</f>
        <v>#VALUE!</v>
      </c>
      <c r="E16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6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26400.485099161626</v>
      </c>
      <c r="G1644" s="17">
        <f>IFERROR(HistoricalStockProgress[[#This Row],[Cost of Shares]]/HistoricalStockProgress[[#This Row],[No. of Shares]],0)</f>
        <v>136.08497473794654</v>
      </c>
      <c r="H1644" s="16" vm="2130">
        <v>158.56</v>
      </c>
      <c r="I1644" s="16">
        <f>IF(HistoricalStockProgress[[#This Row],[No. of Shares]]&lt;&gt;0,HistoricalStockProgress[[#This Row],[Price of Shares]]*HistoricalStockProgress[[#This Row],[No. of Shares]],0)</f>
        <v>30760.639999999999</v>
      </c>
      <c r="J1644" s="16">
        <f>IF(HistoricalStockProgress[[#This Row],[No. of Shares]]&lt;&gt;0,HistoricalStockProgress[[#This Row],[Price of Shares]]-HistoricalStockProgress[[#This Row],[Cost of Shares]]/HistoricalStockProgress[[#This Row],[No. of Shares]],0)</f>
        <v>22.475025262053464</v>
      </c>
      <c r="K1644" s="17">
        <f>IF(HistoricalStockProgress[[#This Row],[Total Price of Shares]]&lt;&gt;0,HistoricalStockProgress[[#This Row],[Total Price of Shares]]-HistoricalStockProgress[[#This Row],[Cost of Shares]],0)</f>
        <v>4360.1549008383736</v>
      </c>
      <c r="L1644" s="34" t="b" cm="1">
        <f t="array" ref="L1644">IFERROR(IF(HistoricalStockProgress[[#This Row],[Price of Shares]]="",_xlfn.STOCKHISTORY(HistoricalStockProgress[[#This Row],[Full Company Name]],HistoricalStockProgress[[#This Row],[Date]],,2,0,1)),0)</f>
        <v>0</v>
      </c>
      <c r="M1644" s="34">
        <f>YEAR(HistoricalStockProgress[[#This Row],[Date]])</f>
        <v>2023</v>
      </c>
      <c r="N1644" s="34">
        <f>MONTH(HistoricalStockProgress[[#This Row],[Date]])</f>
        <v>11</v>
      </c>
    </row>
    <row r="1645" spans="2:14">
      <c r="B1645" s="15">
        <v>45260</v>
      </c>
      <c r="C1645" s="34" t="s">
        <v>98</v>
      </c>
      <c r="D1645" s="34" t="e" vm="15">
        <f>_xlfn.XLOOKUP(HistoricalStockProgress[[#This Row],[Company Ticker]],CompanyDetailsList[Company Ticker],CompanyDetailsList[Official Name],,0)</f>
        <v>#VALUE!</v>
      </c>
      <c r="E16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6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6407.714421697975</v>
      </c>
      <c r="G1645" s="17">
        <f>IFERROR(HistoricalStockProgress[[#This Row],[Cost of Shares]]/HistoricalStockProgress[[#This Row],[No. of Shares]],0)</f>
        <v>53.846339678134242</v>
      </c>
      <c r="H1645" s="16" vm="2131">
        <v>58.51</v>
      </c>
      <c r="I1645" s="16">
        <f>IF(HistoricalStockProgress[[#This Row],[No. of Shares]]&lt;&gt;0,HistoricalStockProgress[[#This Row],[Price of Shares]]*HistoricalStockProgress[[#This Row],[No. of Shares]],0)</f>
        <v>6962.69</v>
      </c>
      <c r="J1645" s="16">
        <f>IF(HistoricalStockProgress[[#This Row],[No. of Shares]]&lt;&gt;0,HistoricalStockProgress[[#This Row],[Price of Shares]]-HistoricalStockProgress[[#This Row],[Cost of Shares]]/HistoricalStockProgress[[#This Row],[No. of Shares]],0)</f>
        <v>4.6636603218657555</v>
      </c>
      <c r="K1645" s="17">
        <f>IF(HistoricalStockProgress[[#This Row],[Total Price of Shares]]&lt;&gt;0,HistoricalStockProgress[[#This Row],[Total Price of Shares]]-HistoricalStockProgress[[#This Row],[Cost of Shares]],0)</f>
        <v>554.97557830202459</v>
      </c>
      <c r="L1645" s="34" t="b" cm="1">
        <f t="array" ref="L1645">IFERROR(IF(HistoricalStockProgress[[#This Row],[Price of Shares]]="",_xlfn.STOCKHISTORY(HistoricalStockProgress[[#This Row],[Full Company Name]],HistoricalStockProgress[[#This Row],[Date]],,2,0,1)),0)</f>
        <v>0</v>
      </c>
      <c r="M1645" s="34">
        <f>YEAR(HistoricalStockProgress[[#This Row],[Date]])</f>
        <v>2023</v>
      </c>
      <c r="N1645" s="34">
        <f>MONTH(HistoricalStockProgress[[#This Row],[Date]])</f>
        <v>11</v>
      </c>
    </row>
    <row r="1646" spans="2:14">
      <c r="B1646" s="15">
        <v>45260</v>
      </c>
      <c r="C1646" s="34" t="s">
        <v>100</v>
      </c>
      <c r="D1646" s="34" t="e" vm="16">
        <f>_xlfn.XLOOKUP(HistoricalStockProgress[[#This Row],[Company Ticker]],CompanyDetailsList[Company Ticker],CompanyDetailsList[Official Name],,0)</f>
        <v>#VALUE!</v>
      </c>
      <c r="E16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217</v>
      </c>
      <c r="F16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19839.340255178511</v>
      </c>
      <c r="G1646" s="17">
        <f>IFERROR(HistoricalStockProgress[[#This Row],[Cost of Shares]]/HistoricalStockProgress[[#This Row],[No. of Shares]],0)</f>
        <v>91.425531129854889</v>
      </c>
      <c r="H1646" s="16" vm="2132">
        <v>92.28</v>
      </c>
      <c r="I1646" s="16">
        <f>IF(HistoricalStockProgress[[#This Row],[No. of Shares]]&lt;&gt;0,HistoricalStockProgress[[#This Row],[Price of Shares]]*HistoricalStockProgress[[#This Row],[No. of Shares]],0)</f>
        <v>20024.760000000002</v>
      </c>
      <c r="J1646" s="16">
        <f>IF(HistoricalStockProgress[[#This Row],[No. of Shares]]&lt;&gt;0,HistoricalStockProgress[[#This Row],[Price of Shares]]-HistoricalStockProgress[[#This Row],[Cost of Shares]]/HistoricalStockProgress[[#This Row],[No. of Shares]],0)</f>
        <v>0.85446887014511219</v>
      </c>
      <c r="K1646" s="17">
        <f>IF(HistoricalStockProgress[[#This Row],[Total Price of Shares]]&lt;&gt;0,HistoricalStockProgress[[#This Row],[Total Price of Shares]]-HistoricalStockProgress[[#This Row],[Cost of Shares]],0)</f>
        <v>185.41974482149089</v>
      </c>
      <c r="L1646" s="34" t="b" cm="1">
        <f t="array" ref="L1646">IFERROR(IF(HistoricalStockProgress[[#This Row],[Price of Shares]]="",_xlfn.STOCKHISTORY(HistoricalStockProgress[[#This Row],[Full Company Name]],HistoricalStockProgress[[#This Row],[Date]],,2,0,1)),0)</f>
        <v>0</v>
      </c>
      <c r="M1646" s="34">
        <f>YEAR(HistoricalStockProgress[[#This Row],[Date]])</f>
        <v>2023</v>
      </c>
      <c r="N1646" s="34">
        <f>MONTH(HistoricalStockProgress[[#This Row],[Date]])</f>
        <v>11</v>
      </c>
    </row>
    <row r="1647" spans="2:14">
      <c r="B1647" s="15">
        <v>45260</v>
      </c>
      <c r="C1647" s="34" t="s">
        <v>15</v>
      </c>
      <c r="D1647" s="34" t="e" vm="17">
        <f>_xlfn.XLOOKUP(HistoricalStockProgress[[#This Row],[Company Ticker]],CompanyDetailsList[Company Ticker],CompanyDetailsList[Official Name],,0)</f>
        <v>#VALUE!</v>
      </c>
      <c r="E16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133</v>
      </c>
      <c r="F16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3377.7842958499027</v>
      </c>
      <c r="G1647" s="17">
        <f>IFERROR(HistoricalStockProgress[[#This Row],[Cost of Shares]]/HistoricalStockProgress[[#This Row],[No. of Shares]],0)</f>
        <v>25.396874404886486</v>
      </c>
      <c r="H1647" s="16" vm="2133">
        <v>16.57</v>
      </c>
      <c r="I1647" s="16">
        <f>IF(HistoricalStockProgress[[#This Row],[No. of Shares]]&lt;&gt;0,HistoricalStockProgress[[#This Row],[Price of Shares]]*HistoricalStockProgress[[#This Row],[No. of Shares]],0)</f>
        <v>2203.81</v>
      </c>
      <c r="J1647" s="16">
        <f>IF(HistoricalStockProgress[[#This Row],[No. of Shares]]&lt;&gt;0,HistoricalStockProgress[[#This Row],[Price of Shares]]-HistoricalStockProgress[[#This Row],[Cost of Shares]]/HistoricalStockProgress[[#This Row],[No. of Shares]],0)</f>
        <v>-8.8268744048864853</v>
      </c>
      <c r="K1647" s="17">
        <f>IF(HistoricalStockProgress[[#This Row],[Total Price of Shares]]&lt;&gt;0,HistoricalStockProgress[[#This Row],[Total Price of Shares]]-HistoricalStockProgress[[#This Row],[Cost of Shares]],0)</f>
        <v>-1173.9742958499028</v>
      </c>
      <c r="L1647" s="34" t="b" cm="1">
        <f t="array" ref="L1647">IFERROR(IF(HistoricalStockProgress[[#This Row],[Price of Shares]]="",_xlfn.STOCKHISTORY(HistoricalStockProgress[[#This Row],[Full Company Name]],HistoricalStockProgress[[#This Row],[Date]],,2,0,1)),0)</f>
        <v>0</v>
      </c>
      <c r="M1647" s="34">
        <f>YEAR(HistoricalStockProgress[[#This Row],[Date]])</f>
        <v>2023</v>
      </c>
      <c r="N1647" s="34">
        <f>MONTH(HistoricalStockProgress[[#This Row],[Date]])</f>
        <v>11</v>
      </c>
    </row>
    <row r="1648" spans="2:14">
      <c r="B1648" s="15">
        <v>45260</v>
      </c>
      <c r="C1648" s="34" t="s">
        <v>13</v>
      </c>
      <c r="D1648" s="34" t="e" vm="18">
        <f>_xlfn.XLOOKUP(HistoricalStockProgress[[#This Row],[Company Ticker]],CompanyDetailsList[Company Ticker],CompanyDetailsList[Official Name],,0)</f>
        <v>#VALUE!</v>
      </c>
      <c r="E16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6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648" s="17">
        <f>IFERROR(HistoricalStockProgress[[#This Row],[Cost of Shares]]/HistoricalStockProgress[[#This Row],[No. of Shares]],0)</f>
        <v>35.846938938346874</v>
      </c>
      <c r="H1648" s="16" vm="2134">
        <v>30.47</v>
      </c>
      <c r="I1648" s="16">
        <f>IF(HistoricalStockProgress[[#This Row],[No. of Shares]]&lt;&gt;0,HistoricalStockProgress[[#This Row],[Price of Shares]]*HistoricalStockProgress[[#This Row],[No. of Shares]],0)</f>
        <v>1675.85</v>
      </c>
      <c r="J1648" s="16">
        <f>IF(HistoricalStockProgress[[#This Row],[No. of Shares]]&lt;&gt;0,HistoricalStockProgress[[#This Row],[Price of Shares]]-HistoricalStockProgress[[#This Row],[Cost of Shares]]/HistoricalStockProgress[[#This Row],[No. of Shares]],0)</f>
        <v>-5.3769389383468749</v>
      </c>
      <c r="K1648" s="17">
        <f>IF(HistoricalStockProgress[[#This Row],[Total Price of Shares]]&lt;&gt;0,HistoricalStockProgress[[#This Row],[Total Price of Shares]]-HistoricalStockProgress[[#This Row],[Cost of Shares]],0)</f>
        <v>-295.73164160907822</v>
      </c>
      <c r="L1648" s="34" t="b" cm="1">
        <f t="array" ref="L1648">IFERROR(IF(HistoricalStockProgress[[#This Row],[Price of Shares]]="",_xlfn.STOCKHISTORY(HistoricalStockProgress[[#This Row],[Full Company Name]],HistoricalStockProgress[[#This Row],[Date]],,2,0,1)),0)</f>
        <v>0</v>
      </c>
      <c r="M1648" s="34">
        <f>YEAR(HistoricalStockProgress[[#This Row],[Date]])</f>
        <v>2023</v>
      </c>
      <c r="N1648" s="34">
        <f>MONTH(HistoricalStockProgress[[#This Row],[Date]])</f>
        <v>11</v>
      </c>
    </row>
    <row r="1649" spans="2:14">
      <c r="B1649" s="15">
        <v>45260</v>
      </c>
      <c r="C1649" s="34" t="s">
        <v>20</v>
      </c>
      <c r="D1649" s="34" t="e" vm="19">
        <f>_xlfn.XLOOKUP(HistoricalStockProgress[[#This Row],[Company Ticker]],CompanyDetailsList[Company Ticker],CompanyDetailsList[Official Name],,0)</f>
        <v>#VALUE!</v>
      </c>
      <c r="E16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6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649" s="17">
        <f>IFERROR(HistoricalStockProgress[[#This Row],[Cost of Shares]]/HistoricalStockProgress[[#This Row],[No. of Shares]],0)</f>
        <v>108.1760767450256</v>
      </c>
      <c r="H1649" s="16" vm="2135">
        <v>156.08000000000001</v>
      </c>
      <c r="I1649" s="16">
        <f>IF(HistoricalStockProgress[[#This Row],[No. of Shares]]&lt;&gt;0,HistoricalStockProgress[[#This Row],[Price of Shares]]*HistoricalStockProgress[[#This Row],[No. of Shares]],0)</f>
        <v>18105.280000000002</v>
      </c>
      <c r="J1649" s="16">
        <f>IF(HistoricalStockProgress[[#This Row],[No. of Shares]]&lt;&gt;0,HistoricalStockProgress[[#This Row],[Price of Shares]]-HistoricalStockProgress[[#This Row],[Cost of Shares]]/HistoricalStockProgress[[#This Row],[No. of Shares]],0)</f>
        <v>47.903923254974416</v>
      </c>
      <c r="K1649" s="17">
        <f>IF(HistoricalStockProgress[[#This Row],[Total Price of Shares]]&lt;&gt;0,HistoricalStockProgress[[#This Row],[Total Price of Shares]]-HistoricalStockProgress[[#This Row],[Cost of Shares]],0)</f>
        <v>5556.855097577034</v>
      </c>
      <c r="L1649" s="34" t="b" cm="1">
        <f t="array" ref="L1649">IFERROR(IF(HistoricalStockProgress[[#This Row],[Price of Shares]]="",_xlfn.STOCKHISTORY(HistoricalStockProgress[[#This Row],[Full Company Name]],HistoricalStockProgress[[#This Row],[Date]],,2,0,1)),0)</f>
        <v>0</v>
      </c>
      <c r="M1649" s="34">
        <f>YEAR(HistoricalStockProgress[[#This Row],[Date]])</f>
        <v>2023</v>
      </c>
      <c r="N1649" s="34">
        <f>MONTH(HistoricalStockProgress[[#This Row],[Date]])</f>
        <v>11</v>
      </c>
    </row>
    <row r="1650" spans="2:14">
      <c r="B1650" s="15">
        <v>45260</v>
      </c>
      <c r="C1650" s="34" t="s">
        <v>106</v>
      </c>
      <c r="D1650" s="34" t="e" vm="20">
        <f>_xlfn.XLOOKUP(HistoricalStockProgress[[#This Row],[Company Ticker]],CompanyDetailsList[Company Ticker],CompanyDetailsList[Official Name],,0)</f>
        <v>#VALUE!</v>
      </c>
      <c r="E16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6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650" s="17">
        <f>IFERROR(HistoricalStockProgress[[#This Row],[Cost of Shares]]/HistoricalStockProgress[[#This Row],[No. of Shares]],0)</f>
        <v>108.54870748680406</v>
      </c>
      <c r="H1650" s="16" vm="2136">
        <v>141.99</v>
      </c>
      <c r="I1650" s="16">
        <f>IF(HistoricalStockProgress[[#This Row],[No. of Shares]]&lt;&gt;0,HistoricalStockProgress[[#This Row],[Price of Shares]]*HistoricalStockProgress[[#This Row],[No. of Shares]],0)</f>
        <v>12495.12</v>
      </c>
      <c r="J1650" s="16">
        <f>IF(HistoricalStockProgress[[#This Row],[No. of Shares]]&lt;&gt;0,HistoricalStockProgress[[#This Row],[Price of Shares]]-HistoricalStockProgress[[#This Row],[Cost of Shares]]/HistoricalStockProgress[[#This Row],[No. of Shares]],0)</f>
        <v>33.441292513195947</v>
      </c>
      <c r="K1650" s="17">
        <f>IF(HistoricalStockProgress[[#This Row],[Total Price of Shares]]&lt;&gt;0,HistoricalStockProgress[[#This Row],[Total Price of Shares]]-HistoricalStockProgress[[#This Row],[Cost of Shares]],0)</f>
        <v>2942.8337411612429</v>
      </c>
      <c r="L1650" s="34" t="b" cm="1">
        <f t="array" ref="L1650">IFERROR(IF(HistoricalStockProgress[[#This Row],[Price of Shares]]="",_xlfn.STOCKHISTORY(HistoricalStockProgress[[#This Row],[Full Company Name]],HistoricalStockProgress[[#This Row],[Date]],,2,0,1)),0)</f>
        <v>0</v>
      </c>
      <c r="M1650" s="34">
        <f>YEAR(HistoricalStockProgress[[#This Row],[Date]])</f>
        <v>2023</v>
      </c>
      <c r="N1650" s="34">
        <f>MONTH(HistoricalStockProgress[[#This Row],[Date]])</f>
        <v>11</v>
      </c>
    </row>
    <row r="1651" spans="2:14">
      <c r="B1651" s="15">
        <v>45291</v>
      </c>
      <c r="C1651" s="34" t="s">
        <v>12</v>
      </c>
      <c r="D1651" s="34" t="e" vm="1">
        <f>_xlfn.XLOOKUP(HistoricalStockProgress[[#This Row],[Company Ticker]],CompanyDetailsList[Company Ticker],CompanyDetailsList[Official Name],,0)</f>
        <v>#VALUE!</v>
      </c>
      <c r="E16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6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651" s="17">
        <f>IFERROR(HistoricalStockProgress[[#This Row],[Cost of Shares]]/HistoricalStockProgress[[#This Row],[No. of Shares]],0)</f>
        <v>64.573985995316889</v>
      </c>
      <c r="H1651" s="16" vm="2137">
        <v>57.42</v>
      </c>
      <c r="I1651" s="16">
        <f>IF(HistoricalStockProgress[[#This Row],[No. of Shares]]&lt;&gt;0,HistoricalStockProgress[[#This Row],[Price of Shares]]*HistoricalStockProgress[[#This Row],[No. of Shares]],0)</f>
        <v>5569.74</v>
      </c>
      <c r="J1651" s="16">
        <f>IF(HistoricalStockProgress[[#This Row],[No. of Shares]]&lt;&gt;0,HistoricalStockProgress[[#This Row],[Price of Shares]]-HistoricalStockProgress[[#This Row],[Cost of Shares]]/HistoricalStockProgress[[#This Row],[No. of Shares]],0)</f>
        <v>-7.1539859953168872</v>
      </c>
      <c r="K1651" s="17">
        <f>IF(HistoricalStockProgress[[#This Row],[Total Price of Shares]]&lt;&gt;0,HistoricalStockProgress[[#This Row],[Total Price of Shares]]-HistoricalStockProgress[[#This Row],[Cost of Shares]],0)</f>
        <v>-693.93664154573798</v>
      </c>
      <c r="L1651" s="34" t="b" cm="1">
        <f t="array" ref="L1651">IFERROR(IF(HistoricalStockProgress[[#This Row],[Price of Shares]]="",_xlfn.STOCKHISTORY(HistoricalStockProgress[[#This Row],[Full Company Name]],HistoricalStockProgress[[#This Row],[Date]],,2,0,1)),0)</f>
        <v>0</v>
      </c>
      <c r="M1651" s="34">
        <f>YEAR(HistoricalStockProgress[[#This Row],[Date]])</f>
        <v>2023</v>
      </c>
      <c r="N1651" s="34">
        <f>MONTH(HistoricalStockProgress[[#This Row],[Date]])</f>
        <v>12</v>
      </c>
    </row>
    <row r="1652" spans="2:14">
      <c r="B1652" s="15">
        <v>45291</v>
      </c>
      <c r="C1652" s="34" t="s">
        <v>14</v>
      </c>
      <c r="D1652" s="34" t="e" vm="2">
        <f>_xlfn.XLOOKUP(HistoricalStockProgress[[#This Row],[Company Ticker]],CompanyDetailsList[Company Ticker],CompanyDetailsList[Official Name],,0)</f>
        <v>#VALUE!</v>
      </c>
      <c r="E16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16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1652" s="17">
        <f>IFERROR(HistoricalStockProgress[[#This Row],[Cost of Shares]]/HistoricalStockProgress[[#This Row],[No. of Shares]],0)</f>
        <v>26.819337355148658</v>
      </c>
      <c r="H1652" s="16" vm="2138">
        <v>27.43</v>
      </c>
      <c r="I1652" s="16">
        <f>IF(HistoricalStockProgress[[#This Row],[No. of Shares]]&lt;&gt;0,HistoricalStockProgress[[#This Row],[Price of Shares]]*HistoricalStockProgress[[#This Row],[No. of Shares]],0)</f>
        <v>1728.09</v>
      </c>
      <c r="J1652" s="16">
        <f>IF(HistoricalStockProgress[[#This Row],[No. of Shares]]&lt;&gt;0,HistoricalStockProgress[[#This Row],[Price of Shares]]-HistoricalStockProgress[[#This Row],[Cost of Shares]]/HistoricalStockProgress[[#This Row],[No. of Shares]],0)</f>
        <v>0.6106626448513417</v>
      </c>
      <c r="K1652" s="17">
        <f>IF(HistoricalStockProgress[[#This Row],[Total Price of Shares]]&lt;&gt;0,HistoricalStockProgress[[#This Row],[Total Price of Shares]]-HistoricalStockProgress[[#This Row],[Cost of Shares]],0)</f>
        <v>38.471746625634523</v>
      </c>
      <c r="L1652" s="34" t="b" cm="1">
        <f t="array" ref="L1652">IFERROR(IF(HistoricalStockProgress[[#This Row],[Price of Shares]]="",_xlfn.STOCKHISTORY(HistoricalStockProgress[[#This Row],[Full Company Name]],HistoricalStockProgress[[#This Row],[Date]],,2,0,1)),0)</f>
        <v>0</v>
      </c>
      <c r="M1652" s="34">
        <f>YEAR(HistoricalStockProgress[[#This Row],[Date]])</f>
        <v>2023</v>
      </c>
      <c r="N1652" s="34">
        <f>MONTH(HistoricalStockProgress[[#This Row],[Date]])</f>
        <v>12</v>
      </c>
    </row>
    <row r="1653" spans="2:14">
      <c r="B1653" s="15">
        <v>45291</v>
      </c>
      <c r="C1653" s="34" t="s">
        <v>19</v>
      </c>
      <c r="D1653" s="34" t="e" vm="3">
        <f>_xlfn.XLOOKUP(HistoricalStockProgress[[#This Row],[Company Ticker]],CompanyDetailsList[Company Ticker],CompanyDetailsList[Official Name],,0)</f>
        <v>#VALUE!</v>
      </c>
      <c r="E16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6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653" s="17">
        <f>IFERROR(HistoricalStockProgress[[#This Row],[Cost of Shares]]/HistoricalStockProgress[[#This Row],[No. of Shares]],0)</f>
        <v>158.45739987816083</v>
      </c>
      <c r="H1653" s="16" vm="2139">
        <v>142.59</v>
      </c>
      <c r="I1653" s="16">
        <f>IF(HistoricalStockProgress[[#This Row],[No. of Shares]]&lt;&gt;0,HistoricalStockProgress[[#This Row],[Price of Shares]]*HistoricalStockProgress[[#This Row],[No. of Shares]],0)</f>
        <v>8127.63</v>
      </c>
      <c r="J1653" s="16">
        <f>IF(HistoricalStockProgress[[#This Row],[No. of Shares]]&lt;&gt;0,HistoricalStockProgress[[#This Row],[Price of Shares]]-HistoricalStockProgress[[#This Row],[Cost of Shares]]/HistoricalStockProgress[[#This Row],[No. of Shares]],0)</f>
        <v>-15.867399878160825</v>
      </c>
      <c r="K1653" s="17">
        <f>IF(HistoricalStockProgress[[#This Row],[Total Price of Shares]]&lt;&gt;0,HistoricalStockProgress[[#This Row],[Total Price of Shares]]-HistoricalStockProgress[[#This Row],[Cost of Shares]],0)</f>
        <v>-904.44179305516718</v>
      </c>
      <c r="L1653" s="34" t="b" cm="1">
        <f t="array" ref="L1653">IFERROR(IF(HistoricalStockProgress[[#This Row],[Price of Shares]]="",_xlfn.STOCKHISTORY(HistoricalStockProgress[[#This Row],[Full Company Name]],HistoricalStockProgress[[#This Row],[Date]],,2,0,1)),0)</f>
        <v>0</v>
      </c>
      <c r="M1653" s="34">
        <f>YEAR(HistoricalStockProgress[[#This Row],[Date]])</f>
        <v>2023</v>
      </c>
      <c r="N1653" s="34">
        <f>MONTH(HistoricalStockProgress[[#This Row],[Date]])</f>
        <v>12</v>
      </c>
    </row>
    <row r="1654" spans="2:14">
      <c r="B1654" s="15">
        <v>45291</v>
      </c>
      <c r="C1654" s="34" t="s">
        <v>23</v>
      </c>
      <c r="D1654" s="34" t="e" vm="4">
        <f>_xlfn.XLOOKUP(HistoricalStockProgress[[#This Row],[Company Ticker]],CompanyDetailsList[Company Ticker],CompanyDetailsList[Official Name],,0)</f>
        <v>#VALUE!</v>
      </c>
      <c r="E16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16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1654" s="17">
        <f>IFERROR(HistoricalStockProgress[[#This Row],[Cost of Shares]]/HistoricalStockProgress[[#This Row],[No. of Shares]],0)</f>
        <v>50.781277236510277</v>
      </c>
      <c r="H1654" s="16" vm="2140">
        <v>58.93</v>
      </c>
      <c r="I1654" s="16">
        <f>IF(HistoricalStockProgress[[#This Row],[No. of Shares]]&lt;&gt;0,HistoricalStockProgress[[#This Row],[Price of Shares]]*HistoricalStockProgress[[#This Row],[No. of Shares]],0)</f>
        <v>6894.81</v>
      </c>
      <c r="J1654" s="16">
        <f>IF(HistoricalStockProgress[[#This Row],[No. of Shares]]&lt;&gt;0,HistoricalStockProgress[[#This Row],[Price of Shares]]-HistoricalStockProgress[[#This Row],[Cost of Shares]]/HistoricalStockProgress[[#This Row],[No. of Shares]],0)</f>
        <v>8.1487227634897224</v>
      </c>
      <c r="K1654" s="17">
        <f>IF(HistoricalStockProgress[[#This Row],[Total Price of Shares]]&lt;&gt;0,HistoricalStockProgress[[#This Row],[Total Price of Shares]]-HistoricalStockProgress[[#This Row],[Cost of Shares]],0)</f>
        <v>953.40056332829772</v>
      </c>
      <c r="L1654" s="34" t="b" cm="1">
        <f t="array" ref="L1654">IFERROR(IF(HistoricalStockProgress[[#This Row],[Price of Shares]]="",_xlfn.STOCKHISTORY(HistoricalStockProgress[[#This Row],[Full Company Name]],HistoricalStockProgress[[#This Row],[Date]],,2,0,1)),0)</f>
        <v>0</v>
      </c>
      <c r="M1654" s="34">
        <f>YEAR(HistoricalStockProgress[[#This Row],[Date]])</f>
        <v>2023</v>
      </c>
      <c r="N1654" s="34">
        <f>MONTH(HistoricalStockProgress[[#This Row],[Date]])</f>
        <v>12</v>
      </c>
    </row>
    <row r="1655" spans="2:14">
      <c r="B1655" s="15">
        <v>45291</v>
      </c>
      <c r="C1655" s="34" t="s">
        <v>18</v>
      </c>
      <c r="D1655" s="34" t="e" vm="5">
        <f>_xlfn.XLOOKUP(HistoricalStockProgress[[#This Row],[Company Ticker]],CompanyDetailsList[Company Ticker],CompanyDetailsList[Official Name],,0)</f>
        <v>#VALUE!</v>
      </c>
      <c r="E16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6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655" s="17">
        <f>IFERROR(HistoricalStockProgress[[#This Row],[Cost of Shares]]/HistoricalStockProgress[[#This Row],[No. of Shares]],0)</f>
        <v>160.8859607546234</v>
      </c>
      <c r="H1655" s="16" vm="2141">
        <v>169.84</v>
      </c>
      <c r="I1655" s="16">
        <f>IF(HistoricalStockProgress[[#This Row],[No. of Shares]]&lt;&gt;0,HistoricalStockProgress[[#This Row],[Price of Shares]]*HistoricalStockProgress[[#This Row],[No. of Shares]],0)</f>
        <v>7303.12</v>
      </c>
      <c r="J1655" s="16">
        <f>IF(HistoricalStockProgress[[#This Row],[No. of Shares]]&lt;&gt;0,HistoricalStockProgress[[#This Row],[Price of Shares]]-HistoricalStockProgress[[#This Row],[Cost of Shares]]/HistoricalStockProgress[[#This Row],[No. of Shares]],0)</f>
        <v>8.954039245376606</v>
      </c>
      <c r="K1655" s="17">
        <f>IF(HistoricalStockProgress[[#This Row],[Total Price of Shares]]&lt;&gt;0,HistoricalStockProgress[[#This Row],[Total Price of Shares]]-HistoricalStockProgress[[#This Row],[Cost of Shares]],0)</f>
        <v>385.02368755119369</v>
      </c>
      <c r="L1655" s="34" t="b" cm="1">
        <f t="array" ref="L1655">IFERROR(IF(HistoricalStockProgress[[#This Row],[Price of Shares]]="",_xlfn.STOCKHISTORY(HistoricalStockProgress[[#This Row],[Full Company Name]],HistoricalStockProgress[[#This Row],[Date]],,2,0,1)),0)</f>
        <v>0</v>
      </c>
      <c r="M1655" s="34">
        <f>YEAR(HistoricalStockProgress[[#This Row],[Date]])</f>
        <v>2023</v>
      </c>
      <c r="N1655" s="34">
        <f>MONTH(HistoricalStockProgress[[#This Row],[Date]])</f>
        <v>12</v>
      </c>
    </row>
    <row r="1656" spans="2:14">
      <c r="B1656" s="15">
        <v>45291</v>
      </c>
      <c r="C1656" s="34" t="s">
        <v>21</v>
      </c>
      <c r="D1656" s="34" t="e" vm="6">
        <f>_xlfn.XLOOKUP(HistoricalStockProgress[[#This Row],[Company Ticker]],CompanyDetailsList[Company Ticker],CompanyDetailsList[Official Name],,0)</f>
        <v>#VALUE!</v>
      </c>
      <c r="E16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6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656" s="17">
        <f>IFERROR(HistoricalStockProgress[[#This Row],[Cost of Shares]]/HistoricalStockProgress[[#This Row],[No. of Shares]],0)</f>
        <v>139.68700010204148</v>
      </c>
      <c r="H1656" s="16" vm="2142">
        <v>146.54</v>
      </c>
      <c r="I1656" s="16">
        <f>IF(HistoricalStockProgress[[#This Row],[No. of Shares]]&lt;&gt;0,HistoricalStockProgress[[#This Row],[Price of Shares]]*HistoricalStockProgress[[#This Row],[No. of Shares]],0)</f>
        <v>6154.6799999999994</v>
      </c>
      <c r="J1656" s="16">
        <f>IF(HistoricalStockProgress[[#This Row],[No. of Shares]]&lt;&gt;0,HistoricalStockProgress[[#This Row],[Price of Shares]]-HistoricalStockProgress[[#This Row],[Cost of Shares]]/HistoricalStockProgress[[#This Row],[No. of Shares]],0)</f>
        <v>6.8529998979585116</v>
      </c>
      <c r="K1656" s="17">
        <f>IF(HistoricalStockProgress[[#This Row],[Total Price of Shares]]&lt;&gt;0,HistoricalStockProgress[[#This Row],[Total Price of Shares]]-HistoricalStockProgress[[#This Row],[Cost of Shares]],0)</f>
        <v>287.82599571425726</v>
      </c>
      <c r="L1656" s="34" t="b" cm="1">
        <f t="array" ref="L1656">IFERROR(IF(HistoricalStockProgress[[#This Row],[Price of Shares]]="",_xlfn.STOCKHISTORY(HistoricalStockProgress[[#This Row],[Full Company Name]],HistoricalStockProgress[[#This Row],[Date]],,2,0,1)),0)</f>
        <v>0</v>
      </c>
      <c r="M1656" s="34">
        <f>YEAR(HistoricalStockProgress[[#This Row],[Date]])</f>
        <v>2023</v>
      </c>
      <c r="N1656" s="34">
        <f>MONTH(HistoricalStockProgress[[#This Row],[Date]])</f>
        <v>12</v>
      </c>
    </row>
    <row r="1657" spans="2:14">
      <c r="B1657" s="15">
        <v>45291</v>
      </c>
      <c r="C1657" s="34" t="s">
        <v>84</v>
      </c>
      <c r="D1657" s="34" t="e" vm="7">
        <f>_xlfn.XLOOKUP(HistoricalStockProgress[[#This Row],[Company Ticker]],CompanyDetailsList[Company Ticker],CompanyDetailsList[Official Name],,0)</f>
        <v>#VALUE!</v>
      </c>
      <c r="E16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6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657" s="17">
        <f>IFERROR(HistoricalStockProgress[[#This Row],[Cost of Shares]]/HistoricalStockProgress[[#This Row],[No. of Shares]],0)</f>
        <v>104.18087504950869</v>
      </c>
      <c r="H1657" s="16" vm="2143">
        <v>156.74</v>
      </c>
      <c r="I1657" s="16">
        <f>IF(HistoricalStockProgress[[#This Row],[No. of Shares]]&lt;&gt;0,HistoricalStockProgress[[#This Row],[Price of Shares]]*HistoricalStockProgress[[#This Row],[No. of Shares]],0)</f>
        <v>7993.7400000000007</v>
      </c>
      <c r="J1657" s="16">
        <f>IF(HistoricalStockProgress[[#This Row],[No. of Shares]]&lt;&gt;0,HistoricalStockProgress[[#This Row],[Price of Shares]]-HistoricalStockProgress[[#This Row],[Cost of Shares]]/HistoricalStockProgress[[#This Row],[No. of Shares]],0)</f>
        <v>52.559124950491324</v>
      </c>
      <c r="K1657" s="17">
        <f>IF(HistoricalStockProgress[[#This Row],[Total Price of Shares]]&lt;&gt;0,HistoricalStockProgress[[#This Row],[Total Price of Shares]]-HistoricalStockProgress[[#This Row],[Cost of Shares]],0)</f>
        <v>2680.515372475058</v>
      </c>
      <c r="L1657" s="34" t="b" cm="1">
        <f t="array" ref="L1657">IFERROR(IF(HistoricalStockProgress[[#This Row],[Price of Shares]]="",_xlfn.STOCKHISTORY(HistoricalStockProgress[[#This Row],[Full Company Name]],HistoricalStockProgress[[#This Row],[Date]],,2,0,1)),0)</f>
        <v>0</v>
      </c>
      <c r="M1657" s="34">
        <f>YEAR(HistoricalStockProgress[[#This Row],[Date]])</f>
        <v>2023</v>
      </c>
      <c r="N1657" s="34">
        <f>MONTH(HistoricalStockProgress[[#This Row],[Date]])</f>
        <v>12</v>
      </c>
    </row>
    <row r="1658" spans="2:14">
      <c r="B1658" s="15">
        <v>45291</v>
      </c>
      <c r="C1658" s="34" t="s">
        <v>86</v>
      </c>
      <c r="D1658" s="34" t="e" vm="8">
        <f>_xlfn.XLOOKUP(HistoricalStockProgress[[#This Row],[Company Ticker]],CompanyDetailsList[Company Ticker],CompanyDetailsList[Official Name],,0)</f>
        <v>#VALUE!</v>
      </c>
      <c r="E16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120</v>
      </c>
      <c r="F16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11434.543004354886</v>
      </c>
      <c r="G1658" s="17">
        <f>IFERROR(HistoricalStockProgress[[#This Row],[Cost of Shares]]/HistoricalStockProgress[[#This Row],[No. of Shares]],0)</f>
        <v>95.287858369624047</v>
      </c>
      <c r="H1658" s="16" vm="2144">
        <v>154.97</v>
      </c>
      <c r="I1658" s="16">
        <f>IF(HistoricalStockProgress[[#This Row],[No. of Shares]]&lt;&gt;0,HistoricalStockProgress[[#This Row],[Price of Shares]]*HistoricalStockProgress[[#This Row],[No. of Shares]],0)</f>
        <v>18596.400000000001</v>
      </c>
      <c r="J1658" s="16">
        <f>IF(HistoricalStockProgress[[#This Row],[No. of Shares]]&lt;&gt;0,HistoricalStockProgress[[#This Row],[Price of Shares]]-HistoricalStockProgress[[#This Row],[Cost of Shares]]/HistoricalStockProgress[[#This Row],[No. of Shares]],0)</f>
        <v>59.682141630375952</v>
      </c>
      <c r="K1658" s="17">
        <f>IF(HistoricalStockProgress[[#This Row],[Total Price of Shares]]&lt;&gt;0,HistoricalStockProgress[[#This Row],[Total Price of Shares]]-HistoricalStockProgress[[#This Row],[Cost of Shares]],0)</f>
        <v>7161.8569956451156</v>
      </c>
      <c r="L1658" s="34" t="b" cm="1">
        <f t="array" ref="L1658">IFERROR(IF(HistoricalStockProgress[[#This Row],[Price of Shares]]="",_xlfn.STOCKHISTORY(HistoricalStockProgress[[#This Row],[Full Company Name]],HistoricalStockProgress[[#This Row],[Date]],,2,0,1)),0)</f>
        <v>0</v>
      </c>
      <c r="M1658" s="34">
        <f>YEAR(HistoricalStockProgress[[#This Row],[Date]])</f>
        <v>2023</v>
      </c>
      <c r="N1658" s="34">
        <f>MONTH(HistoricalStockProgress[[#This Row],[Date]])</f>
        <v>12</v>
      </c>
    </row>
    <row r="1659" spans="2:14">
      <c r="B1659" s="15">
        <v>45291</v>
      </c>
      <c r="C1659" s="34" t="s">
        <v>88</v>
      </c>
      <c r="D1659" s="34" t="e" vm="9">
        <f>_xlfn.XLOOKUP(HistoricalStockProgress[[#This Row],[Company Ticker]],CompanyDetailsList[Company Ticker],CompanyDetailsList[Official Name],,0)</f>
        <v>#VALUE!</v>
      </c>
      <c r="E16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68</v>
      </c>
      <c r="F16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13660.356292131106</v>
      </c>
      <c r="G1659" s="17">
        <f>IFERROR(HistoricalStockProgress[[#This Row],[Cost of Shares]]/HistoricalStockProgress[[#This Row],[No. of Shares]],0)</f>
        <v>200.88759253133981</v>
      </c>
      <c r="H1659" s="16" vm="2145">
        <v>296.51</v>
      </c>
      <c r="I1659" s="16">
        <f>IF(HistoricalStockProgress[[#This Row],[No. of Shares]]&lt;&gt;0,HistoricalStockProgress[[#This Row],[Price of Shares]]*HistoricalStockProgress[[#This Row],[No. of Shares]],0)</f>
        <v>20162.68</v>
      </c>
      <c r="J1659" s="16">
        <f>IF(HistoricalStockProgress[[#This Row],[No. of Shares]]&lt;&gt;0,HistoricalStockProgress[[#This Row],[Price of Shares]]-HistoricalStockProgress[[#This Row],[Cost of Shares]]/HistoricalStockProgress[[#This Row],[No. of Shares]],0)</f>
        <v>95.622407468660185</v>
      </c>
      <c r="K1659" s="17">
        <f>IF(HistoricalStockProgress[[#This Row],[Total Price of Shares]]&lt;&gt;0,HistoricalStockProgress[[#This Row],[Total Price of Shares]]-HistoricalStockProgress[[#This Row],[Cost of Shares]],0)</f>
        <v>6502.3237078688944</v>
      </c>
      <c r="L1659" s="34" t="b" cm="1">
        <f t="array" ref="L1659">IFERROR(IF(HistoricalStockProgress[[#This Row],[Price of Shares]]="",_xlfn.STOCKHISTORY(HistoricalStockProgress[[#This Row],[Full Company Name]],HistoricalStockProgress[[#This Row],[Date]],,2,0,1)),0)</f>
        <v>0</v>
      </c>
      <c r="M1659" s="34">
        <f>YEAR(HistoricalStockProgress[[#This Row],[Date]])</f>
        <v>2023</v>
      </c>
      <c r="N1659" s="34">
        <f>MONTH(HistoricalStockProgress[[#This Row],[Date]])</f>
        <v>12</v>
      </c>
    </row>
    <row r="1660" spans="2:14">
      <c r="B1660" s="15">
        <v>45291</v>
      </c>
      <c r="C1660" s="34" t="s">
        <v>22</v>
      </c>
      <c r="D1660" s="34" t="e" vm="10">
        <f>_xlfn.XLOOKUP(HistoricalStockProgress[[#This Row],[Company Ticker]],CompanyDetailsList[Company Ticker],CompanyDetailsList[Official Name],,0)</f>
        <v>#VALUE!</v>
      </c>
      <c r="E16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6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660" s="17">
        <f>IFERROR(HistoricalStockProgress[[#This Row],[Cost of Shares]]/HistoricalStockProgress[[#This Row],[No. of Shares]],0)</f>
        <v>130.19784136724968</v>
      </c>
      <c r="H1660" s="16" vm="2146">
        <v>295.67</v>
      </c>
      <c r="I1660" s="16">
        <f>IF(HistoricalStockProgress[[#This Row],[No. of Shares]]&lt;&gt;0,HistoricalStockProgress[[#This Row],[Price of Shares]]*HistoricalStockProgress[[#This Row],[No. of Shares]],0)</f>
        <v>35184.730000000003</v>
      </c>
      <c r="J1660" s="16">
        <f>IF(HistoricalStockProgress[[#This Row],[No. of Shares]]&lt;&gt;0,HistoricalStockProgress[[#This Row],[Price of Shares]]-HistoricalStockProgress[[#This Row],[Cost of Shares]]/HistoricalStockProgress[[#This Row],[No. of Shares]],0)</f>
        <v>165.47215863275034</v>
      </c>
      <c r="K1660" s="17">
        <f>IF(HistoricalStockProgress[[#This Row],[Total Price of Shares]]&lt;&gt;0,HistoricalStockProgress[[#This Row],[Total Price of Shares]]-HistoricalStockProgress[[#This Row],[Cost of Shares]],0)</f>
        <v>19691.186877297288</v>
      </c>
      <c r="L1660" s="34" t="b" cm="1">
        <f t="array" ref="L1660">IFERROR(IF(HistoricalStockProgress[[#This Row],[Price of Shares]]="",_xlfn.STOCKHISTORY(HistoricalStockProgress[[#This Row],[Full Company Name]],HistoricalStockProgress[[#This Row],[Date]],,2,0,1)),0)</f>
        <v>0</v>
      </c>
      <c r="M1660" s="34">
        <f>YEAR(HistoricalStockProgress[[#This Row],[Date]])</f>
        <v>2023</v>
      </c>
      <c r="N1660" s="34">
        <f>MONTH(HistoricalStockProgress[[#This Row],[Date]])</f>
        <v>12</v>
      </c>
    </row>
    <row r="1661" spans="2:14">
      <c r="B1661" s="15">
        <v>45291</v>
      </c>
      <c r="C1661" s="34" t="s">
        <v>91</v>
      </c>
      <c r="D1661" s="34" t="e" vm="11">
        <f>_xlfn.XLOOKUP(HistoricalStockProgress[[#This Row],[Company Ticker]],CompanyDetailsList[Company Ticker],CompanyDetailsList[Official Name],,0)</f>
        <v>#VALUE!</v>
      </c>
      <c r="E16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6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661" s="17">
        <f>IFERROR(HistoricalStockProgress[[#This Row],[Cost of Shares]]/HistoricalStockProgress[[#This Row],[No. of Shares]],0)</f>
        <v>133.15744058830452</v>
      </c>
      <c r="H1661" s="16" vm="2147">
        <v>376.04</v>
      </c>
      <c r="I1661" s="16">
        <f>IF(HistoricalStockProgress[[#This Row],[No. of Shares]]&lt;&gt;0,HistoricalStockProgress[[#This Row],[Price of Shares]]*HistoricalStockProgress[[#This Row],[No. of Shares]],0)</f>
        <v>68815.320000000007</v>
      </c>
      <c r="J1661" s="16">
        <f>IF(HistoricalStockProgress[[#This Row],[No. of Shares]]&lt;&gt;0,HistoricalStockProgress[[#This Row],[Price of Shares]]-HistoricalStockProgress[[#This Row],[Cost of Shares]]/HistoricalStockProgress[[#This Row],[No. of Shares]],0)</f>
        <v>242.8825594116955</v>
      </c>
      <c r="K1661" s="17">
        <f>IF(HistoricalStockProgress[[#This Row],[Total Price of Shares]]&lt;&gt;0,HistoricalStockProgress[[#This Row],[Total Price of Shares]]-HistoricalStockProgress[[#This Row],[Cost of Shares]],0)</f>
        <v>44447.508372340279</v>
      </c>
      <c r="L1661" s="34" t="b" cm="1">
        <f t="array" ref="L1661">IFERROR(IF(HistoricalStockProgress[[#This Row],[Price of Shares]]="",_xlfn.STOCKHISTORY(HistoricalStockProgress[[#This Row],[Full Company Name]],HistoricalStockProgress[[#This Row],[Date]],,2,0,1)),0)</f>
        <v>0</v>
      </c>
      <c r="M1661" s="34">
        <f>YEAR(HistoricalStockProgress[[#This Row],[Date]])</f>
        <v>2023</v>
      </c>
      <c r="N1661" s="34">
        <f>MONTH(HistoricalStockProgress[[#This Row],[Date]])</f>
        <v>12</v>
      </c>
    </row>
    <row r="1662" spans="2:14">
      <c r="B1662" s="15">
        <v>45291</v>
      </c>
      <c r="C1662" s="34" t="s">
        <v>16</v>
      </c>
      <c r="D1662" s="34" t="e" vm="12">
        <f>_xlfn.XLOOKUP(HistoricalStockProgress[[#This Row],[Company Ticker]],CompanyDetailsList[Company Ticker],CompanyDetailsList[Official Name],,0)</f>
        <v>#VALUE!</v>
      </c>
      <c r="E16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6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662" s="17">
        <f>IFERROR(HistoricalStockProgress[[#This Row],[Cost of Shares]]/HistoricalStockProgress[[#This Row],[No. of Shares]],0)</f>
        <v>75.117698177311837</v>
      </c>
      <c r="H1662" s="16" vm="2148">
        <v>99.98</v>
      </c>
      <c r="I1662" s="16">
        <f>IF(HistoricalStockProgress[[#This Row],[No. of Shares]]&lt;&gt;0,HistoricalStockProgress[[#This Row],[Price of Shares]]*HistoricalStockProgress[[#This Row],[No. of Shares]],0)</f>
        <v>18496.3</v>
      </c>
      <c r="J1662" s="16">
        <f>IF(HistoricalStockProgress[[#This Row],[No. of Shares]]&lt;&gt;0,HistoricalStockProgress[[#This Row],[Price of Shares]]-HistoricalStockProgress[[#This Row],[Cost of Shares]]/HistoricalStockProgress[[#This Row],[No. of Shares]],0)</f>
        <v>24.862301822688167</v>
      </c>
      <c r="K1662" s="17">
        <f>IF(HistoricalStockProgress[[#This Row],[Total Price of Shares]]&lt;&gt;0,HistoricalStockProgress[[#This Row],[Total Price of Shares]]-HistoricalStockProgress[[#This Row],[Cost of Shares]],0)</f>
        <v>4599.5258371973105</v>
      </c>
      <c r="L1662" s="34" t="b" cm="1">
        <f t="array" ref="L1662">IFERROR(IF(HistoricalStockProgress[[#This Row],[Price of Shares]]="",_xlfn.STOCKHISTORY(HistoricalStockProgress[[#This Row],[Full Company Name]],HistoricalStockProgress[[#This Row],[Date]],,2,0,1)),0)</f>
        <v>0</v>
      </c>
      <c r="M1662" s="34">
        <f>YEAR(HistoricalStockProgress[[#This Row],[Date]])</f>
        <v>2023</v>
      </c>
      <c r="N1662" s="34">
        <f>MONTH(HistoricalStockProgress[[#This Row],[Date]])</f>
        <v>12</v>
      </c>
    </row>
    <row r="1663" spans="2:14">
      <c r="B1663" s="15">
        <v>45291</v>
      </c>
      <c r="C1663" s="34" t="s">
        <v>95</v>
      </c>
      <c r="D1663" s="34" t="e" vm="13">
        <f>_xlfn.XLOOKUP(HistoricalStockProgress[[#This Row],[Company Ticker]],CompanyDetailsList[Company Ticker],CompanyDetailsList[Official Name],,0)</f>
        <v>#VALUE!</v>
      </c>
      <c r="E16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143</v>
      </c>
      <c r="F16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35362.550411645469</v>
      </c>
      <c r="G1663" s="17">
        <f>IFERROR(HistoricalStockProgress[[#This Row],[Cost of Shares]]/HistoricalStockProgress[[#This Row],[No. of Shares]],0)</f>
        <v>247.29056231919907</v>
      </c>
      <c r="H1663" s="16" vm="2149">
        <v>346.55</v>
      </c>
      <c r="I1663" s="16">
        <f>IF(HistoricalStockProgress[[#This Row],[No. of Shares]]&lt;&gt;0,HistoricalStockProgress[[#This Row],[Price of Shares]]*HistoricalStockProgress[[#This Row],[No. of Shares]],0)</f>
        <v>49556.65</v>
      </c>
      <c r="J1663" s="16">
        <f>IF(HistoricalStockProgress[[#This Row],[No. of Shares]]&lt;&gt;0,HistoricalStockProgress[[#This Row],[Price of Shares]]-HistoricalStockProgress[[#This Row],[Cost of Shares]]/HistoricalStockProgress[[#This Row],[No. of Shares]],0)</f>
        <v>99.259437680800943</v>
      </c>
      <c r="K1663" s="17">
        <f>IF(HistoricalStockProgress[[#This Row],[Total Price of Shares]]&lt;&gt;0,HistoricalStockProgress[[#This Row],[Total Price of Shares]]-HistoricalStockProgress[[#This Row],[Cost of Shares]],0)</f>
        <v>14194.099588354533</v>
      </c>
      <c r="L1663" s="34" t="b" cm="1">
        <f t="array" ref="L1663">IFERROR(IF(HistoricalStockProgress[[#This Row],[Price of Shares]]="",_xlfn.STOCKHISTORY(HistoricalStockProgress[[#This Row],[Full Company Name]],HistoricalStockProgress[[#This Row],[Date]],,2,0,1)),0)</f>
        <v>0</v>
      </c>
      <c r="M1663" s="34">
        <f>YEAR(HistoricalStockProgress[[#This Row],[Date]])</f>
        <v>2023</v>
      </c>
      <c r="N1663" s="34">
        <f>MONTH(HistoricalStockProgress[[#This Row],[Date]])</f>
        <v>12</v>
      </c>
    </row>
    <row r="1664" spans="2:14">
      <c r="B1664" s="15">
        <v>45291</v>
      </c>
      <c r="C1664" s="34" t="s">
        <v>17</v>
      </c>
      <c r="D1664" s="34" t="e" vm="14">
        <f>_xlfn.XLOOKUP(HistoricalStockProgress[[#This Row],[Company Ticker]],CompanyDetailsList[Company Ticker],CompanyDetailsList[Official Name],,0)</f>
        <v>#VALUE!</v>
      </c>
      <c r="E16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6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26400.485099161626</v>
      </c>
      <c r="G1664" s="17">
        <f>IFERROR(HistoricalStockProgress[[#This Row],[Cost of Shares]]/HistoricalStockProgress[[#This Row],[No. of Shares]],0)</f>
        <v>136.08497473794654</v>
      </c>
      <c r="H1664" s="16" vm="2150">
        <v>163.55000000000001</v>
      </c>
      <c r="I1664" s="16">
        <f>IF(HistoricalStockProgress[[#This Row],[No. of Shares]]&lt;&gt;0,HistoricalStockProgress[[#This Row],[Price of Shares]]*HistoricalStockProgress[[#This Row],[No. of Shares]],0)</f>
        <v>31728.7</v>
      </c>
      <c r="J1664" s="16">
        <f>IF(HistoricalStockProgress[[#This Row],[No. of Shares]]&lt;&gt;0,HistoricalStockProgress[[#This Row],[Price of Shares]]-HistoricalStockProgress[[#This Row],[Cost of Shares]]/HistoricalStockProgress[[#This Row],[No. of Shares]],0)</f>
        <v>27.465025262053473</v>
      </c>
      <c r="K1664" s="17">
        <f>IF(HistoricalStockProgress[[#This Row],[Total Price of Shares]]&lt;&gt;0,HistoricalStockProgress[[#This Row],[Total Price of Shares]]-HistoricalStockProgress[[#This Row],[Cost of Shares]],0)</f>
        <v>5328.2149008383749</v>
      </c>
      <c r="L1664" s="34" t="b" cm="1">
        <f t="array" ref="L1664">IFERROR(IF(HistoricalStockProgress[[#This Row],[Price of Shares]]="",_xlfn.STOCKHISTORY(HistoricalStockProgress[[#This Row],[Full Company Name]],HistoricalStockProgress[[#This Row],[Date]],,2,0,1)),0)</f>
        <v>0</v>
      </c>
      <c r="M1664" s="34">
        <f>YEAR(HistoricalStockProgress[[#This Row],[Date]])</f>
        <v>2023</v>
      </c>
      <c r="N1664" s="34">
        <f>MONTH(HistoricalStockProgress[[#This Row],[Date]])</f>
        <v>12</v>
      </c>
    </row>
    <row r="1665" spans="2:14">
      <c r="B1665" s="15">
        <v>45291</v>
      </c>
      <c r="C1665" s="34" t="s">
        <v>98</v>
      </c>
      <c r="D1665" s="34" t="e" vm="15">
        <f>_xlfn.XLOOKUP(HistoricalStockProgress[[#This Row],[Company Ticker]],CompanyDetailsList[Company Ticker],CompanyDetailsList[Official Name],,0)</f>
        <v>#VALUE!</v>
      </c>
      <c r="E16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6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6407.714421697975</v>
      </c>
      <c r="G1665" s="17">
        <f>IFERROR(HistoricalStockProgress[[#This Row],[Cost of Shares]]/HistoricalStockProgress[[#This Row],[No. of Shares]],0)</f>
        <v>53.846339678134242</v>
      </c>
      <c r="H1665" s="16" vm="2151">
        <v>60.74</v>
      </c>
      <c r="I1665" s="16">
        <f>IF(HistoricalStockProgress[[#This Row],[No. of Shares]]&lt;&gt;0,HistoricalStockProgress[[#This Row],[Price of Shares]]*HistoricalStockProgress[[#This Row],[No. of Shares]],0)</f>
        <v>7228.06</v>
      </c>
      <c r="J1665" s="16">
        <f>IF(HistoricalStockProgress[[#This Row],[No. of Shares]]&lt;&gt;0,HistoricalStockProgress[[#This Row],[Price of Shares]]-HistoricalStockProgress[[#This Row],[Cost of Shares]]/HistoricalStockProgress[[#This Row],[No. of Shares]],0)</f>
        <v>6.8936603218657595</v>
      </c>
      <c r="K1665" s="17">
        <f>IF(HistoricalStockProgress[[#This Row],[Total Price of Shares]]&lt;&gt;0,HistoricalStockProgress[[#This Row],[Total Price of Shares]]-HistoricalStockProgress[[#This Row],[Cost of Shares]],0)</f>
        <v>820.34557830202539</v>
      </c>
      <c r="L1665" s="34" t="b" cm="1">
        <f t="array" ref="L1665">IFERROR(IF(HistoricalStockProgress[[#This Row],[Price of Shares]]="",_xlfn.STOCKHISTORY(HistoricalStockProgress[[#This Row],[Full Company Name]],HistoricalStockProgress[[#This Row],[Date]],,2,0,1)),0)</f>
        <v>0</v>
      </c>
      <c r="M1665" s="34">
        <f>YEAR(HistoricalStockProgress[[#This Row],[Date]])</f>
        <v>2023</v>
      </c>
      <c r="N1665" s="34">
        <f>MONTH(HistoricalStockProgress[[#This Row],[Date]])</f>
        <v>12</v>
      </c>
    </row>
    <row r="1666" spans="2:14">
      <c r="B1666" s="15">
        <v>45291</v>
      </c>
      <c r="C1666" s="34" t="s">
        <v>100</v>
      </c>
      <c r="D1666" s="34" t="e" vm="16">
        <f>_xlfn.XLOOKUP(HistoricalStockProgress[[#This Row],[Company Ticker]],CompanyDetailsList[Company Ticker],CompanyDetailsList[Official Name],,0)</f>
        <v>#VALUE!</v>
      </c>
      <c r="E16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16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1666" s="17">
        <f>IFERROR(HistoricalStockProgress[[#This Row],[Cost of Shares]]/HistoricalStockProgress[[#This Row],[No. of Shares]],0)</f>
        <v>92.156351168716071</v>
      </c>
      <c r="H1666" s="16" vm="2152">
        <v>97.04</v>
      </c>
      <c r="I1666" s="16">
        <f>IF(HistoricalStockProgress[[#This Row],[No. of Shares]]&lt;&gt;0,HistoricalStockProgress[[#This Row],[Price of Shares]]*HistoricalStockProgress[[#This Row],[No. of Shares]],0)</f>
        <v>24260</v>
      </c>
      <c r="J1666" s="16">
        <f>IF(HistoricalStockProgress[[#This Row],[No. of Shares]]&lt;&gt;0,HistoricalStockProgress[[#This Row],[Price of Shares]]-HistoricalStockProgress[[#This Row],[Cost of Shares]]/HistoricalStockProgress[[#This Row],[No. of Shares]],0)</f>
        <v>4.883648831283935</v>
      </c>
      <c r="K1666" s="17">
        <f>IF(HistoricalStockProgress[[#This Row],[Total Price of Shares]]&lt;&gt;0,HistoricalStockProgress[[#This Row],[Total Price of Shares]]-HistoricalStockProgress[[#This Row],[Cost of Shares]],0)</f>
        <v>1220.9122078209839</v>
      </c>
      <c r="L1666" s="34" t="b" cm="1">
        <f t="array" ref="L1666">IFERROR(IF(HistoricalStockProgress[[#This Row],[Price of Shares]]="",_xlfn.STOCKHISTORY(HistoricalStockProgress[[#This Row],[Full Company Name]],HistoricalStockProgress[[#This Row],[Date]],,2,0,1)),0)</f>
        <v>0</v>
      </c>
      <c r="M1666" s="34">
        <f>YEAR(HistoricalStockProgress[[#This Row],[Date]])</f>
        <v>2023</v>
      </c>
      <c r="N1666" s="34">
        <f>MONTH(HistoricalStockProgress[[#This Row],[Date]])</f>
        <v>12</v>
      </c>
    </row>
    <row r="1667" spans="2:14">
      <c r="B1667" s="15">
        <v>45291</v>
      </c>
      <c r="C1667" s="34" t="s">
        <v>15</v>
      </c>
      <c r="D1667" s="34" t="e" vm="17">
        <f>_xlfn.XLOOKUP(HistoricalStockProgress[[#This Row],[Company Ticker]],CompanyDetailsList[Company Ticker],CompanyDetailsList[Official Name],,0)</f>
        <v>#VALUE!</v>
      </c>
      <c r="E16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133</v>
      </c>
      <c r="F16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3377.7842958499027</v>
      </c>
      <c r="G1667" s="17">
        <f>IFERROR(HistoricalStockProgress[[#This Row],[Cost of Shares]]/HistoricalStockProgress[[#This Row],[No. of Shares]],0)</f>
        <v>25.396874404886486</v>
      </c>
      <c r="H1667" s="16" vm="2153">
        <v>16.78</v>
      </c>
      <c r="I1667" s="16">
        <f>IF(HistoricalStockProgress[[#This Row],[No. of Shares]]&lt;&gt;0,HistoricalStockProgress[[#This Row],[Price of Shares]]*HistoricalStockProgress[[#This Row],[No. of Shares]],0)</f>
        <v>2231.7400000000002</v>
      </c>
      <c r="J1667" s="16">
        <f>IF(HistoricalStockProgress[[#This Row],[No. of Shares]]&lt;&gt;0,HistoricalStockProgress[[#This Row],[Price of Shares]]-HistoricalStockProgress[[#This Row],[Cost of Shares]]/HistoricalStockProgress[[#This Row],[No. of Shares]],0)</f>
        <v>-8.6168744048864845</v>
      </c>
      <c r="K1667" s="17">
        <f>IF(HistoricalStockProgress[[#This Row],[Total Price of Shares]]&lt;&gt;0,HistoricalStockProgress[[#This Row],[Total Price of Shares]]-HistoricalStockProgress[[#This Row],[Cost of Shares]],0)</f>
        <v>-1146.0442958499025</v>
      </c>
      <c r="L1667" s="34" t="b" cm="1">
        <f t="array" ref="L1667">IFERROR(IF(HistoricalStockProgress[[#This Row],[Price of Shares]]="",_xlfn.STOCKHISTORY(HistoricalStockProgress[[#This Row],[Full Company Name]],HistoricalStockProgress[[#This Row],[Date]],,2,0,1)),0)</f>
        <v>0</v>
      </c>
      <c r="M1667" s="34">
        <f>YEAR(HistoricalStockProgress[[#This Row],[Date]])</f>
        <v>2023</v>
      </c>
      <c r="N1667" s="34">
        <f>MONTH(HistoricalStockProgress[[#This Row],[Date]])</f>
        <v>12</v>
      </c>
    </row>
    <row r="1668" spans="2:14">
      <c r="B1668" s="15">
        <v>45291</v>
      </c>
      <c r="C1668" s="34" t="s">
        <v>13</v>
      </c>
      <c r="D1668" s="34" t="e" vm="18">
        <f>_xlfn.XLOOKUP(HistoricalStockProgress[[#This Row],[Company Ticker]],CompanyDetailsList[Company Ticker],CompanyDetailsList[Official Name],,0)</f>
        <v>#VALUE!</v>
      </c>
      <c r="E16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6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668" s="17">
        <f>IFERROR(HistoricalStockProgress[[#This Row],[Cost of Shares]]/HistoricalStockProgress[[#This Row],[No. of Shares]],0)</f>
        <v>35.846938938346874</v>
      </c>
      <c r="H1668" s="16" vm="2154">
        <v>28.79</v>
      </c>
      <c r="I1668" s="16">
        <f>IF(HistoricalStockProgress[[#This Row],[No. of Shares]]&lt;&gt;0,HistoricalStockProgress[[#This Row],[Price of Shares]]*HistoricalStockProgress[[#This Row],[No. of Shares]],0)</f>
        <v>1583.45</v>
      </c>
      <c r="J1668" s="16">
        <f>IF(HistoricalStockProgress[[#This Row],[No. of Shares]]&lt;&gt;0,HistoricalStockProgress[[#This Row],[Price of Shares]]-HistoricalStockProgress[[#This Row],[Cost of Shares]]/HistoricalStockProgress[[#This Row],[No. of Shares]],0)</f>
        <v>-7.0569389383468746</v>
      </c>
      <c r="K1668" s="17">
        <f>IF(HistoricalStockProgress[[#This Row],[Total Price of Shares]]&lt;&gt;0,HistoricalStockProgress[[#This Row],[Total Price of Shares]]-HistoricalStockProgress[[#This Row],[Cost of Shares]],0)</f>
        <v>-388.13164160907809</v>
      </c>
      <c r="L1668" s="34" t="b" cm="1">
        <f t="array" ref="L1668">IFERROR(IF(HistoricalStockProgress[[#This Row],[Price of Shares]]="",_xlfn.STOCKHISTORY(HistoricalStockProgress[[#This Row],[Full Company Name]],HistoricalStockProgress[[#This Row],[Date]],,2,0,1)),0)</f>
        <v>0</v>
      </c>
      <c r="M1668" s="34">
        <f>YEAR(HistoricalStockProgress[[#This Row],[Date]])</f>
        <v>2023</v>
      </c>
      <c r="N1668" s="34">
        <f>MONTH(HistoricalStockProgress[[#This Row],[Date]])</f>
        <v>12</v>
      </c>
    </row>
    <row r="1669" spans="2:14">
      <c r="B1669" s="15">
        <v>45291</v>
      </c>
      <c r="C1669" s="34" t="s">
        <v>20</v>
      </c>
      <c r="D1669" s="34" t="e" vm="19">
        <f>_xlfn.XLOOKUP(HistoricalStockProgress[[#This Row],[Company Ticker]],CompanyDetailsList[Company Ticker],CompanyDetailsList[Official Name],,0)</f>
        <v>#VALUE!</v>
      </c>
      <c r="E16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6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669" s="17">
        <f>IFERROR(HistoricalStockProgress[[#This Row],[Cost of Shares]]/HistoricalStockProgress[[#This Row],[No. of Shares]],0)</f>
        <v>108.1760767450256</v>
      </c>
      <c r="H1669" s="16" vm="2155">
        <v>170.1</v>
      </c>
      <c r="I1669" s="16">
        <f>IF(HistoricalStockProgress[[#This Row],[No. of Shares]]&lt;&gt;0,HistoricalStockProgress[[#This Row],[Price of Shares]]*HistoricalStockProgress[[#This Row],[No. of Shares]],0)</f>
        <v>19731.599999999999</v>
      </c>
      <c r="J1669" s="16">
        <f>IF(HistoricalStockProgress[[#This Row],[No. of Shares]]&lt;&gt;0,HistoricalStockProgress[[#This Row],[Price of Shares]]-HistoricalStockProgress[[#This Row],[Cost of Shares]]/HistoricalStockProgress[[#This Row],[No. of Shares]],0)</f>
        <v>61.923923254974397</v>
      </c>
      <c r="K1669" s="17">
        <f>IF(HistoricalStockProgress[[#This Row],[Total Price of Shares]]&lt;&gt;0,HistoricalStockProgress[[#This Row],[Total Price of Shares]]-HistoricalStockProgress[[#This Row],[Cost of Shares]],0)</f>
        <v>7183.1750975770301</v>
      </c>
      <c r="L1669" s="34" t="b" cm="1">
        <f t="array" ref="L1669">IFERROR(IF(HistoricalStockProgress[[#This Row],[Price of Shares]]="",_xlfn.STOCKHISTORY(HistoricalStockProgress[[#This Row],[Full Company Name]],HistoricalStockProgress[[#This Row],[Date]],,2,0,1)),0)</f>
        <v>0</v>
      </c>
      <c r="M1669" s="34">
        <f>YEAR(HistoricalStockProgress[[#This Row],[Date]])</f>
        <v>2023</v>
      </c>
      <c r="N1669" s="34">
        <f>MONTH(HistoricalStockProgress[[#This Row],[Date]])</f>
        <v>12</v>
      </c>
    </row>
    <row r="1670" spans="2:14">
      <c r="B1670" s="15">
        <v>45291</v>
      </c>
      <c r="C1670" s="34" t="s">
        <v>106</v>
      </c>
      <c r="D1670" s="34" t="e" vm="20">
        <f>_xlfn.XLOOKUP(HistoricalStockProgress[[#This Row],[Company Ticker]],CompanyDetailsList[Company Ticker],CompanyDetailsList[Official Name],,0)</f>
        <v>#VALUE!</v>
      </c>
      <c r="E16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6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670" s="17">
        <f>IFERROR(HistoricalStockProgress[[#This Row],[Cost of Shares]]/HistoricalStockProgress[[#This Row],[No. of Shares]],0)</f>
        <v>108.54870748680406</v>
      </c>
      <c r="H1670" s="16" vm="2156">
        <v>149.55000000000001</v>
      </c>
      <c r="I1670" s="16">
        <f>IF(HistoricalStockProgress[[#This Row],[No. of Shares]]&lt;&gt;0,HistoricalStockProgress[[#This Row],[Price of Shares]]*HistoricalStockProgress[[#This Row],[No. of Shares]],0)</f>
        <v>13160.400000000001</v>
      </c>
      <c r="J1670" s="16">
        <f>IF(HistoricalStockProgress[[#This Row],[No. of Shares]]&lt;&gt;0,HistoricalStockProgress[[#This Row],[Price of Shares]]-HistoricalStockProgress[[#This Row],[Cost of Shares]]/HistoricalStockProgress[[#This Row],[No. of Shares]],0)</f>
        <v>41.001292513195949</v>
      </c>
      <c r="K1670" s="17">
        <f>IF(HistoricalStockProgress[[#This Row],[Total Price of Shares]]&lt;&gt;0,HistoricalStockProgress[[#This Row],[Total Price of Shares]]-HistoricalStockProgress[[#This Row],[Cost of Shares]],0)</f>
        <v>3608.1137411612435</v>
      </c>
      <c r="L1670" s="34" t="b" cm="1">
        <f t="array" ref="L1670">IFERROR(IF(HistoricalStockProgress[[#This Row],[Price of Shares]]="",_xlfn.STOCKHISTORY(HistoricalStockProgress[[#This Row],[Full Company Name]],HistoricalStockProgress[[#This Row],[Date]],,2,0,1)),0)</f>
        <v>0</v>
      </c>
      <c r="M1670" s="34">
        <f>YEAR(HistoricalStockProgress[[#This Row],[Date]])</f>
        <v>2023</v>
      </c>
      <c r="N1670" s="34">
        <f>MONTH(HistoricalStockProgress[[#This Row],[Date]])</f>
        <v>12</v>
      </c>
    </row>
    <row r="1671" spans="2:14">
      <c r="B1671" s="15">
        <v>45322</v>
      </c>
      <c r="C1671" s="34" t="s">
        <v>12</v>
      </c>
      <c r="D1671" s="34" t="e" vm="1">
        <f>_xlfn.XLOOKUP(HistoricalStockProgress[[#This Row],[Company Ticker]],CompanyDetailsList[Company Ticker],CompanyDetailsList[Official Name],,0)</f>
        <v>#VALUE!</v>
      </c>
      <c r="E16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6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671" s="17">
        <f>IFERROR(HistoricalStockProgress[[#This Row],[Cost of Shares]]/HistoricalStockProgress[[#This Row],[No. of Shares]],0)</f>
        <v>64.573985995316889</v>
      </c>
      <c r="H1671" s="16" vm="2157">
        <v>54.39</v>
      </c>
      <c r="I1671" s="16">
        <f>IF(HistoricalStockProgress[[#This Row],[No. of Shares]]&lt;&gt;0,HistoricalStockProgress[[#This Row],[Price of Shares]]*HistoricalStockProgress[[#This Row],[No. of Shares]],0)</f>
        <v>5275.83</v>
      </c>
      <c r="J1671" s="16">
        <f>IF(HistoricalStockProgress[[#This Row],[No. of Shares]]&lt;&gt;0,HistoricalStockProgress[[#This Row],[Price of Shares]]-HistoricalStockProgress[[#This Row],[Cost of Shares]]/HistoricalStockProgress[[#This Row],[No. of Shares]],0)</f>
        <v>-10.183985995316888</v>
      </c>
      <c r="K1671" s="17">
        <f>IF(HistoricalStockProgress[[#This Row],[Total Price of Shares]]&lt;&gt;0,HistoricalStockProgress[[#This Row],[Total Price of Shares]]-HistoricalStockProgress[[#This Row],[Cost of Shares]],0)</f>
        <v>-987.84664154573784</v>
      </c>
      <c r="L1671" s="34" t="b" cm="1">
        <f t="array" ref="L1671">IFERROR(IF(HistoricalStockProgress[[#This Row],[Price of Shares]]="",_xlfn.STOCKHISTORY(HistoricalStockProgress[[#This Row],[Full Company Name]],HistoricalStockProgress[[#This Row],[Date]],,2,0,1)),0)</f>
        <v>0</v>
      </c>
      <c r="M1671" s="34">
        <f>YEAR(HistoricalStockProgress[[#This Row],[Date]])</f>
        <v>2024</v>
      </c>
      <c r="N1671" s="34">
        <f>MONTH(HistoricalStockProgress[[#This Row],[Date]])</f>
        <v>1</v>
      </c>
    </row>
    <row r="1672" spans="2:14">
      <c r="B1672" s="15">
        <v>45322</v>
      </c>
      <c r="C1672" s="34" t="s">
        <v>14</v>
      </c>
      <c r="D1672" s="34" t="e" vm="2">
        <f>_xlfn.XLOOKUP(HistoricalStockProgress[[#This Row],[Company Ticker]],CompanyDetailsList[Company Ticker],CompanyDetailsList[Official Name],,0)</f>
        <v>#VALUE!</v>
      </c>
      <c r="E16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16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1672" s="17">
        <f>IFERROR(HistoricalStockProgress[[#This Row],[Cost of Shares]]/HistoricalStockProgress[[#This Row],[No. of Shares]],0)</f>
        <v>26.819337355148658</v>
      </c>
      <c r="H1672" s="16" vm="2158">
        <v>24.24</v>
      </c>
      <c r="I1672" s="16">
        <f>IF(HistoricalStockProgress[[#This Row],[No. of Shares]]&lt;&gt;0,HistoricalStockProgress[[#This Row],[Price of Shares]]*HistoricalStockProgress[[#This Row],[No. of Shares]],0)</f>
        <v>1527.12</v>
      </c>
      <c r="J1672" s="16">
        <f>IF(HistoricalStockProgress[[#This Row],[No. of Shares]]&lt;&gt;0,HistoricalStockProgress[[#This Row],[Price of Shares]]-HistoricalStockProgress[[#This Row],[Cost of Shares]]/HistoricalStockProgress[[#This Row],[No. of Shares]],0)</f>
        <v>-2.5793373551486596</v>
      </c>
      <c r="K1672" s="17">
        <f>IF(HistoricalStockProgress[[#This Row],[Total Price of Shares]]&lt;&gt;0,HistoricalStockProgress[[#This Row],[Total Price of Shares]]-HistoricalStockProgress[[#This Row],[Cost of Shares]],0)</f>
        <v>-162.4982533743655</v>
      </c>
      <c r="L1672" s="34" t="b" cm="1">
        <f t="array" ref="L1672">IFERROR(IF(HistoricalStockProgress[[#This Row],[Price of Shares]]="",_xlfn.STOCKHISTORY(HistoricalStockProgress[[#This Row],[Full Company Name]],HistoricalStockProgress[[#This Row],[Date]],,2,0,1)),0)</f>
        <v>0</v>
      </c>
      <c r="M1672" s="34">
        <f>YEAR(HistoricalStockProgress[[#This Row],[Date]])</f>
        <v>2024</v>
      </c>
      <c r="N1672" s="34">
        <f>MONTH(HistoricalStockProgress[[#This Row],[Date]])</f>
        <v>1</v>
      </c>
    </row>
    <row r="1673" spans="2:14">
      <c r="B1673" s="15">
        <v>45322</v>
      </c>
      <c r="C1673" s="34" t="s">
        <v>19</v>
      </c>
      <c r="D1673" s="34" t="e" vm="3">
        <f>_xlfn.XLOOKUP(HistoricalStockProgress[[#This Row],[Company Ticker]],CompanyDetailsList[Company Ticker],CompanyDetailsList[Official Name],,0)</f>
        <v>#VALUE!</v>
      </c>
      <c r="E16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6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673" s="17">
        <f>IFERROR(HistoricalStockProgress[[#This Row],[Cost of Shares]]/HistoricalStockProgress[[#This Row],[No. of Shares]],0)</f>
        <v>158.45739987816083</v>
      </c>
      <c r="H1673" s="16" vm="2159">
        <v>145.25</v>
      </c>
      <c r="I1673" s="16">
        <f>IF(HistoricalStockProgress[[#This Row],[No. of Shares]]&lt;&gt;0,HistoricalStockProgress[[#This Row],[Price of Shares]]*HistoricalStockProgress[[#This Row],[No. of Shares]],0)</f>
        <v>8279.25</v>
      </c>
      <c r="J1673" s="16">
        <f>IF(HistoricalStockProgress[[#This Row],[No. of Shares]]&lt;&gt;0,HistoricalStockProgress[[#This Row],[Price of Shares]]-HistoricalStockProgress[[#This Row],[Cost of Shares]]/HistoricalStockProgress[[#This Row],[No. of Shares]],0)</f>
        <v>-13.207399878160828</v>
      </c>
      <c r="K1673" s="17">
        <f>IF(HistoricalStockProgress[[#This Row],[Total Price of Shares]]&lt;&gt;0,HistoricalStockProgress[[#This Row],[Total Price of Shares]]-HistoricalStockProgress[[#This Row],[Cost of Shares]],0)</f>
        <v>-752.82179305516729</v>
      </c>
      <c r="L1673" s="34" t="b" cm="1">
        <f t="array" ref="L1673">IFERROR(IF(HistoricalStockProgress[[#This Row],[Price of Shares]]="",_xlfn.STOCKHISTORY(HistoricalStockProgress[[#This Row],[Full Company Name]],HistoricalStockProgress[[#This Row],[Date]],,2,0,1)),0)</f>
        <v>0</v>
      </c>
      <c r="M1673" s="34">
        <f>YEAR(HistoricalStockProgress[[#This Row],[Date]])</f>
        <v>2024</v>
      </c>
      <c r="N1673" s="34">
        <f>MONTH(HistoricalStockProgress[[#This Row],[Date]])</f>
        <v>1</v>
      </c>
    </row>
    <row r="1674" spans="2:14">
      <c r="B1674" s="15">
        <v>45322</v>
      </c>
      <c r="C1674" s="34" t="s">
        <v>23</v>
      </c>
      <c r="D1674" s="34" t="e" vm="4">
        <f>_xlfn.XLOOKUP(HistoricalStockProgress[[#This Row],[Company Ticker]],CompanyDetailsList[Company Ticker],CompanyDetailsList[Official Name],,0)</f>
        <v>#VALUE!</v>
      </c>
      <c r="E16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16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1674" s="17">
        <f>IFERROR(HistoricalStockProgress[[#This Row],[Cost of Shares]]/HistoricalStockProgress[[#This Row],[No. of Shares]],0)</f>
        <v>50.781277236510277</v>
      </c>
      <c r="H1674" s="16" vm="2160">
        <v>59.49</v>
      </c>
      <c r="I1674" s="16">
        <f>IF(HistoricalStockProgress[[#This Row],[No. of Shares]]&lt;&gt;0,HistoricalStockProgress[[#This Row],[Price of Shares]]*HistoricalStockProgress[[#This Row],[No. of Shares]],0)</f>
        <v>6960.33</v>
      </c>
      <c r="J1674" s="16">
        <f>IF(HistoricalStockProgress[[#This Row],[No. of Shares]]&lt;&gt;0,HistoricalStockProgress[[#This Row],[Price of Shares]]-HistoricalStockProgress[[#This Row],[Cost of Shares]]/HistoricalStockProgress[[#This Row],[No. of Shares]],0)</f>
        <v>8.7087227634897246</v>
      </c>
      <c r="K1674" s="17">
        <f>IF(HistoricalStockProgress[[#This Row],[Total Price of Shares]]&lt;&gt;0,HistoricalStockProgress[[#This Row],[Total Price of Shares]]-HistoricalStockProgress[[#This Row],[Cost of Shares]],0)</f>
        <v>1018.9205633282972</v>
      </c>
      <c r="L1674" s="34" t="b" cm="1">
        <f t="array" ref="L1674">IFERROR(IF(HistoricalStockProgress[[#This Row],[Price of Shares]]="",_xlfn.STOCKHISTORY(HistoricalStockProgress[[#This Row],[Full Company Name]],HistoricalStockProgress[[#This Row],[Date]],,2,0,1)),0)</f>
        <v>0</v>
      </c>
      <c r="M1674" s="34">
        <f>YEAR(HistoricalStockProgress[[#This Row],[Date]])</f>
        <v>2024</v>
      </c>
      <c r="N1674" s="34">
        <f>MONTH(HistoricalStockProgress[[#This Row],[Date]])</f>
        <v>1</v>
      </c>
    </row>
    <row r="1675" spans="2:14">
      <c r="B1675" s="15">
        <v>45322</v>
      </c>
      <c r="C1675" s="34" t="s">
        <v>18</v>
      </c>
      <c r="D1675" s="34" t="e" vm="5">
        <f>_xlfn.XLOOKUP(HistoricalStockProgress[[#This Row],[Company Ticker]],CompanyDetailsList[Company Ticker],CompanyDetailsList[Official Name],,0)</f>
        <v>#VALUE!</v>
      </c>
      <c r="E16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6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675" s="17">
        <f>IFERROR(HistoricalStockProgress[[#This Row],[Cost of Shares]]/HistoricalStockProgress[[#This Row],[No. of Shares]],0)</f>
        <v>160.8859607546234</v>
      </c>
      <c r="H1675" s="16" vm="2161">
        <v>168.53</v>
      </c>
      <c r="I1675" s="16">
        <f>IF(HistoricalStockProgress[[#This Row],[No. of Shares]]&lt;&gt;0,HistoricalStockProgress[[#This Row],[Price of Shares]]*HistoricalStockProgress[[#This Row],[No. of Shares]],0)</f>
        <v>7246.79</v>
      </c>
      <c r="J1675" s="16">
        <f>IF(HistoricalStockProgress[[#This Row],[No. of Shares]]&lt;&gt;0,HistoricalStockProgress[[#This Row],[Price of Shares]]-HistoricalStockProgress[[#This Row],[Cost of Shares]]/HistoricalStockProgress[[#This Row],[No. of Shares]],0)</f>
        <v>7.6440392453766037</v>
      </c>
      <c r="K1675" s="17">
        <f>IF(HistoricalStockProgress[[#This Row],[Total Price of Shares]]&lt;&gt;0,HistoricalStockProgress[[#This Row],[Total Price of Shares]]-HistoricalStockProgress[[#This Row],[Cost of Shares]],0)</f>
        <v>328.69368755119376</v>
      </c>
      <c r="L1675" s="34" t="b" cm="1">
        <f t="array" ref="L1675">IFERROR(IF(HistoricalStockProgress[[#This Row],[Price of Shares]]="",_xlfn.STOCKHISTORY(HistoricalStockProgress[[#This Row],[Full Company Name]],HistoricalStockProgress[[#This Row],[Date]],,2,0,1)),0)</f>
        <v>0</v>
      </c>
      <c r="M1675" s="34">
        <f>YEAR(HistoricalStockProgress[[#This Row],[Date]])</f>
        <v>2024</v>
      </c>
      <c r="N1675" s="34">
        <f>MONTH(HistoricalStockProgress[[#This Row],[Date]])</f>
        <v>1</v>
      </c>
    </row>
    <row r="1676" spans="2:14">
      <c r="B1676" s="15">
        <v>45322</v>
      </c>
      <c r="C1676" s="34" t="s">
        <v>21</v>
      </c>
      <c r="D1676" s="34" t="e" vm="6">
        <f>_xlfn.XLOOKUP(HistoricalStockProgress[[#This Row],[Company Ticker]],CompanyDetailsList[Company Ticker],CompanyDetailsList[Official Name],,0)</f>
        <v>#VALUE!</v>
      </c>
      <c r="E16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6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676" s="17">
        <f>IFERROR(HistoricalStockProgress[[#This Row],[Cost of Shares]]/HistoricalStockProgress[[#This Row],[No. of Shares]],0)</f>
        <v>139.68700010204148</v>
      </c>
      <c r="H1676" s="16" vm="2162">
        <v>157.13999999999999</v>
      </c>
      <c r="I1676" s="16">
        <f>IF(HistoricalStockProgress[[#This Row],[No. of Shares]]&lt;&gt;0,HistoricalStockProgress[[#This Row],[Price of Shares]]*HistoricalStockProgress[[#This Row],[No. of Shares]],0)</f>
        <v>6599.8799999999992</v>
      </c>
      <c r="J1676" s="16">
        <f>IF(HistoricalStockProgress[[#This Row],[No. of Shares]]&lt;&gt;0,HistoricalStockProgress[[#This Row],[Price of Shares]]-HistoricalStockProgress[[#This Row],[Cost of Shares]]/HistoricalStockProgress[[#This Row],[No. of Shares]],0)</f>
        <v>17.452999897958506</v>
      </c>
      <c r="K1676" s="17">
        <f>IF(HistoricalStockProgress[[#This Row],[Total Price of Shares]]&lt;&gt;0,HistoricalStockProgress[[#This Row],[Total Price of Shares]]-HistoricalStockProgress[[#This Row],[Cost of Shares]],0)</f>
        <v>733.02599571425708</v>
      </c>
      <c r="L1676" s="34" t="b" cm="1">
        <f t="array" ref="L1676">IFERROR(IF(HistoricalStockProgress[[#This Row],[Price of Shares]]="",_xlfn.STOCKHISTORY(HistoricalStockProgress[[#This Row],[Full Company Name]],HistoricalStockProgress[[#This Row],[Date]],,2,0,1)),0)</f>
        <v>0</v>
      </c>
      <c r="M1676" s="34">
        <f>YEAR(HistoricalStockProgress[[#This Row],[Date]])</f>
        <v>2024</v>
      </c>
      <c r="N1676" s="34">
        <f>MONTH(HistoricalStockProgress[[#This Row],[Date]])</f>
        <v>1</v>
      </c>
    </row>
    <row r="1677" spans="2:14">
      <c r="B1677" s="15">
        <v>45322</v>
      </c>
      <c r="C1677" s="34" t="s">
        <v>84</v>
      </c>
      <c r="D1677" s="34" t="e" vm="7">
        <f>_xlfn.XLOOKUP(HistoricalStockProgress[[#This Row],[Company Ticker]],CompanyDetailsList[Company Ticker],CompanyDetailsList[Official Name],,0)</f>
        <v>#VALUE!</v>
      </c>
      <c r="E16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6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677" s="17">
        <f>IFERROR(HistoricalStockProgress[[#This Row],[Cost of Shares]]/HistoricalStockProgress[[#This Row],[No. of Shares]],0)</f>
        <v>104.18087504950869</v>
      </c>
      <c r="H1677" s="16" vm="2163">
        <v>158.9</v>
      </c>
      <c r="I1677" s="16">
        <f>IF(HistoricalStockProgress[[#This Row],[No. of Shares]]&lt;&gt;0,HistoricalStockProgress[[#This Row],[Price of Shares]]*HistoricalStockProgress[[#This Row],[No. of Shares]],0)</f>
        <v>8103.9000000000005</v>
      </c>
      <c r="J1677" s="16">
        <f>IF(HistoricalStockProgress[[#This Row],[No. of Shares]]&lt;&gt;0,HistoricalStockProgress[[#This Row],[Price of Shares]]-HistoricalStockProgress[[#This Row],[Cost of Shares]]/HistoricalStockProgress[[#This Row],[No. of Shares]],0)</f>
        <v>54.71912495049132</v>
      </c>
      <c r="K1677" s="17">
        <f>IF(HistoricalStockProgress[[#This Row],[Total Price of Shares]]&lt;&gt;0,HistoricalStockProgress[[#This Row],[Total Price of Shares]]-HistoricalStockProgress[[#This Row],[Cost of Shares]],0)</f>
        <v>2790.6753724750579</v>
      </c>
      <c r="L1677" s="34" t="b" cm="1">
        <f t="array" ref="L1677">IFERROR(IF(HistoricalStockProgress[[#This Row],[Price of Shares]]="",_xlfn.STOCKHISTORY(HistoricalStockProgress[[#This Row],[Full Company Name]],HistoricalStockProgress[[#This Row],[Date]],,2,0,1)),0)</f>
        <v>0</v>
      </c>
      <c r="M1677" s="34">
        <f>YEAR(HistoricalStockProgress[[#This Row],[Date]])</f>
        <v>2024</v>
      </c>
      <c r="N1677" s="34">
        <f>MONTH(HistoricalStockProgress[[#This Row],[Date]])</f>
        <v>1</v>
      </c>
    </row>
    <row r="1678" spans="2:14">
      <c r="B1678" s="15">
        <v>45322</v>
      </c>
      <c r="C1678" s="34" t="s">
        <v>86</v>
      </c>
      <c r="D1678" s="34" t="e" vm="8">
        <f>_xlfn.XLOOKUP(HistoricalStockProgress[[#This Row],[Company Ticker]],CompanyDetailsList[Company Ticker],CompanyDetailsList[Official Name],,0)</f>
        <v>#VALUE!</v>
      </c>
      <c r="E16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120</v>
      </c>
      <c r="F16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11434.543004354886</v>
      </c>
      <c r="G1678" s="17">
        <f>IFERROR(HistoricalStockProgress[[#This Row],[Cost of Shares]]/HistoricalStockProgress[[#This Row],[No. of Shares]],0)</f>
        <v>95.287858369624047</v>
      </c>
      <c r="H1678" s="16" vm="2164">
        <v>164.4</v>
      </c>
      <c r="I1678" s="16">
        <f>IF(HistoricalStockProgress[[#This Row],[No. of Shares]]&lt;&gt;0,HistoricalStockProgress[[#This Row],[Price of Shares]]*HistoricalStockProgress[[#This Row],[No. of Shares]],0)</f>
        <v>19728</v>
      </c>
      <c r="J1678" s="16">
        <f>IF(HistoricalStockProgress[[#This Row],[No. of Shares]]&lt;&gt;0,HistoricalStockProgress[[#This Row],[Price of Shares]]-HistoricalStockProgress[[#This Row],[Cost of Shares]]/HistoricalStockProgress[[#This Row],[No. of Shares]],0)</f>
        <v>69.112141630375959</v>
      </c>
      <c r="K1678" s="17">
        <f>IF(HistoricalStockProgress[[#This Row],[Total Price of Shares]]&lt;&gt;0,HistoricalStockProgress[[#This Row],[Total Price of Shares]]-HistoricalStockProgress[[#This Row],[Cost of Shares]],0)</f>
        <v>8293.4569956451141</v>
      </c>
      <c r="L1678" s="34" t="b" cm="1">
        <f t="array" ref="L1678">IFERROR(IF(HistoricalStockProgress[[#This Row],[Price of Shares]]="",_xlfn.STOCKHISTORY(HistoricalStockProgress[[#This Row],[Full Company Name]],HistoricalStockProgress[[#This Row],[Date]],,2,0,1)),0)</f>
        <v>0</v>
      </c>
      <c r="M1678" s="34">
        <f>YEAR(HistoricalStockProgress[[#This Row],[Date]])</f>
        <v>2024</v>
      </c>
      <c r="N1678" s="34">
        <f>MONTH(HistoricalStockProgress[[#This Row],[Date]])</f>
        <v>1</v>
      </c>
    </row>
    <row r="1679" spans="2:14">
      <c r="B1679" s="15">
        <v>45322</v>
      </c>
      <c r="C1679" s="34" t="s">
        <v>88</v>
      </c>
      <c r="D1679" s="34" t="e" vm="9">
        <f>_xlfn.XLOOKUP(HistoricalStockProgress[[#This Row],[Company Ticker]],CompanyDetailsList[Company Ticker],CompanyDetailsList[Official Name],,0)</f>
        <v>#VALUE!</v>
      </c>
      <c r="E16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68</v>
      </c>
      <c r="F16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13660.356292131106</v>
      </c>
      <c r="G1679" s="17">
        <f>IFERROR(HistoricalStockProgress[[#This Row],[Cost of Shares]]/HistoricalStockProgress[[#This Row],[No. of Shares]],0)</f>
        <v>200.88759253133981</v>
      </c>
      <c r="H1679" s="16" vm="2165">
        <v>292.72000000000003</v>
      </c>
      <c r="I1679" s="16">
        <f>IF(HistoricalStockProgress[[#This Row],[No. of Shares]]&lt;&gt;0,HistoricalStockProgress[[#This Row],[Price of Shares]]*HistoricalStockProgress[[#This Row],[No. of Shares]],0)</f>
        <v>19904.960000000003</v>
      </c>
      <c r="J1679" s="16">
        <f>IF(HistoricalStockProgress[[#This Row],[No. of Shares]]&lt;&gt;0,HistoricalStockProgress[[#This Row],[Price of Shares]]-HistoricalStockProgress[[#This Row],[Cost of Shares]]/HistoricalStockProgress[[#This Row],[No. of Shares]],0)</f>
        <v>91.832407468660222</v>
      </c>
      <c r="K1679" s="17">
        <f>IF(HistoricalStockProgress[[#This Row],[Total Price of Shares]]&lt;&gt;0,HistoricalStockProgress[[#This Row],[Total Price of Shares]]-HistoricalStockProgress[[#This Row],[Cost of Shares]],0)</f>
        <v>6244.6037078688969</v>
      </c>
      <c r="L1679" s="34" t="b" cm="1">
        <f t="array" ref="L1679">IFERROR(IF(HistoricalStockProgress[[#This Row],[Price of Shares]]="",_xlfn.STOCKHISTORY(HistoricalStockProgress[[#This Row],[Full Company Name]],HistoricalStockProgress[[#This Row],[Date]],,2,0,1)),0)</f>
        <v>0</v>
      </c>
      <c r="M1679" s="34">
        <f>YEAR(HistoricalStockProgress[[#This Row],[Date]])</f>
        <v>2024</v>
      </c>
      <c r="N1679" s="34">
        <f>MONTH(HistoricalStockProgress[[#This Row],[Date]])</f>
        <v>1</v>
      </c>
    </row>
    <row r="1680" spans="2:14">
      <c r="B1680" s="15">
        <v>45322</v>
      </c>
      <c r="C1680" s="34" t="s">
        <v>22</v>
      </c>
      <c r="D1680" s="34" t="e" vm="10">
        <f>_xlfn.XLOOKUP(HistoricalStockProgress[[#This Row],[Company Ticker]],CompanyDetailsList[Company Ticker],CompanyDetailsList[Official Name],,0)</f>
        <v>#VALUE!</v>
      </c>
      <c r="E16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6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680" s="17">
        <f>IFERROR(HistoricalStockProgress[[#This Row],[Cost of Shares]]/HistoricalStockProgress[[#This Row],[No. of Shares]],0)</f>
        <v>130.19784136724968</v>
      </c>
      <c r="H1680" s="16" vm="2166">
        <v>300.31</v>
      </c>
      <c r="I1680" s="16">
        <f>IF(HistoricalStockProgress[[#This Row],[No. of Shares]]&lt;&gt;0,HistoricalStockProgress[[#This Row],[Price of Shares]]*HistoricalStockProgress[[#This Row],[No. of Shares]],0)</f>
        <v>35736.89</v>
      </c>
      <c r="J1680" s="16">
        <f>IF(HistoricalStockProgress[[#This Row],[No. of Shares]]&lt;&gt;0,HistoricalStockProgress[[#This Row],[Price of Shares]]-HistoricalStockProgress[[#This Row],[Cost of Shares]]/HistoricalStockProgress[[#This Row],[No. of Shares]],0)</f>
        <v>170.11215863275032</v>
      </c>
      <c r="K1680" s="17">
        <f>IF(HistoricalStockProgress[[#This Row],[Total Price of Shares]]&lt;&gt;0,HistoricalStockProgress[[#This Row],[Total Price of Shares]]-HistoricalStockProgress[[#This Row],[Cost of Shares]],0)</f>
        <v>20243.346877297285</v>
      </c>
      <c r="L1680" s="34" t="b" cm="1">
        <f t="array" ref="L1680">IFERROR(IF(HistoricalStockProgress[[#This Row],[Price of Shares]]="",_xlfn.STOCKHISTORY(HistoricalStockProgress[[#This Row],[Full Company Name]],HistoricalStockProgress[[#This Row],[Date]],,2,0,1)),0)</f>
        <v>0</v>
      </c>
      <c r="M1680" s="34">
        <f>YEAR(HistoricalStockProgress[[#This Row],[Date]])</f>
        <v>2024</v>
      </c>
      <c r="N1680" s="34">
        <f>MONTH(HistoricalStockProgress[[#This Row],[Date]])</f>
        <v>1</v>
      </c>
    </row>
    <row r="1681" spans="2:14">
      <c r="B1681" s="15">
        <v>45322</v>
      </c>
      <c r="C1681" s="34" t="s">
        <v>91</v>
      </c>
      <c r="D1681" s="34" t="e" vm="11">
        <f>_xlfn.XLOOKUP(HistoricalStockProgress[[#This Row],[Company Ticker]],CompanyDetailsList[Company Ticker],CompanyDetailsList[Official Name],,0)</f>
        <v>#VALUE!</v>
      </c>
      <c r="E16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6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681" s="17">
        <f>IFERROR(HistoricalStockProgress[[#This Row],[Cost of Shares]]/HistoricalStockProgress[[#This Row],[No. of Shares]],0)</f>
        <v>133.15744058830452</v>
      </c>
      <c r="H1681" s="16" vm="2167">
        <v>397.58</v>
      </c>
      <c r="I1681" s="16">
        <f>IF(HistoricalStockProgress[[#This Row],[No. of Shares]]&lt;&gt;0,HistoricalStockProgress[[#This Row],[Price of Shares]]*HistoricalStockProgress[[#This Row],[No. of Shares]],0)</f>
        <v>72757.14</v>
      </c>
      <c r="J1681" s="16">
        <f>IF(HistoricalStockProgress[[#This Row],[No. of Shares]]&lt;&gt;0,HistoricalStockProgress[[#This Row],[Price of Shares]]-HistoricalStockProgress[[#This Row],[Cost of Shares]]/HistoricalStockProgress[[#This Row],[No. of Shares]],0)</f>
        <v>264.42255941169549</v>
      </c>
      <c r="K1681" s="17">
        <f>IF(HistoricalStockProgress[[#This Row],[Total Price of Shares]]&lt;&gt;0,HistoricalStockProgress[[#This Row],[Total Price of Shares]]-HistoricalStockProgress[[#This Row],[Cost of Shares]],0)</f>
        <v>48389.328372340271</v>
      </c>
      <c r="L1681" s="34" t="b" cm="1">
        <f t="array" ref="L1681">IFERROR(IF(HistoricalStockProgress[[#This Row],[Price of Shares]]="",_xlfn.STOCKHISTORY(HistoricalStockProgress[[#This Row],[Full Company Name]],HistoricalStockProgress[[#This Row],[Date]],,2,0,1)),0)</f>
        <v>0</v>
      </c>
      <c r="M1681" s="34">
        <f>YEAR(HistoricalStockProgress[[#This Row],[Date]])</f>
        <v>2024</v>
      </c>
      <c r="N1681" s="34">
        <f>MONTH(HistoricalStockProgress[[#This Row],[Date]])</f>
        <v>1</v>
      </c>
    </row>
    <row r="1682" spans="2:14">
      <c r="B1682" s="15">
        <v>45322</v>
      </c>
      <c r="C1682" s="34" t="s">
        <v>16</v>
      </c>
      <c r="D1682" s="34" t="e" vm="12">
        <f>_xlfn.XLOOKUP(HistoricalStockProgress[[#This Row],[Company Ticker]],CompanyDetailsList[Company Ticker],CompanyDetailsList[Official Name],,0)</f>
        <v>#VALUE!</v>
      </c>
      <c r="E16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6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682" s="17">
        <f>IFERROR(HistoricalStockProgress[[#This Row],[Cost of Shares]]/HistoricalStockProgress[[#This Row],[No. of Shares]],0)</f>
        <v>75.117698177311837</v>
      </c>
      <c r="H1682" s="16" vm="2168">
        <v>102.81</v>
      </c>
      <c r="I1682" s="16">
        <f>IF(HistoricalStockProgress[[#This Row],[No. of Shares]]&lt;&gt;0,HistoricalStockProgress[[#This Row],[Price of Shares]]*HistoricalStockProgress[[#This Row],[No. of Shares]],0)</f>
        <v>19019.850000000002</v>
      </c>
      <c r="J1682" s="16">
        <f>IF(HistoricalStockProgress[[#This Row],[No. of Shares]]&lt;&gt;0,HistoricalStockProgress[[#This Row],[Price of Shares]]-HistoricalStockProgress[[#This Row],[Cost of Shares]]/HistoricalStockProgress[[#This Row],[No. of Shares]],0)</f>
        <v>27.692301822688165</v>
      </c>
      <c r="K1682" s="17">
        <f>IF(HistoricalStockProgress[[#This Row],[Total Price of Shares]]&lt;&gt;0,HistoricalStockProgress[[#This Row],[Total Price of Shares]]-HistoricalStockProgress[[#This Row],[Cost of Shares]],0)</f>
        <v>5123.0758371973134</v>
      </c>
      <c r="L1682" s="34" t="b" cm="1">
        <f t="array" ref="L1682">IFERROR(IF(HistoricalStockProgress[[#This Row],[Price of Shares]]="",_xlfn.STOCKHISTORY(HistoricalStockProgress[[#This Row],[Full Company Name]],HistoricalStockProgress[[#This Row],[Date]],,2,0,1)),0)</f>
        <v>0</v>
      </c>
      <c r="M1682" s="34">
        <f>YEAR(HistoricalStockProgress[[#This Row],[Date]])</f>
        <v>2024</v>
      </c>
      <c r="N1682" s="34">
        <f>MONTH(HistoricalStockProgress[[#This Row],[Date]])</f>
        <v>1</v>
      </c>
    </row>
    <row r="1683" spans="2:14">
      <c r="B1683" s="15">
        <v>45322</v>
      </c>
      <c r="C1683" s="34" t="s">
        <v>95</v>
      </c>
      <c r="D1683" s="34" t="e" vm="13">
        <f>_xlfn.XLOOKUP(HistoricalStockProgress[[#This Row],[Company Ticker]],CompanyDetailsList[Company Ticker],CompanyDetailsList[Official Name],,0)</f>
        <v>#VALUE!</v>
      </c>
      <c r="E16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143</v>
      </c>
      <c r="F16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35362.550411645469</v>
      </c>
      <c r="G1683" s="17">
        <f>IFERROR(HistoricalStockProgress[[#This Row],[Cost of Shares]]/HistoricalStockProgress[[#This Row],[No. of Shares]],0)</f>
        <v>247.29056231919907</v>
      </c>
      <c r="H1683" s="16" vm="2169">
        <v>352.96</v>
      </c>
      <c r="I1683" s="16">
        <f>IF(HistoricalStockProgress[[#This Row],[No. of Shares]]&lt;&gt;0,HistoricalStockProgress[[#This Row],[Price of Shares]]*HistoricalStockProgress[[#This Row],[No. of Shares]],0)</f>
        <v>50473.279999999999</v>
      </c>
      <c r="J1683" s="16">
        <f>IF(HistoricalStockProgress[[#This Row],[No. of Shares]]&lt;&gt;0,HistoricalStockProgress[[#This Row],[Price of Shares]]-HistoricalStockProgress[[#This Row],[Cost of Shares]]/HistoricalStockProgress[[#This Row],[No. of Shares]],0)</f>
        <v>105.66943768080091</v>
      </c>
      <c r="K1683" s="17">
        <f>IF(HistoricalStockProgress[[#This Row],[Total Price of Shares]]&lt;&gt;0,HistoricalStockProgress[[#This Row],[Total Price of Shares]]-HistoricalStockProgress[[#This Row],[Cost of Shares]],0)</f>
        <v>15110.72958835453</v>
      </c>
      <c r="L1683" s="34" t="b" cm="1">
        <f t="array" ref="L1683">IFERROR(IF(HistoricalStockProgress[[#This Row],[Price of Shares]]="",_xlfn.STOCKHISTORY(HistoricalStockProgress[[#This Row],[Full Company Name]],HistoricalStockProgress[[#This Row],[Date]],,2,0,1)),0)</f>
        <v>0</v>
      </c>
      <c r="M1683" s="34">
        <f>YEAR(HistoricalStockProgress[[#This Row],[Date]])</f>
        <v>2024</v>
      </c>
      <c r="N1683" s="34">
        <f>MONTH(HistoricalStockProgress[[#This Row],[Date]])</f>
        <v>1</v>
      </c>
    </row>
    <row r="1684" spans="2:14">
      <c r="B1684" s="15">
        <v>45322</v>
      </c>
      <c r="C1684" s="34" t="s">
        <v>17</v>
      </c>
      <c r="D1684" s="34" t="e" vm="14">
        <f>_xlfn.XLOOKUP(HistoricalStockProgress[[#This Row],[Company Ticker]],CompanyDetailsList[Company Ticker],CompanyDetailsList[Official Name],,0)</f>
        <v>#VALUE!</v>
      </c>
      <c r="E16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6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26400.485099161626</v>
      </c>
      <c r="G1684" s="17">
        <f>IFERROR(HistoricalStockProgress[[#This Row],[Cost of Shares]]/HistoricalStockProgress[[#This Row],[No. of Shares]],0)</f>
        <v>136.08497473794654</v>
      </c>
      <c r="H1684" s="16" vm="2170">
        <v>183.66</v>
      </c>
      <c r="I1684" s="16">
        <f>IF(HistoricalStockProgress[[#This Row],[No. of Shares]]&lt;&gt;0,HistoricalStockProgress[[#This Row],[Price of Shares]]*HistoricalStockProgress[[#This Row],[No. of Shares]],0)</f>
        <v>35630.04</v>
      </c>
      <c r="J1684" s="16">
        <f>IF(HistoricalStockProgress[[#This Row],[No. of Shares]]&lt;&gt;0,HistoricalStockProgress[[#This Row],[Price of Shares]]-HistoricalStockProgress[[#This Row],[Cost of Shares]]/HistoricalStockProgress[[#This Row],[No. of Shares]],0)</f>
        <v>47.575025262053458</v>
      </c>
      <c r="K1684" s="17">
        <f>IF(HistoricalStockProgress[[#This Row],[Total Price of Shares]]&lt;&gt;0,HistoricalStockProgress[[#This Row],[Total Price of Shares]]-HistoricalStockProgress[[#This Row],[Cost of Shares]],0)</f>
        <v>9229.554900838375</v>
      </c>
      <c r="L1684" s="34" t="b" cm="1">
        <f t="array" ref="L1684">IFERROR(IF(HistoricalStockProgress[[#This Row],[Price of Shares]]="",_xlfn.STOCKHISTORY(HistoricalStockProgress[[#This Row],[Full Company Name]],HistoricalStockProgress[[#This Row],[Date]],,2,0,1)),0)</f>
        <v>0</v>
      </c>
      <c r="M1684" s="34">
        <f>YEAR(HistoricalStockProgress[[#This Row],[Date]])</f>
        <v>2024</v>
      </c>
      <c r="N1684" s="34">
        <f>MONTH(HistoricalStockProgress[[#This Row],[Date]])</f>
        <v>1</v>
      </c>
    </row>
    <row r="1685" spans="2:14">
      <c r="B1685" s="15">
        <v>45322</v>
      </c>
      <c r="C1685" s="34" t="s">
        <v>98</v>
      </c>
      <c r="D1685" s="34" t="e" vm="15">
        <f>_xlfn.XLOOKUP(HistoricalStockProgress[[#This Row],[Company Ticker]],CompanyDetailsList[Company Ticker],CompanyDetailsList[Official Name],,0)</f>
        <v>#VALUE!</v>
      </c>
      <c r="E16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6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6407.714421697975</v>
      </c>
      <c r="G1685" s="17">
        <f>IFERROR(HistoricalStockProgress[[#This Row],[Cost of Shares]]/HistoricalStockProgress[[#This Row],[No. of Shares]],0)</f>
        <v>53.846339678134242</v>
      </c>
      <c r="H1685" s="16" vm="2171">
        <v>58.63</v>
      </c>
      <c r="I1685" s="16">
        <f>IF(HistoricalStockProgress[[#This Row],[No. of Shares]]&lt;&gt;0,HistoricalStockProgress[[#This Row],[Price of Shares]]*HistoricalStockProgress[[#This Row],[No. of Shares]],0)</f>
        <v>6976.97</v>
      </c>
      <c r="J1685" s="16">
        <f>IF(HistoricalStockProgress[[#This Row],[No. of Shares]]&lt;&gt;0,HistoricalStockProgress[[#This Row],[Price of Shares]]-HistoricalStockProgress[[#This Row],[Cost of Shares]]/HistoricalStockProgress[[#This Row],[No. of Shares]],0)</f>
        <v>4.7836603218657601</v>
      </c>
      <c r="K1685" s="17">
        <f>IF(HistoricalStockProgress[[#This Row],[Total Price of Shares]]&lt;&gt;0,HistoricalStockProgress[[#This Row],[Total Price of Shares]]-HistoricalStockProgress[[#This Row],[Cost of Shares]],0)</f>
        <v>569.25557830202524</v>
      </c>
      <c r="L1685" s="34" t="b" cm="1">
        <f t="array" ref="L1685">IFERROR(IF(HistoricalStockProgress[[#This Row],[Price of Shares]]="",_xlfn.STOCKHISTORY(HistoricalStockProgress[[#This Row],[Full Company Name]],HistoricalStockProgress[[#This Row],[Date]],,2,0,1)),0)</f>
        <v>0</v>
      </c>
      <c r="M1685" s="34">
        <f>YEAR(HistoricalStockProgress[[#This Row],[Date]])</f>
        <v>2024</v>
      </c>
      <c r="N1685" s="34">
        <f>MONTH(HistoricalStockProgress[[#This Row],[Date]])</f>
        <v>1</v>
      </c>
    </row>
    <row r="1686" spans="2:14">
      <c r="B1686" s="15">
        <v>45322</v>
      </c>
      <c r="C1686" s="34" t="s">
        <v>100</v>
      </c>
      <c r="D1686" s="34" t="e" vm="16">
        <f>_xlfn.XLOOKUP(HistoricalStockProgress[[#This Row],[Company Ticker]],CompanyDetailsList[Company Ticker],CompanyDetailsList[Official Name],,0)</f>
        <v>#VALUE!</v>
      </c>
      <c r="E16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16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1686" s="17">
        <f>IFERROR(HistoricalStockProgress[[#This Row],[Cost of Shares]]/HistoricalStockProgress[[#This Row],[No. of Shares]],0)</f>
        <v>92.156351168716071</v>
      </c>
      <c r="H1686" s="16" vm="2172">
        <v>95.83</v>
      </c>
      <c r="I1686" s="16">
        <f>IF(HistoricalStockProgress[[#This Row],[No. of Shares]]&lt;&gt;0,HistoricalStockProgress[[#This Row],[Price of Shares]]*HistoricalStockProgress[[#This Row],[No. of Shares]],0)</f>
        <v>23957.5</v>
      </c>
      <c r="J1686" s="16">
        <f>IF(HistoricalStockProgress[[#This Row],[No. of Shares]]&lt;&gt;0,HistoricalStockProgress[[#This Row],[Price of Shares]]-HistoricalStockProgress[[#This Row],[Cost of Shares]]/HistoricalStockProgress[[#This Row],[No. of Shares]],0)</f>
        <v>3.6736488312839271</v>
      </c>
      <c r="K1686" s="17">
        <f>IF(HistoricalStockProgress[[#This Row],[Total Price of Shares]]&lt;&gt;0,HistoricalStockProgress[[#This Row],[Total Price of Shares]]-HistoricalStockProgress[[#This Row],[Cost of Shares]],0)</f>
        <v>918.41220782098389</v>
      </c>
      <c r="L1686" s="34" t="b" cm="1">
        <f t="array" ref="L1686">IFERROR(IF(HistoricalStockProgress[[#This Row],[Price of Shares]]="",_xlfn.STOCKHISTORY(HistoricalStockProgress[[#This Row],[Full Company Name]],HistoricalStockProgress[[#This Row],[Date]],,2,0,1)),0)</f>
        <v>0</v>
      </c>
      <c r="M1686" s="34">
        <f>YEAR(HistoricalStockProgress[[#This Row],[Date]])</f>
        <v>2024</v>
      </c>
      <c r="N1686" s="34">
        <f>MONTH(HistoricalStockProgress[[#This Row],[Date]])</f>
        <v>1</v>
      </c>
    </row>
    <row r="1687" spans="2:14">
      <c r="B1687" s="15">
        <v>45322</v>
      </c>
      <c r="C1687" s="34" t="s">
        <v>15</v>
      </c>
      <c r="D1687" s="34" t="e" vm="17">
        <f>_xlfn.XLOOKUP(HistoricalStockProgress[[#This Row],[Company Ticker]],CompanyDetailsList[Company Ticker],CompanyDetailsList[Official Name],,0)</f>
        <v>#VALUE!</v>
      </c>
      <c r="E16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133</v>
      </c>
      <c r="F16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3377.7842958499027</v>
      </c>
      <c r="G1687" s="17">
        <f>IFERROR(HistoricalStockProgress[[#This Row],[Cost of Shares]]/HistoricalStockProgress[[#This Row],[No. of Shares]],0)</f>
        <v>25.396874404886486</v>
      </c>
      <c r="H1687" s="16" vm="2173">
        <v>17.690000000000001</v>
      </c>
      <c r="I1687" s="16">
        <f>IF(HistoricalStockProgress[[#This Row],[No. of Shares]]&lt;&gt;0,HistoricalStockProgress[[#This Row],[Price of Shares]]*HistoricalStockProgress[[#This Row],[No. of Shares]],0)</f>
        <v>2352.77</v>
      </c>
      <c r="J1687" s="16">
        <f>IF(HistoricalStockProgress[[#This Row],[No. of Shares]]&lt;&gt;0,HistoricalStockProgress[[#This Row],[Price of Shares]]-HistoricalStockProgress[[#This Row],[Cost of Shares]]/HistoricalStockProgress[[#This Row],[No. of Shares]],0)</f>
        <v>-7.7068744048864843</v>
      </c>
      <c r="K1687" s="17">
        <f>IF(HistoricalStockProgress[[#This Row],[Total Price of Shares]]&lt;&gt;0,HistoricalStockProgress[[#This Row],[Total Price of Shares]]-HistoricalStockProgress[[#This Row],[Cost of Shares]],0)</f>
        <v>-1025.0142958499027</v>
      </c>
      <c r="L1687" s="34" t="b" cm="1">
        <f t="array" ref="L1687">IFERROR(IF(HistoricalStockProgress[[#This Row],[Price of Shares]]="",_xlfn.STOCKHISTORY(HistoricalStockProgress[[#This Row],[Full Company Name]],HistoricalStockProgress[[#This Row],[Date]],,2,0,1)),0)</f>
        <v>0</v>
      </c>
      <c r="M1687" s="34">
        <f>YEAR(HistoricalStockProgress[[#This Row],[Date]])</f>
        <v>2024</v>
      </c>
      <c r="N1687" s="34">
        <f>MONTH(HistoricalStockProgress[[#This Row],[Date]])</f>
        <v>1</v>
      </c>
    </row>
    <row r="1688" spans="2:14">
      <c r="B1688" s="15">
        <v>45322</v>
      </c>
      <c r="C1688" s="34" t="s">
        <v>13</v>
      </c>
      <c r="D1688" s="34" t="e" vm="18">
        <f>_xlfn.XLOOKUP(HistoricalStockProgress[[#This Row],[Company Ticker]],CompanyDetailsList[Company Ticker],CompanyDetailsList[Official Name],,0)</f>
        <v>#VALUE!</v>
      </c>
      <c r="E16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6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688" s="17">
        <f>IFERROR(HistoricalStockProgress[[#This Row],[Cost of Shares]]/HistoricalStockProgress[[#This Row],[No. of Shares]],0)</f>
        <v>35.846938938346874</v>
      </c>
      <c r="H1688" s="16" vm="2174">
        <v>27.08</v>
      </c>
      <c r="I1688" s="16">
        <f>IF(HistoricalStockProgress[[#This Row],[No. of Shares]]&lt;&gt;0,HistoricalStockProgress[[#This Row],[Price of Shares]]*HistoricalStockProgress[[#This Row],[No. of Shares]],0)</f>
        <v>1489.3999999999999</v>
      </c>
      <c r="J1688" s="16">
        <f>IF(HistoricalStockProgress[[#This Row],[No. of Shares]]&lt;&gt;0,HistoricalStockProgress[[#This Row],[Price of Shares]]-HistoricalStockProgress[[#This Row],[Cost of Shares]]/HistoricalStockProgress[[#This Row],[No. of Shares]],0)</f>
        <v>-8.7669389383468754</v>
      </c>
      <c r="K1688" s="17">
        <f>IF(HistoricalStockProgress[[#This Row],[Total Price of Shares]]&lt;&gt;0,HistoricalStockProgress[[#This Row],[Total Price of Shares]]-HistoricalStockProgress[[#This Row],[Cost of Shares]],0)</f>
        <v>-482.18164160907827</v>
      </c>
      <c r="L1688" s="34" t="b" cm="1">
        <f t="array" ref="L1688">IFERROR(IF(HistoricalStockProgress[[#This Row],[Price of Shares]]="",_xlfn.STOCKHISTORY(HistoricalStockProgress[[#This Row],[Full Company Name]],HistoricalStockProgress[[#This Row],[Date]],,2,0,1)),0)</f>
        <v>0</v>
      </c>
      <c r="M1688" s="34">
        <f>YEAR(HistoricalStockProgress[[#This Row],[Date]])</f>
        <v>2024</v>
      </c>
      <c r="N1688" s="34">
        <f>MONTH(HistoricalStockProgress[[#This Row],[Date]])</f>
        <v>1</v>
      </c>
    </row>
    <row r="1689" spans="2:14">
      <c r="B1689" s="15">
        <v>45322</v>
      </c>
      <c r="C1689" s="34" t="s">
        <v>20</v>
      </c>
      <c r="D1689" s="34" t="e" vm="19">
        <f>_xlfn.XLOOKUP(HistoricalStockProgress[[#This Row],[Company Ticker]],CompanyDetailsList[Company Ticker],CompanyDetailsList[Official Name],,0)</f>
        <v>#VALUE!</v>
      </c>
      <c r="E16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6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689" s="17">
        <f>IFERROR(HistoricalStockProgress[[#This Row],[Cost of Shares]]/HistoricalStockProgress[[#This Row],[No. of Shares]],0)</f>
        <v>108.1760767450256</v>
      </c>
      <c r="H1689" s="16" vm="1692">
        <v>174.36</v>
      </c>
      <c r="I1689" s="16">
        <f>IF(HistoricalStockProgress[[#This Row],[No. of Shares]]&lt;&gt;0,HistoricalStockProgress[[#This Row],[Price of Shares]]*HistoricalStockProgress[[#This Row],[No. of Shares]],0)</f>
        <v>20225.760000000002</v>
      </c>
      <c r="J1689" s="16">
        <f>IF(HistoricalStockProgress[[#This Row],[No. of Shares]]&lt;&gt;0,HistoricalStockProgress[[#This Row],[Price of Shares]]-HistoricalStockProgress[[#This Row],[Cost of Shares]]/HistoricalStockProgress[[#This Row],[No. of Shares]],0)</f>
        <v>66.183923254974417</v>
      </c>
      <c r="K1689" s="17">
        <f>IF(HistoricalStockProgress[[#This Row],[Total Price of Shares]]&lt;&gt;0,HistoricalStockProgress[[#This Row],[Total Price of Shares]]-HistoricalStockProgress[[#This Row],[Cost of Shares]],0)</f>
        <v>7677.3350975770336</v>
      </c>
      <c r="L1689" s="34" t="b" cm="1">
        <f t="array" ref="L1689">IFERROR(IF(HistoricalStockProgress[[#This Row],[Price of Shares]]="",_xlfn.STOCKHISTORY(HistoricalStockProgress[[#This Row],[Full Company Name]],HistoricalStockProgress[[#This Row],[Date]],,2,0,1)),0)</f>
        <v>0</v>
      </c>
      <c r="M1689" s="34">
        <f>YEAR(HistoricalStockProgress[[#This Row],[Date]])</f>
        <v>2024</v>
      </c>
      <c r="N1689" s="34">
        <f>MONTH(HistoricalStockProgress[[#This Row],[Date]])</f>
        <v>1</v>
      </c>
    </row>
    <row r="1690" spans="2:14">
      <c r="B1690" s="15">
        <v>45322</v>
      </c>
      <c r="C1690" s="34" t="s">
        <v>106</v>
      </c>
      <c r="D1690" s="34" t="e" vm="20">
        <f>_xlfn.XLOOKUP(HistoricalStockProgress[[#This Row],[Company Ticker]],CompanyDetailsList[Company Ticker],CompanyDetailsList[Official Name],,0)</f>
        <v>#VALUE!</v>
      </c>
      <c r="E16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6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690" s="17">
        <f>IFERROR(HistoricalStockProgress[[#This Row],[Cost of Shares]]/HistoricalStockProgress[[#This Row],[No. of Shares]],0)</f>
        <v>108.54870748680406</v>
      </c>
      <c r="H1690" s="16" vm="2175">
        <v>141.04</v>
      </c>
      <c r="I1690" s="16">
        <f>IF(HistoricalStockProgress[[#This Row],[No. of Shares]]&lt;&gt;0,HistoricalStockProgress[[#This Row],[Price of Shares]]*HistoricalStockProgress[[#This Row],[No. of Shares]],0)</f>
        <v>12411.519999999999</v>
      </c>
      <c r="J1690" s="16">
        <f>IF(HistoricalStockProgress[[#This Row],[No. of Shares]]&lt;&gt;0,HistoricalStockProgress[[#This Row],[Price of Shares]]-HistoricalStockProgress[[#This Row],[Cost of Shares]]/HistoricalStockProgress[[#This Row],[No. of Shares]],0)</f>
        <v>32.49129251319593</v>
      </c>
      <c r="K1690" s="17">
        <f>IF(HistoricalStockProgress[[#This Row],[Total Price of Shares]]&lt;&gt;0,HistoricalStockProgress[[#This Row],[Total Price of Shares]]-HistoricalStockProgress[[#This Row],[Cost of Shares]],0)</f>
        <v>2859.2337411612407</v>
      </c>
      <c r="L1690" s="34" t="b" cm="1">
        <f t="array" ref="L1690">IFERROR(IF(HistoricalStockProgress[[#This Row],[Price of Shares]]="",_xlfn.STOCKHISTORY(HistoricalStockProgress[[#This Row],[Full Company Name]],HistoricalStockProgress[[#This Row],[Date]],,2,0,1)),0)</f>
        <v>0</v>
      </c>
      <c r="M1690" s="34">
        <f>YEAR(HistoricalStockProgress[[#This Row],[Date]])</f>
        <v>2024</v>
      </c>
      <c r="N1690" s="34">
        <f>MONTH(HistoricalStockProgress[[#This Row],[Date]])</f>
        <v>1</v>
      </c>
    </row>
    <row r="1691" spans="2:14">
      <c r="B1691" s="15">
        <v>45351</v>
      </c>
      <c r="C1691" s="34" t="s">
        <v>12</v>
      </c>
      <c r="D1691" s="34" t="e" vm="1">
        <f>_xlfn.XLOOKUP(HistoricalStockProgress[[#This Row],[Company Ticker]],CompanyDetailsList[Company Ticker],CompanyDetailsList[Official Name],,0)</f>
        <v>#VALUE!</v>
      </c>
      <c r="E16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6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691" s="17">
        <f>IFERROR(HistoricalStockProgress[[#This Row],[Cost of Shares]]/HistoricalStockProgress[[#This Row],[No. of Shares]],0)</f>
        <v>64.573985995316889</v>
      </c>
      <c r="H1691" s="16" vm="2176">
        <v>52.11</v>
      </c>
      <c r="I1691" s="16">
        <f>IF(HistoricalStockProgress[[#This Row],[No. of Shares]]&lt;&gt;0,HistoricalStockProgress[[#This Row],[Price of Shares]]*HistoricalStockProgress[[#This Row],[No. of Shares]],0)</f>
        <v>5054.67</v>
      </c>
      <c r="J1691" s="16">
        <f>IF(HistoricalStockProgress[[#This Row],[No. of Shares]]&lt;&gt;0,HistoricalStockProgress[[#This Row],[Price of Shares]]-HistoricalStockProgress[[#This Row],[Cost of Shares]]/HistoricalStockProgress[[#This Row],[No. of Shares]],0)</f>
        <v>-12.463985995316889</v>
      </c>
      <c r="K1691" s="17">
        <f>IF(HistoricalStockProgress[[#This Row],[Total Price of Shares]]&lt;&gt;0,HistoricalStockProgress[[#This Row],[Total Price of Shares]]-HistoricalStockProgress[[#This Row],[Cost of Shares]],0)</f>
        <v>-1209.0066415457377</v>
      </c>
      <c r="L1691" s="34" t="b" cm="1">
        <f t="array" ref="L1691">IFERROR(IF(HistoricalStockProgress[[#This Row],[Price of Shares]]="",_xlfn.STOCKHISTORY(HistoricalStockProgress[[#This Row],[Full Company Name]],HistoricalStockProgress[[#This Row],[Date]],,2,0,1)),0)</f>
        <v>0</v>
      </c>
      <c r="M1691" s="34">
        <f>YEAR(HistoricalStockProgress[[#This Row],[Date]])</f>
        <v>2024</v>
      </c>
      <c r="N1691" s="34">
        <f>MONTH(HistoricalStockProgress[[#This Row],[Date]])</f>
        <v>2</v>
      </c>
    </row>
    <row r="1692" spans="2:14">
      <c r="B1692" s="15">
        <v>45351</v>
      </c>
      <c r="C1692" s="34" t="s">
        <v>14</v>
      </c>
      <c r="D1692" s="34" t="e" vm="2">
        <f>_xlfn.XLOOKUP(HistoricalStockProgress[[#This Row],[Company Ticker]],CompanyDetailsList[Company Ticker],CompanyDetailsList[Official Name],,0)</f>
        <v>#VALUE!</v>
      </c>
      <c r="E16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16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1692" s="17">
        <f>IFERROR(HistoricalStockProgress[[#This Row],[Cost of Shares]]/HistoricalStockProgress[[#This Row],[No. of Shares]],0)</f>
        <v>26.819337355148658</v>
      </c>
      <c r="H1692" s="16" vm="2177">
        <v>21.8</v>
      </c>
      <c r="I1692" s="16">
        <f>IF(HistoricalStockProgress[[#This Row],[No. of Shares]]&lt;&gt;0,HistoricalStockProgress[[#This Row],[Price of Shares]]*HistoricalStockProgress[[#This Row],[No. of Shares]],0)</f>
        <v>1373.4</v>
      </c>
      <c r="J1692" s="16">
        <f>IF(HistoricalStockProgress[[#This Row],[No. of Shares]]&lt;&gt;0,HistoricalStockProgress[[#This Row],[Price of Shares]]-HistoricalStockProgress[[#This Row],[Cost of Shares]]/HistoricalStockProgress[[#This Row],[No. of Shares]],0)</f>
        <v>-5.0193373551486573</v>
      </c>
      <c r="K1692" s="17">
        <f>IF(HistoricalStockProgress[[#This Row],[Total Price of Shares]]&lt;&gt;0,HistoricalStockProgress[[#This Row],[Total Price of Shares]]-HistoricalStockProgress[[#This Row],[Cost of Shares]],0)</f>
        <v>-316.2182533743653</v>
      </c>
      <c r="L1692" s="34" t="b" cm="1">
        <f t="array" ref="L1692">IFERROR(IF(HistoricalStockProgress[[#This Row],[Price of Shares]]="",_xlfn.STOCKHISTORY(HistoricalStockProgress[[#This Row],[Full Company Name]],HistoricalStockProgress[[#This Row],[Date]],,2,0,1)),0)</f>
        <v>0</v>
      </c>
      <c r="M1692" s="34">
        <f>YEAR(HistoricalStockProgress[[#This Row],[Date]])</f>
        <v>2024</v>
      </c>
      <c r="N1692" s="34">
        <f>MONTH(HistoricalStockProgress[[#This Row],[Date]])</f>
        <v>2</v>
      </c>
    </row>
    <row r="1693" spans="2:14">
      <c r="B1693" s="15">
        <v>45351</v>
      </c>
      <c r="C1693" s="34" t="s">
        <v>19</v>
      </c>
      <c r="D1693" s="34" t="e" vm="3">
        <f>_xlfn.XLOOKUP(HistoricalStockProgress[[#This Row],[Company Ticker]],CompanyDetailsList[Company Ticker],CompanyDetailsList[Official Name],,0)</f>
        <v>#VALUE!</v>
      </c>
      <c r="E16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6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693" s="17">
        <f>IFERROR(HistoricalStockProgress[[#This Row],[Cost of Shares]]/HistoricalStockProgress[[#This Row],[No. of Shares]],0)</f>
        <v>158.45739987816083</v>
      </c>
      <c r="H1693" s="16" vm="2178">
        <v>153.31</v>
      </c>
      <c r="I1693" s="16">
        <f>IF(HistoricalStockProgress[[#This Row],[No. of Shares]]&lt;&gt;0,HistoricalStockProgress[[#This Row],[Price of Shares]]*HistoricalStockProgress[[#This Row],[No. of Shares]],0)</f>
        <v>8738.67</v>
      </c>
      <c r="J1693" s="16">
        <f>IF(HistoricalStockProgress[[#This Row],[No. of Shares]]&lt;&gt;0,HistoricalStockProgress[[#This Row],[Price of Shares]]-HistoricalStockProgress[[#This Row],[Cost of Shares]]/HistoricalStockProgress[[#This Row],[No. of Shares]],0)</f>
        <v>-5.1473998781608259</v>
      </c>
      <c r="K1693" s="17">
        <f>IF(HistoricalStockProgress[[#This Row],[Total Price of Shares]]&lt;&gt;0,HistoricalStockProgress[[#This Row],[Total Price of Shares]]-HistoricalStockProgress[[#This Row],[Cost of Shares]],0)</f>
        <v>-293.40179305516722</v>
      </c>
      <c r="L1693" s="34" t="b" cm="1">
        <f t="array" ref="L1693">IFERROR(IF(HistoricalStockProgress[[#This Row],[Price of Shares]]="",_xlfn.STOCKHISTORY(HistoricalStockProgress[[#This Row],[Full Company Name]],HistoricalStockProgress[[#This Row],[Date]],,2,0,1)),0)</f>
        <v>0</v>
      </c>
      <c r="M1693" s="34">
        <f>YEAR(HistoricalStockProgress[[#This Row],[Date]])</f>
        <v>2024</v>
      </c>
      <c r="N1693" s="34">
        <f>MONTH(HistoricalStockProgress[[#This Row],[Date]])</f>
        <v>2</v>
      </c>
    </row>
    <row r="1694" spans="2:14">
      <c r="B1694" s="15">
        <v>45351</v>
      </c>
      <c r="C1694" s="34" t="s">
        <v>23</v>
      </c>
      <c r="D1694" s="34" t="e" vm="4">
        <f>_xlfn.XLOOKUP(HistoricalStockProgress[[#This Row],[Company Ticker]],CompanyDetailsList[Company Ticker],CompanyDetailsList[Official Name],,0)</f>
        <v>#VALUE!</v>
      </c>
      <c r="E16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16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1694" s="17">
        <f>IFERROR(HistoricalStockProgress[[#This Row],[Cost of Shares]]/HistoricalStockProgress[[#This Row],[No. of Shares]],0)</f>
        <v>50.781277236510277</v>
      </c>
      <c r="H1694" s="16" vm="2179">
        <v>60.02</v>
      </c>
      <c r="I1694" s="16">
        <f>IF(HistoricalStockProgress[[#This Row],[No. of Shares]]&lt;&gt;0,HistoricalStockProgress[[#This Row],[Price of Shares]]*HistoricalStockProgress[[#This Row],[No. of Shares]],0)</f>
        <v>7022.34</v>
      </c>
      <c r="J1694" s="16">
        <f>IF(HistoricalStockProgress[[#This Row],[No. of Shares]]&lt;&gt;0,HistoricalStockProgress[[#This Row],[Price of Shares]]-HistoricalStockProgress[[#This Row],[Cost of Shares]]/HistoricalStockProgress[[#This Row],[No. of Shares]],0)</f>
        <v>9.2387227634897258</v>
      </c>
      <c r="K1694" s="17">
        <f>IF(HistoricalStockProgress[[#This Row],[Total Price of Shares]]&lt;&gt;0,HistoricalStockProgress[[#This Row],[Total Price of Shares]]-HistoricalStockProgress[[#This Row],[Cost of Shares]],0)</f>
        <v>1080.9305633282975</v>
      </c>
      <c r="L1694" s="34" t="b" cm="1">
        <f t="array" ref="L1694">IFERROR(IF(HistoricalStockProgress[[#This Row],[Price of Shares]]="",_xlfn.STOCKHISTORY(HistoricalStockProgress[[#This Row],[Full Company Name]],HistoricalStockProgress[[#This Row],[Date]],,2,0,1)),0)</f>
        <v>0</v>
      </c>
      <c r="M1694" s="34">
        <f>YEAR(HistoricalStockProgress[[#This Row],[Date]])</f>
        <v>2024</v>
      </c>
      <c r="N1694" s="34">
        <f>MONTH(HistoricalStockProgress[[#This Row],[Date]])</f>
        <v>2</v>
      </c>
    </row>
    <row r="1695" spans="2:14">
      <c r="B1695" s="15">
        <v>45351</v>
      </c>
      <c r="C1695" s="34" t="s">
        <v>18</v>
      </c>
      <c r="D1695" s="34" t="e" vm="5">
        <f>_xlfn.XLOOKUP(HistoricalStockProgress[[#This Row],[Company Ticker]],CompanyDetailsList[Company Ticker],CompanyDetailsList[Official Name],,0)</f>
        <v>#VALUE!</v>
      </c>
      <c r="E16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6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695" s="17">
        <f>IFERROR(HistoricalStockProgress[[#This Row],[Cost of Shares]]/HistoricalStockProgress[[#This Row],[No. of Shares]],0)</f>
        <v>160.8859607546234</v>
      </c>
      <c r="H1695" s="16" vm="2180">
        <v>165.34</v>
      </c>
      <c r="I1695" s="16">
        <f>IF(HistoricalStockProgress[[#This Row],[No. of Shares]]&lt;&gt;0,HistoricalStockProgress[[#This Row],[Price of Shares]]*HistoricalStockProgress[[#This Row],[No. of Shares]],0)</f>
        <v>7109.62</v>
      </c>
      <c r="J1695" s="16">
        <f>IF(HistoricalStockProgress[[#This Row],[No. of Shares]]&lt;&gt;0,HistoricalStockProgress[[#This Row],[Price of Shares]]-HistoricalStockProgress[[#This Row],[Cost of Shares]]/HistoricalStockProgress[[#This Row],[No. of Shares]],0)</f>
        <v>4.454039245376606</v>
      </c>
      <c r="K1695" s="17">
        <f>IF(HistoricalStockProgress[[#This Row],[Total Price of Shares]]&lt;&gt;0,HistoricalStockProgress[[#This Row],[Total Price of Shares]]-HistoricalStockProgress[[#This Row],[Cost of Shares]],0)</f>
        <v>191.52368755119369</v>
      </c>
      <c r="L1695" s="34" t="b" cm="1">
        <f t="array" ref="L1695">IFERROR(IF(HistoricalStockProgress[[#This Row],[Price of Shares]]="",_xlfn.STOCKHISTORY(HistoricalStockProgress[[#This Row],[Full Company Name]],HistoricalStockProgress[[#This Row],[Date]],,2,0,1)),0)</f>
        <v>0</v>
      </c>
      <c r="M1695" s="34">
        <f>YEAR(HistoricalStockProgress[[#This Row],[Date]])</f>
        <v>2024</v>
      </c>
      <c r="N1695" s="34">
        <f>MONTH(HistoricalStockProgress[[#This Row],[Date]])</f>
        <v>2</v>
      </c>
    </row>
    <row r="1696" spans="2:14">
      <c r="B1696" s="15">
        <v>45351</v>
      </c>
      <c r="C1696" s="34" t="s">
        <v>21</v>
      </c>
      <c r="D1696" s="34" t="e" vm="6">
        <f>_xlfn.XLOOKUP(HistoricalStockProgress[[#This Row],[Company Ticker]],CompanyDetailsList[Company Ticker],CompanyDetailsList[Official Name],,0)</f>
        <v>#VALUE!</v>
      </c>
      <c r="E16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6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696" s="17">
        <f>IFERROR(HistoricalStockProgress[[#This Row],[Cost of Shares]]/HistoricalStockProgress[[#This Row],[No. of Shares]],0)</f>
        <v>139.68700010204148</v>
      </c>
      <c r="H1696" s="16" vm="2181">
        <v>158.94</v>
      </c>
      <c r="I1696" s="16">
        <f>IF(HistoricalStockProgress[[#This Row],[No. of Shares]]&lt;&gt;0,HistoricalStockProgress[[#This Row],[Price of Shares]]*HistoricalStockProgress[[#This Row],[No. of Shares]],0)</f>
        <v>6675.48</v>
      </c>
      <c r="J1696" s="16">
        <f>IF(HistoricalStockProgress[[#This Row],[No. of Shares]]&lt;&gt;0,HistoricalStockProgress[[#This Row],[Price of Shares]]-HistoricalStockProgress[[#This Row],[Cost of Shares]]/HistoricalStockProgress[[#This Row],[No. of Shares]],0)</f>
        <v>19.252999897958517</v>
      </c>
      <c r="K1696" s="17">
        <f>IF(HistoricalStockProgress[[#This Row],[Total Price of Shares]]&lt;&gt;0,HistoricalStockProgress[[#This Row],[Total Price of Shares]]-HistoricalStockProgress[[#This Row],[Cost of Shares]],0)</f>
        <v>808.62599571425744</v>
      </c>
      <c r="L1696" s="34" t="b" cm="1">
        <f t="array" ref="L1696">IFERROR(IF(HistoricalStockProgress[[#This Row],[Price of Shares]]="",_xlfn.STOCKHISTORY(HistoricalStockProgress[[#This Row],[Full Company Name]],HistoricalStockProgress[[#This Row],[Date]],,2,0,1)),0)</f>
        <v>0</v>
      </c>
      <c r="M1696" s="34">
        <f>YEAR(HistoricalStockProgress[[#This Row],[Date]])</f>
        <v>2024</v>
      </c>
      <c r="N1696" s="34">
        <f>MONTH(HistoricalStockProgress[[#This Row],[Date]])</f>
        <v>2</v>
      </c>
    </row>
    <row r="1697" spans="2:14">
      <c r="B1697" s="15">
        <v>45351</v>
      </c>
      <c r="C1697" s="34" t="s">
        <v>84</v>
      </c>
      <c r="D1697" s="34" t="e" vm="7">
        <f>_xlfn.XLOOKUP(HistoricalStockProgress[[#This Row],[Company Ticker]],CompanyDetailsList[Company Ticker],CompanyDetailsList[Official Name],,0)</f>
        <v>#VALUE!</v>
      </c>
      <c r="E16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6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697" s="17">
        <f>IFERROR(HistoricalStockProgress[[#This Row],[Cost of Shares]]/HistoricalStockProgress[[#This Row],[No. of Shares]],0)</f>
        <v>104.18087504950869</v>
      </c>
      <c r="H1697" s="16" vm="2182">
        <v>161.38</v>
      </c>
      <c r="I1697" s="16">
        <f>IF(HistoricalStockProgress[[#This Row],[No. of Shares]]&lt;&gt;0,HistoricalStockProgress[[#This Row],[Price of Shares]]*HistoricalStockProgress[[#This Row],[No. of Shares]],0)</f>
        <v>8230.3799999999992</v>
      </c>
      <c r="J1697" s="16">
        <f>IF(HistoricalStockProgress[[#This Row],[No. of Shares]]&lt;&gt;0,HistoricalStockProgress[[#This Row],[Price of Shares]]-HistoricalStockProgress[[#This Row],[Cost of Shares]]/HistoricalStockProgress[[#This Row],[No. of Shares]],0)</f>
        <v>57.19912495049131</v>
      </c>
      <c r="K1697" s="17">
        <f>IF(HistoricalStockProgress[[#This Row],[Total Price of Shares]]&lt;&gt;0,HistoricalStockProgress[[#This Row],[Total Price of Shares]]-HistoricalStockProgress[[#This Row],[Cost of Shares]],0)</f>
        <v>2917.1553724750565</v>
      </c>
      <c r="L1697" s="34" t="b" cm="1">
        <f t="array" ref="L1697">IFERROR(IF(HistoricalStockProgress[[#This Row],[Price of Shares]]="",_xlfn.STOCKHISTORY(HistoricalStockProgress[[#This Row],[Full Company Name]],HistoricalStockProgress[[#This Row],[Date]],,2,0,1)),0)</f>
        <v>0</v>
      </c>
      <c r="M1697" s="34">
        <f>YEAR(HistoricalStockProgress[[#This Row],[Date]])</f>
        <v>2024</v>
      </c>
      <c r="N1697" s="34">
        <f>MONTH(HistoricalStockProgress[[#This Row],[Date]])</f>
        <v>2</v>
      </c>
    </row>
    <row r="1698" spans="2:14">
      <c r="B1698" s="15">
        <v>45351</v>
      </c>
      <c r="C1698" s="34" t="s">
        <v>86</v>
      </c>
      <c r="D1698" s="34" t="e" vm="8">
        <f>_xlfn.XLOOKUP(HistoricalStockProgress[[#This Row],[Company Ticker]],CompanyDetailsList[Company Ticker],CompanyDetailsList[Official Name],,0)</f>
        <v>#VALUE!</v>
      </c>
      <c r="E16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120</v>
      </c>
      <c r="F16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11434.543004354886</v>
      </c>
      <c r="G1698" s="17">
        <f>IFERROR(HistoricalStockProgress[[#This Row],[Cost of Shares]]/HistoricalStockProgress[[#This Row],[No. of Shares]],0)</f>
        <v>95.287858369624047</v>
      </c>
      <c r="H1698" s="16" vm="2183">
        <v>176.05</v>
      </c>
      <c r="I1698" s="16">
        <f>IF(HistoricalStockProgress[[#This Row],[No. of Shares]]&lt;&gt;0,HistoricalStockProgress[[#This Row],[Price of Shares]]*HistoricalStockProgress[[#This Row],[No. of Shares]],0)</f>
        <v>21126</v>
      </c>
      <c r="J1698" s="16">
        <f>IF(HistoricalStockProgress[[#This Row],[No. of Shares]]&lt;&gt;0,HistoricalStockProgress[[#This Row],[Price of Shares]]-HistoricalStockProgress[[#This Row],[Cost of Shares]]/HistoricalStockProgress[[#This Row],[No. of Shares]],0)</f>
        <v>80.762141630375964</v>
      </c>
      <c r="K1698" s="17">
        <f>IF(HistoricalStockProgress[[#This Row],[Total Price of Shares]]&lt;&gt;0,HistoricalStockProgress[[#This Row],[Total Price of Shares]]-HistoricalStockProgress[[#This Row],[Cost of Shares]],0)</f>
        <v>9691.4569956451141</v>
      </c>
      <c r="L1698" s="34" t="b" cm="1">
        <f t="array" ref="L1698">IFERROR(IF(HistoricalStockProgress[[#This Row],[Price of Shares]]="",_xlfn.STOCKHISTORY(HistoricalStockProgress[[#This Row],[Full Company Name]],HistoricalStockProgress[[#This Row],[Date]],,2,0,1)),0)</f>
        <v>0</v>
      </c>
      <c r="M1698" s="34">
        <f>YEAR(HistoricalStockProgress[[#This Row],[Date]])</f>
        <v>2024</v>
      </c>
      <c r="N1698" s="34">
        <f>MONTH(HistoricalStockProgress[[#This Row],[Date]])</f>
        <v>2</v>
      </c>
    </row>
    <row r="1699" spans="2:14">
      <c r="B1699" s="15">
        <v>45351</v>
      </c>
      <c r="C1699" s="34" t="s">
        <v>88</v>
      </c>
      <c r="D1699" s="34" t="e" vm="9">
        <f>_xlfn.XLOOKUP(HistoricalStockProgress[[#This Row],[Company Ticker]],CompanyDetailsList[Company Ticker],CompanyDetailsList[Official Name],,0)</f>
        <v>#VALUE!</v>
      </c>
      <c r="E16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16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1699" s="17">
        <f>IFERROR(HistoricalStockProgress[[#This Row],[Cost of Shares]]/HistoricalStockProgress[[#This Row],[No. of Shares]],0)</f>
        <v>224.7272684493652</v>
      </c>
      <c r="H1699" s="16" vm="2184">
        <v>292.27999999999997</v>
      </c>
      <c r="I1699" s="16">
        <f>IF(HistoricalStockProgress[[#This Row],[No. of Shares]]&lt;&gt;0,HistoricalStockProgress[[#This Row],[Price of Shares]]*HistoricalStockProgress[[#This Row],[No. of Shares]],0)</f>
        <v>27766.6</v>
      </c>
      <c r="J1699" s="16">
        <f>IF(HistoricalStockProgress[[#This Row],[No. of Shares]]&lt;&gt;0,HistoricalStockProgress[[#This Row],[Price of Shares]]-HistoricalStockProgress[[#This Row],[Cost of Shares]]/HistoricalStockProgress[[#This Row],[No. of Shares]],0)</f>
        <v>67.552731550634775</v>
      </c>
      <c r="K1699" s="17">
        <f>IF(HistoricalStockProgress[[#This Row],[Total Price of Shares]]&lt;&gt;0,HistoricalStockProgress[[#This Row],[Total Price of Shares]]-HistoricalStockProgress[[#This Row],[Cost of Shares]],0)</f>
        <v>6417.5094973103041</v>
      </c>
      <c r="L1699" s="34" t="b" cm="1">
        <f t="array" ref="L1699">IFERROR(IF(HistoricalStockProgress[[#This Row],[Price of Shares]]="",_xlfn.STOCKHISTORY(HistoricalStockProgress[[#This Row],[Full Company Name]],HistoricalStockProgress[[#This Row],[Date]],,2,0,1)),0)</f>
        <v>0</v>
      </c>
      <c r="M1699" s="34">
        <f>YEAR(HistoricalStockProgress[[#This Row],[Date]])</f>
        <v>2024</v>
      </c>
      <c r="N1699" s="34">
        <f>MONTH(HistoricalStockProgress[[#This Row],[Date]])</f>
        <v>2</v>
      </c>
    </row>
    <row r="1700" spans="2:14">
      <c r="B1700" s="15">
        <v>45351</v>
      </c>
      <c r="C1700" s="34" t="s">
        <v>22</v>
      </c>
      <c r="D1700" s="34" t="e" vm="10">
        <f>_xlfn.XLOOKUP(HistoricalStockProgress[[#This Row],[Company Ticker]],CompanyDetailsList[Company Ticker],CompanyDetailsList[Official Name],,0)</f>
        <v>#VALUE!</v>
      </c>
      <c r="E17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7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700" s="17">
        <f>IFERROR(HistoricalStockProgress[[#This Row],[Cost of Shares]]/HistoricalStockProgress[[#This Row],[No. of Shares]],0)</f>
        <v>130.19784136724968</v>
      </c>
      <c r="H1700" s="16" vm="2185">
        <v>333.96</v>
      </c>
      <c r="I1700" s="16">
        <f>IF(HistoricalStockProgress[[#This Row],[No. of Shares]]&lt;&gt;0,HistoricalStockProgress[[#This Row],[Price of Shares]]*HistoricalStockProgress[[#This Row],[No. of Shares]],0)</f>
        <v>39741.24</v>
      </c>
      <c r="J1700" s="16">
        <f>IF(HistoricalStockProgress[[#This Row],[No. of Shares]]&lt;&gt;0,HistoricalStockProgress[[#This Row],[Price of Shares]]-HistoricalStockProgress[[#This Row],[Cost of Shares]]/HistoricalStockProgress[[#This Row],[No. of Shares]],0)</f>
        <v>203.7621586327503</v>
      </c>
      <c r="K1700" s="17">
        <f>IF(HistoricalStockProgress[[#This Row],[Total Price of Shares]]&lt;&gt;0,HistoricalStockProgress[[#This Row],[Total Price of Shares]]-HistoricalStockProgress[[#This Row],[Cost of Shares]],0)</f>
        <v>24247.696877297283</v>
      </c>
      <c r="L1700" s="34" t="b" cm="1">
        <f t="array" ref="L1700">IFERROR(IF(HistoricalStockProgress[[#This Row],[Price of Shares]]="",_xlfn.STOCKHISTORY(HistoricalStockProgress[[#This Row],[Full Company Name]],HistoricalStockProgress[[#This Row],[Date]],,2,0,1)),0)</f>
        <v>0</v>
      </c>
      <c r="M1700" s="34">
        <f>YEAR(HistoricalStockProgress[[#This Row],[Date]])</f>
        <v>2024</v>
      </c>
      <c r="N1700" s="34">
        <f>MONTH(HistoricalStockProgress[[#This Row],[Date]])</f>
        <v>2</v>
      </c>
    </row>
    <row r="1701" spans="2:14">
      <c r="B1701" s="15">
        <v>45351</v>
      </c>
      <c r="C1701" s="34" t="s">
        <v>91</v>
      </c>
      <c r="D1701" s="34" t="e" vm="11">
        <f>_xlfn.XLOOKUP(HistoricalStockProgress[[#This Row],[Company Ticker]],CompanyDetailsList[Company Ticker],CompanyDetailsList[Official Name],,0)</f>
        <v>#VALUE!</v>
      </c>
      <c r="E17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7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701" s="17">
        <f>IFERROR(HistoricalStockProgress[[#This Row],[Cost of Shares]]/HistoricalStockProgress[[#This Row],[No. of Shares]],0)</f>
        <v>133.15744058830452</v>
      </c>
      <c r="H1701" s="16" vm="2186">
        <v>413.64</v>
      </c>
      <c r="I1701" s="16">
        <f>IF(HistoricalStockProgress[[#This Row],[No. of Shares]]&lt;&gt;0,HistoricalStockProgress[[#This Row],[Price of Shares]]*HistoricalStockProgress[[#This Row],[No. of Shares]],0)</f>
        <v>75696.12</v>
      </c>
      <c r="J1701" s="16">
        <f>IF(HistoricalStockProgress[[#This Row],[No. of Shares]]&lt;&gt;0,HistoricalStockProgress[[#This Row],[Price of Shares]]-HistoricalStockProgress[[#This Row],[Cost of Shares]]/HistoricalStockProgress[[#This Row],[No. of Shares]],0)</f>
        <v>280.48255941169543</v>
      </c>
      <c r="K1701" s="17">
        <f>IF(HistoricalStockProgress[[#This Row],[Total Price of Shares]]&lt;&gt;0,HistoricalStockProgress[[#This Row],[Total Price of Shares]]-HistoricalStockProgress[[#This Row],[Cost of Shares]],0)</f>
        <v>51328.308372340267</v>
      </c>
      <c r="L1701" s="34" t="b" cm="1">
        <f t="array" ref="L1701">IFERROR(IF(HistoricalStockProgress[[#This Row],[Price of Shares]]="",_xlfn.STOCKHISTORY(HistoricalStockProgress[[#This Row],[Full Company Name]],HistoricalStockProgress[[#This Row],[Date]],,2,0,1)),0)</f>
        <v>0</v>
      </c>
      <c r="M1701" s="34">
        <f>YEAR(HistoricalStockProgress[[#This Row],[Date]])</f>
        <v>2024</v>
      </c>
      <c r="N1701" s="34">
        <f>MONTH(HistoricalStockProgress[[#This Row],[Date]])</f>
        <v>2</v>
      </c>
    </row>
    <row r="1702" spans="2:14">
      <c r="B1702" s="15">
        <v>45351</v>
      </c>
      <c r="C1702" s="34" t="s">
        <v>16</v>
      </c>
      <c r="D1702" s="34" t="e" vm="12">
        <f>_xlfn.XLOOKUP(HistoricalStockProgress[[#This Row],[Company Ticker]],CompanyDetailsList[Company Ticker],CompanyDetailsList[Official Name],,0)</f>
        <v>#VALUE!</v>
      </c>
      <c r="E17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7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702" s="17">
        <f>IFERROR(HistoricalStockProgress[[#This Row],[Cost of Shares]]/HistoricalStockProgress[[#This Row],[No. of Shares]],0)</f>
        <v>75.117698177311837</v>
      </c>
      <c r="H1702" s="16" vm="880">
        <v>104.52</v>
      </c>
      <c r="I1702" s="16">
        <f>IF(HistoricalStockProgress[[#This Row],[No. of Shares]]&lt;&gt;0,HistoricalStockProgress[[#This Row],[Price of Shares]]*HistoricalStockProgress[[#This Row],[No. of Shares]],0)</f>
        <v>19336.2</v>
      </c>
      <c r="J1702" s="16">
        <f>IF(HistoricalStockProgress[[#This Row],[No. of Shares]]&lt;&gt;0,HistoricalStockProgress[[#This Row],[Price of Shares]]-HistoricalStockProgress[[#This Row],[Cost of Shares]]/HistoricalStockProgress[[#This Row],[No. of Shares]],0)</f>
        <v>29.402301822688159</v>
      </c>
      <c r="K1702" s="17">
        <f>IF(HistoricalStockProgress[[#This Row],[Total Price of Shares]]&lt;&gt;0,HistoricalStockProgress[[#This Row],[Total Price of Shares]]-HistoricalStockProgress[[#This Row],[Cost of Shares]],0)</f>
        <v>5439.4258371973119</v>
      </c>
      <c r="L1702" s="34" t="b" cm="1">
        <f t="array" ref="L1702">IFERROR(IF(HistoricalStockProgress[[#This Row],[Price of Shares]]="",_xlfn.STOCKHISTORY(HistoricalStockProgress[[#This Row],[Full Company Name]],HistoricalStockProgress[[#This Row],[Date]],,2,0,1)),0)</f>
        <v>0</v>
      </c>
      <c r="M1702" s="34">
        <f>YEAR(HistoricalStockProgress[[#This Row],[Date]])</f>
        <v>2024</v>
      </c>
      <c r="N1702" s="34">
        <f>MONTH(HistoricalStockProgress[[#This Row],[Date]])</f>
        <v>2</v>
      </c>
    </row>
    <row r="1703" spans="2:14">
      <c r="B1703" s="15">
        <v>45351</v>
      </c>
      <c r="C1703" s="34" t="s">
        <v>95</v>
      </c>
      <c r="D1703" s="34" t="e" vm="13">
        <f>_xlfn.XLOOKUP(HistoricalStockProgress[[#This Row],[Company Ticker]],CompanyDetailsList[Company Ticker],CompanyDetailsList[Official Name],,0)</f>
        <v>#VALUE!</v>
      </c>
      <c r="E17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143</v>
      </c>
      <c r="F17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35362.550411645469</v>
      </c>
      <c r="G1703" s="17">
        <f>IFERROR(HistoricalStockProgress[[#This Row],[Cost of Shares]]/HistoricalStockProgress[[#This Row],[No. of Shares]],0)</f>
        <v>247.29056231919907</v>
      </c>
      <c r="H1703" s="16" vm="2187">
        <v>380.61</v>
      </c>
      <c r="I1703" s="16">
        <f>IF(HistoricalStockProgress[[#This Row],[No. of Shares]]&lt;&gt;0,HistoricalStockProgress[[#This Row],[Price of Shares]]*HistoricalStockProgress[[#This Row],[No. of Shares]],0)</f>
        <v>54427.23</v>
      </c>
      <c r="J1703" s="16">
        <f>IF(HistoricalStockProgress[[#This Row],[No. of Shares]]&lt;&gt;0,HistoricalStockProgress[[#This Row],[Price of Shares]]-HistoricalStockProgress[[#This Row],[Cost of Shares]]/HistoricalStockProgress[[#This Row],[No. of Shares]],0)</f>
        <v>133.31943768080095</v>
      </c>
      <c r="K1703" s="17">
        <f>IF(HistoricalStockProgress[[#This Row],[Total Price of Shares]]&lt;&gt;0,HistoricalStockProgress[[#This Row],[Total Price of Shares]]-HistoricalStockProgress[[#This Row],[Cost of Shares]],0)</f>
        <v>19064.679588354535</v>
      </c>
      <c r="L1703" s="34" t="b" cm="1">
        <f t="array" ref="L1703">IFERROR(IF(HistoricalStockProgress[[#This Row],[Price of Shares]]="",_xlfn.STOCKHISTORY(HistoricalStockProgress[[#This Row],[Full Company Name]],HistoricalStockProgress[[#This Row],[Date]],,2,0,1)),0)</f>
        <v>0</v>
      </c>
      <c r="M1703" s="34">
        <f>YEAR(HistoricalStockProgress[[#This Row],[Date]])</f>
        <v>2024</v>
      </c>
      <c r="N1703" s="34">
        <f>MONTH(HistoricalStockProgress[[#This Row],[Date]])</f>
        <v>2</v>
      </c>
    </row>
    <row r="1704" spans="2:14">
      <c r="B1704" s="15">
        <v>45351</v>
      </c>
      <c r="C1704" s="34" t="s">
        <v>17</v>
      </c>
      <c r="D1704" s="34" t="e" vm="14">
        <f>_xlfn.XLOOKUP(HistoricalStockProgress[[#This Row],[Company Ticker]],CompanyDetailsList[Company Ticker],CompanyDetailsList[Official Name],,0)</f>
        <v>#VALUE!</v>
      </c>
      <c r="E17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194</v>
      </c>
      <c r="F17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26400.485099161626</v>
      </c>
      <c r="G1704" s="17">
        <f>IFERROR(HistoricalStockProgress[[#This Row],[Cost of Shares]]/HistoricalStockProgress[[#This Row],[No. of Shares]],0)</f>
        <v>136.08497473794654</v>
      </c>
      <c r="H1704" s="16" vm="2188">
        <v>185.03</v>
      </c>
      <c r="I1704" s="16">
        <f>IF(HistoricalStockProgress[[#This Row],[No. of Shares]]&lt;&gt;0,HistoricalStockProgress[[#This Row],[Price of Shares]]*HistoricalStockProgress[[#This Row],[No. of Shares]],0)</f>
        <v>35895.82</v>
      </c>
      <c r="J1704" s="16">
        <f>IF(HistoricalStockProgress[[#This Row],[No. of Shares]]&lt;&gt;0,HistoricalStockProgress[[#This Row],[Price of Shares]]-HistoricalStockProgress[[#This Row],[Cost of Shares]]/HistoricalStockProgress[[#This Row],[No. of Shares]],0)</f>
        <v>48.945025262053463</v>
      </c>
      <c r="K1704" s="17">
        <f>IF(HistoricalStockProgress[[#This Row],[Total Price of Shares]]&lt;&gt;0,HistoricalStockProgress[[#This Row],[Total Price of Shares]]-HistoricalStockProgress[[#This Row],[Cost of Shares]],0)</f>
        <v>9495.3349008383739</v>
      </c>
      <c r="L1704" s="34" t="b" cm="1">
        <f t="array" ref="L1704">IFERROR(IF(HistoricalStockProgress[[#This Row],[Price of Shares]]="",_xlfn.STOCKHISTORY(HistoricalStockProgress[[#This Row],[Full Company Name]],HistoricalStockProgress[[#This Row],[Date]],,2,0,1)),0)</f>
        <v>0</v>
      </c>
      <c r="M1704" s="34">
        <f>YEAR(HistoricalStockProgress[[#This Row],[Date]])</f>
        <v>2024</v>
      </c>
      <c r="N1704" s="34">
        <f>MONTH(HistoricalStockProgress[[#This Row],[Date]])</f>
        <v>2</v>
      </c>
    </row>
    <row r="1705" spans="2:14">
      <c r="B1705" s="15">
        <v>45351</v>
      </c>
      <c r="C1705" s="34" t="s">
        <v>98</v>
      </c>
      <c r="D1705" s="34" t="e" vm="15">
        <f>_xlfn.XLOOKUP(HistoricalStockProgress[[#This Row],[Company Ticker]],CompanyDetailsList[Company Ticker],CompanyDetailsList[Official Name],,0)</f>
        <v>#VALUE!</v>
      </c>
      <c r="E17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7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6407.714421697975</v>
      </c>
      <c r="G1705" s="17">
        <f>IFERROR(HistoricalStockProgress[[#This Row],[Cost of Shares]]/HistoricalStockProgress[[#This Row],[No. of Shares]],0)</f>
        <v>53.846339678134242</v>
      </c>
      <c r="H1705" s="16" vm="2189">
        <v>55.19</v>
      </c>
      <c r="I1705" s="16">
        <f>IF(HistoricalStockProgress[[#This Row],[No. of Shares]]&lt;&gt;0,HistoricalStockProgress[[#This Row],[Price of Shares]]*HistoricalStockProgress[[#This Row],[No. of Shares]],0)</f>
        <v>6567.61</v>
      </c>
      <c r="J1705" s="16">
        <f>IF(HistoricalStockProgress[[#This Row],[No. of Shares]]&lt;&gt;0,HistoricalStockProgress[[#This Row],[Price of Shares]]-HistoricalStockProgress[[#This Row],[Cost of Shares]]/HistoricalStockProgress[[#This Row],[No. of Shares]],0)</f>
        <v>1.3436603218657552</v>
      </c>
      <c r="K1705" s="17">
        <f>IF(HistoricalStockProgress[[#This Row],[Total Price of Shares]]&lt;&gt;0,HistoricalStockProgress[[#This Row],[Total Price of Shares]]-HistoricalStockProgress[[#This Row],[Cost of Shares]],0)</f>
        <v>159.89557830202466</v>
      </c>
      <c r="L1705" s="34" t="b" cm="1">
        <f t="array" ref="L1705">IFERROR(IF(HistoricalStockProgress[[#This Row],[Price of Shares]]="",_xlfn.STOCKHISTORY(HistoricalStockProgress[[#This Row],[Full Company Name]],HistoricalStockProgress[[#This Row],[Date]],,2,0,1)),0)</f>
        <v>0</v>
      </c>
      <c r="M1705" s="34">
        <f>YEAR(HistoricalStockProgress[[#This Row],[Date]])</f>
        <v>2024</v>
      </c>
      <c r="N1705" s="34">
        <f>MONTH(HistoricalStockProgress[[#This Row],[Date]])</f>
        <v>2</v>
      </c>
    </row>
    <row r="1706" spans="2:14">
      <c r="B1706" s="15">
        <v>45351</v>
      </c>
      <c r="C1706" s="34" t="s">
        <v>100</v>
      </c>
      <c r="D1706" s="34" t="e" vm="16">
        <f>_xlfn.XLOOKUP(HistoricalStockProgress[[#This Row],[Company Ticker]],CompanyDetailsList[Company Ticker],CompanyDetailsList[Official Name],,0)</f>
        <v>#VALUE!</v>
      </c>
      <c r="E17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17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1706" s="17">
        <f>IFERROR(HistoricalStockProgress[[#This Row],[Cost of Shares]]/HistoricalStockProgress[[#This Row],[No. of Shares]],0)</f>
        <v>92.156351168716071</v>
      </c>
      <c r="H1706" s="16" vm="2190">
        <v>91.83</v>
      </c>
      <c r="I1706" s="16">
        <f>IF(HistoricalStockProgress[[#This Row],[No. of Shares]]&lt;&gt;0,HistoricalStockProgress[[#This Row],[Price of Shares]]*HistoricalStockProgress[[#This Row],[No. of Shares]],0)</f>
        <v>22957.5</v>
      </c>
      <c r="J1706" s="16">
        <f>IF(HistoricalStockProgress[[#This Row],[No. of Shares]]&lt;&gt;0,HistoricalStockProgress[[#This Row],[Price of Shares]]-HistoricalStockProgress[[#This Row],[Cost of Shares]]/HistoricalStockProgress[[#This Row],[No. of Shares]],0)</f>
        <v>-0.32635116871607295</v>
      </c>
      <c r="K1706" s="17">
        <f>IF(HistoricalStockProgress[[#This Row],[Total Price of Shares]]&lt;&gt;0,HistoricalStockProgress[[#This Row],[Total Price of Shares]]-HistoricalStockProgress[[#This Row],[Cost of Shares]],0)</f>
        <v>-81.587792179016105</v>
      </c>
      <c r="L1706" s="34" t="b" cm="1">
        <f t="array" ref="L1706">IFERROR(IF(HistoricalStockProgress[[#This Row],[Price of Shares]]="",_xlfn.STOCKHISTORY(HistoricalStockProgress[[#This Row],[Full Company Name]],HistoricalStockProgress[[#This Row],[Date]],,2,0,1)),0)</f>
        <v>0</v>
      </c>
      <c r="M1706" s="34">
        <f>YEAR(HistoricalStockProgress[[#This Row],[Date]])</f>
        <v>2024</v>
      </c>
      <c r="N1706" s="34">
        <f>MONTH(HistoricalStockProgress[[#This Row],[Date]])</f>
        <v>2</v>
      </c>
    </row>
    <row r="1707" spans="2:14">
      <c r="B1707" s="15">
        <v>45351</v>
      </c>
      <c r="C1707" s="34" t="s">
        <v>15</v>
      </c>
      <c r="D1707" s="34" t="e" vm="17">
        <f>_xlfn.XLOOKUP(HistoricalStockProgress[[#This Row],[Company Ticker]],CompanyDetailsList[Company Ticker],CompanyDetailsList[Official Name],,0)</f>
        <v>#VALUE!</v>
      </c>
      <c r="E17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133</v>
      </c>
      <c r="F17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3377.7842958499027</v>
      </c>
      <c r="G1707" s="17">
        <f>IFERROR(HistoricalStockProgress[[#This Row],[Cost of Shares]]/HistoricalStockProgress[[#This Row],[No. of Shares]],0)</f>
        <v>25.396874404886486</v>
      </c>
      <c r="H1707" s="16" vm="2191">
        <v>16.93</v>
      </c>
      <c r="I1707" s="16">
        <f>IF(HistoricalStockProgress[[#This Row],[No. of Shares]]&lt;&gt;0,HistoricalStockProgress[[#This Row],[Price of Shares]]*HistoricalStockProgress[[#This Row],[No. of Shares]],0)</f>
        <v>2251.69</v>
      </c>
      <c r="J1707" s="16">
        <f>IF(HistoricalStockProgress[[#This Row],[No. of Shares]]&lt;&gt;0,HistoricalStockProgress[[#This Row],[Price of Shares]]-HistoricalStockProgress[[#This Row],[Cost of Shares]]/HistoricalStockProgress[[#This Row],[No. of Shares]],0)</f>
        <v>-8.4668744048864859</v>
      </c>
      <c r="K1707" s="17">
        <f>IF(HistoricalStockProgress[[#This Row],[Total Price of Shares]]&lt;&gt;0,HistoricalStockProgress[[#This Row],[Total Price of Shares]]-HistoricalStockProgress[[#This Row],[Cost of Shares]],0)</f>
        <v>-1126.0942958499027</v>
      </c>
      <c r="L1707" s="34" t="b" cm="1">
        <f t="array" ref="L1707">IFERROR(IF(HistoricalStockProgress[[#This Row],[Price of Shares]]="",_xlfn.STOCKHISTORY(HistoricalStockProgress[[#This Row],[Full Company Name]],HistoricalStockProgress[[#This Row],[Date]],,2,0,1)),0)</f>
        <v>0</v>
      </c>
      <c r="M1707" s="34">
        <f>YEAR(HistoricalStockProgress[[#This Row],[Date]])</f>
        <v>2024</v>
      </c>
      <c r="N1707" s="34">
        <f>MONTH(HistoricalStockProgress[[#This Row],[Date]])</f>
        <v>2</v>
      </c>
    </row>
    <row r="1708" spans="2:14">
      <c r="B1708" s="15">
        <v>45351</v>
      </c>
      <c r="C1708" s="34" t="s">
        <v>13</v>
      </c>
      <c r="D1708" s="34" t="e" vm="18">
        <f>_xlfn.XLOOKUP(HistoricalStockProgress[[#This Row],[Company Ticker]],CompanyDetailsList[Company Ticker],CompanyDetailsList[Official Name],,0)</f>
        <v>#VALUE!</v>
      </c>
      <c r="E17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7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708" s="17">
        <f>IFERROR(HistoricalStockProgress[[#This Row],[Cost of Shares]]/HistoricalStockProgress[[#This Row],[No. of Shares]],0)</f>
        <v>35.846938938346874</v>
      </c>
      <c r="H1708" s="16" vm="2192">
        <v>26.56</v>
      </c>
      <c r="I1708" s="16">
        <f>IF(HistoricalStockProgress[[#This Row],[No. of Shares]]&lt;&gt;0,HistoricalStockProgress[[#This Row],[Price of Shares]]*HistoricalStockProgress[[#This Row],[No. of Shares]],0)</f>
        <v>1460.8</v>
      </c>
      <c r="J1708" s="16">
        <f>IF(HistoricalStockProgress[[#This Row],[No. of Shares]]&lt;&gt;0,HistoricalStockProgress[[#This Row],[Price of Shares]]-HistoricalStockProgress[[#This Row],[Cost of Shares]]/HistoricalStockProgress[[#This Row],[No. of Shares]],0)</f>
        <v>-9.286938938346875</v>
      </c>
      <c r="K1708" s="17">
        <f>IF(HistoricalStockProgress[[#This Row],[Total Price of Shares]]&lt;&gt;0,HistoricalStockProgress[[#This Row],[Total Price of Shares]]-HistoricalStockProgress[[#This Row],[Cost of Shares]],0)</f>
        <v>-510.78164160907818</v>
      </c>
      <c r="L1708" s="34" t="b" cm="1">
        <f t="array" ref="L1708">IFERROR(IF(HistoricalStockProgress[[#This Row],[Price of Shares]]="",_xlfn.STOCKHISTORY(HistoricalStockProgress[[#This Row],[Full Company Name]],HistoricalStockProgress[[#This Row],[Date]],,2,0,1)),0)</f>
        <v>0</v>
      </c>
      <c r="M1708" s="34">
        <f>YEAR(HistoricalStockProgress[[#This Row],[Date]])</f>
        <v>2024</v>
      </c>
      <c r="N1708" s="34">
        <f>MONTH(HistoricalStockProgress[[#This Row],[Date]])</f>
        <v>2</v>
      </c>
    </row>
    <row r="1709" spans="2:14">
      <c r="B1709" s="15">
        <v>45351</v>
      </c>
      <c r="C1709" s="34" t="s">
        <v>20</v>
      </c>
      <c r="D1709" s="34" t="e" vm="19">
        <f>_xlfn.XLOOKUP(HistoricalStockProgress[[#This Row],[Company Ticker]],CompanyDetailsList[Company Ticker],CompanyDetailsList[Official Name],,0)</f>
        <v>#VALUE!</v>
      </c>
      <c r="E17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7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709" s="17">
        <f>IFERROR(HistoricalStockProgress[[#This Row],[Cost of Shares]]/HistoricalStockProgress[[#This Row],[No. of Shares]],0)</f>
        <v>108.1760767450256</v>
      </c>
      <c r="H1709" s="16" vm="2193">
        <v>186.06</v>
      </c>
      <c r="I1709" s="16">
        <f>IF(HistoricalStockProgress[[#This Row],[No. of Shares]]&lt;&gt;0,HistoricalStockProgress[[#This Row],[Price of Shares]]*HistoricalStockProgress[[#This Row],[No. of Shares]],0)</f>
        <v>21582.959999999999</v>
      </c>
      <c r="J1709" s="16">
        <f>IF(HistoricalStockProgress[[#This Row],[No. of Shares]]&lt;&gt;0,HistoricalStockProgress[[#This Row],[Price of Shares]]-HistoricalStockProgress[[#This Row],[Cost of Shares]]/HistoricalStockProgress[[#This Row],[No. of Shares]],0)</f>
        <v>77.883923254974405</v>
      </c>
      <c r="K1709" s="17">
        <f>IF(HistoricalStockProgress[[#This Row],[Total Price of Shares]]&lt;&gt;0,HistoricalStockProgress[[#This Row],[Total Price of Shares]]-HistoricalStockProgress[[#This Row],[Cost of Shares]],0)</f>
        <v>9034.5350975770307</v>
      </c>
      <c r="L1709" s="34" t="b" cm="1">
        <f t="array" ref="L1709">IFERROR(IF(HistoricalStockProgress[[#This Row],[Price of Shares]]="",_xlfn.STOCKHISTORY(HistoricalStockProgress[[#This Row],[Full Company Name]],HistoricalStockProgress[[#This Row],[Date]],,2,0,1)),0)</f>
        <v>0</v>
      </c>
      <c r="M1709" s="34">
        <f>YEAR(HistoricalStockProgress[[#This Row],[Date]])</f>
        <v>2024</v>
      </c>
      <c r="N1709" s="34">
        <f>MONTH(HistoricalStockProgress[[#This Row],[Date]])</f>
        <v>2</v>
      </c>
    </row>
    <row r="1710" spans="2:14">
      <c r="B1710" s="15">
        <v>45351</v>
      </c>
      <c r="C1710" s="34" t="s">
        <v>106</v>
      </c>
      <c r="D1710" s="34" t="e" vm="20">
        <f>_xlfn.XLOOKUP(HistoricalStockProgress[[#This Row],[Company Ticker]],CompanyDetailsList[Company Ticker],CompanyDetailsList[Official Name],,0)</f>
        <v>#VALUE!</v>
      </c>
      <c r="E17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7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710" s="17">
        <f>IFERROR(HistoricalStockProgress[[#This Row],[Cost of Shares]]/HistoricalStockProgress[[#This Row],[No. of Shares]],0)</f>
        <v>108.54870748680406</v>
      </c>
      <c r="H1710" s="16" vm="2194">
        <v>141.6</v>
      </c>
      <c r="I1710" s="16">
        <f>IF(HistoricalStockProgress[[#This Row],[No. of Shares]]&lt;&gt;0,HistoricalStockProgress[[#This Row],[Price of Shares]]*HistoricalStockProgress[[#This Row],[No. of Shares]],0)</f>
        <v>12460.8</v>
      </c>
      <c r="J1710" s="16">
        <f>IF(HistoricalStockProgress[[#This Row],[No. of Shares]]&lt;&gt;0,HistoricalStockProgress[[#This Row],[Price of Shares]]-HistoricalStockProgress[[#This Row],[Cost of Shares]]/HistoricalStockProgress[[#This Row],[No. of Shares]],0)</f>
        <v>33.051292513195932</v>
      </c>
      <c r="K1710" s="17">
        <f>IF(HistoricalStockProgress[[#This Row],[Total Price of Shares]]&lt;&gt;0,HistoricalStockProgress[[#This Row],[Total Price of Shares]]-HistoricalStockProgress[[#This Row],[Cost of Shares]],0)</f>
        <v>2908.5137411612413</v>
      </c>
      <c r="L1710" s="34" t="b" cm="1">
        <f t="array" ref="L1710">IFERROR(IF(HistoricalStockProgress[[#This Row],[Price of Shares]]="",_xlfn.STOCKHISTORY(HistoricalStockProgress[[#This Row],[Full Company Name]],HistoricalStockProgress[[#This Row],[Date]],,2,0,1)),0)</f>
        <v>0</v>
      </c>
      <c r="M1710" s="34">
        <f>YEAR(HistoricalStockProgress[[#This Row],[Date]])</f>
        <v>2024</v>
      </c>
      <c r="N1710" s="34">
        <f>MONTH(HistoricalStockProgress[[#This Row],[Date]])</f>
        <v>2</v>
      </c>
    </row>
    <row r="1711" spans="2:14">
      <c r="B1711" s="15">
        <v>45382</v>
      </c>
      <c r="C1711" s="34" t="s">
        <v>12</v>
      </c>
      <c r="D1711" s="34" t="e" vm="1">
        <f>_xlfn.XLOOKUP(HistoricalStockProgress[[#This Row],[Company Ticker]],CompanyDetailsList[Company Ticker],CompanyDetailsList[Official Name],,0)</f>
        <v>#VALUE!</v>
      </c>
      <c r="E17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7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711" s="17">
        <f>IFERROR(HistoricalStockProgress[[#This Row],[Cost of Shares]]/HistoricalStockProgress[[#This Row],[No. of Shares]],0)</f>
        <v>64.573985995316889</v>
      </c>
      <c r="H1711" s="16" vm="2195">
        <v>54.1</v>
      </c>
      <c r="I1711" s="16">
        <f>IF(HistoricalStockProgress[[#This Row],[No. of Shares]]&lt;&gt;0,HistoricalStockProgress[[#This Row],[Price of Shares]]*HistoricalStockProgress[[#This Row],[No. of Shares]],0)</f>
        <v>5247.7</v>
      </c>
      <c r="J1711" s="16">
        <f>IF(HistoricalStockProgress[[#This Row],[No. of Shares]]&lt;&gt;0,HistoricalStockProgress[[#This Row],[Price of Shares]]-HistoricalStockProgress[[#This Row],[Cost of Shares]]/HistoricalStockProgress[[#This Row],[No. of Shares]],0)</f>
        <v>-10.473985995316887</v>
      </c>
      <c r="K1711" s="17">
        <f>IF(HistoricalStockProgress[[#This Row],[Total Price of Shares]]&lt;&gt;0,HistoricalStockProgress[[#This Row],[Total Price of Shares]]-HistoricalStockProgress[[#This Row],[Cost of Shares]],0)</f>
        <v>-1015.9766415457379</v>
      </c>
      <c r="L1711" s="34" t="b" cm="1">
        <f t="array" ref="L1711">IFERROR(IF(HistoricalStockProgress[[#This Row],[Price of Shares]]="",_xlfn.STOCKHISTORY(HistoricalStockProgress[[#This Row],[Full Company Name]],HistoricalStockProgress[[#This Row],[Date]],,2,0,1)),0)</f>
        <v>0</v>
      </c>
      <c r="M1711" s="34">
        <f>YEAR(HistoricalStockProgress[[#This Row],[Date]])</f>
        <v>2024</v>
      </c>
      <c r="N1711" s="34">
        <f>MONTH(HistoricalStockProgress[[#This Row],[Date]])</f>
        <v>3</v>
      </c>
    </row>
    <row r="1712" spans="2:14">
      <c r="B1712" s="15">
        <v>45382</v>
      </c>
      <c r="C1712" s="34" t="s">
        <v>14</v>
      </c>
      <c r="D1712" s="34" t="e" vm="2">
        <f>_xlfn.XLOOKUP(HistoricalStockProgress[[#This Row],[Company Ticker]],CompanyDetailsList[Company Ticker],CompanyDetailsList[Official Name],,0)</f>
        <v>#VALUE!</v>
      </c>
      <c r="E17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17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1712" s="17">
        <f>IFERROR(HistoricalStockProgress[[#This Row],[Cost of Shares]]/HistoricalStockProgress[[#This Row],[No. of Shares]],0)</f>
        <v>26.819337355148658</v>
      </c>
      <c r="H1712" s="16" vm="2196">
        <v>23.05</v>
      </c>
      <c r="I1712" s="16">
        <f>IF(HistoricalStockProgress[[#This Row],[No. of Shares]]&lt;&gt;0,HistoricalStockProgress[[#This Row],[Price of Shares]]*HistoricalStockProgress[[#This Row],[No. of Shares]],0)</f>
        <v>1452.15</v>
      </c>
      <c r="J1712" s="16">
        <f>IF(HistoricalStockProgress[[#This Row],[No. of Shares]]&lt;&gt;0,HistoricalStockProgress[[#This Row],[Price of Shares]]-HistoricalStockProgress[[#This Row],[Cost of Shares]]/HistoricalStockProgress[[#This Row],[No. of Shares]],0)</f>
        <v>-3.7693373551486573</v>
      </c>
      <c r="K1712" s="17">
        <f>IF(HistoricalStockProgress[[#This Row],[Total Price of Shares]]&lt;&gt;0,HistoricalStockProgress[[#This Row],[Total Price of Shares]]-HistoricalStockProgress[[#This Row],[Cost of Shares]],0)</f>
        <v>-237.4682533743653</v>
      </c>
      <c r="L1712" s="34" t="b" cm="1">
        <f t="array" ref="L1712">IFERROR(IF(HistoricalStockProgress[[#This Row],[Price of Shares]]="",_xlfn.STOCKHISTORY(HistoricalStockProgress[[#This Row],[Full Company Name]],HistoricalStockProgress[[#This Row],[Date]],,2,0,1)),0)</f>
        <v>0</v>
      </c>
      <c r="M1712" s="34">
        <f>YEAR(HistoricalStockProgress[[#This Row],[Date]])</f>
        <v>2024</v>
      </c>
      <c r="N1712" s="34">
        <f>MONTH(HistoricalStockProgress[[#This Row],[Date]])</f>
        <v>3</v>
      </c>
    </row>
    <row r="1713" spans="2:14">
      <c r="B1713" s="15">
        <v>45382</v>
      </c>
      <c r="C1713" s="34" t="s">
        <v>19</v>
      </c>
      <c r="D1713" s="34" t="e" vm="3">
        <f>_xlfn.XLOOKUP(HistoricalStockProgress[[#This Row],[Company Ticker]],CompanyDetailsList[Company Ticker],CompanyDetailsList[Official Name],,0)</f>
        <v>#VALUE!</v>
      </c>
      <c r="E17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7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713" s="17">
        <f>IFERROR(HistoricalStockProgress[[#This Row],[Cost of Shares]]/HistoricalStockProgress[[#This Row],[No. of Shares]],0)</f>
        <v>158.45739987816083</v>
      </c>
      <c r="H1713" s="16" vm="1141">
        <v>153.11000000000001</v>
      </c>
      <c r="I1713" s="16">
        <f>IF(HistoricalStockProgress[[#This Row],[No. of Shares]]&lt;&gt;0,HistoricalStockProgress[[#This Row],[Price of Shares]]*HistoricalStockProgress[[#This Row],[No. of Shares]],0)</f>
        <v>8727.27</v>
      </c>
      <c r="J1713" s="16">
        <f>IF(HistoricalStockProgress[[#This Row],[No. of Shares]]&lt;&gt;0,HistoricalStockProgress[[#This Row],[Price of Shares]]-HistoricalStockProgress[[#This Row],[Cost of Shares]]/HistoricalStockProgress[[#This Row],[No. of Shares]],0)</f>
        <v>-5.3473998781608145</v>
      </c>
      <c r="K1713" s="17">
        <f>IF(HistoricalStockProgress[[#This Row],[Total Price of Shares]]&lt;&gt;0,HistoricalStockProgress[[#This Row],[Total Price of Shares]]-HistoricalStockProgress[[#This Row],[Cost of Shares]],0)</f>
        <v>-304.80179305516685</v>
      </c>
      <c r="L1713" s="34" t="b" cm="1">
        <f t="array" ref="L1713">IFERROR(IF(HistoricalStockProgress[[#This Row],[Price of Shares]]="",_xlfn.STOCKHISTORY(HistoricalStockProgress[[#This Row],[Full Company Name]],HistoricalStockProgress[[#This Row],[Date]],,2,0,1)),0)</f>
        <v>0</v>
      </c>
      <c r="M1713" s="34">
        <f>YEAR(HistoricalStockProgress[[#This Row],[Date]])</f>
        <v>2024</v>
      </c>
      <c r="N1713" s="34">
        <f>MONTH(HistoricalStockProgress[[#This Row],[Date]])</f>
        <v>3</v>
      </c>
    </row>
    <row r="1714" spans="2:14">
      <c r="B1714" s="15">
        <v>45382</v>
      </c>
      <c r="C1714" s="34" t="s">
        <v>23</v>
      </c>
      <c r="D1714" s="34" t="e" vm="4">
        <f>_xlfn.XLOOKUP(HistoricalStockProgress[[#This Row],[Company Ticker]],CompanyDetailsList[Company Ticker],CompanyDetailsList[Official Name],,0)</f>
        <v>#VALUE!</v>
      </c>
      <c r="E17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17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1714" s="17">
        <f>IFERROR(HistoricalStockProgress[[#This Row],[Cost of Shares]]/HistoricalStockProgress[[#This Row],[No. of Shares]],0)</f>
        <v>50.781277236510277</v>
      </c>
      <c r="H1714" s="16" vm="2197">
        <v>61.18</v>
      </c>
      <c r="I1714" s="16">
        <f>IF(HistoricalStockProgress[[#This Row],[No. of Shares]]&lt;&gt;0,HistoricalStockProgress[[#This Row],[Price of Shares]]*HistoricalStockProgress[[#This Row],[No. of Shares]],0)</f>
        <v>7158.06</v>
      </c>
      <c r="J1714" s="16">
        <f>IF(HistoricalStockProgress[[#This Row],[No. of Shares]]&lt;&gt;0,HistoricalStockProgress[[#This Row],[Price of Shares]]-HistoricalStockProgress[[#This Row],[Cost of Shares]]/HistoricalStockProgress[[#This Row],[No. of Shares]],0)</f>
        <v>10.398722763489722</v>
      </c>
      <c r="K1714" s="17">
        <f>IF(HistoricalStockProgress[[#This Row],[Total Price of Shares]]&lt;&gt;0,HistoricalStockProgress[[#This Row],[Total Price of Shares]]-HistoricalStockProgress[[#This Row],[Cost of Shares]],0)</f>
        <v>1216.6505633282977</v>
      </c>
      <c r="L1714" s="34" t="b" cm="1">
        <f t="array" ref="L1714">IFERROR(IF(HistoricalStockProgress[[#This Row],[Price of Shares]]="",_xlfn.STOCKHISTORY(HistoricalStockProgress[[#This Row],[Full Company Name]],HistoricalStockProgress[[#This Row],[Date]],,2,0,1)),0)</f>
        <v>0</v>
      </c>
      <c r="M1714" s="34">
        <f>YEAR(HistoricalStockProgress[[#This Row],[Date]])</f>
        <v>2024</v>
      </c>
      <c r="N1714" s="34">
        <f>MONTH(HistoricalStockProgress[[#This Row],[Date]])</f>
        <v>3</v>
      </c>
    </row>
    <row r="1715" spans="2:14">
      <c r="B1715" s="15">
        <v>45382</v>
      </c>
      <c r="C1715" s="34" t="s">
        <v>18</v>
      </c>
      <c r="D1715" s="34" t="e" vm="5">
        <f>_xlfn.XLOOKUP(HistoricalStockProgress[[#This Row],[Company Ticker]],CompanyDetailsList[Company Ticker],CompanyDetailsList[Official Name],,0)</f>
        <v>#VALUE!</v>
      </c>
      <c r="E17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7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715" s="17">
        <f>IFERROR(HistoricalStockProgress[[#This Row],[Cost of Shares]]/HistoricalStockProgress[[#This Row],[No. of Shares]],0)</f>
        <v>160.8859607546234</v>
      </c>
      <c r="H1715" s="16" vm="2198">
        <v>175.01</v>
      </c>
      <c r="I1715" s="16">
        <f>IF(HistoricalStockProgress[[#This Row],[No. of Shares]]&lt;&gt;0,HistoricalStockProgress[[#This Row],[Price of Shares]]*HistoricalStockProgress[[#This Row],[No. of Shares]],0)</f>
        <v>7525.4299999999994</v>
      </c>
      <c r="J1715" s="16">
        <f>IF(HistoricalStockProgress[[#This Row],[No. of Shares]]&lt;&gt;0,HistoricalStockProgress[[#This Row],[Price of Shares]]-HistoricalStockProgress[[#This Row],[Cost of Shares]]/HistoricalStockProgress[[#This Row],[No. of Shares]],0)</f>
        <v>14.124039245376593</v>
      </c>
      <c r="K1715" s="17">
        <f>IF(HistoricalStockProgress[[#This Row],[Total Price of Shares]]&lt;&gt;0,HistoricalStockProgress[[#This Row],[Total Price of Shares]]-HistoricalStockProgress[[#This Row],[Cost of Shares]],0)</f>
        <v>607.33368755119318</v>
      </c>
      <c r="L1715" s="34" t="b" cm="1">
        <f t="array" ref="L1715">IFERROR(IF(HistoricalStockProgress[[#This Row],[Price of Shares]]="",_xlfn.STOCKHISTORY(HistoricalStockProgress[[#This Row],[Full Company Name]],HistoricalStockProgress[[#This Row],[Date]],,2,0,1)),0)</f>
        <v>0</v>
      </c>
      <c r="M1715" s="34">
        <f>YEAR(HistoricalStockProgress[[#This Row],[Date]])</f>
        <v>2024</v>
      </c>
      <c r="N1715" s="34">
        <f>MONTH(HistoricalStockProgress[[#This Row],[Date]])</f>
        <v>3</v>
      </c>
    </row>
    <row r="1716" spans="2:14">
      <c r="B1716" s="15">
        <v>45382</v>
      </c>
      <c r="C1716" s="34" t="s">
        <v>21</v>
      </c>
      <c r="D1716" s="34" t="e" vm="6">
        <f>_xlfn.XLOOKUP(HistoricalStockProgress[[#This Row],[Company Ticker]],CompanyDetailsList[Company Ticker],CompanyDetailsList[Official Name],,0)</f>
        <v>#VALUE!</v>
      </c>
      <c r="E17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7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716" s="17">
        <f>IFERROR(HistoricalStockProgress[[#This Row],[Cost of Shares]]/HistoricalStockProgress[[#This Row],[No. of Shares]],0)</f>
        <v>139.68700010204148</v>
      </c>
      <c r="H1716" s="16" vm="2199">
        <v>162.25</v>
      </c>
      <c r="I1716" s="16">
        <f>IF(HistoricalStockProgress[[#This Row],[No. of Shares]]&lt;&gt;0,HistoricalStockProgress[[#This Row],[Price of Shares]]*HistoricalStockProgress[[#This Row],[No. of Shares]],0)</f>
        <v>6814.5</v>
      </c>
      <c r="J1716" s="16">
        <f>IF(HistoricalStockProgress[[#This Row],[No. of Shares]]&lt;&gt;0,HistoricalStockProgress[[#This Row],[Price of Shares]]-HistoricalStockProgress[[#This Row],[Cost of Shares]]/HistoricalStockProgress[[#This Row],[No. of Shares]],0)</f>
        <v>22.56299989795852</v>
      </c>
      <c r="K1716" s="17">
        <f>IF(HistoricalStockProgress[[#This Row],[Total Price of Shares]]&lt;&gt;0,HistoricalStockProgress[[#This Row],[Total Price of Shares]]-HistoricalStockProgress[[#This Row],[Cost of Shares]],0)</f>
        <v>947.64599571425788</v>
      </c>
      <c r="L1716" s="34" t="b" cm="1">
        <f t="array" ref="L1716">IFERROR(IF(HistoricalStockProgress[[#This Row],[Price of Shares]]="",_xlfn.STOCKHISTORY(HistoricalStockProgress[[#This Row],[Full Company Name]],HistoricalStockProgress[[#This Row],[Date]],,2,0,1)),0)</f>
        <v>0</v>
      </c>
      <c r="M1716" s="34">
        <f>YEAR(HistoricalStockProgress[[#This Row],[Date]])</f>
        <v>2024</v>
      </c>
      <c r="N1716" s="34">
        <f>MONTH(HistoricalStockProgress[[#This Row],[Date]])</f>
        <v>3</v>
      </c>
    </row>
    <row r="1717" spans="2:14">
      <c r="B1717" s="15">
        <v>45382</v>
      </c>
      <c r="C1717" s="34" t="s">
        <v>84</v>
      </c>
      <c r="D1717" s="34" t="e" vm="7">
        <f>_xlfn.XLOOKUP(HistoricalStockProgress[[#This Row],[Company Ticker]],CompanyDetailsList[Company Ticker],CompanyDetailsList[Official Name],,0)</f>
        <v>#VALUE!</v>
      </c>
      <c r="E17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7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717" s="17">
        <f>IFERROR(HistoricalStockProgress[[#This Row],[Cost of Shares]]/HistoricalStockProgress[[#This Row],[No. of Shares]],0)</f>
        <v>104.18087504950869</v>
      </c>
      <c r="H1717" s="16" vm="2200">
        <v>158.19</v>
      </c>
      <c r="I1717" s="16">
        <f>IF(HistoricalStockProgress[[#This Row],[No. of Shares]]&lt;&gt;0,HistoricalStockProgress[[#This Row],[Price of Shares]]*HistoricalStockProgress[[#This Row],[No. of Shares]],0)</f>
        <v>8067.69</v>
      </c>
      <c r="J1717" s="16">
        <f>IF(HistoricalStockProgress[[#This Row],[No. of Shares]]&lt;&gt;0,HistoricalStockProgress[[#This Row],[Price of Shares]]-HistoricalStockProgress[[#This Row],[Cost of Shares]]/HistoricalStockProgress[[#This Row],[No. of Shares]],0)</f>
        <v>54.009124950491312</v>
      </c>
      <c r="K1717" s="17">
        <f>IF(HistoricalStockProgress[[#This Row],[Total Price of Shares]]&lt;&gt;0,HistoricalStockProgress[[#This Row],[Total Price of Shares]]-HistoricalStockProgress[[#This Row],[Cost of Shares]],0)</f>
        <v>2754.4653724750569</v>
      </c>
      <c r="L1717" s="34" t="b" cm="1">
        <f t="array" ref="L1717">IFERROR(IF(HistoricalStockProgress[[#This Row],[Price of Shares]]="",_xlfn.STOCKHISTORY(HistoricalStockProgress[[#This Row],[Full Company Name]],HistoricalStockProgress[[#This Row],[Date]],,2,0,1)),0)</f>
        <v>0</v>
      </c>
      <c r="M1717" s="34">
        <f>YEAR(HistoricalStockProgress[[#This Row],[Date]])</f>
        <v>2024</v>
      </c>
      <c r="N1717" s="34">
        <f>MONTH(HistoricalStockProgress[[#This Row],[Date]])</f>
        <v>3</v>
      </c>
    </row>
    <row r="1718" spans="2:14">
      <c r="B1718" s="15">
        <v>45382</v>
      </c>
      <c r="C1718" s="34" t="s">
        <v>86</v>
      </c>
      <c r="D1718" s="34" t="e" vm="8">
        <f>_xlfn.XLOOKUP(HistoricalStockProgress[[#This Row],[Company Ticker]],CompanyDetailsList[Company Ticker],CompanyDetailsList[Official Name],,0)</f>
        <v>#VALUE!</v>
      </c>
      <c r="E17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120</v>
      </c>
      <c r="F17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11434.543004354886</v>
      </c>
      <c r="G1718" s="17">
        <f>IFERROR(HistoricalStockProgress[[#This Row],[Cost of Shares]]/HistoricalStockProgress[[#This Row],[No. of Shares]],0)</f>
        <v>95.287858369624047</v>
      </c>
      <c r="H1718" s="16" vm="2201">
        <v>182.1</v>
      </c>
      <c r="I1718" s="16">
        <f>IF(HistoricalStockProgress[[#This Row],[No. of Shares]]&lt;&gt;0,HistoricalStockProgress[[#This Row],[Price of Shares]]*HistoricalStockProgress[[#This Row],[No. of Shares]],0)</f>
        <v>21852</v>
      </c>
      <c r="J1718" s="16">
        <f>IF(HistoricalStockProgress[[#This Row],[No. of Shares]]&lt;&gt;0,HistoricalStockProgress[[#This Row],[Price of Shares]]-HistoricalStockProgress[[#This Row],[Cost of Shares]]/HistoricalStockProgress[[#This Row],[No. of Shares]],0)</f>
        <v>86.812141630375947</v>
      </c>
      <c r="K1718" s="17">
        <f>IF(HistoricalStockProgress[[#This Row],[Total Price of Shares]]&lt;&gt;0,HistoricalStockProgress[[#This Row],[Total Price of Shares]]-HistoricalStockProgress[[#This Row],[Cost of Shares]],0)</f>
        <v>10417.456995645114</v>
      </c>
      <c r="L1718" s="34" t="b" cm="1">
        <f t="array" ref="L1718">IFERROR(IF(HistoricalStockProgress[[#This Row],[Price of Shares]]="",_xlfn.STOCKHISTORY(HistoricalStockProgress[[#This Row],[Full Company Name]],HistoricalStockProgress[[#This Row],[Date]],,2,0,1)),0)</f>
        <v>0</v>
      </c>
      <c r="M1718" s="34">
        <f>YEAR(HistoricalStockProgress[[#This Row],[Date]])</f>
        <v>2024</v>
      </c>
      <c r="N1718" s="34">
        <f>MONTH(HistoricalStockProgress[[#This Row],[Date]])</f>
        <v>3</v>
      </c>
    </row>
    <row r="1719" spans="2:14">
      <c r="B1719" s="15">
        <v>45382</v>
      </c>
      <c r="C1719" s="34" t="s">
        <v>88</v>
      </c>
      <c r="D1719" s="34" t="e" vm="9">
        <f>_xlfn.XLOOKUP(HistoricalStockProgress[[#This Row],[Company Ticker]],CompanyDetailsList[Company Ticker],CompanyDetailsList[Official Name],,0)</f>
        <v>#VALUE!</v>
      </c>
      <c r="E17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17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1719" s="17">
        <f>IFERROR(HistoricalStockProgress[[#This Row],[Cost of Shares]]/HistoricalStockProgress[[#This Row],[No. of Shares]],0)</f>
        <v>224.7272684493652</v>
      </c>
      <c r="H1719" s="16" vm="2202">
        <v>281.95</v>
      </c>
      <c r="I1719" s="16">
        <f>IF(HistoricalStockProgress[[#This Row],[No. of Shares]]&lt;&gt;0,HistoricalStockProgress[[#This Row],[Price of Shares]]*HistoricalStockProgress[[#This Row],[No. of Shares]],0)</f>
        <v>26785.25</v>
      </c>
      <c r="J1719" s="16">
        <f>IF(HistoricalStockProgress[[#This Row],[No. of Shares]]&lt;&gt;0,HistoricalStockProgress[[#This Row],[Price of Shares]]-HistoricalStockProgress[[#This Row],[Cost of Shares]]/HistoricalStockProgress[[#This Row],[No. of Shares]],0)</f>
        <v>57.222731550634791</v>
      </c>
      <c r="K1719" s="17">
        <f>IF(HistoricalStockProgress[[#This Row],[Total Price of Shares]]&lt;&gt;0,HistoricalStockProgress[[#This Row],[Total Price of Shares]]-HistoricalStockProgress[[#This Row],[Cost of Shares]],0)</f>
        <v>5436.1594973103056</v>
      </c>
      <c r="L1719" s="34" t="b" cm="1">
        <f t="array" ref="L1719">IFERROR(IF(HistoricalStockProgress[[#This Row],[Price of Shares]]="",_xlfn.STOCKHISTORY(HistoricalStockProgress[[#This Row],[Full Company Name]],HistoricalStockProgress[[#This Row],[Date]],,2,0,1)),0)</f>
        <v>0</v>
      </c>
      <c r="M1719" s="34">
        <f>YEAR(HistoricalStockProgress[[#This Row],[Date]])</f>
        <v>2024</v>
      </c>
      <c r="N1719" s="34">
        <f>MONTH(HistoricalStockProgress[[#This Row],[Date]])</f>
        <v>3</v>
      </c>
    </row>
    <row r="1720" spans="2:14">
      <c r="B1720" s="15">
        <v>45382</v>
      </c>
      <c r="C1720" s="34" t="s">
        <v>22</v>
      </c>
      <c r="D1720" s="34" t="e" vm="10">
        <f>_xlfn.XLOOKUP(HistoricalStockProgress[[#This Row],[Company Ticker]],CompanyDetailsList[Company Ticker],CompanyDetailsList[Official Name],,0)</f>
        <v>#VALUE!</v>
      </c>
      <c r="E17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7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720" s="17">
        <f>IFERROR(HistoricalStockProgress[[#This Row],[Cost of Shares]]/HistoricalStockProgress[[#This Row],[No. of Shares]],0)</f>
        <v>130.19784136724968</v>
      </c>
      <c r="H1720" s="16" vm="2203">
        <v>366.43</v>
      </c>
      <c r="I1720" s="16">
        <f>IF(HistoricalStockProgress[[#This Row],[No. of Shares]]&lt;&gt;0,HistoricalStockProgress[[#This Row],[Price of Shares]]*HistoricalStockProgress[[#This Row],[No. of Shares]],0)</f>
        <v>43605.17</v>
      </c>
      <c r="J1720" s="16">
        <f>IF(HistoricalStockProgress[[#This Row],[No. of Shares]]&lt;&gt;0,HistoricalStockProgress[[#This Row],[Price of Shares]]-HistoricalStockProgress[[#This Row],[Cost of Shares]]/HistoricalStockProgress[[#This Row],[No. of Shares]],0)</f>
        <v>236.23215863275033</v>
      </c>
      <c r="K1720" s="17">
        <f>IF(HistoricalStockProgress[[#This Row],[Total Price of Shares]]&lt;&gt;0,HistoricalStockProgress[[#This Row],[Total Price of Shares]]-HistoricalStockProgress[[#This Row],[Cost of Shares]],0)</f>
        <v>28111.626877297283</v>
      </c>
      <c r="L1720" s="34" t="b" cm="1">
        <f t="array" ref="L1720">IFERROR(IF(HistoricalStockProgress[[#This Row],[Price of Shares]]="",_xlfn.STOCKHISTORY(HistoricalStockProgress[[#This Row],[Full Company Name]],HistoricalStockProgress[[#This Row],[Date]],,2,0,1)),0)</f>
        <v>0</v>
      </c>
      <c r="M1720" s="34">
        <f>YEAR(HistoricalStockProgress[[#This Row],[Date]])</f>
        <v>2024</v>
      </c>
      <c r="N1720" s="34">
        <f>MONTH(HistoricalStockProgress[[#This Row],[Date]])</f>
        <v>3</v>
      </c>
    </row>
    <row r="1721" spans="2:14">
      <c r="B1721" s="15">
        <v>45382</v>
      </c>
      <c r="C1721" s="34" t="s">
        <v>91</v>
      </c>
      <c r="D1721" s="34" t="e" vm="11">
        <f>_xlfn.XLOOKUP(HistoricalStockProgress[[#This Row],[Company Ticker]],CompanyDetailsList[Company Ticker],CompanyDetailsList[Official Name],,0)</f>
        <v>#VALUE!</v>
      </c>
      <c r="E17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7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721" s="17">
        <f>IFERROR(HistoricalStockProgress[[#This Row],[Cost of Shares]]/HistoricalStockProgress[[#This Row],[No. of Shares]],0)</f>
        <v>133.15744058830452</v>
      </c>
      <c r="H1721" s="16" vm="2204">
        <v>420.72</v>
      </c>
      <c r="I1721" s="16">
        <f>IF(HistoricalStockProgress[[#This Row],[No. of Shares]]&lt;&gt;0,HistoricalStockProgress[[#This Row],[Price of Shares]]*HistoricalStockProgress[[#This Row],[No. of Shares]],0)</f>
        <v>76991.760000000009</v>
      </c>
      <c r="J1721" s="16">
        <f>IF(HistoricalStockProgress[[#This Row],[No. of Shares]]&lt;&gt;0,HistoricalStockProgress[[#This Row],[Price of Shares]]-HistoricalStockProgress[[#This Row],[Cost of Shares]]/HistoricalStockProgress[[#This Row],[No. of Shares]],0)</f>
        <v>287.56255941169547</v>
      </c>
      <c r="K1721" s="17">
        <f>IF(HistoricalStockProgress[[#This Row],[Total Price of Shares]]&lt;&gt;0,HistoricalStockProgress[[#This Row],[Total Price of Shares]]-HistoricalStockProgress[[#This Row],[Cost of Shares]],0)</f>
        <v>52623.948372340281</v>
      </c>
      <c r="L1721" s="34" t="b" cm="1">
        <f t="array" ref="L1721">IFERROR(IF(HistoricalStockProgress[[#This Row],[Price of Shares]]="",_xlfn.STOCKHISTORY(HistoricalStockProgress[[#This Row],[Full Company Name]],HistoricalStockProgress[[#This Row],[Date]],,2,0,1)),0)</f>
        <v>0</v>
      </c>
      <c r="M1721" s="34">
        <f>YEAR(HistoricalStockProgress[[#This Row],[Date]])</f>
        <v>2024</v>
      </c>
      <c r="N1721" s="34">
        <f>MONTH(HistoricalStockProgress[[#This Row],[Date]])</f>
        <v>3</v>
      </c>
    </row>
    <row r="1722" spans="2:14">
      <c r="B1722" s="15">
        <v>45382</v>
      </c>
      <c r="C1722" s="34" t="s">
        <v>16</v>
      </c>
      <c r="D1722" s="34" t="e" vm="12">
        <f>_xlfn.XLOOKUP(HistoricalStockProgress[[#This Row],[Company Ticker]],CompanyDetailsList[Company Ticker],CompanyDetailsList[Official Name],,0)</f>
        <v>#VALUE!</v>
      </c>
      <c r="E17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7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722" s="17">
        <f>IFERROR(HistoricalStockProgress[[#This Row],[Cost of Shares]]/HistoricalStockProgress[[#This Row],[No. of Shares]],0)</f>
        <v>75.117698177311837</v>
      </c>
      <c r="H1722" s="16" vm="869">
        <v>116.24</v>
      </c>
      <c r="I1722" s="16">
        <f>IF(HistoricalStockProgress[[#This Row],[No. of Shares]]&lt;&gt;0,HistoricalStockProgress[[#This Row],[Price of Shares]]*HistoricalStockProgress[[#This Row],[No. of Shares]],0)</f>
        <v>21504.399999999998</v>
      </c>
      <c r="J1722" s="16">
        <f>IF(HistoricalStockProgress[[#This Row],[No. of Shares]]&lt;&gt;0,HistoricalStockProgress[[#This Row],[Price of Shares]]-HistoricalStockProgress[[#This Row],[Cost of Shares]]/HistoricalStockProgress[[#This Row],[No. of Shares]],0)</f>
        <v>41.122301822688158</v>
      </c>
      <c r="K1722" s="17">
        <f>IF(HistoricalStockProgress[[#This Row],[Total Price of Shares]]&lt;&gt;0,HistoricalStockProgress[[#This Row],[Total Price of Shares]]-HistoricalStockProgress[[#This Row],[Cost of Shares]],0)</f>
        <v>7607.625837197309</v>
      </c>
      <c r="L1722" s="34" t="b" cm="1">
        <f t="array" ref="L1722">IFERROR(IF(HistoricalStockProgress[[#This Row],[Price of Shares]]="",_xlfn.STOCKHISTORY(HistoricalStockProgress[[#This Row],[Full Company Name]],HistoricalStockProgress[[#This Row],[Date]],,2,0,1)),0)</f>
        <v>0</v>
      </c>
      <c r="M1722" s="34">
        <f>YEAR(HistoricalStockProgress[[#This Row],[Date]])</f>
        <v>2024</v>
      </c>
      <c r="N1722" s="34">
        <f>MONTH(HistoricalStockProgress[[#This Row],[Date]])</f>
        <v>3</v>
      </c>
    </row>
    <row r="1723" spans="2:14">
      <c r="B1723" s="15">
        <v>45382</v>
      </c>
      <c r="C1723" s="34" t="s">
        <v>95</v>
      </c>
      <c r="D1723" s="34" t="e" vm="13">
        <f>_xlfn.XLOOKUP(HistoricalStockProgress[[#This Row],[Company Ticker]],CompanyDetailsList[Company Ticker],CompanyDetailsList[Official Name],,0)</f>
        <v>#VALUE!</v>
      </c>
      <c r="E17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143</v>
      </c>
      <c r="F17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35362.550411645469</v>
      </c>
      <c r="G1723" s="17">
        <f>IFERROR(HistoricalStockProgress[[#This Row],[Cost of Shares]]/HistoricalStockProgress[[#This Row],[No. of Shares]],0)</f>
        <v>247.29056231919907</v>
      </c>
      <c r="H1723" s="16" vm="2205">
        <v>383.6</v>
      </c>
      <c r="I1723" s="16">
        <f>IF(HistoricalStockProgress[[#This Row],[No. of Shares]]&lt;&gt;0,HistoricalStockProgress[[#This Row],[Price of Shares]]*HistoricalStockProgress[[#This Row],[No. of Shares]],0)</f>
        <v>54854.8</v>
      </c>
      <c r="J1723" s="16">
        <f>IF(HistoricalStockProgress[[#This Row],[No. of Shares]]&lt;&gt;0,HistoricalStockProgress[[#This Row],[Price of Shares]]-HistoricalStockProgress[[#This Row],[Cost of Shares]]/HistoricalStockProgress[[#This Row],[No. of Shares]],0)</f>
        <v>136.30943768080095</v>
      </c>
      <c r="K1723" s="17">
        <f>IF(HistoricalStockProgress[[#This Row],[Total Price of Shares]]&lt;&gt;0,HistoricalStockProgress[[#This Row],[Total Price of Shares]]-HistoricalStockProgress[[#This Row],[Cost of Shares]],0)</f>
        <v>19492.249588354534</v>
      </c>
      <c r="L1723" s="34" t="b" cm="1">
        <f t="array" ref="L1723">IFERROR(IF(HistoricalStockProgress[[#This Row],[Price of Shares]]="",_xlfn.STOCKHISTORY(HistoricalStockProgress[[#This Row],[Full Company Name]],HistoricalStockProgress[[#This Row],[Date]],,2,0,1)),0)</f>
        <v>0</v>
      </c>
      <c r="M1723" s="34">
        <f>YEAR(HistoricalStockProgress[[#This Row],[Date]])</f>
        <v>2024</v>
      </c>
      <c r="N1723" s="34">
        <f>MONTH(HistoricalStockProgress[[#This Row],[Date]])</f>
        <v>3</v>
      </c>
    </row>
    <row r="1724" spans="2:14">
      <c r="B1724" s="15">
        <v>45382</v>
      </c>
      <c r="C1724" s="34" t="s">
        <v>17</v>
      </c>
      <c r="D1724" s="34" t="e" vm="14">
        <f>_xlfn.XLOOKUP(HistoricalStockProgress[[#This Row],[Company Ticker]],CompanyDetailsList[Company Ticker],CompanyDetailsList[Official Name],,0)</f>
        <v>#VALUE!</v>
      </c>
      <c r="E17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207</v>
      </c>
      <c r="F17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28893.973938735588</v>
      </c>
      <c r="G1724" s="17">
        <f>IFERROR(HistoricalStockProgress[[#This Row],[Cost of Shares]]/HistoricalStockProgress[[#This Row],[No. of Shares]],0)</f>
        <v>139.58441516297384</v>
      </c>
      <c r="H1724" s="16" vm="2206">
        <v>190.96</v>
      </c>
      <c r="I1724" s="16">
        <f>IF(HistoricalStockProgress[[#This Row],[No. of Shares]]&lt;&gt;0,HistoricalStockProgress[[#This Row],[Price of Shares]]*HistoricalStockProgress[[#This Row],[No. of Shares]],0)</f>
        <v>39528.720000000001</v>
      </c>
      <c r="J1724" s="16">
        <f>IF(HistoricalStockProgress[[#This Row],[No. of Shares]]&lt;&gt;0,HistoricalStockProgress[[#This Row],[Price of Shares]]-HistoricalStockProgress[[#This Row],[Cost of Shares]]/HistoricalStockProgress[[#This Row],[No. of Shares]],0)</f>
        <v>51.375584837026167</v>
      </c>
      <c r="K1724" s="17">
        <f>IF(HistoricalStockProgress[[#This Row],[Total Price of Shares]]&lt;&gt;0,HistoricalStockProgress[[#This Row],[Total Price of Shares]]-HistoricalStockProgress[[#This Row],[Cost of Shares]],0)</f>
        <v>10634.746061264414</v>
      </c>
      <c r="L1724" s="34" t="b" cm="1">
        <f t="array" ref="L1724">IFERROR(IF(HistoricalStockProgress[[#This Row],[Price of Shares]]="",_xlfn.STOCKHISTORY(HistoricalStockProgress[[#This Row],[Full Company Name]],HistoricalStockProgress[[#This Row],[Date]],,2,0,1)),0)</f>
        <v>0</v>
      </c>
      <c r="M1724" s="34">
        <f>YEAR(HistoricalStockProgress[[#This Row],[Date]])</f>
        <v>2024</v>
      </c>
      <c r="N1724" s="34">
        <f>MONTH(HistoricalStockProgress[[#This Row],[Date]])</f>
        <v>3</v>
      </c>
    </row>
    <row r="1725" spans="2:14">
      <c r="B1725" s="15">
        <v>45382</v>
      </c>
      <c r="C1725" s="34" t="s">
        <v>98</v>
      </c>
      <c r="D1725" s="34" t="e" vm="15">
        <f>_xlfn.XLOOKUP(HistoricalStockProgress[[#This Row],[Company Ticker]],CompanyDetailsList[Company Ticker],CompanyDetailsList[Official Name],,0)</f>
        <v>#VALUE!</v>
      </c>
      <c r="E17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7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6407.714421697975</v>
      </c>
      <c r="G1725" s="17">
        <f>IFERROR(HistoricalStockProgress[[#This Row],[Cost of Shares]]/HistoricalStockProgress[[#This Row],[No. of Shares]],0)</f>
        <v>53.846339678134242</v>
      </c>
      <c r="H1725" s="16" vm="2207">
        <v>63.91</v>
      </c>
      <c r="I1725" s="16">
        <f>IF(HistoricalStockProgress[[#This Row],[No. of Shares]]&lt;&gt;0,HistoricalStockProgress[[#This Row],[Price of Shares]]*HistoricalStockProgress[[#This Row],[No. of Shares]],0)</f>
        <v>7605.29</v>
      </c>
      <c r="J1725" s="16">
        <f>IF(HistoricalStockProgress[[#This Row],[No. of Shares]]&lt;&gt;0,HistoricalStockProgress[[#This Row],[Price of Shares]]-HistoricalStockProgress[[#This Row],[Cost of Shares]]/HistoricalStockProgress[[#This Row],[No. of Shares]],0)</f>
        <v>10.063660321865754</v>
      </c>
      <c r="K1725" s="17">
        <f>IF(HistoricalStockProgress[[#This Row],[Total Price of Shares]]&lt;&gt;0,HistoricalStockProgress[[#This Row],[Total Price of Shares]]-HistoricalStockProgress[[#This Row],[Cost of Shares]],0)</f>
        <v>1197.575578302025</v>
      </c>
      <c r="L1725" s="34" t="b" cm="1">
        <f t="array" ref="L1725">IFERROR(IF(HistoricalStockProgress[[#This Row],[Price of Shares]]="",_xlfn.STOCKHISTORY(HistoricalStockProgress[[#This Row],[Full Company Name]],HistoricalStockProgress[[#This Row],[Date]],,2,0,1)),0)</f>
        <v>0</v>
      </c>
      <c r="M1725" s="34">
        <f>YEAR(HistoricalStockProgress[[#This Row],[Date]])</f>
        <v>2024</v>
      </c>
      <c r="N1725" s="34">
        <f>MONTH(HistoricalStockProgress[[#This Row],[Date]])</f>
        <v>3</v>
      </c>
    </row>
    <row r="1726" spans="2:14">
      <c r="B1726" s="15">
        <v>45382</v>
      </c>
      <c r="C1726" s="34" t="s">
        <v>100</v>
      </c>
      <c r="D1726" s="34" t="e" vm="16">
        <f>_xlfn.XLOOKUP(HistoricalStockProgress[[#This Row],[Company Ticker]],CompanyDetailsList[Company Ticker],CompanyDetailsList[Official Name],,0)</f>
        <v>#VALUE!</v>
      </c>
      <c r="E17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17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1726" s="17">
        <f>IFERROR(HistoricalStockProgress[[#This Row],[Cost of Shares]]/HistoricalStockProgress[[#This Row],[No. of Shares]],0)</f>
        <v>92.156351168716071</v>
      </c>
      <c r="H1726" s="16" vm="884">
        <v>96.71</v>
      </c>
      <c r="I1726" s="16">
        <f>IF(HistoricalStockProgress[[#This Row],[No. of Shares]]&lt;&gt;0,HistoricalStockProgress[[#This Row],[Price of Shares]]*HistoricalStockProgress[[#This Row],[No. of Shares]],0)</f>
        <v>24177.5</v>
      </c>
      <c r="J1726" s="16">
        <f>IF(HistoricalStockProgress[[#This Row],[No. of Shares]]&lt;&gt;0,HistoricalStockProgress[[#This Row],[Price of Shares]]-HistoricalStockProgress[[#This Row],[Cost of Shares]]/HistoricalStockProgress[[#This Row],[No. of Shares]],0)</f>
        <v>4.5536488312839225</v>
      </c>
      <c r="K1726" s="17">
        <f>IF(HistoricalStockProgress[[#This Row],[Total Price of Shares]]&lt;&gt;0,HistoricalStockProgress[[#This Row],[Total Price of Shares]]-HistoricalStockProgress[[#This Row],[Cost of Shares]],0)</f>
        <v>1138.4122078209839</v>
      </c>
      <c r="L1726" s="34" t="b" cm="1">
        <f t="array" ref="L1726">IFERROR(IF(HistoricalStockProgress[[#This Row],[Price of Shares]]="",_xlfn.STOCKHISTORY(HistoricalStockProgress[[#This Row],[Full Company Name]],HistoricalStockProgress[[#This Row],[Date]],,2,0,1)),0)</f>
        <v>0</v>
      </c>
      <c r="M1726" s="34">
        <f>YEAR(HistoricalStockProgress[[#This Row],[Date]])</f>
        <v>2024</v>
      </c>
      <c r="N1726" s="34">
        <f>MONTH(HistoricalStockProgress[[#This Row],[Date]])</f>
        <v>3</v>
      </c>
    </row>
    <row r="1727" spans="2:14">
      <c r="B1727" s="15">
        <v>45382</v>
      </c>
      <c r="C1727" s="34" t="s">
        <v>15</v>
      </c>
      <c r="D1727" s="34" t="e" vm="17">
        <f>_xlfn.XLOOKUP(HistoricalStockProgress[[#This Row],[Company Ticker]],CompanyDetailsList[Company Ticker],CompanyDetailsList[Official Name],,0)</f>
        <v>#VALUE!</v>
      </c>
      <c r="E17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133</v>
      </c>
      <c r="F17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3377.7842958499027</v>
      </c>
      <c r="G1727" s="17">
        <f>IFERROR(HistoricalStockProgress[[#This Row],[Cost of Shares]]/HistoricalStockProgress[[#This Row],[No. of Shares]],0)</f>
        <v>25.396874404886486</v>
      </c>
      <c r="H1727" s="16" vm="2208">
        <v>17.600000000000001</v>
      </c>
      <c r="I1727" s="16">
        <f>IF(HistoricalStockProgress[[#This Row],[No. of Shares]]&lt;&gt;0,HistoricalStockProgress[[#This Row],[Price of Shares]]*HistoricalStockProgress[[#This Row],[No. of Shares]],0)</f>
        <v>2340.8000000000002</v>
      </c>
      <c r="J1727" s="16">
        <f>IF(HistoricalStockProgress[[#This Row],[No. of Shares]]&lt;&gt;0,HistoricalStockProgress[[#This Row],[Price of Shares]]-HistoricalStockProgress[[#This Row],[Cost of Shares]]/HistoricalStockProgress[[#This Row],[No. of Shares]],0)</f>
        <v>-7.7968744048864842</v>
      </c>
      <c r="K1727" s="17">
        <f>IF(HistoricalStockProgress[[#This Row],[Total Price of Shares]]&lt;&gt;0,HistoricalStockProgress[[#This Row],[Total Price of Shares]]-HistoricalStockProgress[[#This Row],[Cost of Shares]],0)</f>
        <v>-1036.9842958499025</v>
      </c>
      <c r="L1727" s="34" t="b" cm="1">
        <f t="array" ref="L1727">IFERROR(IF(HistoricalStockProgress[[#This Row],[Price of Shares]]="",_xlfn.STOCKHISTORY(HistoricalStockProgress[[#This Row],[Full Company Name]],HistoricalStockProgress[[#This Row],[Date]],,2,0,1)),0)</f>
        <v>0</v>
      </c>
      <c r="M1727" s="34">
        <f>YEAR(HistoricalStockProgress[[#This Row],[Date]])</f>
        <v>2024</v>
      </c>
      <c r="N1727" s="34">
        <f>MONTH(HistoricalStockProgress[[#This Row],[Date]])</f>
        <v>3</v>
      </c>
    </row>
    <row r="1728" spans="2:14">
      <c r="B1728" s="15">
        <v>45382</v>
      </c>
      <c r="C1728" s="34" t="s">
        <v>13</v>
      </c>
      <c r="D1728" s="34" t="e" vm="18">
        <f>_xlfn.XLOOKUP(HistoricalStockProgress[[#This Row],[Company Ticker]],CompanyDetailsList[Company Ticker],CompanyDetailsList[Official Name],,0)</f>
        <v>#VALUE!</v>
      </c>
      <c r="E17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7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728" s="17">
        <f>IFERROR(HistoricalStockProgress[[#This Row],[Cost of Shares]]/HistoricalStockProgress[[#This Row],[No. of Shares]],0)</f>
        <v>35.846938938346874</v>
      </c>
      <c r="H1728" s="16" vm="2209">
        <v>27.75</v>
      </c>
      <c r="I1728" s="16">
        <f>IF(HistoricalStockProgress[[#This Row],[No. of Shares]]&lt;&gt;0,HistoricalStockProgress[[#This Row],[Price of Shares]]*HistoricalStockProgress[[#This Row],[No. of Shares]],0)</f>
        <v>1526.25</v>
      </c>
      <c r="J1728" s="16">
        <f>IF(HistoricalStockProgress[[#This Row],[No. of Shares]]&lt;&gt;0,HistoricalStockProgress[[#This Row],[Price of Shares]]-HistoricalStockProgress[[#This Row],[Cost of Shares]]/HistoricalStockProgress[[#This Row],[No. of Shares]],0)</f>
        <v>-8.0969389383468737</v>
      </c>
      <c r="K1728" s="17">
        <f>IF(HistoricalStockProgress[[#This Row],[Total Price of Shares]]&lt;&gt;0,HistoricalStockProgress[[#This Row],[Total Price of Shares]]-HistoricalStockProgress[[#This Row],[Cost of Shares]],0)</f>
        <v>-445.33164160907813</v>
      </c>
      <c r="L1728" s="34" t="b" cm="1">
        <f t="array" ref="L1728">IFERROR(IF(HistoricalStockProgress[[#This Row],[Price of Shares]]="",_xlfn.STOCKHISTORY(HistoricalStockProgress[[#This Row],[Full Company Name]],HistoricalStockProgress[[#This Row],[Date]],,2,0,1)),0)</f>
        <v>0</v>
      </c>
      <c r="M1728" s="34">
        <f>YEAR(HistoricalStockProgress[[#This Row],[Date]])</f>
        <v>2024</v>
      </c>
      <c r="N1728" s="34">
        <f>MONTH(HistoricalStockProgress[[#This Row],[Date]])</f>
        <v>3</v>
      </c>
    </row>
    <row r="1729" spans="2:14">
      <c r="B1729" s="15">
        <v>45382</v>
      </c>
      <c r="C1729" s="34" t="s">
        <v>20</v>
      </c>
      <c r="D1729" s="34" t="e" vm="19">
        <f>_xlfn.XLOOKUP(HistoricalStockProgress[[#This Row],[Company Ticker]],CompanyDetailsList[Company Ticker],CompanyDetailsList[Official Name],,0)</f>
        <v>#VALUE!</v>
      </c>
      <c r="E17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7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729" s="17">
        <f>IFERROR(HistoricalStockProgress[[#This Row],[Cost of Shares]]/HistoricalStockProgress[[#This Row],[No. of Shares]],0)</f>
        <v>108.1760767450256</v>
      </c>
      <c r="H1729" s="16" vm="2210">
        <v>200.3</v>
      </c>
      <c r="I1729" s="16">
        <f>IF(HistoricalStockProgress[[#This Row],[No. of Shares]]&lt;&gt;0,HistoricalStockProgress[[#This Row],[Price of Shares]]*HistoricalStockProgress[[#This Row],[No. of Shares]],0)</f>
        <v>23234.800000000003</v>
      </c>
      <c r="J1729" s="16">
        <f>IF(HistoricalStockProgress[[#This Row],[No. of Shares]]&lt;&gt;0,HistoricalStockProgress[[#This Row],[Price of Shares]]-HistoricalStockProgress[[#This Row],[Cost of Shares]]/HistoricalStockProgress[[#This Row],[No. of Shares]],0)</f>
        <v>92.123923254974414</v>
      </c>
      <c r="K1729" s="17">
        <f>IF(HistoricalStockProgress[[#This Row],[Total Price of Shares]]&lt;&gt;0,HistoricalStockProgress[[#This Row],[Total Price of Shares]]-HistoricalStockProgress[[#This Row],[Cost of Shares]],0)</f>
        <v>10686.375097577034</v>
      </c>
      <c r="L1729" s="34" t="b" cm="1">
        <f t="array" ref="L1729">IFERROR(IF(HistoricalStockProgress[[#This Row],[Price of Shares]]="",_xlfn.STOCKHISTORY(HistoricalStockProgress[[#This Row],[Full Company Name]],HistoricalStockProgress[[#This Row],[Date]],,2,0,1)),0)</f>
        <v>0</v>
      </c>
      <c r="M1729" s="34">
        <f>YEAR(HistoricalStockProgress[[#This Row],[Date]])</f>
        <v>2024</v>
      </c>
      <c r="N1729" s="34">
        <f>MONTH(HistoricalStockProgress[[#This Row],[Date]])</f>
        <v>3</v>
      </c>
    </row>
    <row r="1730" spans="2:14">
      <c r="B1730" s="15">
        <v>45382</v>
      </c>
      <c r="C1730" s="34" t="s">
        <v>106</v>
      </c>
      <c r="D1730" s="34" t="e" vm="20">
        <f>_xlfn.XLOOKUP(HistoricalStockProgress[[#This Row],[Company Ticker]],CompanyDetailsList[Company Ticker],CompanyDetailsList[Official Name],,0)</f>
        <v>#VALUE!</v>
      </c>
      <c r="E17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7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730" s="17">
        <f>IFERROR(HistoricalStockProgress[[#This Row],[Cost of Shares]]/HistoricalStockProgress[[#This Row],[No. of Shares]],0)</f>
        <v>108.54870748680406</v>
      </c>
      <c r="H1730" s="16" vm="2211">
        <v>144.9</v>
      </c>
      <c r="I1730" s="16">
        <f>IF(HistoricalStockProgress[[#This Row],[No. of Shares]]&lt;&gt;0,HistoricalStockProgress[[#This Row],[Price of Shares]]*HistoricalStockProgress[[#This Row],[No. of Shares]],0)</f>
        <v>12751.2</v>
      </c>
      <c r="J1730" s="16">
        <f>IF(HistoricalStockProgress[[#This Row],[No. of Shares]]&lt;&gt;0,HistoricalStockProgress[[#This Row],[Price of Shares]]-HistoricalStockProgress[[#This Row],[Cost of Shares]]/HistoricalStockProgress[[#This Row],[No. of Shares]],0)</f>
        <v>36.351292513195943</v>
      </c>
      <c r="K1730" s="17">
        <f>IF(HistoricalStockProgress[[#This Row],[Total Price of Shares]]&lt;&gt;0,HistoricalStockProgress[[#This Row],[Total Price of Shares]]-HistoricalStockProgress[[#This Row],[Cost of Shares]],0)</f>
        <v>3198.9137411612428</v>
      </c>
      <c r="L1730" s="34" t="b" cm="1">
        <f t="array" ref="L1730">IFERROR(IF(HistoricalStockProgress[[#This Row],[Price of Shares]]="",_xlfn.STOCKHISTORY(HistoricalStockProgress[[#This Row],[Full Company Name]],HistoricalStockProgress[[#This Row],[Date]],,2,0,1)),0)</f>
        <v>0</v>
      </c>
      <c r="M1730" s="34">
        <f>YEAR(HistoricalStockProgress[[#This Row],[Date]])</f>
        <v>2024</v>
      </c>
      <c r="N1730" s="34">
        <f>MONTH(HistoricalStockProgress[[#This Row],[Date]])</f>
        <v>3</v>
      </c>
    </row>
    <row r="1731" spans="2:14">
      <c r="B1731" s="15">
        <v>45412</v>
      </c>
      <c r="C1731" s="34" t="s">
        <v>12</v>
      </c>
      <c r="D1731" s="34" t="e" vm="1">
        <f>_xlfn.XLOOKUP(HistoricalStockProgress[[#This Row],[Company Ticker]],CompanyDetailsList[Company Ticker],CompanyDetailsList[Official Name],,0)</f>
        <v>#VALUE!</v>
      </c>
      <c r="E17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7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731" s="17">
        <f>IFERROR(HistoricalStockProgress[[#This Row],[Cost of Shares]]/HistoricalStockProgress[[#This Row],[No. of Shares]],0)</f>
        <v>64.573985995316889</v>
      </c>
      <c r="H1731" s="16" vm="2212">
        <v>53.54</v>
      </c>
      <c r="I1731" s="16">
        <f>IF(HistoricalStockProgress[[#This Row],[No. of Shares]]&lt;&gt;0,HistoricalStockProgress[[#This Row],[Price of Shares]]*HistoricalStockProgress[[#This Row],[No. of Shares]],0)</f>
        <v>5193.38</v>
      </c>
      <c r="J1731" s="16">
        <f>IF(HistoricalStockProgress[[#This Row],[No. of Shares]]&lt;&gt;0,HistoricalStockProgress[[#This Row],[Price of Shares]]-HistoricalStockProgress[[#This Row],[Cost of Shares]]/HistoricalStockProgress[[#This Row],[No. of Shares]],0)</f>
        <v>-11.03398599531689</v>
      </c>
      <c r="K1731" s="17">
        <f>IF(HistoricalStockProgress[[#This Row],[Total Price of Shares]]&lt;&gt;0,HistoricalStockProgress[[#This Row],[Total Price of Shares]]-HistoricalStockProgress[[#This Row],[Cost of Shares]],0)</f>
        <v>-1070.2966415457377</v>
      </c>
      <c r="L1731" s="34" t="b" cm="1">
        <f t="array" ref="L1731">IFERROR(IF(HistoricalStockProgress[[#This Row],[Price of Shares]]="",_xlfn.STOCKHISTORY(HistoricalStockProgress[[#This Row],[Full Company Name]],HistoricalStockProgress[[#This Row],[Date]],,2,0,1)),0)</f>
        <v>0</v>
      </c>
      <c r="M1731" s="34">
        <f>YEAR(HistoricalStockProgress[[#This Row],[Date]])</f>
        <v>2024</v>
      </c>
      <c r="N1731" s="34">
        <f>MONTH(HistoricalStockProgress[[#This Row],[Date]])</f>
        <v>4</v>
      </c>
    </row>
    <row r="1732" spans="2:14">
      <c r="B1732" s="15">
        <v>45412</v>
      </c>
      <c r="C1732" s="34" t="s">
        <v>14</v>
      </c>
      <c r="D1732" s="34" t="e" vm="2">
        <f>_xlfn.XLOOKUP(HistoricalStockProgress[[#This Row],[Company Ticker]],CompanyDetailsList[Company Ticker],CompanyDetailsList[Official Name],,0)</f>
        <v>#VALUE!</v>
      </c>
      <c r="E17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17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1732" s="17">
        <f>IFERROR(HistoricalStockProgress[[#This Row],[Cost of Shares]]/HistoricalStockProgress[[#This Row],[No. of Shares]],0)</f>
        <v>26.819337355148658</v>
      </c>
      <c r="H1732" s="16" vm="2213">
        <v>23.38</v>
      </c>
      <c r="I1732" s="16">
        <f>IF(HistoricalStockProgress[[#This Row],[No. of Shares]]&lt;&gt;0,HistoricalStockProgress[[#This Row],[Price of Shares]]*HistoricalStockProgress[[#This Row],[No. of Shares]],0)</f>
        <v>1472.9399999999998</v>
      </c>
      <c r="J1732" s="16">
        <f>IF(HistoricalStockProgress[[#This Row],[No. of Shares]]&lt;&gt;0,HistoricalStockProgress[[#This Row],[Price of Shares]]-HistoricalStockProgress[[#This Row],[Cost of Shares]]/HistoricalStockProgress[[#This Row],[No. of Shares]],0)</f>
        <v>-3.439337355148659</v>
      </c>
      <c r="K1732" s="17">
        <f>IF(HistoricalStockProgress[[#This Row],[Total Price of Shares]]&lt;&gt;0,HistoricalStockProgress[[#This Row],[Total Price of Shares]]-HistoricalStockProgress[[#This Row],[Cost of Shares]],0)</f>
        <v>-216.67825337436557</v>
      </c>
      <c r="L1732" s="34" t="b" cm="1">
        <f t="array" ref="L1732">IFERROR(IF(HistoricalStockProgress[[#This Row],[Price of Shares]]="",_xlfn.STOCKHISTORY(HistoricalStockProgress[[#This Row],[Full Company Name]],HistoricalStockProgress[[#This Row],[Date]],,2,0,1)),0)</f>
        <v>0</v>
      </c>
      <c r="M1732" s="34">
        <f>YEAR(HistoricalStockProgress[[#This Row],[Date]])</f>
        <v>2024</v>
      </c>
      <c r="N1732" s="34">
        <f>MONTH(HistoricalStockProgress[[#This Row],[Date]])</f>
        <v>4</v>
      </c>
    </row>
    <row r="1733" spans="2:14">
      <c r="B1733" s="15">
        <v>45412</v>
      </c>
      <c r="C1733" s="34" t="s">
        <v>19</v>
      </c>
      <c r="D1733" s="34" t="e" vm="3">
        <f>_xlfn.XLOOKUP(HistoricalStockProgress[[#This Row],[Company Ticker]],CompanyDetailsList[Company Ticker],CompanyDetailsList[Official Name],,0)</f>
        <v>#VALUE!</v>
      </c>
      <c r="E17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7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733" s="17">
        <f>IFERROR(HistoricalStockProgress[[#This Row],[Cost of Shares]]/HistoricalStockProgress[[#This Row],[No. of Shares]],0)</f>
        <v>158.45739987816083</v>
      </c>
      <c r="H1733" s="16" vm="2214">
        <v>147.87</v>
      </c>
      <c r="I1733" s="16">
        <f>IF(HistoricalStockProgress[[#This Row],[No. of Shares]]&lt;&gt;0,HistoricalStockProgress[[#This Row],[Price of Shares]]*HistoricalStockProgress[[#This Row],[No. of Shares]],0)</f>
        <v>8428.59</v>
      </c>
      <c r="J1733" s="16">
        <f>IF(HistoricalStockProgress[[#This Row],[No. of Shares]]&lt;&gt;0,HistoricalStockProgress[[#This Row],[Price of Shares]]-HistoricalStockProgress[[#This Row],[Cost of Shares]]/HistoricalStockProgress[[#This Row],[No. of Shares]],0)</f>
        <v>-10.587399878160824</v>
      </c>
      <c r="K1733" s="17">
        <f>IF(HistoricalStockProgress[[#This Row],[Total Price of Shares]]&lt;&gt;0,HistoricalStockProgress[[#This Row],[Total Price of Shares]]-HistoricalStockProgress[[#This Row],[Cost of Shares]],0)</f>
        <v>-603.48179305516715</v>
      </c>
      <c r="L1733" s="34" t="b" cm="1">
        <f t="array" ref="L1733">IFERROR(IF(HistoricalStockProgress[[#This Row],[Price of Shares]]="",_xlfn.STOCKHISTORY(HistoricalStockProgress[[#This Row],[Full Company Name]],HistoricalStockProgress[[#This Row],[Date]],,2,0,1)),0)</f>
        <v>0</v>
      </c>
      <c r="M1733" s="34">
        <f>YEAR(HistoricalStockProgress[[#This Row],[Date]])</f>
        <v>2024</v>
      </c>
      <c r="N1733" s="34">
        <f>MONTH(HistoricalStockProgress[[#This Row],[Date]])</f>
        <v>4</v>
      </c>
    </row>
    <row r="1734" spans="2:14">
      <c r="B1734" s="15">
        <v>45412</v>
      </c>
      <c r="C1734" s="34" t="s">
        <v>23</v>
      </c>
      <c r="D1734" s="34" t="e" vm="4">
        <f>_xlfn.XLOOKUP(HistoricalStockProgress[[#This Row],[Company Ticker]],CompanyDetailsList[Company Ticker],CompanyDetailsList[Official Name],,0)</f>
        <v>#VALUE!</v>
      </c>
      <c r="E17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17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1734" s="17">
        <f>IFERROR(HistoricalStockProgress[[#This Row],[Cost of Shares]]/HistoricalStockProgress[[#This Row],[No. of Shares]],0)</f>
        <v>50.781277236510277</v>
      </c>
      <c r="H1734" s="16" vm="2215">
        <v>61.77</v>
      </c>
      <c r="I1734" s="16">
        <f>IF(HistoricalStockProgress[[#This Row],[No. of Shares]]&lt;&gt;0,HistoricalStockProgress[[#This Row],[Price of Shares]]*HistoricalStockProgress[[#This Row],[No. of Shares]],0)</f>
        <v>7227.09</v>
      </c>
      <c r="J1734" s="16">
        <f>IF(HistoricalStockProgress[[#This Row],[No. of Shares]]&lt;&gt;0,HistoricalStockProgress[[#This Row],[Price of Shares]]-HistoricalStockProgress[[#This Row],[Cost of Shares]]/HistoricalStockProgress[[#This Row],[No. of Shares]],0)</f>
        <v>10.988722763489726</v>
      </c>
      <c r="K1734" s="17">
        <f>IF(HistoricalStockProgress[[#This Row],[Total Price of Shares]]&lt;&gt;0,HistoricalStockProgress[[#This Row],[Total Price of Shares]]-HistoricalStockProgress[[#This Row],[Cost of Shares]],0)</f>
        <v>1285.6805633282975</v>
      </c>
      <c r="L1734" s="34" t="b" cm="1">
        <f t="array" ref="L1734">IFERROR(IF(HistoricalStockProgress[[#This Row],[Price of Shares]]="",_xlfn.STOCKHISTORY(HistoricalStockProgress[[#This Row],[Full Company Name]],HistoricalStockProgress[[#This Row],[Date]],,2,0,1)),0)</f>
        <v>0</v>
      </c>
      <c r="M1734" s="34">
        <f>YEAR(HistoricalStockProgress[[#This Row],[Date]])</f>
        <v>2024</v>
      </c>
      <c r="N1734" s="34">
        <f>MONTH(HistoricalStockProgress[[#This Row],[Date]])</f>
        <v>4</v>
      </c>
    </row>
    <row r="1735" spans="2:14">
      <c r="B1735" s="15">
        <v>45412</v>
      </c>
      <c r="C1735" s="34" t="s">
        <v>18</v>
      </c>
      <c r="D1735" s="34" t="e" vm="5">
        <f>_xlfn.XLOOKUP(HistoricalStockProgress[[#This Row],[Company Ticker]],CompanyDetailsList[Company Ticker],CompanyDetailsList[Official Name],,0)</f>
        <v>#VALUE!</v>
      </c>
      <c r="E17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7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735" s="17">
        <f>IFERROR(HistoricalStockProgress[[#This Row],[Cost of Shares]]/HistoricalStockProgress[[#This Row],[No. of Shares]],0)</f>
        <v>160.8859607546234</v>
      </c>
      <c r="H1735" s="16" vm="2216">
        <v>175.91</v>
      </c>
      <c r="I1735" s="16">
        <f>IF(HistoricalStockProgress[[#This Row],[No. of Shares]]&lt;&gt;0,HistoricalStockProgress[[#This Row],[Price of Shares]]*HistoricalStockProgress[[#This Row],[No. of Shares]],0)</f>
        <v>7564.13</v>
      </c>
      <c r="J1735" s="16">
        <f>IF(HistoricalStockProgress[[#This Row],[No. of Shares]]&lt;&gt;0,HistoricalStockProgress[[#This Row],[Price of Shares]]-HistoricalStockProgress[[#This Row],[Cost of Shares]]/HistoricalStockProgress[[#This Row],[No. of Shares]],0)</f>
        <v>15.024039245376599</v>
      </c>
      <c r="K1735" s="17">
        <f>IF(HistoricalStockProgress[[#This Row],[Total Price of Shares]]&lt;&gt;0,HistoricalStockProgress[[#This Row],[Total Price of Shares]]-HistoricalStockProgress[[#This Row],[Cost of Shares]],0)</f>
        <v>646.03368755119391</v>
      </c>
      <c r="L1735" s="34" t="b" cm="1">
        <f t="array" ref="L1735">IFERROR(IF(HistoricalStockProgress[[#This Row],[Price of Shares]]="",_xlfn.STOCKHISTORY(HistoricalStockProgress[[#This Row],[Full Company Name]],HistoricalStockProgress[[#This Row],[Date]],,2,0,1)),0)</f>
        <v>0</v>
      </c>
      <c r="M1735" s="34">
        <f>YEAR(HistoricalStockProgress[[#This Row],[Date]])</f>
        <v>2024</v>
      </c>
      <c r="N1735" s="34">
        <f>MONTH(HistoricalStockProgress[[#This Row],[Date]])</f>
        <v>4</v>
      </c>
    </row>
    <row r="1736" spans="2:14">
      <c r="B1736" s="15">
        <v>45412</v>
      </c>
      <c r="C1736" s="34" t="s">
        <v>21</v>
      </c>
      <c r="D1736" s="34" t="e" vm="6">
        <f>_xlfn.XLOOKUP(HistoricalStockProgress[[#This Row],[Company Ticker]],CompanyDetailsList[Company Ticker],CompanyDetailsList[Official Name],,0)</f>
        <v>#VALUE!</v>
      </c>
      <c r="E17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7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736" s="17">
        <f>IFERROR(HistoricalStockProgress[[#This Row],[Cost of Shares]]/HistoricalStockProgress[[#This Row],[No. of Shares]],0)</f>
        <v>139.68700010204148</v>
      </c>
      <c r="H1736" s="16" vm="2217">
        <v>163.19999999999999</v>
      </c>
      <c r="I1736" s="16">
        <f>IF(HistoricalStockProgress[[#This Row],[No. of Shares]]&lt;&gt;0,HistoricalStockProgress[[#This Row],[Price of Shares]]*HistoricalStockProgress[[#This Row],[No. of Shares]],0)</f>
        <v>6854.4</v>
      </c>
      <c r="J1736" s="16">
        <f>IF(HistoricalStockProgress[[#This Row],[No. of Shares]]&lt;&gt;0,HistoricalStockProgress[[#This Row],[Price of Shares]]-HistoricalStockProgress[[#This Row],[Cost of Shares]]/HistoricalStockProgress[[#This Row],[No. of Shares]],0)</f>
        <v>23.512999897958508</v>
      </c>
      <c r="K1736" s="17">
        <f>IF(HistoricalStockProgress[[#This Row],[Total Price of Shares]]&lt;&gt;0,HistoricalStockProgress[[#This Row],[Total Price of Shares]]-HistoricalStockProgress[[#This Row],[Cost of Shares]],0)</f>
        <v>987.54599571425751</v>
      </c>
      <c r="L1736" s="34" t="b" cm="1">
        <f t="array" ref="L1736">IFERROR(IF(HistoricalStockProgress[[#This Row],[Price of Shares]]="",_xlfn.STOCKHISTORY(HistoricalStockProgress[[#This Row],[Full Company Name]],HistoricalStockProgress[[#This Row],[Date]],,2,0,1)),0)</f>
        <v>0</v>
      </c>
      <c r="M1736" s="34">
        <f>YEAR(HistoricalStockProgress[[#This Row],[Date]])</f>
        <v>2024</v>
      </c>
      <c r="N1736" s="34">
        <f>MONTH(HistoricalStockProgress[[#This Row],[Date]])</f>
        <v>4</v>
      </c>
    </row>
    <row r="1737" spans="2:14">
      <c r="B1737" s="15">
        <v>45412</v>
      </c>
      <c r="C1737" s="34" t="s">
        <v>84</v>
      </c>
      <c r="D1737" s="34" t="e" vm="7">
        <f>_xlfn.XLOOKUP(HistoricalStockProgress[[#This Row],[Company Ticker]],CompanyDetailsList[Company Ticker],CompanyDetailsList[Official Name],,0)</f>
        <v>#VALUE!</v>
      </c>
      <c r="E17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7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737" s="17">
        <f>IFERROR(HistoricalStockProgress[[#This Row],[Cost of Shares]]/HistoricalStockProgress[[#This Row],[No. of Shares]],0)</f>
        <v>104.18087504950869</v>
      </c>
      <c r="H1737" s="16" vm="2218">
        <v>144.59</v>
      </c>
      <c r="I1737" s="16">
        <f>IF(HistoricalStockProgress[[#This Row],[No. of Shares]]&lt;&gt;0,HistoricalStockProgress[[#This Row],[Price of Shares]]*HistoricalStockProgress[[#This Row],[No. of Shares]],0)</f>
        <v>7374.09</v>
      </c>
      <c r="J1737" s="16">
        <f>IF(HistoricalStockProgress[[#This Row],[No. of Shares]]&lt;&gt;0,HistoricalStockProgress[[#This Row],[Price of Shares]]-HistoricalStockProgress[[#This Row],[Cost of Shares]]/HistoricalStockProgress[[#This Row],[No. of Shares]],0)</f>
        <v>40.409124950491318</v>
      </c>
      <c r="K1737" s="17">
        <f>IF(HistoricalStockProgress[[#This Row],[Total Price of Shares]]&lt;&gt;0,HistoricalStockProgress[[#This Row],[Total Price of Shares]]-HistoricalStockProgress[[#This Row],[Cost of Shares]],0)</f>
        <v>2060.8653724750575</v>
      </c>
      <c r="L1737" s="34" t="b" cm="1">
        <f t="array" ref="L1737">IFERROR(IF(HistoricalStockProgress[[#This Row],[Price of Shares]]="",_xlfn.STOCKHISTORY(HistoricalStockProgress[[#This Row],[Full Company Name]],HistoricalStockProgress[[#This Row],[Date]],,2,0,1)),0)</f>
        <v>0</v>
      </c>
      <c r="M1737" s="34">
        <f>YEAR(HistoricalStockProgress[[#This Row],[Date]])</f>
        <v>2024</v>
      </c>
      <c r="N1737" s="34">
        <f>MONTH(HistoricalStockProgress[[#This Row],[Date]])</f>
        <v>4</v>
      </c>
    </row>
    <row r="1738" spans="2:14">
      <c r="B1738" s="15">
        <v>45412</v>
      </c>
      <c r="C1738" s="34" t="s">
        <v>86</v>
      </c>
      <c r="D1738" s="34" t="e" vm="8">
        <f>_xlfn.XLOOKUP(HistoricalStockProgress[[#This Row],[Company Ticker]],CompanyDetailsList[Company Ticker],CompanyDetailsList[Official Name],,0)</f>
        <v>#VALUE!</v>
      </c>
      <c r="E17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120</v>
      </c>
      <c r="F17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11434.543004354886</v>
      </c>
      <c r="G1738" s="17">
        <f>IFERROR(HistoricalStockProgress[[#This Row],[Cost of Shares]]/HistoricalStockProgress[[#This Row],[No. of Shares]],0)</f>
        <v>95.287858369624047</v>
      </c>
      <c r="H1738" s="16" vm="2219">
        <v>162.63999999999999</v>
      </c>
      <c r="I1738" s="16">
        <f>IF(HistoricalStockProgress[[#This Row],[No. of Shares]]&lt;&gt;0,HistoricalStockProgress[[#This Row],[Price of Shares]]*HistoricalStockProgress[[#This Row],[No. of Shares]],0)</f>
        <v>19516.8</v>
      </c>
      <c r="J1738" s="16">
        <f>IF(HistoricalStockProgress[[#This Row],[No. of Shares]]&lt;&gt;0,HistoricalStockProgress[[#This Row],[Price of Shares]]-HistoricalStockProgress[[#This Row],[Cost of Shares]]/HistoricalStockProgress[[#This Row],[No. of Shares]],0)</f>
        <v>67.352141630375939</v>
      </c>
      <c r="K1738" s="17">
        <f>IF(HistoricalStockProgress[[#This Row],[Total Price of Shares]]&lt;&gt;0,HistoricalStockProgress[[#This Row],[Total Price of Shares]]-HistoricalStockProgress[[#This Row],[Cost of Shares]],0)</f>
        <v>8082.2569956451134</v>
      </c>
      <c r="L1738" s="34" t="b" cm="1">
        <f t="array" ref="L1738">IFERROR(IF(HistoricalStockProgress[[#This Row],[Price of Shares]]="",_xlfn.STOCKHISTORY(HistoricalStockProgress[[#This Row],[Full Company Name]],HistoricalStockProgress[[#This Row],[Date]],,2,0,1)),0)</f>
        <v>0</v>
      </c>
      <c r="M1738" s="34">
        <f>YEAR(HistoricalStockProgress[[#This Row],[Date]])</f>
        <v>2024</v>
      </c>
      <c r="N1738" s="34">
        <f>MONTH(HistoricalStockProgress[[#This Row],[Date]])</f>
        <v>4</v>
      </c>
    </row>
    <row r="1739" spans="2:14">
      <c r="B1739" s="15">
        <v>45412</v>
      </c>
      <c r="C1739" s="34" t="s">
        <v>88</v>
      </c>
      <c r="D1739" s="34" t="e" vm="9">
        <f>_xlfn.XLOOKUP(HistoricalStockProgress[[#This Row],[Company Ticker]],CompanyDetailsList[Company Ticker],CompanyDetailsList[Official Name],,0)</f>
        <v>#VALUE!</v>
      </c>
      <c r="E17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17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1739" s="17">
        <f>IFERROR(HistoricalStockProgress[[#This Row],[Cost of Shares]]/HistoricalStockProgress[[#This Row],[No. of Shares]],0)</f>
        <v>224.7272684493652</v>
      </c>
      <c r="H1739" s="16" vm="2220">
        <v>273.04000000000002</v>
      </c>
      <c r="I1739" s="16">
        <f>IF(HistoricalStockProgress[[#This Row],[No. of Shares]]&lt;&gt;0,HistoricalStockProgress[[#This Row],[Price of Shares]]*HistoricalStockProgress[[#This Row],[No. of Shares]],0)</f>
        <v>25938.800000000003</v>
      </c>
      <c r="J1739" s="16">
        <f>IF(HistoricalStockProgress[[#This Row],[No. of Shares]]&lt;&gt;0,HistoricalStockProgress[[#This Row],[Price of Shares]]-HistoricalStockProgress[[#This Row],[Cost of Shares]]/HistoricalStockProgress[[#This Row],[No. of Shares]],0)</f>
        <v>48.312731550634822</v>
      </c>
      <c r="K1739" s="17">
        <f>IF(HistoricalStockProgress[[#This Row],[Total Price of Shares]]&lt;&gt;0,HistoricalStockProgress[[#This Row],[Total Price of Shares]]-HistoricalStockProgress[[#This Row],[Cost of Shares]],0)</f>
        <v>4589.7094973103085</v>
      </c>
      <c r="L1739" s="34" t="b" cm="1">
        <f t="array" ref="L1739">IFERROR(IF(HistoricalStockProgress[[#This Row],[Price of Shares]]="",_xlfn.STOCKHISTORY(HistoricalStockProgress[[#This Row],[Full Company Name]],HistoricalStockProgress[[#This Row],[Date]],,2,0,1)),0)</f>
        <v>0</v>
      </c>
      <c r="M1739" s="34">
        <f>YEAR(HistoricalStockProgress[[#This Row],[Date]])</f>
        <v>2024</v>
      </c>
      <c r="N1739" s="34">
        <f>MONTH(HistoricalStockProgress[[#This Row],[Date]])</f>
        <v>4</v>
      </c>
    </row>
    <row r="1740" spans="2:14">
      <c r="B1740" s="15">
        <v>45412</v>
      </c>
      <c r="C1740" s="34" t="s">
        <v>22</v>
      </c>
      <c r="D1740" s="34" t="e" vm="10">
        <f>_xlfn.XLOOKUP(HistoricalStockProgress[[#This Row],[Company Ticker]],CompanyDetailsList[Company Ticker],CompanyDetailsList[Official Name],,0)</f>
        <v>#VALUE!</v>
      </c>
      <c r="E17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7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740" s="17">
        <f>IFERROR(HistoricalStockProgress[[#This Row],[Cost of Shares]]/HistoricalStockProgress[[#This Row],[No. of Shares]],0)</f>
        <v>130.19784136724968</v>
      </c>
      <c r="H1740" s="16" vm="2221">
        <v>334.57</v>
      </c>
      <c r="I1740" s="16">
        <f>IF(HistoricalStockProgress[[#This Row],[No. of Shares]]&lt;&gt;0,HistoricalStockProgress[[#This Row],[Price of Shares]]*HistoricalStockProgress[[#This Row],[No. of Shares]],0)</f>
        <v>39813.83</v>
      </c>
      <c r="J1740" s="16">
        <f>IF(HistoricalStockProgress[[#This Row],[No. of Shares]]&lt;&gt;0,HistoricalStockProgress[[#This Row],[Price of Shares]]-HistoricalStockProgress[[#This Row],[Cost of Shares]]/HistoricalStockProgress[[#This Row],[No. of Shares]],0)</f>
        <v>204.37215863275031</v>
      </c>
      <c r="K1740" s="17">
        <f>IF(HistoricalStockProgress[[#This Row],[Total Price of Shares]]&lt;&gt;0,HistoricalStockProgress[[#This Row],[Total Price of Shares]]-HistoricalStockProgress[[#This Row],[Cost of Shares]],0)</f>
        <v>24320.286877297287</v>
      </c>
      <c r="L1740" s="34" t="b" cm="1">
        <f t="array" ref="L1740">IFERROR(IF(HistoricalStockProgress[[#This Row],[Price of Shares]]="",_xlfn.STOCKHISTORY(HistoricalStockProgress[[#This Row],[Full Company Name]],HistoricalStockProgress[[#This Row],[Date]],,2,0,1)),0)</f>
        <v>0</v>
      </c>
      <c r="M1740" s="34">
        <f>YEAR(HistoricalStockProgress[[#This Row],[Date]])</f>
        <v>2024</v>
      </c>
      <c r="N1740" s="34">
        <f>MONTH(HistoricalStockProgress[[#This Row],[Date]])</f>
        <v>4</v>
      </c>
    </row>
    <row r="1741" spans="2:14">
      <c r="B1741" s="15">
        <v>45412</v>
      </c>
      <c r="C1741" s="34" t="s">
        <v>91</v>
      </c>
      <c r="D1741" s="34" t="e" vm="11">
        <f>_xlfn.XLOOKUP(HistoricalStockProgress[[#This Row],[Company Ticker]],CompanyDetailsList[Company Ticker],CompanyDetailsList[Official Name],,0)</f>
        <v>#VALUE!</v>
      </c>
      <c r="E17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7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741" s="17">
        <f>IFERROR(HistoricalStockProgress[[#This Row],[Cost of Shares]]/HistoricalStockProgress[[#This Row],[No. of Shares]],0)</f>
        <v>133.15744058830452</v>
      </c>
      <c r="H1741" s="16" vm="2222">
        <v>389.33</v>
      </c>
      <c r="I1741" s="16">
        <f>IF(HistoricalStockProgress[[#This Row],[No. of Shares]]&lt;&gt;0,HistoricalStockProgress[[#This Row],[Price of Shares]]*HistoricalStockProgress[[#This Row],[No. of Shares]],0)</f>
        <v>71247.39</v>
      </c>
      <c r="J1741" s="16">
        <f>IF(HistoricalStockProgress[[#This Row],[No. of Shares]]&lt;&gt;0,HistoricalStockProgress[[#This Row],[Price of Shares]]-HistoricalStockProgress[[#This Row],[Cost of Shares]]/HistoricalStockProgress[[#This Row],[No. of Shares]],0)</f>
        <v>256.17255941169549</v>
      </c>
      <c r="K1741" s="17">
        <f>IF(HistoricalStockProgress[[#This Row],[Total Price of Shares]]&lt;&gt;0,HistoricalStockProgress[[#This Row],[Total Price of Shares]]-HistoricalStockProgress[[#This Row],[Cost of Shares]],0)</f>
        <v>46879.578372340271</v>
      </c>
      <c r="L1741" s="34" t="b" cm="1">
        <f t="array" ref="L1741">IFERROR(IF(HistoricalStockProgress[[#This Row],[Price of Shares]]="",_xlfn.STOCKHISTORY(HistoricalStockProgress[[#This Row],[Full Company Name]],HistoricalStockProgress[[#This Row],[Date]],,2,0,1)),0)</f>
        <v>0</v>
      </c>
      <c r="M1741" s="34">
        <f>YEAR(HistoricalStockProgress[[#This Row],[Date]])</f>
        <v>2024</v>
      </c>
      <c r="N1741" s="34">
        <f>MONTH(HistoricalStockProgress[[#This Row],[Date]])</f>
        <v>4</v>
      </c>
    </row>
    <row r="1742" spans="2:14">
      <c r="B1742" s="15">
        <v>45412</v>
      </c>
      <c r="C1742" s="34" t="s">
        <v>16</v>
      </c>
      <c r="D1742" s="34" t="e" vm="12">
        <f>_xlfn.XLOOKUP(HistoricalStockProgress[[#This Row],[Company Ticker]],CompanyDetailsList[Company Ticker],CompanyDetailsList[Official Name],,0)</f>
        <v>#VALUE!</v>
      </c>
      <c r="E17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7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742" s="17">
        <f>IFERROR(HistoricalStockProgress[[#This Row],[Cost of Shares]]/HistoricalStockProgress[[#This Row],[No. of Shares]],0)</f>
        <v>75.117698177311837</v>
      </c>
      <c r="H1742" s="16" vm="2223">
        <v>118.27</v>
      </c>
      <c r="I1742" s="16">
        <f>IF(HistoricalStockProgress[[#This Row],[No. of Shares]]&lt;&gt;0,HistoricalStockProgress[[#This Row],[Price of Shares]]*HistoricalStockProgress[[#This Row],[No. of Shares]],0)</f>
        <v>21879.95</v>
      </c>
      <c r="J1742" s="16">
        <f>IF(HistoricalStockProgress[[#This Row],[No. of Shares]]&lt;&gt;0,HistoricalStockProgress[[#This Row],[Price of Shares]]-HistoricalStockProgress[[#This Row],[Cost of Shares]]/HistoricalStockProgress[[#This Row],[No. of Shares]],0)</f>
        <v>43.152301822688159</v>
      </c>
      <c r="K1742" s="17">
        <f>IF(HistoricalStockProgress[[#This Row],[Total Price of Shares]]&lt;&gt;0,HistoricalStockProgress[[#This Row],[Total Price of Shares]]-HistoricalStockProgress[[#This Row],[Cost of Shares]],0)</f>
        <v>7983.1758371973119</v>
      </c>
      <c r="L1742" s="34" t="b" cm="1">
        <f t="array" ref="L1742">IFERROR(IF(HistoricalStockProgress[[#This Row],[Price of Shares]]="",_xlfn.STOCKHISTORY(HistoricalStockProgress[[#This Row],[Full Company Name]],HistoricalStockProgress[[#This Row],[Date]],,2,0,1)),0)</f>
        <v>0</v>
      </c>
      <c r="M1742" s="34">
        <f>YEAR(HistoricalStockProgress[[#This Row],[Date]])</f>
        <v>2024</v>
      </c>
      <c r="N1742" s="34">
        <f>MONTH(HistoricalStockProgress[[#This Row],[Date]])</f>
        <v>4</v>
      </c>
    </row>
    <row r="1743" spans="2:14">
      <c r="B1743" s="15">
        <v>45412</v>
      </c>
      <c r="C1743" s="34" t="s">
        <v>95</v>
      </c>
      <c r="D1743" s="34" t="e" vm="13">
        <f>_xlfn.XLOOKUP(HistoricalStockProgress[[#This Row],[Company Ticker]],CompanyDetailsList[Company Ticker],CompanyDetailsList[Official Name],,0)</f>
        <v>#VALUE!</v>
      </c>
      <c r="E17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143</v>
      </c>
      <c r="F17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35362.550411645469</v>
      </c>
      <c r="G1743" s="17">
        <f>IFERROR(HistoricalStockProgress[[#This Row],[Cost of Shares]]/HistoricalStockProgress[[#This Row],[No. of Shares]],0)</f>
        <v>247.29056231919907</v>
      </c>
      <c r="H1743" s="16" vm="2224">
        <v>334.22</v>
      </c>
      <c r="I1743" s="16">
        <f>IF(HistoricalStockProgress[[#This Row],[No. of Shares]]&lt;&gt;0,HistoricalStockProgress[[#This Row],[Price of Shares]]*HistoricalStockProgress[[#This Row],[No. of Shares]],0)</f>
        <v>47793.460000000006</v>
      </c>
      <c r="J1743" s="16">
        <f>IF(HistoricalStockProgress[[#This Row],[No. of Shares]]&lt;&gt;0,HistoricalStockProgress[[#This Row],[Price of Shares]]-HistoricalStockProgress[[#This Row],[Cost of Shares]]/HistoricalStockProgress[[#This Row],[No. of Shares]],0)</f>
        <v>86.929437680800959</v>
      </c>
      <c r="K1743" s="17">
        <f>IF(HistoricalStockProgress[[#This Row],[Total Price of Shares]]&lt;&gt;0,HistoricalStockProgress[[#This Row],[Total Price of Shares]]-HistoricalStockProgress[[#This Row],[Cost of Shares]],0)</f>
        <v>12430.909588354538</v>
      </c>
      <c r="L1743" s="34" t="b" cm="1">
        <f t="array" ref="L1743">IFERROR(IF(HistoricalStockProgress[[#This Row],[Price of Shares]]="",_xlfn.STOCKHISTORY(HistoricalStockProgress[[#This Row],[Full Company Name]],HistoricalStockProgress[[#This Row],[Date]],,2,0,1)),0)</f>
        <v>0</v>
      </c>
      <c r="M1743" s="34">
        <f>YEAR(HistoricalStockProgress[[#This Row],[Date]])</f>
        <v>2024</v>
      </c>
      <c r="N1743" s="34">
        <f>MONTH(HistoricalStockProgress[[#This Row],[Date]])</f>
        <v>4</v>
      </c>
    </row>
    <row r="1744" spans="2:14">
      <c r="B1744" s="15">
        <v>45412</v>
      </c>
      <c r="C1744" s="34" t="s">
        <v>17</v>
      </c>
      <c r="D1744" s="34" t="e" vm="14">
        <f>_xlfn.XLOOKUP(HistoricalStockProgress[[#This Row],[Company Ticker]],CompanyDetailsList[Company Ticker],CompanyDetailsList[Official Name],,0)</f>
        <v>#VALUE!</v>
      </c>
      <c r="E17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207</v>
      </c>
      <c r="F17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28893.973938735588</v>
      </c>
      <c r="G1744" s="17">
        <f>IFERROR(HistoricalStockProgress[[#This Row],[Cost of Shares]]/HistoricalStockProgress[[#This Row],[No. of Shares]],0)</f>
        <v>139.58441516297384</v>
      </c>
      <c r="H1744" s="16" vm="2225">
        <v>166.2</v>
      </c>
      <c r="I1744" s="16">
        <f>IF(HistoricalStockProgress[[#This Row],[No. of Shares]]&lt;&gt;0,HistoricalStockProgress[[#This Row],[Price of Shares]]*HistoricalStockProgress[[#This Row],[No. of Shares]],0)</f>
        <v>34403.399999999994</v>
      </c>
      <c r="J1744" s="16">
        <f>IF(HistoricalStockProgress[[#This Row],[No. of Shares]]&lt;&gt;0,HistoricalStockProgress[[#This Row],[Price of Shares]]-HistoricalStockProgress[[#This Row],[Cost of Shares]]/HistoricalStockProgress[[#This Row],[No. of Shares]],0)</f>
        <v>26.615584837026148</v>
      </c>
      <c r="K1744" s="17">
        <f>IF(HistoricalStockProgress[[#This Row],[Total Price of Shares]]&lt;&gt;0,HistoricalStockProgress[[#This Row],[Total Price of Shares]]-HistoricalStockProgress[[#This Row],[Cost of Shares]],0)</f>
        <v>5509.4260612644066</v>
      </c>
      <c r="L1744" s="34" t="b" cm="1">
        <f t="array" ref="L1744">IFERROR(IF(HistoricalStockProgress[[#This Row],[Price of Shares]]="",_xlfn.STOCKHISTORY(HistoricalStockProgress[[#This Row],[Full Company Name]],HistoricalStockProgress[[#This Row],[Date]],,2,0,1)),0)</f>
        <v>0</v>
      </c>
      <c r="M1744" s="34">
        <f>YEAR(HistoricalStockProgress[[#This Row],[Date]])</f>
        <v>2024</v>
      </c>
      <c r="N1744" s="34">
        <f>MONTH(HistoricalStockProgress[[#This Row],[Date]])</f>
        <v>4</v>
      </c>
    </row>
    <row r="1745" spans="2:14">
      <c r="B1745" s="15">
        <v>45412</v>
      </c>
      <c r="C1745" s="34" t="s">
        <v>98</v>
      </c>
      <c r="D1745" s="34" t="e" vm="15">
        <f>_xlfn.XLOOKUP(HistoricalStockProgress[[#This Row],[Company Ticker]],CompanyDetailsList[Company Ticker],CompanyDetailsList[Official Name],,0)</f>
        <v>#VALUE!</v>
      </c>
      <c r="E17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141</v>
      </c>
      <c r="F17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7791.7294332926158</v>
      </c>
      <c r="G1745" s="17">
        <f>IFERROR(HistoricalStockProgress[[#This Row],[Cost of Shares]]/HistoricalStockProgress[[#This Row],[No. of Shares]],0)</f>
        <v>55.260492434699401</v>
      </c>
      <c r="H1745" s="16" vm="2226">
        <v>66.97</v>
      </c>
      <c r="I1745" s="16">
        <f>IF(HistoricalStockProgress[[#This Row],[No. of Shares]]&lt;&gt;0,HistoricalStockProgress[[#This Row],[Price of Shares]]*HistoricalStockProgress[[#This Row],[No. of Shares]],0)</f>
        <v>9442.77</v>
      </c>
      <c r="J1745" s="16">
        <f>IF(HistoricalStockProgress[[#This Row],[No. of Shares]]&lt;&gt;0,HistoricalStockProgress[[#This Row],[Price of Shares]]-HistoricalStockProgress[[#This Row],[Cost of Shares]]/HistoricalStockProgress[[#This Row],[No. of Shares]],0)</f>
        <v>11.709507565300598</v>
      </c>
      <c r="K1745" s="17">
        <f>IF(HistoricalStockProgress[[#This Row],[Total Price of Shares]]&lt;&gt;0,HistoricalStockProgress[[#This Row],[Total Price of Shares]]-HistoricalStockProgress[[#This Row],[Cost of Shares]],0)</f>
        <v>1651.0405667073846</v>
      </c>
      <c r="L1745" s="34" t="b" cm="1">
        <f t="array" ref="L1745">IFERROR(IF(HistoricalStockProgress[[#This Row],[Price of Shares]]="",_xlfn.STOCKHISTORY(HistoricalStockProgress[[#This Row],[Full Company Name]],HistoricalStockProgress[[#This Row],[Date]],,2,0,1)),0)</f>
        <v>0</v>
      </c>
      <c r="M1745" s="34">
        <f>YEAR(HistoricalStockProgress[[#This Row],[Date]])</f>
        <v>2024</v>
      </c>
      <c r="N1745" s="34">
        <f>MONTH(HistoricalStockProgress[[#This Row],[Date]])</f>
        <v>4</v>
      </c>
    </row>
    <row r="1746" spans="2:14">
      <c r="B1746" s="15">
        <v>45412</v>
      </c>
      <c r="C1746" s="34" t="s">
        <v>100</v>
      </c>
      <c r="D1746" s="34" t="e" vm="16">
        <f>_xlfn.XLOOKUP(HistoricalStockProgress[[#This Row],[Company Ticker]],CompanyDetailsList[Company Ticker],CompanyDetailsList[Official Name],,0)</f>
        <v>#VALUE!</v>
      </c>
      <c r="E17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17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1746" s="17">
        <f>IFERROR(HistoricalStockProgress[[#This Row],[Cost of Shares]]/HistoricalStockProgress[[#This Row],[No. of Shares]],0)</f>
        <v>92.156351168716071</v>
      </c>
      <c r="H1746" s="16" vm="2227">
        <v>98.26</v>
      </c>
      <c r="I1746" s="16">
        <f>IF(HistoricalStockProgress[[#This Row],[No. of Shares]]&lt;&gt;0,HistoricalStockProgress[[#This Row],[Price of Shares]]*HistoricalStockProgress[[#This Row],[No. of Shares]],0)</f>
        <v>24565</v>
      </c>
      <c r="J1746" s="16">
        <f>IF(HistoricalStockProgress[[#This Row],[No. of Shares]]&lt;&gt;0,HistoricalStockProgress[[#This Row],[Price of Shares]]-HistoricalStockProgress[[#This Row],[Cost of Shares]]/HistoricalStockProgress[[#This Row],[No. of Shares]],0)</f>
        <v>6.1036488312839339</v>
      </c>
      <c r="K1746" s="17">
        <f>IF(HistoricalStockProgress[[#This Row],[Total Price of Shares]]&lt;&gt;0,HistoricalStockProgress[[#This Row],[Total Price of Shares]]-HistoricalStockProgress[[#This Row],[Cost of Shares]],0)</f>
        <v>1525.9122078209839</v>
      </c>
      <c r="L1746" s="34" t="b" cm="1">
        <f t="array" ref="L1746">IFERROR(IF(HistoricalStockProgress[[#This Row],[Price of Shares]]="",_xlfn.STOCKHISTORY(HistoricalStockProgress[[#This Row],[Full Company Name]],HistoricalStockProgress[[#This Row],[Date]],,2,0,1)),0)</f>
        <v>0</v>
      </c>
      <c r="M1746" s="34">
        <f>YEAR(HistoricalStockProgress[[#This Row],[Date]])</f>
        <v>2024</v>
      </c>
      <c r="N1746" s="34">
        <f>MONTH(HistoricalStockProgress[[#This Row],[Date]])</f>
        <v>4</v>
      </c>
    </row>
    <row r="1747" spans="2:14">
      <c r="B1747" s="15">
        <v>45412</v>
      </c>
      <c r="C1747" s="34" t="s">
        <v>15</v>
      </c>
      <c r="D1747" s="34" t="e" vm="17">
        <f>_xlfn.XLOOKUP(HistoricalStockProgress[[#This Row],[Company Ticker]],CompanyDetailsList[Company Ticker],CompanyDetailsList[Official Name],,0)</f>
        <v>#VALUE!</v>
      </c>
      <c r="E17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133</v>
      </c>
      <c r="F17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3377.7842958499027</v>
      </c>
      <c r="G1747" s="17">
        <f>IFERROR(HistoricalStockProgress[[#This Row],[Cost of Shares]]/HistoricalStockProgress[[#This Row],[No. of Shares]],0)</f>
        <v>25.396874404886486</v>
      </c>
      <c r="H1747" s="16" vm="2228">
        <v>16.89</v>
      </c>
      <c r="I1747" s="16">
        <f>IF(HistoricalStockProgress[[#This Row],[No. of Shares]]&lt;&gt;0,HistoricalStockProgress[[#This Row],[Price of Shares]]*HistoricalStockProgress[[#This Row],[No. of Shares]],0)</f>
        <v>2246.37</v>
      </c>
      <c r="J1747" s="16">
        <f>IF(HistoricalStockProgress[[#This Row],[No. of Shares]]&lt;&gt;0,HistoricalStockProgress[[#This Row],[Price of Shares]]-HistoricalStockProgress[[#This Row],[Cost of Shares]]/HistoricalStockProgress[[#This Row],[No. of Shares]],0)</f>
        <v>-8.5068744048864851</v>
      </c>
      <c r="K1747" s="17">
        <f>IF(HistoricalStockProgress[[#This Row],[Total Price of Shares]]&lt;&gt;0,HistoricalStockProgress[[#This Row],[Total Price of Shares]]-HistoricalStockProgress[[#This Row],[Cost of Shares]],0)</f>
        <v>-1131.4142958499028</v>
      </c>
      <c r="L1747" s="34" t="b" cm="1">
        <f t="array" ref="L1747">IFERROR(IF(HistoricalStockProgress[[#This Row],[Price of Shares]]="",_xlfn.STOCKHISTORY(HistoricalStockProgress[[#This Row],[Full Company Name]],HistoricalStockProgress[[#This Row],[Date]],,2,0,1)),0)</f>
        <v>0</v>
      </c>
      <c r="M1747" s="34">
        <f>YEAR(HistoricalStockProgress[[#This Row],[Date]])</f>
        <v>2024</v>
      </c>
      <c r="N1747" s="34">
        <f>MONTH(HistoricalStockProgress[[#This Row],[Date]])</f>
        <v>4</v>
      </c>
    </row>
    <row r="1748" spans="2:14">
      <c r="B1748" s="15">
        <v>45412</v>
      </c>
      <c r="C1748" s="34" t="s">
        <v>13</v>
      </c>
      <c r="D1748" s="34" t="e" vm="18">
        <f>_xlfn.XLOOKUP(HistoricalStockProgress[[#This Row],[Company Ticker]],CompanyDetailsList[Company Ticker],CompanyDetailsList[Official Name],,0)</f>
        <v>#VALUE!</v>
      </c>
      <c r="E17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55</v>
      </c>
      <c r="F17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1971.5816416090781</v>
      </c>
      <c r="G1748" s="17">
        <f>IFERROR(HistoricalStockProgress[[#This Row],[Cost of Shares]]/HistoricalStockProgress[[#This Row],[No. of Shares]],0)</f>
        <v>35.846938938346874</v>
      </c>
      <c r="H1748" s="16" vm="2229">
        <v>25.62</v>
      </c>
      <c r="I1748" s="16">
        <f>IF(HistoricalStockProgress[[#This Row],[No. of Shares]]&lt;&gt;0,HistoricalStockProgress[[#This Row],[Price of Shares]]*HistoricalStockProgress[[#This Row],[No. of Shares]],0)</f>
        <v>1409.1000000000001</v>
      </c>
      <c r="J1748" s="16">
        <f>IF(HistoricalStockProgress[[#This Row],[No. of Shares]]&lt;&gt;0,HistoricalStockProgress[[#This Row],[Price of Shares]]-HistoricalStockProgress[[#This Row],[Cost of Shares]]/HistoricalStockProgress[[#This Row],[No. of Shares]],0)</f>
        <v>-10.226938938346873</v>
      </c>
      <c r="K1748" s="17">
        <f>IF(HistoricalStockProgress[[#This Row],[Total Price of Shares]]&lt;&gt;0,HistoricalStockProgress[[#This Row],[Total Price of Shares]]-HistoricalStockProgress[[#This Row],[Cost of Shares]],0)</f>
        <v>-562.481641609078</v>
      </c>
      <c r="L1748" s="34" t="b" cm="1">
        <f t="array" ref="L1748">IFERROR(IF(HistoricalStockProgress[[#This Row],[Price of Shares]]="",_xlfn.STOCKHISTORY(HistoricalStockProgress[[#This Row],[Full Company Name]],HistoricalStockProgress[[#This Row],[Date]],,2,0,1)),0)</f>
        <v>0</v>
      </c>
      <c r="M1748" s="34">
        <f>YEAR(HistoricalStockProgress[[#This Row],[Date]])</f>
        <v>2024</v>
      </c>
      <c r="N1748" s="34">
        <f>MONTH(HistoricalStockProgress[[#This Row],[Date]])</f>
        <v>4</v>
      </c>
    </row>
    <row r="1749" spans="2:14">
      <c r="B1749" s="15">
        <v>45412</v>
      </c>
      <c r="C1749" s="34" t="s">
        <v>20</v>
      </c>
      <c r="D1749" s="34" t="e" vm="19">
        <f>_xlfn.XLOOKUP(HistoricalStockProgress[[#This Row],[Company Ticker]],CompanyDetailsList[Company Ticker],CompanyDetailsList[Official Name],,0)</f>
        <v>#VALUE!</v>
      </c>
      <c r="E17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7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749" s="17">
        <f>IFERROR(HistoricalStockProgress[[#This Row],[Cost of Shares]]/HistoricalStockProgress[[#This Row],[No. of Shares]],0)</f>
        <v>108.1760767450256</v>
      </c>
      <c r="H1749" s="16" vm="2230">
        <v>191.74</v>
      </c>
      <c r="I1749" s="16">
        <f>IF(HistoricalStockProgress[[#This Row],[No. of Shares]]&lt;&gt;0,HistoricalStockProgress[[#This Row],[Price of Shares]]*HistoricalStockProgress[[#This Row],[No. of Shares]],0)</f>
        <v>22241.84</v>
      </c>
      <c r="J1749" s="16">
        <f>IF(HistoricalStockProgress[[#This Row],[No. of Shares]]&lt;&gt;0,HistoricalStockProgress[[#This Row],[Price of Shares]]-HistoricalStockProgress[[#This Row],[Cost of Shares]]/HistoricalStockProgress[[#This Row],[No. of Shares]],0)</f>
        <v>83.563923254974412</v>
      </c>
      <c r="K1749" s="17">
        <f>IF(HistoricalStockProgress[[#This Row],[Total Price of Shares]]&lt;&gt;0,HistoricalStockProgress[[#This Row],[Total Price of Shares]]-HistoricalStockProgress[[#This Row],[Cost of Shares]],0)</f>
        <v>9693.4150975770317</v>
      </c>
      <c r="L1749" s="34" t="b" cm="1">
        <f t="array" ref="L1749">IFERROR(IF(HistoricalStockProgress[[#This Row],[Price of Shares]]="",_xlfn.STOCKHISTORY(HistoricalStockProgress[[#This Row],[Full Company Name]],HistoricalStockProgress[[#This Row],[Date]],,2,0,1)),0)</f>
        <v>0</v>
      </c>
      <c r="M1749" s="34">
        <f>YEAR(HistoricalStockProgress[[#This Row],[Date]])</f>
        <v>2024</v>
      </c>
      <c r="N1749" s="34">
        <f>MONTH(HistoricalStockProgress[[#This Row],[Date]])</f>
        <v>4</v>
      </c>
    </row>
    <row r="1750" spans="2:14">
      <c r="B1750" s="15">
        <v>45412</v>
      </c>
      <c r="C1750" s="34" t="s">
        <v>106</v>
      </c>
      <c r="D1750" s="34" t="e" vm="20">
        <f>_xlfn.XLOOKUP(HistoricalStockProgress[[#This Row],[Company Ticker]],CompanyDetailsList[Company Ticker],CompanyDetailsList[Official Name],,0)</f>
        <v>#VALUE!</v>
      </c>
      <c r="E17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7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750" s="17">
        <f>IFERROR(HistoricalStockProgress[[#This Row],[Cost of Shares]]/HistoricalStockProgress[[#This Row],[No. of Shares]],0)</f>
        <v>108.54870748680406</v>
      </c>
      <c r="H1750" s="16" vm="2231">
        <v>129</v>
      </c>
      <c r="I1750" s="16">
        <f>IF(HistoricalStockProgress[[#This Row],[No. of Shares]]&lt;&gt;0,HistoricalStockProgress[[#This Row],[Price of Shares]]*HistoricalStockProgress[[#This Row],[No. of Shares]],0)</f>
        <v>11352</v>
      </c>
      <c r="J1750" s="16">
        <f>IF(HistoricalStockProgress[[#This Row],[No. of Shares]]&lt;&gt;0,HistoricalStockProgress[[#This Row],[Price of Shares]]-HistoricalStockProgress[[#This Row],[Cost of Shares]]/HistoricalStockProgress[[#This Row],[No. of Shares]],0)</f>
        <v>20.451292513195938</v>
      </c>
      <c r="K1750" s="17">
        <f>IF(HistoricalStockProgress[[#This Row],[Total Price of Shares]]&lt;&gt;0,HistoricalStockProgress[[#This Row],[Total Price of Shares]]-HistoricalStockProgress[[#This Row],[Cost of Shares]],0)</f>
        <v>1799.7137411612421</v>
      </c>
      <c r="L1750" s="34" t="b" cm="1">
        <f t="array" ref="L1750">IFERROR(IF(HistoricalStockProgress[[#This Row],[Price of Shares]]="",_xlfn.STOCKHISTORY(HistoricalStockProgress[[#This Row],[Full Company Name]],HistoricalStockProgress[[#This Row],[Date]],,2,0,1)),0)</f>
        <v>0</v>
      </c>
      <c r="M1750" s="34">
        <f>YEAR(HistoricalStockProgress[[#This Row],[Date]])</f>
        <v>2024</v>
      </c>
      <c r="N1750" s="34">
        <f>MONTH(HistoricalStockProgress[[#This Row],[Date]])</f>
        <v>4</v>
      </c>
    </row>
    <row r="1751" spans="2:14">
      <c r="B1751" s="15">
        <v>45443</v>
      </c>
      <c r="C1751" s="34" t="s">
        <v>12</v>
      </c>
      <c r="D1751" s="34" t="e" vm="1">
        <f>_xlfn.XLOOKUP(HistoricalStockProgress[[#This Row],[Company Ticker]],CompanyDetailsList[Company Ticker],CompanyDetailsList[Official Name],,0)</f>
        <v>#VALUE!</v>
      </c>
      <c r="E17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7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751" s="17">
        <f>IFERROR(HistoricalStockProgress[[#This Row],[Cost of Shares]]/HistoricalStockProgress[[#This Row],[No. of Shares]],0)</f>
        <v>64.573985995316889</v>
      </c>
      <c r="H1751" s="16" vm="2232">
        <v>53.06</v>
      </c>
      <c r="I1751" s="16">
        <f>IF(HistoricalStockProgress[[#This Row],[No. of Shares]]&lt;&gt;0,HistoricalStockProgress[[#This Row],[Price of Shares]]*HistoricalStockProgress[[#This Row],[No. of Shares]],0)</f>
        <v>5146.8200000000006</v>
      </c>
      <c r="J1751" s="16">
        <f>IF(HistoricalStockProgress[[#This Row],[No. of Shares]]&lt;&gt;0,HistoricalStockProgress[[#This Row],[Price of Shares]]-HistoricalStockProgress[[#This Row],[Cost of Shares]]/HistoricalStockProgress[[#This Row],[No. of Shares]],0)</f>
        <v>-11.513985995316887</v>
      </c>
      <c r="K1751" s="17">
        <f>IF(HistoricalStockProgress[[#This Row],[Total Price of Shares]]&lt;&gt;0,HistoricalStockProgress[[#This Row],[Total Price of Shares]]-HistoricalStockProgress[[#This Row],[Cost of Shares]],0)</f>
        <v>-1116.8566415457371</v>
      </c>
      <c r="L1751" s="34" t="b" cm="1">
        <f t="array" ref="L1751">IFERROR(IF(HistoricalStockProgress[[#This Row],[Price of Shares]]="",_xlfn.STOCKHISTORY(HistoricalStockProgress[[#This Row],[Full Company Name]],HistoricalStockProgress[[#This Row],[Date]],,2,0,1)),0)</f>
        <v>0</v>
      </c>
      <c r="M1751" s="34">
        <f>YEAR(HistoricalStockProgress[[#This Row],[Date]])</f>
        <v>2024</v>
      </c>
      <c r="N1751" s="34">
        <f>MONTH(HistoricalStockProgress[[#This Row],[Date]])</f>
        <v>5</v>
      </c>
    </row>
    <row r="1752" spans="2:14">
      <c r="B1752" s="15">
        <v>45443</v>
      </c>
      <c r="C1752" s="34" t="s">
        <v>14</v>
      </c>
      <c r="D1752" s="34" t="e" vm="2">
        <f>_xlfn.XLOOKUP(HistoricalStockProgress[[#This Row],[Company Ticker]],CompanyDetailsList[Company Ticker],CompanyDetailsList[Official Name],,0)</f>
        <v>#VALUE!</v>
      </c>
      <c r="E17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17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1752" s="17">
        <f>IFERROR(HistoricalStockProgress[[#This Row],[Cost of Shares]]/HistoricalStockProgress[[#This Row],[No. of Shares]],0)</f>
        <v>26.819337355148658</v>
      </c>
      <c r="H1752" s="16" vm="2233">
        <v>28</v>
      </c>
      <c r="I1752" s="16">
        <f>IF(HistoricalStockProgress[[#This Row],[No. of Shares]]&lt;&gt;0,HistoricalStockProgress[[#This Row],[Price of Shares]]*HistoricalStockProgress[[#This Row],[No. of Shares]],0)</f>
        <v>1764</v>
      </c>
      <c r="J1752" s="16">
        <f>IF(HistoricalStockProgress[[#This Row],[No. of Shares]]&lt;&gt;0,HistoricalStockProgress[[#This Row],[Price of Shares]]-HistoricalStockProgress[[#This Row],[Cost of Shares]]/HistoricalStockProgress[[#This Row],[No. of Shares]],0)</f>
        <v>1.180662644851342</v>
      </c>
      <c r="K1752" s="17">
        <f>IF(HistoricalStockProgress[[#This Row],[Total Price of Shares]]&lt;&gt;0,HistoricalStockProgress[[#This Row],[Total Price of Shares]]-HistoricalStockProgress[[#This Row],[Cost of Shares]],0)</f>
        <v>74.381746625634605</v>
      </c>
      <c r="L1752" s="34" t="b" cm="1">
        <f t="array" ref="L1752">IFERROR(IF(HistoricalStockProgress[[#This Row],[Price of Shares]]="",_xlfn.STOCKHISTORY(HistoricalStockProgress[[#This Row],[Full Company Name]],HistoricalStockProgress[[#This Row],[Date]],,2,0,1)),0)</f>
        <v>0</v>
      </c>
      <c r="M1752" s="34">
        <f>YEAR(HistoricalStockProgress[[#This Row],[Date]])</f>
        <v>2024</v>
      </c>
      <c r="N1752" s="34">
        <f>MONTH(HistoricalStockProgress[[#This Row],[Date]])</f>
        <v>5</v>
      </c>
    </row>
    <row r="1753" spans="2:14">
      <c r="B1753" s="15">
        <v>45443</v>
      </c>
      <c r="C1753" s="34" t="s">
        <v>19</v>
      </c>
      <c r="D1753" s="34" t="e" vm="3">
        <f>_xlfn.XLOOKUP(HistoricalStockProgress[[#This Row],[Company Ticker]],CompanyDetailsList[Company Ticker],CompanyDetailsList[Official Name],,0)</f>
        <v>#VALUE!</v>
      </c>
      <c r="E17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7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753" s="17">
        <f>IFERROR(HistoricalStockProgress[[#This Row],[Cost of Shares]]/HistoricalStockProgress[[#This Row],[No. of Shares]],0)</f>
        <v>158.45739987816083</v>
      </c>
      <c r="H1753" s="16" vm="2234">
        <v>131.56</v>
      </c>
      <c r="I1753" s="16">
        <f>IF(HistoricalStockProgress[[#This Row],[No. of Shares]]&lt;&gt;0,HistoricalStockProgress[[#This Row],[Price of Shares]]*HistoricalStockProgress[[#This Row],[No. of Shares]],0)</f>
        <v>7498.92</v>
      </c>
      <c r="J1753" s="16">
        <f>IF(HistoricalStockProgress[[#This Row],[No. of Shares]]&lt;&gt;0,HistoricalStockProgress[[#This Row],[Price of Shares]]-HistoricalStockProgress[[#This Row],[Cost of Shares]]/HistoricalStockProgress[[#This Row],[No. of Shares]],0)</f>
        <v>-26.897399878160826</v>
      </c>
      <c r="K1753" s="17">
        <f>IF(HistoricalStockProgress[[#This Row],[Total Price of Shares]]&lt;&gt;0,HistoricalStockProgress[[#This Row],[Total Price of Shares]]-HistoricalStockProgress[[#This Row],[Cost of Shares]],0)</f>
        <v>-1533.1517930551672</v>
      </c>
      <c r="L1753" s="34" t="b" cm="1">
        <f t="array" ref="L1753">IFERROR(IF(HistoricalStockProgress[[#This Row],[Price of Shares]]="",_xlfn.STOCKHISTORY(HistoricalStockProgress[[#This Row],[Full Company Name]],HistoricalStockProgress[[#This Row],[Date]],,2,0,1)),0)</f>
        <v>0</v>
      </c>
      <c r="M1753" s="34">
        <f>YEAR(HistoricalStockProgress[[#This Row],[Date]])</f>
        <v>2024</v>
      </c>
      <c r="N1753" s="34">
        <f>MONTH(HistoricalStockProgress[[#This Row],[Date]])</f>
        <v>5</v>
      </c>
    </row>
    <row r="1754" spans="2:14">
      <c r="B1754" s="15">
        <v>45443</v>
      </c>
      <c r="C1754" s="34" t="s">
        <v>23</v>
      </c>
      <c r="D1754" s="34" t="e" vm="4">
        <f>_xlfn.XLOOKUP(HistoricalStockProgress[[#This Row],[Company Ticker]],CompanyDetailsList[Company Ticker],CompanyDetailsList[Official Name],,0)</f>
        <v>#VALUE!</v>
      </c>
      <c r="E17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17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1754" s="17">
        <f>IFERROR(HistoricalStockProgress[[#This Row],[Cost of Shares]]/HistoricalStockProgress[[#This Row],[No. of Shares]],0)</f>
        <v>50.781277236510277</v>
      </c>
      <c r="H1754" s="16" vm="660">
        <v>62.93</v>
      </c>
      <c r="I1754" s="16">
        <f>IF(HistoricalStockProgress[[#This Row],[No. of Shares]]&lt;&gt;0,HistoricalStockProgress[[#This Row],[Price of Shares]]*HistoricalStockProgress[[#This Row],[No. of Shares]],0)</f>
        <v>7362.81</v>
      </c>
      <c r="J1754" s="16">
        <f>IF(HistoricalStockProgress[[#This Row],[No. of Shares]]&lt;&gt;0,HistoricalStockProgress[[#This Row],[Price of Shares]]-HistoricalStockProgress[[#This Row],[Cost of Shares]]/HistoricalStockProgress[[#This Row],[No. of Shares]],0)</f>
        <v>12.148722763489722</v>
      </c>
      <c r="K1754" s="17">
        <f>IF(HistoricalStockProgress[[#This Row],[Total Price of Shares]]&lt;&gt;0,HistoricalStockProgress[[#This Row],[Total Price of Shares]]-HistoricalStockProgress[[#This Row],[Cost of Shares]],0)</f>
        <v>1421.4005633282977</v>
      </c>
      <c r="L1754" s="34" t="b" cm="1">
        <f t="array" ref="L1754">IFERROR(IF(HistoricalStockProgress[[#This Row],[Price of Shares]]="",_xlfn.STOCKHISTORY(HistoricalStockProgress[[#This Row],[Full Company Name]],HistoricalStockProgress[[#This Row],[Date]],,2,0,1)),0)</f>
        <v>0</v>
      </c>
      <c r="M1754" s="34">
        <f>YEAR(HistoricalStockProgress[[#This Row],[Date]])</f>
        <v>2024</v>
      </c>
      <c r="N1754" s="34">
        <f>MONTH(HistoricalStockProgress[[#This Row],[Date]])</f>
        <v>5</v>
      </c>
    </row>
    <row r="1755" spans="2:14">
      <c r="B1755" s="15">
        <v>45443</v>
      </c>
      <c r="C1755" s="34" t="s">
        <v>18</v>
      </c>
      <c r="D1755" s="34" t="e" vm="5">
        <f>_xlfn.XLOOKUP(HistoricalStockProgress[[#This Row],[Company Ticker]],CompanyDetailsList[Company Ticker],CompanyDetailsList[Official Name],,0)</f>
        <v>#VALUE!</v>
      </c>
      <c r="E17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7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755" s="17">
        <f>IFERROR(HistoricalStockProgress[[#This Row],[Cost of Shares]]/HistoricalStockProgress[[#This Row],[No. of Shares]],0)</f>
        <v>160.8859607546234</v>
      </c>
      <c r="H1755" s="16" vm="2235">
        <v>172.9</v>
      </c>
      <c r="I1755" s="16">
        <f>IF(HistoricalStockProgress[[#This Row],[No. of Shares]]&lt;&gt;0,HistoricalStockProgress[[#This Row],[Price of Shares]]*HistoricalStockProgress[[#This Row],[No. of Shares]],0)</f>
        <v>7434.7</v>
      </c>
      <c r="J1755" s="16">
        <f>IF(HistoricalStockProgress[[#This Row],[No. of Shares]]&lt;&gt;0,HistoricalStockProgress[[#This Row],[Price of Shares]]-HistoricalStockProgress[[#This Row],[Cost of Shares]]/HistoricalStockProgress[[#This Row],[No. of Shares]],0)</f>
        <v>12.014039245376608</v>
      </c>
      <c r="K1755" s="17">
        <f>IF(HistoricalStockProgress[[#This Row],[Total Price of Shares]]&lt;&gt;0,HistoricalStockProgress[[#This Row],[Total Price of Shares]]-HistoricalStockProgress[[#This Row],[Cost of Shares]],0)</f>
        <v>516.60368755119362</v>
      </c>
      <c r="L1755" s="34" t="b" cm="1">
        <f t="array" ref="L1755">IFERROR(IF(HistoricalStockProgress[[#This Row],[Price of Shares]]="",_xlfn.STOCKHISTORY(HistoricalStockProgress[[#This Row],[Full Company Name]],HistoricalStockProgress[[#This Row],[Date]],,2,0,1)),0)</f>
        <v>0</v>
      </c>
      <c r="M1755" s="34">
        <f>YEAR(HistoricalStockProgress[[#This Row],[Date]])</f>
        <v>2024</v>
      </c>
      <c r="N1755" s="34">
        <f>MONTH(HistoricalStockProgress[[#This Row],[Date]])</f>
        <v>5</v>
      </c>
    </row>
    <row r="1756" spans="2:14">
      <c r="B1756" s="15">
        <v>45443</v>
      </c>
      <c r="C1756" s="34" t="s">
        <v>21</v>
      </c>
      <c r="D1756" s="34" t="e" vm="6">
        <f>_xlfn.XLOOKUP(HistoricalStockProgress[[#This Row],[Company Ticker]],CompanyDetailsList[Company Ticker],CompanyDetailsList[Official Name],,0)</f>
        <v>#VALUE!</v>
      </c>
      <c r="E17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7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756" s="17">
        <f>IFERROR(HistoricalStockProgress[[#This Row],[Cost of Shares]]/HistoricalStockProgress[[#This Row],[No. of Shares]],0)</f>
        <v>139.68700010204148</v>
      </c>
      <c r="H1756" s="16" vm="2236">
        <v>164.54</v>
      </c>
      <c r="I1756" s="16">
        <f>IF(HistoricalStockProgress[[#This Row],[No. of Shares]]&lt;&gt;0,HistoricalStockProgress[[#This Row],[Price of Shares]]*HistoricalStockProgress[[#This Row],[No. of Shares]],0)</f>
        <v>6910.6799999999994</v>
      </c>
      <c r="J1756" s="16">
        <f>IF(HistoricalStockProgress[[#This Row],[No. of Shares]]&lt;&gt;0,HistoricalStockProgress[[#This Row],[Price of Shares]]-HistoricalStockProgress[[#This Row],[Cost of Shares]]/HistoricalStockProgress[[#This Row],[No. of Shares]],0)</f>
        <v>24.852999897958512</v>
      </c>
      <c r="K1756" s="17">
        <f>IF(HistoricalStockProgress[[#This Row],[Total Price of Shares]]&lt;&gt;0,HistoricalStockProgress[[#This Row],[Total Price of Shares]]-HistoricalStockProgress[[#This Row],[Cost of Shares]],0)</f>
        <v>1043.8259957142573</v>
      </c>
      <c r="L1756" s="34" t="b" cm="1">
        <f t="array" ref="L1756">IFERROR(IF(HistoricalStockProgress[[#This Row],[Price of Shares]]="",_xlfn.STOCKHISTORY(HistoricalStockProgress[[#This Row],[Full Company Name]],HistoricalStockProgress[[#This Row],[Date]],,2,0,1)),0)</f>
        <v>0</v>
      </c>
      <c r="M1756" s="34">
        <f>YEAR(HistoricalStockProgress[[#This Row],[Date]])</f>
        <v>2024</v>
      </c>
      <c r="N1756" s="34">
        <f>MONTH(HistoricalStockProgress[[#This Row],[Date]])</f>
        <v>5</v>
      </c>
    </row>
    <row r="1757" spans="2:14">
      <c r="B1757" s="15">
        <v>45443</v>
      </c>
      <c r="C1757" s="34" t="s">
        <v>84</v>
      </c>
      <c r="D1757" s="34" t="e" vm="7">
        <f>_xlfn.XLOOKUP(HistoricalStockProgress[[#This Row],[Company Ticker]],CompanyDetailsList[Company Ticker],CompanyDetailsList[Official Name],,0)</f>
        <v>#VALUE!</v>
      </c>
      <c r="E17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7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757" s="17">
        <f>IFERROR(HistoricalStockProgress[[#This Row],[Cost of Shares]]/HistoricalStockProgress[[#This Row],[No. of Shares]],0)</f>
        <v>104.18087504950869</v>
      </c>
      <c r="H1757" s="16" vm="2237">
        <v>146.66999999999999</v>
      </c>
      <c r="I1757" s="16">
        <f>IF(HistoricalStockProgress[[#This Row],[No. of Shares]]&lt;&gt;0,HistoricalStockProgress[[#This Row],[Price of Shares]]*HistoricalStockProgress[[#This Row],[No. of Shares]],0)</f>
        <v>7480.1699999999992</v>
      </c>
      <c r="J1757" s="16">
        <f>IF(HistoricalStockProgress[[#This Row],[No. of Shares]]&lt;&gt;0,HistoricalStockProgress[[#This Row],[Price of Shares]]-HistoricalStockProgress[[#This Row],[Cost of Shares]]/HistoricalStockProgress[[#This Row],[No. of Shares]],0)</f>
        <v>42.489124950491302</v>
      </c>
      <c r="K1757" s="17">
        <f>IF(HistoricalStockProgress[[#This Row],[Total Price of Shares]]&lt;&gt;0,HistoricalStockProgress[[#This Row],[Total Price of Shares]]-HistoricalStockProgress[[#This Row],[Cost of Shares]],0)</f>
        <v>2166.9453724750565</v>
      </c>
      <c r="L1757" s="34" t="b" cm="1">
        <f t="array" ref="L1757">IFERROR(IF(HistoricalStockProgress[[#This Row],[Price of Shares]]="",_xlfn.STOCKHISTORY(HistoricalStockProgress[[#This Row],[Full Company Name]],HistoricalStockProgress[[#This Row],[Date]],,2,0,1)),0)</f>
        <v>0</v>
      </c>
      <c r="M1757" s="34">
        <f>YEAR(HistoricalStockProgress[[#This Row],[Date]])</f>
        <v>2024</v>
      </c>
      <c r="N1757" s="34">
        <f>MONTH(HistoricalStockProgress[[#This Row],[Date]])</f>
        <v>5</v>
      </c>
    </row>
    <row r="1758" spans="2:14">
      <c r="B1758" s="15">
        <v>45443</v>
      </c>
      <c r="C1758" s="34" t="s">
        <v>86</v>
      </c>
      <c r="D1758" s="34" t="e" vm="8">
        <f>_xlfn.XLOOKUP(HistoricalStockProgress[[#This Row],[Company Ticker]],CompanyDetailsList[Company Ticker],CompanyDetailsList[Official Name],,0)</f>
        <v>#VALUE!</v>
      </c>
      <c r="E17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120</v>
      </c>
      <c r="F17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11434.543004354886</v>
      </c>
      <c r="G1758" s="17">
        <f>IFERROR(HistoricalStockProgress[[#This Row],[Cost of Shares]]/HistoricalStockProgress[[#This Row],[No. of Shares]],0)</f>
        <v>95.287858369624047</v>
      </c>
      <c r="H1758" s="16" vm="2238">
        <v>161.24</v>
      </c>
      <c r="I1758" s="16">
        <f>IF(HistoricalStockProgress[[#This Row],[No. of Shares]]&lt;&gt;0,HistoricalStockProgress[[#This Row],[Price of Shares]]*HistoricalStockProgress[[#This Row],[No. of Shares]],0)</f>
        <v>19348.800000000003</v>
      </c>
      <c r="J1758" s="16">
        <f>IF(HistoricalStockProgress[[#This Row],[No. of Shares]]&lt;&gt;0,HistoricalStockProgress[[#This Row],[Price of Shares]]-HistoricalStockProgress[[#This Row],[Cost of Shares]]/HistoricalStockProgress[[#This Row],[No. of Shares]],0)</f>
        <v>65.952141630375962</v>
      </c>
      <c r="K1758" s="17">
        <f>IF(HistoricalStockProgress[[#This Row],[Total Price of Shares]]&lt;&gt;0,HistoricalStockProgress[[#This Row],[Total Price of Shares]]-HistoricalStockProgress[[#This Row],[Cost of Shares]],0)</f>
        <v>7914.2569956451171</v>
      </c>
      <c r="L1758" s="34" t="b" cm="1">
        <f t="array" ref="L1758">IFERROR(IF(HistoricalStockProgress[[#This Row],[Price of Shares]]="",_xlfn.STOCKHISTORY(HistoricalStockProgress[[#This Row],[Full Company Name]],HistoricalStockProgress[[#This Row],[Date]],,2,0,1)),0)</f>
        <v>0</v>
      </c>
      <c r="M1758" s="34">
        <f>YEAR(HistoricalStockProgress[[#This Row],[Date]])</f>
        <v>2024</v>
      </c>
      <c r="N1758" s="34">
        <f>MONTH(HistoricalStockProgress[[#This Row],[Date]])</f>
        <v>5</v>
      </c>
    </row>
    <row r="1759" spans="2:14">
      <c r="B1759" s="15">
        <v>45443</v>
      </c>
      <c r="C1759" s="34" t="s">
        <v>88</v>
      </c>
      <c r="D1759" s="34" t="e" vm="9">
        <f>_xlfn.XLOOKUP(HistoricalStockProgress[[#This Row],[Company Ticker]],CompanyDetailsList[Company Ticker],CompanyDetailsList[Official Name],,0)</f>
        <v>#VALUE!</v>
      </c>
      <c r="E17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17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1759" s="17">
        <f>IFERROR(HistoricalStockProgress[[#This Row],[Cost of Shares]]/HistoricalStockProgress[[#This Row],[No. of Shares]],0)</f>
        <v>224.7272684493652</v>
      </c>
      <c r="H1759" s="16" vm="2239">
        <v>258.89</v>
      </c>
      <c r="I1759" s="16">
        <f>IF(HistoricalStockProgress[[#This Row],[No. of Shares]]&lt;&gt;0,HistoricalStockProgress[[#This Row],[Price of Shares]]*HistoricalStockProgress[[#This Row],[No. of Shares]],0)</f>
        <v>24594.55</v>
      </c>
      <c r="J1759" s="16">
        <f>IF(HistoricalStockProgress[[#This Row],[No. of Shares]]&lt;&gt;0,HistoricalStockProgress[[#This Row],[Price of Shares]]-HistoricalStockProgress[[#This Row],[Cost of Shares]]/HistoricalStockProgress[[#This Row],[No. of Shares]],0)</f>
        <v>34.162731550634788</v>
      </c>
      <c r="K1759" s="17">
        <f>IF(HistoricalStockProgress[[#This Row],[Total Price of Shares]]&lt;&gt;0,HistoricalStockProgress[[#This Row],[Total Price of Shares]]-HistoricalStockProgress[[#This Row],[Cost of Shares]],0)</f>
        <v>3245.4594973103049</v>
      </c>
      <c r="L1759" s="34" t="b" cm="1">
        <f t="array" ref="L1759">IFERROR(IF(HistoricalStockProgress[[#This Row],[Price of Shares]]="",_xlfn.STOCKHISTORY(HistoricalStockProgress[[#This Row],[Full Company Name]],HistoricalStockProgress[[#This Row],[Date]],,2,0,1)),0)</f>
        <v>0</v>
      </c>
      <c r="M1759" s="34">
        <f>YEAR(HistoricalStockProgress[[#This Row],[Date]])</f>
        <v>2024</v>
      </c>
      <c r="N1759" s="34">
        <f>MONTH(HistoricalStockProgress[[#This Row],[Date]])</f>
        <v>5</v>
      </c>
    </row>
    <row r="1760" spans="2:14">
      <c r="B1760" s="15">
        <v>45443</v>
      </c>
      <c r="C1760" s="34" t="s">
        <v>22</v>
      </c>
      <c r="D1760" s="34" t="e" vm="10">
        <f>_xlfn.XLOOKUP(HistoricalStockProgress[[#This Row],[Company Ticker]],CompanyDetailsList[Company Ticker],CompanyDetailsList[Official Name],,0)</f>
        <v>#VALUE!</v>
      </c>
      <c r="E17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7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760" s="17">
        <f>IFERROR(HistoricalStockProgress[[#This Row],[Cost of Shares]]/HistoricalStockProgress[[#This Row],[No. of Shares]],0)</f>
        <v>130.19784136724968</v>
      </c>
      <c r="H1760" s="16" vm="2240">
        <v>338.52</v>
      </c>
      <c r="I1760" s="16">
        <f>IF(HistoricalStockProgress[[#This Row],[No. of Shares]]&lt;&gt;0,HistoricalStockProgress[[#This Row],[Price of Shares]]*HistoricalStockProgress[[#This Row],[No. of Shares]],0)</f>
        <v>40283.879999999997</v>
      </c>
      <c r="J1760" s="16">
        <f>IF(HistoricalStockProgress[[#This Row],[No. of Shares]]&lt;&gt;0,HistoricalStockProgress[[#This Row],[Price of Shares]]-HistoricalStockProgress[[#This Row],[Cost of Shares]]/HistoricalStockProgress[[#This Row],[No. of Shares]],0)</f>
        <v>208.3221586327503</v>
      </c>
      <c r="K1760" s="17">
        <f>IF(HistoricalStockProgress[[#This Row],[Total Price of Shares]]&lt;&gt;0,HistoricalStockProgress[[#This Row],[Total Price of Shares]]-HistoricalStockProgress[[#This Row],[Cost of Shares]],0)</f>
        <v>24790.336877297283</v>
      </c>
      <c r="L1760" s="34" t="b" cm="1">
        <f t="array" ref="L1760">IFERROR(IF(HistoricalStockProgress[[#This Row],[Price of Shares]]="",_xlfn.STOCKHISTORY(HistoricalStockProgress[[#This Row],[Full Company Name]],HistoricalStockProgress[[#This Row],[Date]],,2,0,1)),0)</f>
        <v>0</v>
      </c>
      <c r="M1760" s="34">
        <f>YEAR(HistoricalStockProgress[[#This Row],[Date]])</f>
        <v>2024</v>
      </c>
      <c r="N1760" s="34">
        <f>MONTH(HistoricalStockProgress[[#This Row],[Date]])</f>
        <v>5</v>
      </c>
    </row>
    <row r="1761" spans="2:14">
      <c r="B1761" s="15">
        <v>45443</v>
      </c>
      <c r="C1761" s="34" t="s">
        <v>91</v>
      </c>
      <c r="D1761" s="34" t="e" vm="11">
        <f>_xlfn.XLOOKUP(HistoricalStockProgress[[#This Row],[Company Ticker]],CompanyDetailsList[Company Ticker],CompanyDetailsList[Official Name],,0)</f>
        <v>#VALUE!</v>
      </c>
      <c r="E17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7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761" s="17">
        <f>IFERROR(HistoricalStockProgress[[#This Row],[Cost of Shares]]/HistoricalStockProgress[[#This Row],[No. of Shares]],0)</f>
        <v>133.15744058830452</v>
      </c>
      <c r="H1761" s="16" vm="2241">
        <v>415.13</v>
      </c>
      <c r="I1761" s="16">
        <f>IF(HistoricalStockProgress[[#This Row],[No. of Shares]]&lt;&gt;0,HistoricalStockProgress[[#This Row],[Price of Shares]]*HistoricalStockProgress[[#This Row],[No. of Shares]],0)</f>
        <v>75968.789999999994</v>
      </c>
      <c r="J1761" s="16">
        <f>IF(HistoricalStockProgress[[#This Row],[No. of Shares]]&lt;&gt;0,HistoricalStockProgress[[#This Row],[Price of Shares]]-HistoricalStockProgress[[#This Row],[Cost of Shares]]/HistoricalStockProgress[[#This Row],[No. of Shares]],0)</f>
        <v>281.97255941169544</v>
      </c>
      <c r="K1761" s="17">
        <f>IF(HistoricalStockProgress[[#This Row],[Total Price of Shares]]&lt;&gt;0,HistoricalStockProgress[[#This Row],[Total Price of Shares]]-HistoricalStockProgress[[#This Row],[Cost of Shares]],0)</f>
        <v>51600.978372340265</v>
      </c>
      <c r="L1761" s="34" t="b" cm="1">
        <f t="array" ref="L1761">IFERROR(IF(HistoricalStockProgress[[#This Row],[Price of Shares]]="",_xlfn.STOCKHISTORY(HistoricalStockProgress[[#This Row],[Full Company Name]],HistoricalStockProgress[[#This Row],[Date]],,2,0,1)),0)</f>
        <v>0</v>
      </c>
      <c r="M1761" s="34">
        <f>YEAR(HistoricalStockProgress[[#This Row],[Date]])</f>
        <v>2024</v>
      </c>
      <c r="N1761" s="34">
        <f>MONTH(HistoricalStockProgress[[#This Row],[Date]])</f>
        <v>5</v>
      </c>
    </row>
    <row r="1762" spans="2:14">
      <c r="B1762" s="15">
        <v>45443</v>
      </c>
      <c r="C1762" s="34" t="s">
        <v>16</v>
      </c>
      <c r="D1762" s="34" t="e" vm="12">
        <f>_xlfn.XLOOKUP(HistoricalStockProgress[[#This Row],[Company Ticker]],CompanyDetailsList[Company Ticker],CompanyDetailsList[Official Name],,0)</f>
        <v>#VALUE!</v>
      </c>
      <c r="E17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7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762" s="17">
        <f>IFERROR(HistoricalStockProgress[[#This Row],[Cost of Shares]]/HistoricalStockProgress[[#This Row],[No. of Shares]],0)</f>
        <v>75.117698177311837</v>
      </c>
      <c r="H1762" s="16" vm="2242">
        <v>117.26</v>
      </c>
      <c r="I1762" s="16">
        <f>IF(HistoricalStockProgress[[#This Row],[No. of Shares]]&lt;&gt;0,HistoricalStockProgress[[#This Row],[Price of Shares]]*HistoricalStockProgress[[#This Row],[No. of Shares]],0)</f>
        <v>21693.100000000002</v>
      </c>
      <c r="J1762" s="16">
        <f>IF(HistoricalStockProgress[[#This Row],[No. of Shares]]&lt;&gt;0,HistoricalStockProgress[[#This Row],[Price of Shares]]-HistoricalStockProgress[[#This Row],[Cost of Shares]]/HistoricalStockProgress[[#This Row],[No. of Shares]],0)</f>
        <v>42.142301822688168</v>
      </c>
      <c r="K1762" s="17">
        <f>IF(HistoricalStockProgress[[#This Row],[Total Price of Shares]]&lt;&gt;0,HistoricalStockProgress[[#This Row],[Total Price of Shares]]-HistoricalStockProgress[[#This Row],[Cost of Shares]],0)</f>
        <v>7796.3258371973134</v>
      </c>
      <c r="L1762" s="34" t="b" cm="1">
        <f t="array" ref="L1762">IFERROR(IF(HistoricalStockProgress[[#This Row],[Price of Shares]]="",_xlfn.STOCKHISTORY(HistoricalStockProgress[[#This Row],[Full Company Name]],HistoricalStockProgress[[#This Row],[Date]],,2,0,1)),0)</f>
        <v>0</v>
      </c>
      <c r="M1762" s="34">
        <f>YEAR(HistoricalStockProgress[[#This Row],[Date]])</f>
        <v>2024</v>
      </c>
      <c r="N1762" s="34">
        <f>MONTH(HistoricalStockProgress[[#This Row],[Date]])</f>
        <v>5</v>
      </c>
    </row>
    <row r="1763" spans="2:14">
      <c r="B1763" s="15">
        <v>45443</v>
      </c>
      <c r="C1763" s="34" t="s">
        <v>95</v>
      </c>
      <c r="D1763" s="34" t="e" vm="13">
        <f>_xlfn.XLOOKUP(HistoricalStockProgress[[#This Row],[Company Ticker]],CompanyDetailsList[Company Ticker],CompanyDetailsList[Official Name],,0)</f>
        <v>#VALUE!</v>
      </c>
      <c r="E17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143</v>
      </c>
      <c r="F17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35362.550411645469</v>
      </c>
      <c r="G1763" s="17">
        <f>IFERROR(HistoricalStockProgress[[#This Row],[Cost of Shares]]/HistoricalStockProgress[[#This Row],[No. of Shares]],0)</f>
        <v>247.29056231919907</v>
      </c>
      <c r="H1763" s="16" vm="2243">
        <v>334.87</v>
      </c>
      <c r="I1763" s="16">
        <f>IF(HistoricalStockProgress[[#This Row],[No. of Shares]]&lt;&gt;0,HistoricalStockProgress[[#This Row],[Price of Shares]]*HistoricalStockProgress[[#This Row],[No. of Shares]],0)</f>
        <v>47886.41</v>
      </c>
      <c r="J1763" s="16">
        <f>IF(HistoricalStockProgress[[#This Row],[No. of Shares]]&lt;&gt;0,HistoricalStockProgress[[#This Row],[Price of Shares]]-HistoricalStockProgress[[#This Row],[Cost of Shares]]/HistoricalStockProgress[[#This Row],[No. of Shares]],0)</f>
        <v>87.579437680800936</v>
      </c>
      <c r="K1763" s="17">
        <f>IF(HistoricalStockProgress[[#This Row],[Total Price of Shares]]&lt;&gt;0,HistoricalStockProgress[[#This Row],[Total Price of Shares]]-HistoricalStockProgress[[#This Row],[Cost of Shares]],0)</f>
        <v>12523.859588354535</v>
      </c>
      <c r="L1763" s="34" t="b" cm="1">
        <f t="array" ref="L1763">IFERROR(IF(HistoricalStockProgress[[#This Row],[Price of Shares]]="",_xlfn.STOCKHISTORY(HistoricalStockProgress[[#This Row],[Full Company Name]],HistoricalStockProgress[[#This Row],[Date]],,2,0,1)),0)</f>
        <v>0</v>
      </c>
      <c r="M1763" s="34">
        <f>YEAR(HistoricalStockProgress[[#This Row],[Date]])</f>
        <v>2024</v>
      </c>
      <c r="N1763" s="34">
        <f>MONTH(HistoricalStockProgress[[#This Row],[Date]])</f>
        <v>5</v>
      </c>
    </row>
    <row r="1764" spans="2:14">
      <c r="B1764" s="15">
        <v>45443</v>
      </c>
      <c r="C1764" s="34" t="s">
        <v>17</v>
      </c>
      <c r="D1764" s="34" t="e" vm="14">
        <f>_xlfn.XLOOKUP(HistoricalStockProgress[[#This Row],[Company Ticker]],CompanyDetailsList[Company Ticker],CompanyDetailsList[Official Name],,0)</f>
        <v>#VALUE!</v>
      </c>
      <c r="E17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207</v>
      </c>
      <c r="F17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28893.973938735588</v>
      </c>
      <c r="G1764" s="17">
        <f>IFERROR(HistoricalStockProgress[[#This Row],[Cost of Shares]]/HistoricalStockProgress[[#This Row],[No. of Shares]],0)</f>
        <v>139.58441516297384</v>
      </c>
      <c r="H1764" s="16" vm="2244">
        <v>166.85</v>
      </c>
      <c r="I1764" s="16">
        <f>IF(HistoricalStockProgress[[#This Row],[No. of Shares]]&lt;&gt;0,HistoricalStockProgress[[#This Row],[Price of Shares]]*HistoricalStockProgress[[#This Row],[No. of Shares]],0)</f>
        <v>34537.949999999997</v>
      </c>
      <c r="J1764" s="16">
        <f>IF(HistoricalStockProgress[[#This Row],[No. of Shares]]&lt;&gt;0,HistoricalStockProgress[[#This Row],[Price of Shares]]-HistoricalStockProgress[[#This Row],[Cost of Shares]]/HistoricalStockProgress[[#This Row],[No. of Shares]],0)</f>
        <v>27.265584837026154</v>
      </c>
      <c r="K1764" s="17">
        <f>IF(HistoricalStockProgress[[#This Row],[Total Price of Shares]]&lt;&gt;0,HistoricalStockProgress[[#This Row],[Total Price of Shares]]-HistoricalStockProgress[[#This Row],[Cost of Shares]],0)</f>
        <v>5643.9760612644095</v>
      </c>
      <c r="L1764" s="34" t="b" cm="1">
        <f t="array" ref="L1764">IFERROR(IF(HistoricalStockProgress[[#This Row],[Price of Shares]]="",_xlfn.STOCKHISTORY(HistoricalStockProgress[[#This Row],[Full Company Name]],HistoricalStockProgress[[#This Row],[Date]],,2,0,1)),0)</f>
        <v>0</v>
      </c>
      <c r="M1764" s="34">
        <f>YEAR(HistoricalStockProgress[[#This Row],[Date]])</f>
        <v>2024</v>
      </c>
      <c r="N1764" s="34">
        <f>MONTH(HistoricalStockProgress[[#This Row],[Date]])</f>
        <v>5</v>
      </c>
    </row>
    <row r="1765" spans="2:14">
      <c r="B1765" s="15">
        <v>45443</v>
      </c>
      <c r="C1765" s="34" t="s">
        <v>98</v>
      </c>
      <c r="D1765" s="34" t="e" vm="15">
        <f>_xlfn.XLOOKUP(HistoricalStockProgress[[#This Row],[Company Ticker]],CompanyDetailsList[Company Ticker],CompanyDetailsList[Official Name],,0)</f>
        <v>#VALUE!</v>
      </c>
      <c r="E17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17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8175.3025483037236</v>
      </c>
      <c r="G1765" s="17">
        <f>IFERROR(HistoricalStockProgress[[#This Row],[Cost of Shares]]/HistoricalStockProgress[[#This Row],[No. of Shares]],0)</f>
        <v>55.995222933587151</v>
      </c>
      <c r="H1765" s="16" vm="720">
        <v>80.02</v>
      </c>
      <c r="I1765" s="16">
        <f>IF(HistoricalStockProgress[[#This Row],[No. of Shares]]&lt;&gt;0,HistoricalStockProgress[[#This Row],[Price of Shares]]*HistoricalStockProgress[[#This Row],[No. of Shares]],0)</f>
        <v>11682.92</v>
      </c>
      <c r="J1765" s="16">
        <f>IF(HistoricalStockProgress[[#This Row],[No. of Shares]]&lt;&gt;0,HistoricalStockProgress[[#This Row],[Price of Shares]]-HistoricalStockProgress[[#This Row],[Cost of Shares]]/HistoricalStockProgress[[#This Row],[No. of Shares]],0)</f>
        <v>24.024777066412845</v>
      </c>
      <c r="K1765" s="17">
        <f>IF(HistoricalStockProgress[[#This Row],[Total Price of Shares]]&lt;&gt;0,HistoricalStockProgress[[#This Row],[Total Price of Shares]]-HistoricalStockProgress[[#This Row],[Cost of Shares]],0)</f>
        <v>3507.6174516962765</v>
      </c>
      <c r="L1765" s="34" t="b" cm="1">
        <f t="array" ref="L1765">IFERROR(IF(HistoricalStockProgress[[#This Row],[Price of Shares]]="",_xlfn.STOCKHISTORY(HistoricalStockProgress[[#This Row],[Full Company Name]],HistoricalStockProgress[[#This Row],[Date]],,2,0,1)),0)</f>
        <v>0</v>
      </c>
      <c r="M1765" s="34">
        <f>YEAR(HistoricalStockProgress[[#This Row],[Date]])</f>
        <v>2024</v>
      </c>
      <c r="N1765" s="34">
        <f>MONTH(HistoricalStockProgress[[#This Row],[Date]])</f>
        <v>5</v>
      </c>
    </row>
    <row r="1766" spans="2:14">
      <c r="B1766" s="15">
        <v>45443</v>
      </c>
      <c r="C1766" s="34" t="s">
        <v>100</v>
      </c>
      <c r="D1766" s="34" t="e" vm="16">
        <f>_xlfn.XLOOKUP(HistoricalStockProgress[[#This Row],[Company Ticker]],CompanyDetailsList[Company Ticker],CompanyDetailsList[Official Name],,0)</f>
        <v>#VALUE!</v>
      </c>
      <c r="E17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17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1766" s="17">
        <f>IFERROR(HistoricalStockProgress[[#This Row],[Cost of Shares]]/HistoricalStockProgress[[#This Row],[No. of Shares]],0)</f>
        <v>92.156351168716071</v>
      </c>
      <c r="H1766" s="16" vm="2245">
        <v>103.57</v>
      </c>
      <c r="I1766" s="16">
        <f>IF(HistoricalStockProgress[[#This Row],[No. of Shares]]&lt;&gt;0,HistoricalStockProgress[[#This Row],[Price of Shares]]*HistoricalStockProgress[[#This Row],[No. of Shares]],0)</f>
        <v>25892.5</v>
      </c>
      <c r="J1766" s="16">
        <f>IF(HistoricalStockProgress[[#This Row],[No. of Shares]]&lt;&gt;0,HistoricalStockProgress[[#This Row],[Price of Shares]]-HistoricalStockProgress[[#This Row],[Cost of Shares]]/HistoricalStockProgress[[#This Row],[No. of Shares]],0)</f>
        <v>11.413648831283922</v>
      </c>
      <c r="K1766" s="17">
        <f>IF(HistoricalStockProgress[[#This Row],[Total Price of Shares]]&lt;&gt;0,HistoricalStockProgress[[#This Row],[Total Price of Shares]]-HistoricalStockProgress[[#This Row],[Cost of Shares]],0)</f>
        <v>2853.4122078209839</v>
      </c>
      <c r="L1766" s="34" t="b" cm="1">
        <f t="array" ref="L1766">IFERROR(IF(HistoricalStockProgress[[#This Row],[Price of Shares]]="",_xlfn.STOCKHISTORY(HistoricalStockProgress[[#This Row],[Full Company Name]],HistoricalStockProgress[[#This Row],[Date]],,2,0,1)),0)</f>
        <v>0</v>
      </c>
      <c r="M1766" s="34">
        <f>YEAR(HistoricalStockProgress[[#This Row],[Date]])</f>
        <v>2024</v>
      </c>
      <c r="N1766" s="34">
        <f>MONTH(HistoricalStockProgress[[#This Row],[Date]])</f>
        <v>5</v>
      </c>
    </row>
    <row r="1767" spans="2:14">
      <c r="B1767" s="15">
        <v>45443</v>
      </c>
      <c r="C1767" s="34" t="s">
        <v>15</v>
      </c>
      <c r="D1767" s="34" t="e" vm="17">
        <f>_xlfn.XLOOKUP(HistoricalStockProgress[[#This Row],[Company Ticker]],CompanyDetailsList[Company Ticker],CompanyDetailsList[Official Name],,0)</f>
        <v>#VALUE!</v>
      </c>
      <c r="E17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133</v>
      </c>
      <c r="F17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3377.7842958499027</v>
      </c>
      <c r="G1767" s="17">
        <f>IFERROR(HistoricalStockProgress[[#This Row],[Cost of Shares]]/HistoricalStockProgress[[#This Row],[No. of Shares]],0)</f>
        <v>25.396874404886486</v>
      </c>
      <c r="H1767" s="16" vm="2246">
        <v>18.22</v>
      </c>
      <c r="I1767" s="16">
        <f>IF(HistoricalStockProgress[[#This Row],[No. of Shares]]&lt;&gt;0,HistoricalStockProgress[[#This Row],[Price of Shares]]*HistoricalStockProgress[[#This Row],[No. of Shares]],0)</f>
        <v>2423.2599999999998</v>
      </c>
      <c r="J1767" s="16">
        <f>IF(HistoricalStockProgress[[#This Row],[No. of Shares]]&lt;&gt;0,HistoricalStockProgress[[#This Row],[Price of Shares]]-HistoricalStockProgress[[#This Row],[Cost of Shares]]/HistoricalStockProgress[[#This Row],[No. of Shares]],0)</f>
        <v>-7.1768744048864868</v>
      </c>
      <c r="K1767" s="17">
        <f>IF(HistoricalStockProgress[[#This Row],[Total Price of Shares]]&lt;&gt;0,HistoricalStockProgress[[#This Row],[Total Price of Shares]]-HistoricalStockProgress[[#This Row],[Cost of Shares]],0)</f>
        <v>-954.52429584990296</v>
      </c>
      <c r="L1767" s="34" t="b" cm="1">
        <f t="array" ref="L1767">IFERROR(IF(HistoricalStockProgress[[#This Row],[Price of Shares]]="",_xlfn.STOCKHISTORY(HistoricalStockProgress[[#This Row],[Full Company Name]],HistoricalStockProgress[[#This Row],[Date]],,2,0,1)),0)</f>
        <v>0</v>
      </c>
      <c r="M1767" s="34">
        <f>YEAR(HistoricalStockProgress[[#This Row],[Date]])</f>
        <v>2024</v>
      </c>
      <c r="N1767" s="34">
        <f>MONTH(HistoricalStockProgress[[#This Row],[Date]])</f>
        <v>5</v>
      </c>
    </row>
    <row r="1768" spans="2:14">
      <c r="B1768" s="15">
        <v>45443</v>
      </c>
      <c r="C1768" s="34" t="s">
        <v>13</v>
      </c>
      <c r="D1768" s="34" t="e" vm="18">
        <f>_xlfn.XLOOKUP(HistoricalStockProgress[[#This Row],[Company Ticker]],CompanyDetailsList[Company Ticker],CompanyDetailsList[Official Name],,0)</f>
        <v>#VALUE!</v>
      </c>
      <c r="E17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17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2197.8509687049395</v>
      </c>
      <c r="G1768" s="17">
        <f>IFERROR(HistoricalStockProgress[[#This Row],[Cost of Shares]]/HistoricalStockProgress[[#This Row],[No. of Shares]],0)</f>
        <v>34.886523312776816</v>
      </c>
      <c r="H1768" s="16" vm="2247">
        <v>28.66</v>
      </c>
      <c r="I1768" s="16">
        <f>IF(HistoricalStockProgress[[#This Row],[No. of Shares]]&lt;&gt;0,HistoricalStockProgress[[#This Row],[Price of Shares]]*HistoricalStockProgress[[#This Row],[No. of Shares]],0)</f>
        <v>1805.58</v>
      </c>
      <c r="J1768" s="16">
        <f>IF(HistoricalStockProgress[[#This Row],[No. of Shares]]&lt;&gt;0,HistoricalStockProgress[[#This Row],[Price of Shares]]-HistoricalStockProgress[[#This Row],[Cost of Shares]]/HistoricalStockProgress[[#This Row],[No. of Shares]],0)</f>
        <v>-6.2265233127768163</v>
      </c>
      <c r="K1768" s="17">
        <f>IF(HistoricalStockProgress[[#This Row],[Total Price of Shares]]&lt;&gt;0,HistoricalStockProgress[[#This Row],[Total Price of Shares]]-HistoricalStockProgress[[#This Row],[Cost of Shares]],0)</f>
        <v>-392.27096870493961</v>
      </c>
      <c r="L1768" s="34" t="b" cm="1">
        <f t="array" ref="L1768">IFERROR(IF(HistoricalStockProgress[[#This Row],[Price of Shares]]="",_xlfn.STOCKHISTORY(HistoricalStockProgress[[#This Row],[Full Company Name]],HistoricalStockProgress[[#This Row],[Date]],,2,0,1)),0)</f>
        <v>0</v>
      </c>
      <c r="M1768" s="34">
        <f>YEAR(HistoricalStockProgress[[#This Row],[Date]])</f>
        <v>2024</v>
      </c>
      <c r="N1768" s="34">
        <f>MONTH(HistoricalStockProgress[[#This Row],[Date]])</f>
        <v>5</v>
      </c>
    </row>
    <row r="1769" spans="2:14">
      <c r="B1769" s="15">
        <v>45443</v>
      </c>
      <c r="C1769" s="34" t="s">
        <v>20</v>
      </c>
      <c r="D1769" s="34" t="e" vm="19">
        <f>_xlfn.XLOOKUP(HistoricalStockProgress[[#This Row],[Company Ticker]],CompanyDetailsList[Company Ticker],CompanyDetailsList[Official Name],,0)</f>
        <v>#VALUE!</v>
      </c>
      <c r="E17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7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769" s="17">
        <f>IFERROR(HistoricalStockProgress[[#This Row],[Cost of Shares]]/HistoricalStockProgress[[#This Row],[No. of Shares]],0)</f>
        <v>108.1760767450256</v>
      </c>
      <c r="H1769" s="16" vm="2248">
        <v>202.63</v>
      </c>
      <c r="I1769" s="16">
        <f>IF(HistoricalStockProgress[[#This Row],[No. of Shares]]&lt;&gt;0,HistoricalStockProgress[[#This Row],[Price of Shares]]*HistoricalStockProgress[[#This Row],[No. of Shares]],0)</f>
        <v>23505.079999999998</v>
      </c>
      <c r="J1769" s="16">
        <f>IF(HistoricalStockProgress[[#This Row],[No. of Shares]]&lt;&gt;0,HistoricalStockProgress[[#This Row],[Price of Shares]]-HistoricalStockProgress[[#This Row],[Cost of Shares]]/HistoricalStockProgress[[#This Row],[No. of Shares]],0)</f>
        <v>94.453923254974399</v>
      </c>
      <c r="K1769" s="17">
        <f>IF(HistoricalStockProgress[[#This Row],[Total Price of Shares]]&lt;&gt;0,HistoricalStockProgress[[#This Row],[Total Price of Shares]]-HistoricalStockProgress[[#This Row],[Cost of Shares]],0)</f>
        <v>10956.65509757703</v>
      </c>
      <c r="L1769" s="34" t="b" cm="1">
        <f t="array" ref="L1769">IFERROR(IF(HistoricalStockProgress[[#This Row],[Price of Shares]]="",_xlfn.STOCKHISTORY(HistoricalStockProgress[[#This Row],[Full Company Name]],HistoricalStockProgress[[#This Row],[Date]],,2,0,1)),0)</f>
        <v>0</v>
      </c>
      <c r="M1769" s="34">
        <f>YEAR(HistoricalStockProgress[[#This Row],[Date]])</f>
        <v>2024</v>
      </c>
      <c r="N1769" s="34">
        <f>MONTH(HistoricalStockProgress[[#This Row],[Date]])</f>
        <v>5</v>
      </c>
    </row>
    <row r="1770" spans="2:14">
      <c r="B1770" s="15">
        <v>45443</v>
      </c>
      <c r="C1770" s="34" t="s">
        <v>106</v>
      </c>
      <c r="D1770" s="34" t="e" vm="20">
        <f>_xlfn.XLOOKUP(HistoricalStockProgress[[#This Row],[Company Ticker]],CompanyDetailsList[Company Ticker],CompanyDetailsList[Official Name],,0)</f>
        <v>#VALUE!</v>
      </c>
      <c r="E17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7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770" s="17">
        <f>IFERROR(HistoricalStockProgress[[#This Row],[Cost of Shares]]/HistoricalStockProgress[[#This Row],[No. of Shares]],0)</f>
        <v>108.54870748680406</v>
      </c>
      <c r="H1770" s="16" vm="2249">
        <v>131.41</v>
      </c>
      <c r="I1770" s="16">
        <f>IF(HistoricalStockProgress[[#This Row],[No. of Shares]]&lt;&gt;0,HistoricalStockProgress[[#This Row],[Price of Shares]]*HistoricalStockProgress[[#This Row],[No. of Shares]],0)</f>
        <v>11564.08</v>
      </c>
      <c r="J1770" s="16">
        <f>IF(HistoricalStockProgress[[#This Row],[No. of Shares]]&lt;&gt;0,HistoricalStockProgress[[#This Row],[Price of Shares]]-HistoricalStockProgress[[#This Row],[Cost of Shares]]/HistoricalStockProgress[[#This Row],[No. of Shares]],0)</f>
        <v>22.861292513195934</v>
      </c>
      <c r="K1770" s="17">
        <f>IF(HistoricalStockProgress[[#This Row],[Total Price of Shares]]&lt;&gt;0,HistoricalStockProgress[[#This Row],[Total Price of Shares]]-HistoricalStockProgress[[#This Row],[Cost of Shares]],0)</f>
        <v>2011.793741161242</v>
      </c>
      <c r="L1770" s="34" t="b" cm="1">
        <f t="array" ref="L1770">IFERROR(IF(HistoricalStockProgress[[#This Row],[Price of Shares]]="",_xlfn.STOCKHISTORY(HistoricalStockProgress[[#This Row],[Full Company Name]],HistoricalStockProgress[[#This Row],[Date]],,2,0,1)),0)</f>
        <v>0</v>
      </c>
      <c r="M1770" s="34">
        <f>YEAR(HistoricalStockProgress[[#This Row],[Date]])</f>
        <v>2024</v>
      </c>
      <c r="N1770" s="34">
        <f>MONTH(HistoricalStockProgress[[#This Row],[Date]])</f>
        <v>5</v>
      </c>
    </row>
    <row r="1771" spans="2:14">
      <c r="B1771" s="15">
        <v>45473</v>
      </c>
      <c r="C1771" s="34" t="s">
        <v>12</v>
      </c>
      <c r="D1771" s="34" t="e" vm="1">
        <f>_xlfn.XLOOKUP(HistoricalStockProgress[[#This Row],[Company Ticker]],CompanyDetailsList[Company Ticker],CompanyDetailsList[Official Name],,0)</f>
        <v>#VALUE!</v>
      </c>
      <c r="E17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7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771" s="17">
        <f>IFERROR(HistoricalStockProgress[[#This Row],[Cost of Shares]]/HistoricalStockProgress[[#This Row],[No. of Shares]],0)</f>
        <v>64.573985995316889</v>
      </c>
      <c r="H1771" s="16" vm="2250">
        <v>52.82</v>
      </c>
      <c r="I1771" s="16">
        <f>IF(HistoricalStockProgress[[#This Row],[No. of Shares]]&lt;&gt;0,HistoricalStockProgress[[#This Row],[Price of Shares]]*HistoricalStockProgress[[#This Row],[No. of Shares]],0)</f>
        <v>5123.54</v>
      </c>
      <c r="J1771" s="16">
        <f>IF(HistoricalStockProgress[[#This Row],[No. of Shares]]&lt;&gt;0,HistoricalStockProgress[[#This Row],[Price of Shares]]-HistoricalStockProgress[[#This Row],[Cost of Shares]]/HistoricalStockProgress[[#This Row],[No. of Shares]],0)</f>
        <v>-11.753985995316889</v>
      </c>
      <c r="K1771" s="17">
        <f>IF(HistoricalStockProgress[[#This Row],[Total Price of Shares]]&lt;&gt;0,HistoricalStockProgress[[#This Row],[Total Price of Shares]]-HistoricalStockProgress[[#This Row],[Cost of Shares]],0)</f>
        <v>-1140.1366415457378</v>
      </c>
      <c r="L1771" s="34" t="b" cm="1">
        <f t="array" ref="L1771">IFERROR(IF(HistoricalStockProgress[[#This Row],[Price of Shares]]="",_xlfn.STOCKHISTORY(HistoricalStockProgress[[#This Row],[Full Company Name]],HistoricalStockProgress[[#This Row],[Date]],,2,0,1)),0)</f>
        <v>0</v>
      </c>
      <c r="M1771" s="34">
        <f>YEAR(HistoricalStockProgress[[#This Row],[Date]])</f>
        <v>2024</v>
      </c>
      <c r="N1771" s="34">
        <f>MONTH(HistoricalStockProgress[[#This Row],[Date]])</f>
        <v>6</v>
      </c>
    </row>
    <row r="1772" spans="2:14">
      <c r="B1772" s="15">
        <v>45473</v>
      </c>
      <c r="C1772" s="34" t="s">
        <v>14</v>
      </c>
      <c r="D1772" s="34" t="e" vm="2">
        <f>_xlfn.XLOOKUP(HistoricalStockProgress[[#This Row],[Company Ticker]],CompanyDetailsList[Company Ticker],CompanyDetailsList[Official Name],,0)</f>
        <v>#VALUE!</v>
      </c>
      <c r="E17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17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1772" s="17">
        <f>IFERROR(HistoricalStockProgress[[#This Row],[Cost of Shares]]/HistoricalStockProgress[[#This Row],[No. of Shares]],0)</f>
        <v>26.819337355148658</v>
      </c>
      <c r="H1772" s="16" vm="2251">
        <v>24.69</v>
      </c>
      <c r="I1772" s="16">
        <f>IF(HistoricalStockProgress[[#This Row],[No. of Shares]]&lt;&gt;0,HistoricalStockProgress[[#This Row],[Price of Shares]]*HistoricalStockProgress[[#This Row],[No. of Shares]],0)</f>
        <v>1555.47</v>
      </c>
      <c r="J1772" s="16">
        <f>IF(HistoricalStockProgress[[#This Row],[No. of Shares]]&lt;&gt;0,HistoricalStockProgress[[#This Row],[Price of Shares]]-HistoricalStockProgress[[#This Row],[Cost of Shares]]/HistoricalStockProgress[[#This Row],[No. of Shares]],0)</f>
        <v>-2.1293373551486567</v>
      </c>
      <c r="K1772" s="17">
        <f>IF(HistoricalStockProgress[[#This Row],[Total Price of Shares]]&lt;&gt;0,HistoricalStockProgress[[#This Row],[Total Price of Shares]]-HistoricalStockProgress[[#This Row],[Cost of Shares]],0)</f>
        <v>-134.14825337436537</v>
      </c>
      <c r="L1772" s="34" t="b" cm="1">
        <f t="array" ref="L1772">IFERROR(IF(HistoricalStockProgress[[#This Row],[Price of Shares]]="",_xlfn.STOCKHISTORY(HistoricalStockProgress[[#This Row],[Full Company Name]],HistoricalStockProgress[[#This Row],[Date]],,2,0,1)),0)</f>
        <v>0</v>
      </c>
      <c r="M1772" s="34">
        <f>YEAR(HistoricalStockProgress[[#This Row],[Date]])</f>
        <v>2024</v>
      </c>
      <c r="N1772" s="34">
        <f>MONTH(HistoricalStockProgress[[#This Row],[Date]])</f>
        <v>6</v>
      </c>
    </row>
    <row r="1773" spans="2:14">
      <c r="B1773" s="15">
        <v>45473</v>
      </c>
      <c r="C1773" s="34" t="s">
        <v>19</v>
      </c>
      <c r="D1773" s="34" t="e" vm="3">
        <f>_xlfn.XLOOKUP(HistoricalStockProgress[[#This Row],[Company Ticker]],CompanyDetailsList[Company Ticker],CompanyDetailsList[Official Name],,0)</f>
        <v>#VALUE!</v>
      </c>
      <c r="E17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7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773" s="17">
        <f>IFERROR(HistoricalStockProgress[[#This Row],[Cost of Shares]]/HistoricalStockProgress[[#This Row],[No. of Shares]],0)</f>
        <v>158.45739987816083</v>
      </c>
      <c r="H1773" s="16" vm="2252">
        <v>136.47</v>
      </c>
      <c r="I1773" s="16">
        <f>IF(HistoricalStockProgress[[#This Row],[No. of Shares]]&lt;&gt;0,HistoricalStockProgress[[#This Row],[Price of Shares]]*HistoricalStockProgress[[#This Row],[No. of Shares]],0)</f>
        <v>7778.79</v>
      </c>
      <c r="J1773" s="16">
        <f>IF(HistoricalStockProgress[[#This Row],[No. of Shares]]&lt;&gt;0,HistoricalStockProgress[[#This Row],[Price of Shares]]-HistoricalStockProgress[[#This Row],[Cost of Shares]]/HistoricalStockProgress[[#This Row],[No. of Shares]],0)</f>
        <v>-21.987399878160829</v>
      </c>
      <c r="K1773" s="17">
        <f>IF(HistoricalStockProgress[[#This Row],[Total Price of Shares]]&lt;&gt;0,HistoricalStockProgress[[#This Row],[Total Price of Shares]]-HistoricalStockProgress[[#This Row],[Cost of Shares]],0)</f>
        <v>-1253.2817930551673</v>
      </c>
      <c r="L1773" s="34" t="b" cm="1">
        <f t="array" ref="L1773">IFERROR(IF(HistoricalStockProgress[[#This Row],[Price of Shares]]="",_xlfn.STOCKHISTORY(HistoricalStockProgress[[#This Row],[Full Company Name]],HistoricalStockProgress[[#This Row],[Date]],,2,0,1)),0)</f>
        <v>0</v>
      </c>
      <c r="M1773" s="34">
        <f>YEAR(HistoricalStockProgress[[#This Row],[Date]])</f>
        <v>2024</v>
      </c>
      <c r="N1773" s="34">
        <f>MONTH(HistoricalStockProgress[[#This Row],[Date]])</f>
        <v>6</v>
      </c>
    </row>
    <row r="1774" spans="2:14">
      <c r="B1774" s="15">
        <v>45473</v>
      </c>
      <c r="C1774" s="34" t="s">
        <v>23</v>
      </c>
      <c r="D1774" s="34" t="e" vm="4">
        <f>_xlfn.XLOOKUP(HistoricalStockProgress[[#This Row],[Company Ticker]],CompanyDetailsList[Company Ticker],CompanyDetailsList[Official Name],,0)</f>
        <v>#VALUE!</v>
      </c>
      <c r="E17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17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1774" s="17">
        <f>IFERROR(HistoricalStockProgress[[#This Row],[Cost of Shares]]/HistoricalStockProgress[[#This Row],[No. of Shares]],0)</f>
        <v>50.781277236510277</v>
      </c>
      <c r="H1774" s="16" vm="2253">
        <v>63.65</v>
      </c>
      <c r="I1774" s="16">
        <f>IF(HistoricalStockProgress[[#This Row],[No. of Shares]]&lt;&gt;0,HistoricalStockProgress[[#This Row],[Price of Shares]]*HistoricalStockProgress[[#This Row],[No. of Shares]],0)</f>
        <v>7447.05</v>
      </c>
      <c r="J1774" s="16">
        <f>IF(HistoricalStockProgress[[#This Row],[No. of Shares]]&lt;&gt;0,HistoricalStockProgress[[#This Row],[Price of Shares]]-HistoricalStockProgress[[#This Row],[Cost of Shares]]/HistoricalStockProgress[[#This Row],[No. of Shares]],0)</f>
        <v>12.868722763489721</v>
      </c>
      <c r="K1774" s="17">
        <f>IF(HistoricalStockProgress[[#This Row],[Total Price of Shares]]&lt;&gt;0,HistoricalStockProgress[[#This Row],[Total Price of Shares]]-HistoricalStockProgress[[#This Row],[Cost of Shares]],0)</f>
        <v>1505.6405633282975</v>
      </c>
      <c r="L1774" s="34" t="b" cm="1">
        <f t="array" ref="L1774">IFERROR(IF(HistoricalStockProgress[[#This Row],[Price of Shares]]="",_xlfn.STOCKHISTORY(HistoricalStockProgress[[#This Row],[Full Company Name]],HistoricalStockProgress[[#This Row],[Date]],,2,0,1)),0)</f>
        <v>0</v>
      </c>
      <c r="M1774" s="34">
        <f>YEAR(HistoricalStockProgress[[#This Row],[Date]])</f>
        <v>2024</v>
      </c>
      <c r="N1774" s="34">
        <f>MONTH(HistoricalStockProgress[[#This Row],[Date]])</f>
        <v>6</v>
      </c>
    </row>
    <row r="1775" spans="2:14">
      <c r="B1775" s="15">
        <v>45473</v>
      </c>
      <c r="C1775" s="34" t="s">
        <v>18</v>
      </c>
      <c r="D1775" s="34" t="e" vm="5">
        <f>_xlfn.XLOOKUP(HistoricalStockProgress[[#This Row],[Company Ticker]],CompanyDetailsList[Company Ticker],CompanyDetailsList[Official Name],,0)</f>
        <v>#VALUE!</v>
      </c>
      <c r="E17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7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775" s="17">
        <f>IFERROR(HistoricalStockProgress[[#This Row],[Cost of Shares]]/HistoricalStockProgress[[#This Row],[No. of Shares]],0)</f>
        <v>160.8859607546234</v>
      </c>
      <c r="H1775" s="16" vm="2254">
        <v>164.93</v>
      </c>
      <c r="I1775" s="16">
        <f>IF(HistoricalStockProgress[[#This Row],[No. of Shares]]&lt;&gt;0,HistoricalStockProgress[[#This Row],[Price of Shares]]*HistoricalStockProgress[[#This Row],[No. of Shares]],0)</f>
        <v>7091.9900000000007</v>
      </c>
      <c r="J1775" s="16">
        <f>IF(HistoricalStockProgress[[#This Row],[No. of Shares]]&lt;&gt;0,HistoricalStockProgress[[#This Row],[Price of Shares]]-HistoricalStockProgress[[#This Row],[Cost of Shares]]/HistoricalStockProgress[[#This Row],[No. of Shares]],0)</f>
        <v>4.0440392453766094</v>
      </c>
      <c r="K1775" s="17">
        <f>IF(HistoricalStockProgress[[#This Row],[Total Price of Shares]]&lt;&gt;0,HistoricalStockProgress[[#This Row],[Total Price of Shares]]-HistoricalStockProgress[[#This Row],[Cost of Shares]],0)</f>
        <v>173.89368755119449</v>
      </c>
      <c r="L1775" s="34" t="b" cm="1">
        <f t="array" ref="L1775">IFERROR(IF(HistoricalStockProgress[[#This Row],[Price of Shares]]="",_xlfn.STOCKHISTORY(HistoricalStockProgress[[#This Row],[Full Company Name]],HistoricalStockProgress[[#This Row],[Date]],,2,0,1)),0)</f>
        <v>0</v>
      </c>
      <c r="M1775" s="34">
        <f>YEAR(HistoricalStockProgress[[#This Row],[Date]])</f>
        <v>2024</v>
      </c>
      <c r="N1775" s="34">
        <f>MONTH(HistoricalStockProgress[[#This Row],[Date]])</f>
        <v>6</v>
      </c>
    </row>
    <row r="1776" spans="2:14">
      <c r="B1776" s="15">
        <v>45473</v>
      </c>
      <c r="C1776" s="34" t="s">
        <v>21</v>
      </c>
      <c r="D1776" s="34" t="e" vm="6">
        <f>_xlfn.XLOOKUP(HistoricalStockProgress[[#This Row],[Company Ticker]],CompanyDetailsList[Company Ticker],CompanyDetailsList[Official Name],,0)</f>
        <v>#VALUE!</v>
      </c>
      <c r="E17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7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776" s="17">
        <f>IFERROR(HistoricalStockProgress[[#This Row],[Cost of Shares]]/HistoricalStockProgress[[#This Row],[No. of Shares]],0)</f>
        <v>139.68700010204148</v>
      </c>
      <c r="H1776" s="16" vm="2255">
        <v>164.92</v>
      </c>
      <c r="I1776" s="16">
        <f>IF(HistoricalStockProgress[[#This Row],[No. of Shares]]&lt;&gt;0,HistoricalStockProgress[[#This Row],[Price of Shares]]*HistoricalStockProgress[[#This Row],[No. of Shares]],0)</f>
        <v>6926.6399999999994</v>
      </c>
      <c r="J1776" s="16">
        <f>IF(HistoricalStockProgress[[#This Row],[No. of Shares]]&lt;&gt;0,HistoricalStockProgress[[#This Row],[Price of Shares]]-HistoricalStockProgress[[#This Row],[Cost of Shares]]/HistoricalStockProgress[[#This Row],[No. of Shares]],0)</f>
        <v>25.232999897958507</v>
      </c>
      <c r="K1776" s="17">
        <f>IF(HistoricalStockProgress[[#This Row],[Total Price of Shares]]&lt;&gt;0,HistoricalStockProgress[[#This Row],[Total Price of Shares]]-HistoricalStockProgress[[#This Row],[Cost of Shares]],0)</f>
        <v>1059.7859957142573</v>
      </c>
      <c r="L1776" s="34" t="b" cm="1">
        <f t="array" ref="L1776">IFERROR(IF(HistoricalStockProgress[[#This Row],[Price of Shares]]="",_xlfn.STOCKHISTORY(HistoricalStockProgress[[#This Row],[Full Company Name]],HistoricalStockProgress[[#This Row],[Date]],,2,0,1)),0)</f>
        <v>0</v>
      </c>
      <c r="M1776" s="34">
        <f>YEAR(HistoricalStockProgress[[#This Row],[Date]])</f>
        <v>2024</v>
      </c>
      <c r="N1776" s="34">
        <f>MONTH(HistoricalStockProgress[[#This Row],[Date]])</f>
        <v>6</v>
      </c>
    </row>
    <row r="1777" spans="2:14">
      <c r="B1777" s="15">
        <v>45473</v>
      </c>
      <c r="C1777" s="34" t="s">
        <v>84</v>
      </c>
      <c r="D1777" s="34" t="e" vm="7">
        <f>_xlfn.XLOOKUP(HistoricalStockProgress[[#This Row],[Company Ticker]],CompanyDetailsList[Company Ticker],CompanyDetailsList[Official Name],,0)</f>
        <v>#VALUE!</v>
      </c>
      <c r="E17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7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777" s="17">
        <f>IFERROR(HistoricalStockProgress[[#This Row],[Cost of Shares]]/HistoricalStockProgress[[#This Row],[No. of Shares]],0)</f>
        <v>104.18087504950869</v>
      </c>
      <c r="H1777" s="16" vm="2256">
        <v>146.16</v>
      </c>
      <c r="I1777" s="16">
        <f>IF(HistoricalStockProgress[[#This Row],[No. of Shares]]&lt;&gt;0,HistoricalStockProgress[[#This Row],[Price of Shares]]*HistoricalStockProgress[[#This Row],[No. of Shares]],0)</f>
        <v>7454.16</v>
      </c>
      <c r="J1777" s="16">
        <f>IF(HistoricalStockProgress[[#This Row],[No. of Shares]]&lt;&gt;0,HistoricalStockProgress[[#This Row],[Price of Shares]]-HistoricalStockProgress[[#This Row],[Cost of Shares]]/HistoricalStockProgress[[#This Row],[No. of Shares]],0)</f>
        <v>41.979124950491311</v>
      </c>
      <c r="K1777" s="17">
        <f>IF(HistoricalStockProgress[[#This Row],[Total Price of Shares]]&lt;&gt;0,HistoricalStockProgress[[#This Row],[Total Price of Shares]]-HistoricalStockProgress[[#This Row],[Cost of Shares]],0)</f>
        <v>2140.9353724750572</v>
      </c>
      <c r="L1777" s="34" t="b" cm="1">
        <f t="array" ref="L1777">IFERROR(IF(HistoricalStockProgress[[#This Row],[Price of Shares]]="",_xlfn.STOCKHISTORY(HistoricalStockProgress[[#This Row],[Full Company Name]],HistoricalStockProgress[[#This Row],[Date]],,2,0,1)),0)</f>
        <v>0</v>
      </c>
      <c r="M1777" s="34">
        <f>YEAR(HistoricalStockProgress[[#This Row],[Date]])</f>
        <v>2024</v>
      </c>
      <c r="N1777" s="34">
        <f>MONTH(HistoricalStockProgress[[#This Row],[Date]])</f>
        <v>6</v>
      </c>
    </row>
    <row r="1778" spans="2:14">
      <c r="B1778" s="15">
        <v>45473</v>
      </c>
      <c r="C1778" s="34" t="s">
        <v>86</v>
      </c>
      <c r="D1778" s="34" t="e" vm="8">
        <f>_xlfn.XLOOKUP(HistoricalStockProgress[[#This Row],[Company Ticker]],CompanyDetailsList[Company Ticker],CompanyDetailsList[Official Name],,0)</f>
        <v>#VALUE!</v>
      </c>
      <c r="E17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120</v>
      </c>
      <c r="F17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11434.543004354886</v>
      </c>
      <c r="G1778" s="17">
        <f>IFERROR(HistoricalStockProgress[[#This Row],[Cost of Shares]]/HistoricalStockProgress[[#This Row],[No. of Shares]],0)</f>
        <v>95.287858369624047</v>
      </c>
      <c r="H1778" s="16" vm="2257">
        <v>171.52</v>
      </c>
      <c r="I1778" s="16">
        <f>IF(HistoricalStockProgress[[#This Row],[No. of Shares]]&lt;&gt;0,HistoricalStockProgress[[#This Row],[Price of Shares]]*HistoricalStockProgress[[#This Row],[No. of Shares]],0)</f>
        <v>20582.400000000001</v>
      </c>
      <c r="J1778" s="16">
        <f>IF(HistoricalStockProgress[[#This Row],[No. of Shares]]&lt;&gt;0,HistoricalStockProgress[[#This Row],[Price of Shares]]-HistoricalStockProgress[[#This Row],[Cost of Shares]]/HistoricalStockProgress[[#This Row],[No. of Shares]],0)</f>
        <v>76.232141630375963</v>
      </c>
      <c r="K1778" s="17">
        <f>IF(HistoricalStockProgress[[#This Row],[Total Price of Shares]]&lt;&gt;0,HistoricalStockProgress[[#This Row],[Total Price of Shares]]-HistoricalStockProgress[[#This Row],[Cost of Shares]],0)</f>
        <v>9147.8569956451156</v>
      </c>
      <c r="L1778" s="34" t="b" cm="1">
        <f t="array" ref="L1778">IFERROR(IF(HistoricalStockProgress[[#This Row],[Price of Shares]]="",_xlfn.STOCKHISTORY(HistoricalStockProgress[[#This Row],[Full Company Name]],HistoricalStockProgress[[#This Row],[Date]],,2,0,1)),0)</f>
        <v>0</v>
      </c>
      <c r="M1778" s="34">
        <f>YEAR(HistoricalStockProgress[[#This Row],[Date]])</f>
        <v>2024</v>
      </c>
      <c r="N1778" s="34">
        <f>MONTH(HistoricalStockProgress[[#This Row],[Date]])</f>
        <v>6</v>
      </c>
    </row>
    <row r="1779" spans="2:14">
      <c r="B1779" s="15">
        <v>45473</v>
      </c>
      <c r="C1779" s="34" t="s">
        <v>88</v>
      </c>
      <c r="D1779" s="34" t="e" vm="9">
        <f>_xlfn.XLOOKUP(HistoricalStockProgress[[#This Row],[Company Ticker]],CompanyDetailsList[Company Ticker],CompanyDetailsList[Official Name],,0)</f>
        <v>#VALUE!</v>
      </c>
      <c r="E17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17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1779" s="17">
        <f>IFERROR(HistoricalStockProgress[[#This Row],[Cost of Shares]]/HistoricalStockProgress[[#This Row],[No. of Shares]],0)</f>
        <v>224.7272684493652</v>
      </c>
      <c r="H1779" s="16" vm="2258">
        <v>254.84</v>
      </c>
      <c r="I1779" s="16">
        <f>IF(HistoricalStockProgress[[#This Row],[No. of Shares]]&lt;&gt;0,HistoricalStockProgress[[#This Row],[Price of Shares]]*HistoricalStockProgress[[#This Row],[No. of Shares]],0)</f>
        <v>24209.8</v>
      </c>
      <c r="J1779" s="16">
        <f>IF(HistoricalStockProgress[[#This Row],[No. of Shares]]&lt;&gt;0,HistoricalStockProgress[[#This Row],[Price of Shares]]-HistoricalStockProgress[[#This Row],[Cost of Shares]]/HistoricalStockProgress[[#This Row],[No. of Shares]],0)</f>
        <v>30.112731550634805</v>
      </c>
      <c r="K1779" s="17">
        <f>IF(HistoricalStockProgress[[#This Row],[Total Price of Shares]]&lt;&gt;0,HistoricalStockProgress[[#This Row],[Total Price of Shares]]-HistoricalStockProgress[[#This Row],[Cost of Shares]],0)</f>
        <v>2860.7094973103049</v>
      </c>
      <c r="L1779" s="34" t="b" cm="1">
        <f t="array" ref="L1779">IFERROR(IF(HistoricalStockProgress[[#This Row],[Price of Shares]]="",_xlfn.STOCKHISTORY(HistoricalStockProgress[[#This Row],[Full Company Name]],HistoricalStockProgress[[#This Row],[Date]],,2,0,1)),0)</f>
        <v>0</v>
      </c>
      <c r="M1779" s="34">
        <f>YEAR(HistoricalStockProgress[[#This Row],[Date]])</f>
        <v>2024</v>
      </c>
      <c r="N1779" s="34">
        <f>MONTH(HistoricalStockProgress[[#This Row],[Date]])</f>
        <v>6</v>
      </c>
    </row>
    <row r="1780" spans="2:14">
      <c r="B1780" s="15">
        <v>45473</v>
      </c>
      <c r="C1780" s="34" t="s">
        <v>22</v>
      </c>
      <c r="D1780" s="34" t="e" vm="10">
        <f>_xlfn.XLOOKUP(HistoricalStockProgress[[#This Row],[Company Ticker]],CompanyDetailsList[Company Ticker],CompanyDetailsList[Official Name],,0)</f>
        <v>#VALUE!</v>
      </c>
      <c r="E17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7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780" s="17">
        <f>IFERROR(HistoricalStockProgress[[#This Row],[Cost of Shares]]/HistoricalStockProgress[[#This Row],[No. of Shares]],0)</f>
        <v>130.19784136724968</v>
      </c>
      <c r="H1780" s="16" vm="2259">
        <v>333.1</v>
      </c>
      <c r="I1780" s="16">
        <f>IF(HistoricalStockProgress[[#This Row],[No. of Shares]]&lt;&gt;0,HistoricalStockProgress[[#This Row],[Price of Shares]]*HistoricalStockProgress[[#This Row],[No. of Shares]],0)</f>
        <v>39638.9</v>
      </c>
      <c r="J1780" s="16">
        <f>IF(HistoricalStockProgress[[#This Row],[No. of Shares]]&lt;&gt;0,HistoricalStockProgress[[#This Row],[Price of Shares]]-HistoricalStockProgress[[#This Row],[Cost of Shares]]/HistoricalStockProgress[[#This Row],[No. of Shares]],0)</f>
        <v>202.90215863275034</v>
      </c>
      <c r="K1780" s="17">
        <f>IF(HistoricalStockProgress[[#This Row],[Total Price of Shares]]&lt;&gt;0,HistoricalStockProgress[[#This Row],[Total Price of Shares]]-HistoricalStockProgress[[#This Row],[Cost of Shares]],0)</f>
        <v>24145.356877297287</v>
      </c>
      <c r="L1780" s="34" t="b" cm="1">
        <f t="array" ref="L1780">IFERROR(IF(HistoricalStockProgress[[#This Row],[Price of Shares]]="",_xlfn.STOCKHISTORY(HistoricalStockProgress[[#This Row],[Full Company Name]],HistoricalStockProgress[[#This Row],[Date]],,2,0,1)),0)</f>
        <v>0</v>
      </c>
      <c r="M1780" s="34">
        <f>YEAR(HistoricalStockProgress[[#This Row],[Date]])</f>
        <v>2024</v>
      </c>
      <c r="N1780" s="34">
        <f>MONTH(HistoricalStockProgress[[#This Row],[Date]])</f>
        <v>6</v>
      </c>
    </row>
    <row r="1781" spans="2:14">
      <c r="B1781" s="15">
        <v>45473</v>
      </c>
      <c r="C1781" s="34" t="s">
        <v>91</v>
      </c>
      <c r="D1781" s="34" t="e" vm="11">
        <f>_xlfn.XLOOKUP(HistoricalStockProgress[[#This Row],[Company Ticker]],CompanyDetailsList[Company Ticker],CompanyDetailsList[Official Name],,0)</f>
        <v>#VALUE!</v>
      </c>
      <c r="E17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7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781" s="17">
        <f>IFERROR(HistoricalStockProgress[[#This Row],[Cost of Shares]]/HistoricalStockProgress[[#This Row],[No. of Shares]],0)</f>
        <v>133.15744058830452</v>
      </c>
      <c r="H1781" s="16" vm="2260">
        <v>446.95</v>
      </c>
      <c r="I1781" s="16">
        <f>IF(HistoricalStockProgress[[#This Row],[No. of Shares]]&lt;&gt;0,HistoricalStockProgress[[#This Row],[Price of Shares]]*HistoricalStockProgress[[#This Row],[No. of Shares]],0)</f>
        <v>81791.849999999991</v>
      </c>
      <c r="J1781" s="16">
        <f>IF(HistoricalStockProgress[[#This Row],[No. of Shares]]&lt;&gt;0,HistoricalStockProgress[[#This Row],[Price of Shares]]-HistoricalStockProgress[[#This Row],[Cost of Shares]]/HistoricalStockProgress[[#This Row],[No. of Shares]],0)</f>
        <v>313.79255941169549</v>
      </c>
      <c r="K1781" s="17">
        <f>IF(HistoricalStockProgress[[#This Row],[Total Price of Shares]]&lt;&gt;0,HistoricalStockProgress[[#This Row],[Total Price of Shares]]-HistoricalStockProgress[[#This Row],[Cost of Shares]],0)</f>
        <v>57424.038372340263</v>
      </c>
      <c r="L1781" s="34" t="b" cm="1">
        <f t="array" ref="L1781">IFERROR(IF(HistoricalStockProgress[[#This Row],[Price of Shares]]="",_xlfn.STOCKHISTORY(HistoricalStockProgress[[#This Row],[Full Company Name]],HistoricalStockProgress[[#This Row],[Date]],,2,0,1)),0)</f>
        <v>0</v>
      </c>
      <c r="M1781" s="34">
        <f>YEAR(HistoricalStockProgress[[#This Row],[Date]])</f>
        <v>2024</v>
      </c>
      <c r="N1781" s="34">
        <f>MONTH(HistoricalStockProgress[[#This Row],[Date]])</f>
        <v>6</v>
      </c>
    </row>
    <row r="1782" spans="2:14">
      <c r="B1782" s="15">
        <v>45473</v>
      </c>
      <c r="C1782" s="34" t="s">
        <v>16</v>
      </c>
      <c r="D1782" s="34" t="e" vm="12">
        <f>_xlfn.XLOOKUP(HistoricalStockProgress[[#This Row],[Company Ticker]],CompanyDetailsList[Company Ticker],CompanyDetailsList[Official Name],,0)</f>
        <v>#VALUE!</v>
      </c>
      <c r="E17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7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782" s="17">
        <f>IFERROR(HistoricalStockProgress[[#This Row],[Cost of Shares]]/HistoricalStockProgress[[#This Row],[No. of Shares]],0)</f>
        <v>75.117698177311837</v>
      </c>
      <c r="H1782" s="16" vm="2261">
        <v>115.12</v>
      </c>
      <c r="I1782" s="16">
        <f>IF(HistoricalStockProgress[[#This Row],[No. of Shares]]&lt;&gt;0,HistoricalStockProgress[[#This Row],[Price of Shares]]*HistoricalStockProgress[[#This Row],[No. of Shares]],0)</f>
        <v>21297.200000000001</v>
      </c>
      <c r="J1782" s="16">
        <f>IF(HistoricalStockProgress[[#This Row],[No. of Shares]]&lt;&gt;0,HistoricalStockProgress[[#This Row],[Price of Shares]]-HistoricalStockProgress[[#This Row],[Cost of Shares]]/HistoricalStockProgress[[#This Row],[No. of Shares]],0)</f>
        <v>40.002301822688167</v>
      </c>
      <c r="K1782" s="17">
        <f>IF(HistoricalStockProgress[[#This Row],[Total Price of Shares]]&lt;&gt;0,HistoricalStockProgress[[#This Row],[Total Price of Shares]]-HistoricalStockProgress[[#This Row],[Cost of Shares]],0)</f>
        <v>7400.4258371973119</v>
      </c>
      <c r="L1782" s="34" t="b" cm="1">
        <f t="array" ref="L1782">IFERROR(IF(HistoricalStockProgress[[#This Row],[Price of Shares]]="",_xlfn.STOCKHISTORY(HistoricalStockProgress[[#This Row],[Full Company Name]],HistoricalStockProgress[[#This Row],[Date]],,2,0,1)),0)</f>
        <v>0</v>
      </c>
      <c r="M1782" s="34">
        <f>YEAR(HistoricalStockProgress[[#This Row],[Date]])</f>
        <v>2024</v>
      </c>
      <c r="N1782" s="34">
        <f>MONTH(HistoricalStockProgress[[#This Row],[Date]])</f>
        <v>6</v>
      </c>
    </row>
    <row r="1783" spans="2:14">
      <c r="B1783" s="15">
        <v>45473</v>
      </c>
      <c r="C1783" s="34" t="s">
        <v>95</v>
      </c>
      <c r="D1783" s="34" t="e" vm="13">
        <f>_xlfn.XLOOKUP(HistoricalStockProgress[[#This Row],[Company Ticker]],CompanyDetailsList[Company Ticker],CompanyDetailsList[Official Name],,0)</f>
        <v>#VALUE!</v>
      </c>
      <c r="E17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143</v>
      </c>
      <c r="F17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35362.550411645469</v>
      </c>
      <c r="G1783" s="17">
        <f>IFERROR(HistoricalStockProgress[[#This Row],[Cost of Shares]]/HistoricalStockProgress[[#This Row],[No. of Shares]],0)</f>
        <v>247.29056231919907</v>
      </c>
      <c r="H1783" s="16" vm="2262">
        <v>344.24</v>
      </c>
      <c r="I1783" s="16">
        <f>IF(HistoricalStockProgress[[#This Row],[No. of Shares]]&lt;&gt;0,HistoricalStockProgress[[#This Row],[Price of Shares]]*HistoricalStockProgress[[#This Row],[No. of Shares]],0)</f>
        <v>49226.32</v>
      </c>
      <c r="J1783" s="16">
        <f>IF(HistoricalStockProgress[[#This Row],[No. of Shares]]&lt;&gt;0,HistoricalStockProgress[[#This Row],[Price of Shares]]-HistoricalStockProgress[[#This Row],[Cost of Shares]]/HistoricalStockProgress[[#This Row],[No. of Shares]],0)</f>
        <v>96.949437680800941</v>
      </c>
      <c r="K1783" s="17">
        <f>IF(HistoricalStockProgress[[#This Row],[Total Price of Shares]]&lt;&gt;0,HistoricalStockProgress[[#This Row],[Total Price of Shares]]-HistoricalStockProgress[[#This Row],[Cost of Shares]],0)</f>
        <v>13863.769588354531</v>
      </c>
      <c r="L1783" s="34" t="b" cm="1">
        <f t="array" ref="L1783">IFERROR(IF(HistoricalStockProgress[[#This Row],[Price of Shares]]="",_xlfn.STOCKHISTORY(HistoricalStockProgress[[#This Row],[Full Company Name]],HistoricalStockProgress[[#This Row],[Date]],,2,0,1)),0)</f>
        <v>0</v>
      </c>
      <c r="M1783" s="34">
        <f>YEAR(HistoricalStockProgress[[#This Row],[Date]])</f>
        <v>2024</v>
      </c>
      <c r="N1783" s="34">
        <f>MONTH(HistoricalStockProgress[[#This Row],[Date]])</f>
        <v>6</v>
      </c>
    </row>
    <row r="1784" spans="2:14">
      <c r="B1784" s="15">
        <v>45473</v>
      </c>
      <c r="C1784" s="34" t="s">
        <v>17</v>
      </c>
      <c r="D1784" s="34" t="e" vm="14">
        <f>_xlfn.XLOOKUP(HistoricalStockProgress[[#This Row],[Company Ticker]],CompanyDetailsList[Company Ticker],CompanyDetailsList[Official Name],,0)</f>
        <v>#VALUE!</v>
      </c>
      <c r="E17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207</v>
      </c>
      <c r="F17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28893.973938735588</v>
      </c>
      <c r="G1784" s="17">
        <f>IFERROR(HistoricalStockProgress[[#This Row],[Cost of Shares]]/HistoricalStockProgress[[#This Row],[No. of Shares]],0)</f>
        <v>139.58441516297384</v>
      </c>
      <c r="H1784" s="16" vm="2263">
        <v>172.95</v>
      </c>
      <c r="I1784" s="16">
        <f>IF(HistoricalStockProgress[[#This Row],[No. of Shares]]&lt;&gt;0,HistoricalStockProgress[[#This Row],[Price of Shares]]*HistoricalStockProgress[[#This Row],[No. of Shares]],0)</f>
        <v>35800.649999999994</v>
      </c>
      <c r="J1784" s="16">
        <f>IF(HistoricalStockProgress[[#This Row],[No. of Shares]]&lt;&gt;0,HistoricalStockProgress[[#This Row],[Price of Shares]]-HistoricalStockProgress[[#This Row],[Cost of Shares]]/HistoricalStockProgress[[#This Row],[No. of Shares]],0)</f>
        <v>33.365584837026148</v>
      </c>
      <c r="K1784" s="17">
        <f>IF(HistoricalStockProgress[[#This Row],[Total Price of Shares]]&lt;&gt;0,HistoricalStockProgress[[#This Row],[Total Price of Shares]]-HistoricalStockProgress[[#This Row],[Cost of Shares]],0)</f>
        <v>6906.6760612644066</v>
      </c>
      <c r="L1784" s="34" t="b" cm="1">
        <f t="array" ref="L1784">IFERROR(IF(HistoricalStockProgress[[#This Row],[Price of Shares]]="",_xlfn.STOCKHISTORY(HistoricalStockProgress[[#This Row],[Full Company Name]],HistoricalStockProgress[[#This Row],[Date]],,2,0,1)),0)</f>
        <v>0</v>
      </c>
      <c r="M1784" s="34">
        <f>YEAR(HistoricalStockProgress[[#This Row],[Date]])</f>
        <v>2024</v>
      </c>
      <c r="N1784" s="34">
        <f>MONTH(HistoricalStockProgress[[#This Row],[Date]])</f>
        <v>6</v>
      </c>
    </row>
    <row r="1785" spans="2:14">
      <c r="B1785" s="15">
        <v>45473</v>
      </c>
      <c r="C1785" s="34" t="s">
        <v>98</v>
      </c>
      <c r="D1785" s="34" t="e" vm="15">
        <f>_xlfn.XLOOKUP(HistoricalStockProgress[[#This Row],[Company Ticker]],CompanyDetailsList[Company Ticker],CompanyDetailsList[Official Name],,0)</f>
        <v>#VALUE!</v>
      </c>
      <c r="E17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17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8175.3025483037236</v>
      </c>
      <c r="G1785" s="17">
        <f>IFERROR(HistoricalStockProgress[[#This Row],[Cost of Shares]]/HistoricalStockProgress[[#This Row],[No. of Shares]],0)</f>
        <v>55.995222933587151</v>
      </c>
      <c r="H1785" s="16" vm="2264">
        <v>70.81</v>
      </c>
      <c r="I1785" s="16">
        <f>IF(HistoricalStockProgress[[#This Row],[No. of Shares]]&lt;&gt;0,HistoricalStockProgress[[#This Row],[Price of Shares]]*HistoricalStockProgress[[#This Row],[No. of Shares]],0)</f>
        <v>10338.26</v>
      </c>
      <c r="J1785" s="16">
        <f>IF(HistoricalStockProgress[[#This Row],[No. of Shares]]&lt;&gt;0,HistoricalStockProgress[[#This Row],[Price of Shares]]-HistoricalStockProgress[[#This Row],[Cost of Shares]]/HistoricalStockProgress[[#This Row],[No. of Shares]],0)</f>
        <v>14.814777066412852</v>
      </c>
      <c r="K1785" s="17">
        <f>IF(HistoricalStockProgress[[#This Row],[Total Price of Shares]]&lt;&gt;0,HistoricalStockProgress[[#This Row],[Total Price of Shares]]-HistoricalStockProgress[[#This Row],[Cost of Shares]],0)</f>
        <v>2162.9574516962766</v>
      </c>
      <c r="L1785" s="34" t="b" cm="1">
        <f t="array" ref="L1785">IFERROR(IF(HistoricalStockProgress[[#This Row],[Price of Shares]]="",_xlfn.STOCKHISTORY(HistoricalStockProgress[[#This Row],[Full Company Name]],HistoricalStockProgress[[#This Row],[Date]],,2,0,1)),0)</f>
        <v>0</v>
      </c>
      <c r="M1785" s="34">
        <f>YEAR(HistoricalStockProgress[[#This Row],[Date]])</f>
        <v>2024</v>
      </c>
      <c r="N1785" s="34">
        <f>MONTH(HistoricalStockProgress[[#This Row],[Date]])</f>
        <v>6</v>
      </c>
    </row>
    <row r="1786" spans="2:14">
      <c r="B1786" s="15">
        <v>45473</v>
      </c>
      <c r="C1786" s="34" t="s">
        <v>100</v>
      </c>
      <c r="D1786" s="34" t="e" vm="16">
        <f>_xlfn.XLOOKUP(HistoricalStockProgress[[#This Row],[Company Ticker]],CompanyDetailsList[Company Ticker],CompanyDetailsList[Official Name],,0)</f>
        <v>#VALUE!</v>
      </c>
      <c r="E17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17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1786" s="17">
        <f>IFERROR(HistoricalStockProgress[[#This Row],[Cost of Shares]]/HistoricalStockProgress[[#This Row],[No. of Shares]],0)</f>
        <v>92.156351168716071</v>
      </c>
      <c r="H1786" s="16" vm="2265">
        <v>100.23</v>
      </c>
      <c r="I1786" s="16">
        <f>IF(HistoricalStockProgress[[#This Row],[No. of Shares]]&lt;&gt;0,HistoricalStockProgress[[#This Row],[Price of Shares]]*HistoricalStockProgress[[#This Row],[No. of Shares]],0)</f>
        <v>25057.5</v>
      </c>
      <c r="J1786" s="16">
        <f>IF(HistoricalStockProgress[[#This Row],[No. of Shares]]&lt;&gt;0,HistoricalStockProgress[[#This Row],[Price of Shares]]-HistoricalStockProgress[[#This Row],[Cost of Shares]]/HistoricalStockProgress[[#This Row],[No. of Shares]],0)</f>
        <v>8.0736488312839327</v>
      </c>
      <c r="K1786" s="17">
        <f>IF(HistoricalStockProgress[[#This Row],[Total Price of Shares]]&lt;&gt;0,HistoricalStockProgress[[#This Row],[Total Price of Shares]]-HistoricalStockProgress[[#This Row],[Cost of Shares]],0)</f>
        <v>2018.4122078209839</v>
      </c>
      <c r="L1786" s="34" t="b" cm="1">
        <f t="array" ref="L1786">IFERROR(IF(HistoricalStockProgress[[#This Row],[Price of Shares]]="",_xlfn.STOCKHISTORY(HistoricalStockProgress[[#This Row],[Full Company Name]],HistoricalStockProgress[[#This Row],[Date]],,2,0,1)),0)</f>
        <v>0</v>
      </c>
      <c r="M1786" s="34">
        <f>YEAR(HistoricalStockProgress[[#This Row],[Date]])</f>
        <v>2024</v>
      </c>
      <c r="N1786" s="34">
        <f>MONTH(HistoricalStockProgress[[#This Row],[Date]])</f>
        <v>6</v>
      </c>
    </row>
    <row r="1787" spans="2:14">
      <c r="B1787" s="15">
        <v>45473</v>
      </c>
      <c r="C1787" s="34" t="s">
        <v>15</v>
      </c>
      <c r="D1787" s="34" t="e" vm="17">
        <f>_xlfn.XLOOKUP(HistoricalStockProgress[[#This Row],[Company Ticker]],CompanyDetailsList[Company Ticker],CompanyDetailsList[Official Name],,0)</f>
        <v>#VALUE!</v>
      </c>
      <c r="E17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133</v>
      </c>
      <c r="F17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3377.7842958499027</v>
      </c>
      <c r="G1787" s="17">
        <f>IFERROR(HistoricalStockProgress[[#This Row],[Cost of Shares]]/HistoricalStockProgress[[#This Row],[No. of Shares]],0)</f>
        <v>25.396874404886486</v>
      </c>
      <c r="H1787" s="16" vm="2266">
        <v>19.11</v>
      </c>
      <c r="I1787" s="16">
        <f>IF(HistoricalStockProgress[[#This Row],[No. of Shares]]&lt;&gt;0,HistoricalStockProgress[[#This Row],[Price of Shares]]*HistoricalStockProgress[[#This Row],[No. of Shares]],0)</f>
        <v>2541.63</v>
      </c>
      <c r="J1787" s="16">
        <f>IF(HistoricalStockProgress[[#This Row],[No. of Shares]]&lt;&gt;0,HistoricalStockProgress[[#This Row],[Price of Shares]]-HistoricalStockProgress[[#This Row],[Cost of Shares]]/HistoricalStockProgress[[#This Row],[No. of Shares]],0)</f>
        <v>-6.2868744048864862</v>
      </c>
      <c r="K1787" s="17">
        <f>IF(HistoricalStockProgress[[#This Row],[Total Price of Shares]]&lt;&gt;0,HistoricalStockProgress[[#This Row],[Total Price of Shares]]-HistoricalStockProgress[[#This Row],[Cost of Shares]],0)</f>
        <v>-836.15429584990261</v>
      </c>
      <c r="L1787" s="34" t="b" cm="1">
        <f t="array" ref="L1787">IFERROR(IF(HistoricalStockProgress[[#This Row],[Price of Shares]]="",_xlfn.STOCKHISTORY(HistoricalStockProgress[[#This Row],[Full Company Name]],HistoricalStockProgress[[#This Row],[Date]],,2,0,1)),0)</f>
        <v>0</v>
      </c>
      <c r="M1787" s="34">
        <f>YEAR(HistoricalStockProgress[[#This Row],[Date]])</f>
        <v>2024</v>
      </c>
      <c r="N1787" s="34">
        <f>MONTH(HistoricalStockProgress[[#This Row],[Date]])</f>
        <v>6</v>
      </c>
    </row>
    <row r="1788" spans="2:14">
      <c r="B1788" s="15">
        <v>45473</v>
      </c>
      <c r="C1788" s="34" t="s">
        <v>13</v>
      </c>
      <c r="D1788" s="34" t="e" vm="18">
        <f>_xlfn.XLOOKUP(HistoricalStockProgress[[#This Row],[Company Ticker]],CompanyDetailsList[Company Ticker],CompanyDetailsList[Official Name],,0)</f>
        <v>#VALUE!</v>
      </c>
      <c r="E17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70</v>
      </c>
      <c r="F17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2391.5648840965155</v>
      </c>
      <c r="G1788" s="17">
        <f>IFERROR(HistoricalStockProgress[[#This Row],[Cost of Shares]]/HistoricalStockProgress[[#This Row],[No. of Shares]],0)</f>
        <v>34.165212629950219</v>
      </c>
      <c r="H1788" s="16" vm="2267">
        <v>27.98</v>
      </c>
      <c r="I1788" s="16">
        <f>IF(HistoricalStockProgress[[#This Row],[No. of Shares]]&lt;&gt;0,HistoricalStockProgress[[#This Row],[Price of Shares]]*HistoricalStockProgress[[#This Row],[No. of Shares]],0)</f>
        <v>1958.6000000000001</v>
      </c>
      <c r="J1788" s="16">
        <f>IF(HistoricalStockProgress[[#This Row],[No. of Shares]]&lt;&gt;0,HistoricalStockProgress[[#This Row],[Price of Shares]]-HistoricalStockProgress[[#This Row],[Cost of Shares]]/HistoricalStockProgress[[#This Row],[No. of Shares]],0)</f>
        <v>-6.1852126299502181</v>
      </c>
      <c r="K1788" s="17">
        <f>IF(HistoricalStockProgress[[#This Row],[Total Price of Shares]]&lt;&gt;0,HistoricalStockProgress[[#This Row],[Total Price of Shares]]-HistoricalStockProgress[[#This Row],[Cost of Shares]],0)</f>
        <v>-432.96488409651533</v>
      </c>
      <c r="L1788" s="34" t="b" cm="1">
        <f t="array" ref="L1788">IFERROR(IF(HistoricalStockProgress[[#This Row],[Price of Shares]]="",_xlfn.STOCKHISTORY(HistoricalStockProgress[[#This Row],[Full Company Name]],HistoricalStockProgress[[#This Row],[Date]],,2,0,1)),0)</f>
        <v>0</v>
      </c>
      <c r="M1788" s="34">
        <f>YEAR(HistoricalStockProgress[[#This Row],[Date]])</f>
        <v>2024</v>
      </c>
      <c r="N1788" s="34">
        <f>MONTH(HistoricalStockProgress[[#This Row],[Date]])</f>
        <v>6</v>
      </c>
    </row>
    <row r="1789" spans="2:14">
      <c r="B1789" s="15">
        <v>45473</v>
      </c>
      <c r="C1789" s="34" t="s">
        <v>20</v>
      </c>
      <c r="D1789" s="34" t="e" vm="19">
        <f>_xlfn.XLOOKUP(HistoricalStockProgress[[#This Row],[Company Ticker]],CompanyDetailsList[Company Ticker],CompanyDetailsList[Official Name],,0)</f>
        <v>#VALUE!</v>
      </c>
      <c r="E17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7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789" s="17">
        <f>IFERROR(HistoricalStockProgress[[#This Row],[Cost of Shares]]/HistoricalStockProgress[[#This Row],[No. of Shares]],0)</f>
        <v>108.1760767450256</v>
      </c>
      <c r="H1789" s="16" vm="2268">
        <v>202.26</v>
      </c>
      <c r="I1789" s="16">
        <f>IF(HistoricalStockProgress[[#This Row],[No. of Shares]]&lt;&gt;0,HistoricalStockProgress[[#This Row],[Price of Shares]]*HistoricalStockProgress[[#This Row],[No. of Shares]],0)</f>
        <v>23462.16</v>
      </c>
      <c r="J1789" s="16">
        <f>IF(HistoricalStockProgress[[#This Row],[No. of Shares]]&lt;&gt;0,HistoricalStockProgress[[#This Row],[Price of Shares]]-HistoricalStockProgress[[#This Row],[Cost of Shares]]/HistoricalStockProgress[[#This Row],[No. of Shares]],0)</f>
        <v>94.083923254974394</v>
      </c>
      <c r="K1789" s="17">
        <f>IF(HistoricalStockProgress[[#This Row],[Total Price of Shares]]&lt;&gt;0,HistoricalStockProgress[[#This Row],[Total Price of Shares]]-HistoricalStockProgress[[#This Row],[Cost of Shares]],0)</f>
        <v>10913.735097577031</v>
      </c>
      <c r="L1789" s="34" t="b" cm="1">
        <f t="array" ref="L1789">IFERROR(IF(HistoricalStockProgress[[#This Row],[Price of Shares]]="",_xlfn.STOCKHISTORY(HistoricalStockProgress[[#This Row],[Full Company Name]],HistoricalStockProgress[[#This Row],[Date]],,2,0,1)),0)</f>
        <v>0</v>
      </c>
      <c r="M1789" s="34">
        <f>YEAR(HistoricalStockProgress[[#This Row],[Date]])</f>
        <v>2024</v>
      </c>
      <c r="N1789" s="34">
        <f>MONTH(HistoricalStockProgress[[#This Row],[Date]])</f>
        <v>6</v>
      </c>
    </row>
    <row r="1790" spans="2:14">
      <c r="B1790" s="15">
        <v>45473</v>
      </c>
      <c r="C1790" s="34" t="s">
        <v>106</v>
      </c>
      <c r="D1790" s="34" t="e" vm="20">
        <f>_xlfn.XLOOKUP(HistoricalStockProgress[[#This Row],[Company Ticker]],CompanyDetailsList[Company Ticker],CompanyDetailsList[Official Name],,0)</f>
        <v>#VALUE!</v>
      </c>
      <c r="E17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7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790" s="17">
        <f>IFERROR(HistoricalStockProgress[[#This Row],[Cost of Shares]]/HistoricalStockProgress[[#This Row],[No. of Shares]],0)</f>
        <v>108.54870748680406</v>
      </c>
      <c r="H1790" s="16" vm="2269">
        <v>125.89</v>
      </c>
      <c r="I1790" s="16">
        <f>IF(HistoricalStockProgress[[#This Row],[No. of Shares]]&lt;&gt;0,HistoricalStockProgress[[#This Row],[Price of Shares]]*HistoricalStockProgress[[#This Row],[No. of Shares]],0)</f>
        <v>11078.32</v>
      </c>
      <c r="J1790" s="16">
        <f>IF(HistoricalStockProgress[[#This Row],[No. of Shares]]&lt;&gt;0,HistoricalStockProgress[[#This Row],[Price of Shares]]-HistoricalStockProgress[[#This Row],[Cost of Shares]]/HistoricalStockProgress[[#This Row],[No. of Shares]],0)</f>
        <v>17.341292513195938</v>
      </c>
      <c r="K1790" s="17">
        <f>IF(HistoricalStockProgress[[#This Row],[Total Price of Shares]]&lt;&gt;0,HistoricalStockProgress[[#This Row],[Total Price of Shares]]-HistoricalStockProgress[[#This Row],[Cost of Shares]],0)</f>
        <v>1526.0337411612418</v>
      </c>
      <c r="L1790" s="34" t="b" cm="1">
        <f t="array" ref="L1790">IFERROR(IF(HistoricalStockProgress[[#This Row],[Price of Shares]]="",_xlfn.STOCKHISTORY(HistoricalStockProgress[[#This Row],[Full Company Name]],HistoricalStockProgress[[#This Row],[Date]],,2,0,1)),0)</f>
        <v>0</v>
      </c>
      <c r="M1790" s="34">
        <f>YEAR(HistoricalStockProgress[[#This Row],[Date]])</f>
        <v>2024</v>
      </c>
      <c r="N1790" s="34">
        <f>MONTH(HistoricalStockProgress[[#This Row],[Date]])</f>
        <v>6</v>
      </c>
    </row>
    <row r="1791" spans="2:14">
      <c r="B1791" s="15">
        <v>45504</v>
      </c>
      <c r="C1791" s="34" t="s">
        <v>12</v>
      </c>
      <c r="D1791" s="34" t="e" vm="1">
        <f>_xlfn.XLOOKUP(HistoricalStockProgress[[#This Row],[Company Ticker]],CompanyDetailsList[Company Ticker],CompanyDetailsList[Official Name],,0)</f>
        <v>#VALUE!</v>
      </c>
      <c r="E17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7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791" s="17">
        <f>IFERROR(HistoricalStockProgress[[#This Row],[Cost of Shares]]/HistoricalStockProgress[[#This Row],[No. of Shares]],0)</f>
        <v>64.573985995316889</v>
      </c>
      <c r="H1791" s="16" vm="2270">
        <v>57.43</v>
      </c>
      <c r="I1791" s="16">
        <f>IF(HistoricalStockProgress[[#This Row],[No. of Shares]]&lt;&gt;0,HistoricalStockProgress[[#This Row],[Price of Shares]]*HistoricalStockProgress[[#This Row],[No. of Shares]],0)</f>
        <v>5570.71</v>
      </c>
      <c r="J1791" s="16">
        <f>IF(HistoricalStockProgress[[#This Row],[No. of Shares]]&lt;&gt;0,HistoricalStockProgress[[#This Row],[Price of Shares]]-HistoricalStockProgress[[#This Row],[Cost of Shares]]/HistoricalStockProgress[[#This Row],[No. of Shares]],0)</f>
        <v>-7.1439859953168892</v>
      </c>
      <c r="K1791" s="17">
        <f>IF(HistoricalStockProgress[[#This Row],[Total Price of Shares]]&lt;&gt;0,HistoricalStockProgress[[#This Row],[Total Price of Shares]]-HistoricalStockProgress[[#This Row],[Cost of Shares]],0)</f>
        <v>-692.96664154573773</v>
      </c>
      <c r="L1791" s="34" t="b" cm="1">
        <f t="array" ref="L1791">IFERROR(IF(HistoricalStockProgress[[#This Row],[Price of Shares]]="",_xlfn.STOCKHISTORY(HistoricalStockProgress[[#This Row],[Full Company Name]],HistoricalStockProgress[[#This Row],[Date]],,2,0,1)),0)</f>
        <v>0</v>
      </c>
      <c r="M1791" s="34">
        <f>YEAR(HistoricalStockProgress[[#This Row],[Date]])</f>
        <v>2024</v>
      </c>
      <c r="N1791" s="34">
        <f>MONTH(HistoricalStockProgress[[#This Row],[Date]])</f>
        <v>7</v>
      </c>
    </row>
    <row r="1792" spans="2:14">
      <c r="B1792" s="15">
        <v>45504</v>
      </c>
      <c r="C1792" s="34" t="s">
        <v>14</v>
      </c>
      <c r="D1792" s="34" t="e" vm="2">
        <f>_xlfn.XLOOKUP(HistoricalStockProgress[[#This Row],[Company Ticker]],CompanyDetailsList[Company Ticker],CompanyDetailsList[Official Name],,0)</f>
        <v>#VALUE!</v>
      </c>
      <c r="E17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17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1792" s="17">
        <f>IFERROR(HistoricalStockProgress[[#This Row],[Cost of Shares]]/HistoricalStockProgress[[#This Row],[No. of Shares]],0)</f>
        <v>26.819337355148658</v>
      </c>
      <c r="H1792" s="16" vm="2271">
        <v>26.68</v>
      </c>
      <c r="I1792" s="16">
        <f>IF(HistoricalStockProgress[[#This Row],[No. of Shares]]&lt;&gt;0,HistoricalStockProgress[[#This Row],[Price of Shares]]*HistoricalStockProgress[[#This Row],[No. of Shares]],0)</f>
        <v>1680.84</v>
      </c>
      <c r="J1792" s="16">
        <f>IF(HistoricalStockProgress[[#This Row],[No. of Shares]]&lt;&gt;0,HistoricalStockProgress[[#This Row],[Price of Shares]]-HistoricalStockProgress[[#This Row],[Cost of Shares]]/HistoricalStockProgress[[#This Row],[No. of Shares]],0)</f>
        <v>-0.1393373551486583</v>
      </c>
      <c r="K1792" s="17">
        <f>IF(HistoricalStockProgress[[#This Row],[Total Price of Shares]]&lt;&gt;0,HistoricalStockProgress[[#This Row],[Total Price of Shares]]-HistoricalStockProgress[[#This Row],[Cost of Shares]],0)</f>
        <v>-8.7782533743654767</v>
      </c>
      <c r="L1792" s="34" t="b" cm="1">
        <f t="array" ref="L1792">IFERROR(IF(HistoricalStockProgress[[#This Row],[Price of Shares]]="",_xlfn.STOCKHISTORY(HistoricalStockProgress[[#This Row],[Full Company Name]],HistoricalStockProgress[[#This Row],[Date]],,2,0,1)),0)</f>
        <v>0</v>
      </c>
      <c r="M1792" s="34">
        <f>YEAR(HistoricalStockProgress[[#This Row],[Date]])</f>
        <v>2024</v>
      </c>
      <c r="N1792" s="34">
        <f>MONTH(HistoricalStockProgress[[#This Row],[Date]])</f>
        <v>7</v>
      </c>
    </row>
    <row r="1793" spans="2:14">
      <c r="B1793" s="15">
        <v>45504</v>
      </c>
      <c r="C1793" s="34" t="s">
        <v>19</v>
      </c>
      <c r="D1793" s="34" t="e" vm="3">
        <f>_xlfn.XLOOKUP(HistoricalStockProgress[[#This Row],[Company Ticker]],CompanyDetailsList[Company Ticker],CompanyDetailsList[Official Name],,0)</f>
        <v>#VALUE!</v>
      </c>
      <c r="E17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7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793" s="17">
        <f>IFERROR(HistoricalStockProgress[[#This Row],[Cost of Shares]]/HistoricalStockProgress[[#This Row],[No. of Shares]],0)</f>
        <v>158.45739987816083</v>
      </c>
      <c r="H1793" s="16" vm="2272">
        <v>131.93</v>
      </c>
      <c r="I1793" s="16">
        <f>IF(HistoricalStockProgress[[#This Row],[No. of Shares]]&lt;&gt;0,HistoricalStockProgress[[#This Row],[Price of Shares]]*HistoricalStockProgress[[#This Row],[No. of Shares]],0)</f>
        <v>7520.01</v>
      </c>
      <c r="J1793" s="16">
        <f>IF(HistoricalStockProgress[[#This Row],[No. of Shares]]&lt;&gt;0,HistoricalStockProgress[[#This Row],[Price of Shares]]-HistoricalStockProgress[[#This Row],[Cost of Shares]]/HistoricalStockProgress[[#This Row],[No. of Shares]],0)</f>
        <v>-26.527399878160821</v>
      </c>
      <c r="K1793" s="17">
        <f>IF(HistoricalStockProgress[[#This Row],[Total Price of Shares]]&lt;&gt;0,HistoricalStockProgress[[#This Row],[Total Price of Shares]]-HistoricalStockProgress[[#This Row],[Cost of Shares]],0)</f>
        <v>-1512.0617930551671</v>
      </c>
      <c r="L1793" s="34" t="b" cm="1">
        <f t="array" ref="L1793">IFERROR(IF(HistoricalStockProgress[[#This Row],[Price of Shares]]="",_xlfn.STOCKHISTORY(HistoricalStockProgress[[#This Row],[Full Company Name]],HistoricalStockProgress[[#This Row],[Date]],,2,0,1)),0)</f>
        <v>0</v>
      </c>
      <c r="M1793" s="34">
        <f>YEAR(HistoricalStockProgress[[#This Row],[Date]])</f>
        <v>2024</v>
      </c>
      <c r="N1793" s="34">
        <f>MONTH(HistoricalStockProgress[[#This Row],[Date]])</f>
        <v>7</v>
      </c>
    </row>
    <row r="1794" spans="2:14">
      <c r="B1794" s="15">
        <v>45504</v>
      </c>
      <c r="C1794" s="34" t="s">
        <v>23</v>
      </c>
      <c r="D1794" s="34" t="e" vm="4">
        <f>_xlfn.XLOOKUP(HistoricalStockProgress[[#This Row],[Company Ticker]],CompanyDetailsList[Company Ticker],CompanyDetailsList[Official Name],,0)</f>
        <v>#VALUE!</v>
      </c>
      <c r="E17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17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1794" s="17">
        <f>IFERROR(HistoricalStockProgress[[#This Row],[Cost of Shares]]/HistoricalStockProgress[[#This Row],[No. of Shares]],0)</f>
        <v>50.781277236510277</v>
      </c>
      <c r="H1794" s="16" vm="1571">
        <v>66.739999999999995</v>
      </c>
      <c r="I1794" s="16">
        <f>IF(HistoricalStockProgress[[#This Row],[No. of Shares]]&lt;&gt;0,HistoricalStockProgress[[#This Row],[Price of Shares]]*HistoricalStockProgress[[#This Row],[No. of Shares]],0)</f>
        <v>7808.579999999999</v>
      </c>
      <c r="J1794" s="16">
        <f>IF(HistoricalStockProgress[[#This Row],[No. of Shares]]&lt;&gt;0,HistoricalStockProgress[[#This Row],[Price of Shares]]-HistoricalStockProgress[[#This Row],[Cost of Shares]]/HistoricalStockProgress[[#This Row],[No. of Shares]],0)</f>
        <v>15.958722763489718</v>
      </c>
      <c r="K1794" s="17">
        <f>IF(HistoricalStockProgress[[#This Row],[Total Price of Shares]]&lt;&gt;0,HistoricalStockProgress[[#This Row],[Total Price of Shares]]-HistoricalStockProgress[[#This Row],[Cost of Shares]],0)</f>
        <v>1867.1705633282963</v>
      </c>
      <c r="L1794" s="34" t="b" cm="1">
        <f t="array" ref="L1794">IFERROR(IF(HistoricalStockProgress[[#This Row],[Price of Shares]]="",_xlfn.STOCKHISTORY(HistoricalStockProgress[[#This Row],[Full Company Name]],HistoricalStockProgress[[#This Row],[Date]],,2,0,1)),0)</f>
        <v>0</v>
      </c>
      <c r="M1794" s="34">
        <f>YEAR(HistoricalStockProgress[[#This Row],[Date]])</f>
        <v>2024</v>
      </c>
      <c r="N1794" s="34">
        <f>MONTH(HistoricalStockProgress[[#This Row],[Date]])</f>
        <v>7</v>
      </c>
    </row>
    <row r="1795" spans="2:14">
      <c r="B1795" s="15">
        <v>45504</v>
      </c>
      <c r="C1795" s="34" t="s">
        <v>18</v>
      </c>
      <c r="D1795" s="34" t="e" vm="5">
        <f>_xlfn.XLOOKUP(HistoricalStockProgress[[#This Row],[Company Ticker]],CompanyDetailsList[Company Ticker],CompanyDetailsList[Official Name],,0)</f>
        <v>#VALUE!</v>
      </c>
      <c r="E17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7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795" s="17">
        <f>IFERROR(HistoricalStockProgress[[#This Row],[Cost of Shares]]/HistoricalStockProgress[[#This Row],[No. of Shares]],0)</f>
        <v>160.8859607546234</v>
      </c>
      <c r="H1795" s="16" vm="2273">
        <v>172.67</v>
      </c>
      <c r="I1795" s="16">
        <f>IF(HistoricalStockProgress[[#This Row],[No. of Shares]]&lt;&gt;0,HistoricalStockProgress[[#This Row],[Price of Shares]]*HistoricalStockProgress[[#This Row],[No. of Shares]],0)</f>
        <v>7424.8099999999995</v>
      </c>
      <c r="J1795" s="16">
        <f>IF(HistoricalStockProgress[[#This Row],[No. of Shares]]&lt;&gt;0,HistoricalStockProgress[[#This Row],[Price of Shares]]-HistoricalStockProgress[[#This Row],[Cost of Shares]]/HistoricalStockProgress[[#This Row],[No. of Shares]],0)</f>
        <v>11.78403924537659</v>
      </c>
      <c r="K1795" s="17">
        <f>IF(HistoricalStockProgress[[#This Row],[Total Price of Shares]]&lt;&gt;0,HistoricalStockProgress[[#This Row],[Total Price of Shares]]-HistoricalStockProgress[[#This Row],[Cost of Shares]],0)</f>
        <v>506.71368755119329</v>
      </c>
      <c r="L1795" s="34" t="b" cm="1">
        <f t="array" ref="L1795">IFERROR(IF(HistoricalStockProgress[[#This Row],[Price of Shares]]="",_xlfn.STOCKHISTORY(HistoricalStockProgress[[#This Row],[Full Company Name]],HistoricalStockProgress[[#This Row],[Date]],,2,0,1)),0)</f>
        <v>0</v>
      </c>
      <c r="M1795" s="34">
        <f>YEAR(HistoricalStockProgress[[#This Row],[Date]])</f>
        <v>2024</v>
      </c>
      <c r="N1795" s="34">
        <f>MONTH(HistoricalStockProgress[[#This Row],[Date]])</f>
        <v>7</v>
      </c>
    </row>
    <row r="1796" spans="2:14">
      <c r="B1796" s="15">
        <v>45504</v>
      </c>
      <c r="C1796" s="34" t="s">
        <v>21</v>
      </c>
      <c r="D1796" s="34" t="e" vm="6">
        <f>_xlfn.XLOOKUP(HistoricalStockProgress[[#This Row],[Company Ticker]],CompanyDetailsList[Company Ticker],CompanyDetailsList[Official Name],,0)</f>
        <v>#VALUE!</v>
      </c>
      <c r="E17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7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796" s="17">
        <f>IFERROR(HistoricalStockProgress[[#This Row],[Cost of Shares]]/HistoricalStockProgress[[#This Row],[No. of Shares]],0)</f>
        <v>139.68700010204148</v>
      </c>
      <c r="H1796" s="16" vm="2274">
        <v>160.76</v>
      </c>
      <c r="I1796" s="16">
        <f>IF(HistoricalStockProgress[[#This Row],[No. of Shares]]&lt;&gt;0,HistoricalStockProgress[[#This Row],[Price of Shares]]*HistoricalStockProgress[[#This Row],[No. of Shares]],0)</f>
        <v>6751.92</v>
      </c>
      <c r="J1796" s="16">
        <f>IF(HistoricalStockProgress[[#This Row],[No. of Shares]]&lt;&gt;0,HistoricalStockProgress[[#This Row],[Price of Shares]]-HistoricalStockProgress[[#This Row],[Cost of Shares]]/HistoricalStockProgress[[#This Row],[No. of Shares]],0)</f>
        <v>21.07299989795851</v>
      </c>
      <c r="K1796" s="17">
        <f>IF(HistoricalStockProgress[[#This Row],[Total Price of Shares]]&lt;&gt;0,HistoricalStockProgress[[#This Row],[Total Price of Shares]]-HistoricalStockProgress[[#This Row],[Cost of Shares]],0)</f>
        <v>885.06599571425795</v>
      </c>
      <c r="L1796" s="34" t="b" cm="1">
        <f t="array" ref="L1796">IFERROR(IF(HistoricalStockProgress[[#This Row],[Price of Shares]]="",_xlfn.STOCKHISTORY(HistoricalStockProgress[[#This Row],[Full Company Name]],HistoricalStockProgress[[#This Row],[Date]],,2,0,1)),0)</f>
        <v>0</v>
      </c>
      <c r="M1796" s="34">
        <f>YEAR(HistoricalStockProgress[[#This Row],[Date]])</f>
        <v>2024</v>
      </c>
      <c r="N1796" s="34">
        <f>MONTH(HistoricalStockProgress[[#This Row],[Date]])</f>
        <v>7</v>
      </c>
    </row>
    <row r="1797" spans="2:14">
      <c r="B1797" s="15">
        <v>45504</v>
      </c>
      <c r="C1797" s="34" t="s">
        <v>84</v>
      </c>
      <c r="D1797" s="34" t="e" vm="7">
        <f>_xlfn.XLOOKUP(HistoricalStockProgress[[#This Row],[Company Ticker]],CompanyDetailsList[Company Ticker],CompanyDetailsList[Official Name],,0)</f>
        <v>#VALUE!</v>
      </c>
      <c r="E17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7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797" s="17">
        <f>IFERROR(HistoricalStockProgress[[#This Row],[Cost of Shares]]/HistoricalStockProgress[[#This Row],[No. of Shares]],0)</f>
        <v>104.18087504950869</v>
      </c>
      <c r="H1797" s="16" vm="2275">
        <v>157.85</v>
      </c>
      <c r="I1797" s="16">
        <f>IF(HistoricalStockProgress[[#This Row],[No. of Shares]]&lt;&gt;0,HistoricalStockProgress[[#This Row],[Price of Shares]]*HistoricalStockProgress[[#This Row],[No. of Shares]],0)</f>
        <v>8050.3499999999995</v>
      </c>
      <c r="J1797" s="16">
        <f>IF(HistoricalStockProgress[[#This Row],[No. of Shares]]&lt;&gt;0,HistoricalStockProgress[[#This Row],[Price of Shares]]-HistoricalStockProgress[[#This Row],[Cost of Shares]]/HistoricalStockProgress[[#This Row],[No. of Shares]],0)</f>
        <v>53.669124950491309</v>
      </c>
      <c r="K1797" s="17">
        <f>IF(HistoricalStockProgress[[#This Row],[Total Price of Shares]]&lt;&gt;0,HistoricalStockProgress[[#This Row],[Total Price of Shares]]-HistoricalStockProgress[[#This Row],[Cost of Shares]],0)</f>
        <v>2737.1253724750568</v>
      </c>
      <c r="L1797" s="34" t="b" cm="1">
        <f t="array" ref="L1797">IFERROR(IF(HistoricalStockProgress[[#This Row],[Price of Shares]]="",_xlfn.STOCKHISTORY(HistoricalStockProgress[[#This Row],[Full Company Name]],HistoricalStockProgress[[#This Row],[Date]],,2,0,1)),0)</f>
        <v>0</v>
      </c>
      <c r="M1797" s="34">
        <f>YEAR(HistoricalStockProgress[[#This Row],[Date]])</f>
        <v>2024</v>
      </c>
      <c r="N1797" s="34">
        <f>MONTH(HistoricalStockProgress[[#This Row],[Date]])</f>
        <v>7</v>
      </c>
    </row>
    <row r="1798" spans="2:14">
      <c r="B1798" s="15">
        <v>45504</v>
      </c>
      <c r="C1798" s="34" t="s">
        <v>86</v>
      </c>
      <c r="D1798" s="34" t="e" vm="8">
        <f>_xlfn.XLOOKUP(HistoricalStockProgress[[#This Row],[Company Ticker]],CompanyDetailsList[Company Ticker],CompanyDetailsList[Official Name],,0)</f>
        <v>#VALUE!</v>
      </c>
      <c r="E17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120</v>
      </c>
      <c r="F17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11434.543004354886</v>
      </c>
      <c r="G1798" s="17">
        <f>IFERROR(HistoricalStockProgress[[#This Row],[Cost of Shares]]/HistoricalStockProgress[[#This Row],[No. of Shares]],0)</f>
        <v>95.287858369624047</v>
      </c>
      <c r="H1798" s="16" vm="2276">
        <v>185.32</v>
      </c>
      <c r="I1798" s="16">
        <f>IF(HistoricalStockProgress[[#This Row],[No. of Shares]]&lt;&gt;0,HistoricalStockProgress[[#This Row],[Price of Shares]]*HistoricalStockProgress[[#This Row],[No. of Shares]],0)</f>
        <v>22238.399999999998</v>
      </c>
      <c r="J1798" s="16">
        <f>IF(HistoricalStockProgress[[#This Row],[No. of Shares]]&lt;&gt;0,HistoricalStockProgress[[#This Row],[Price of Shares]]-HistoricalStockProgress[[#This Row],[Cost of Shares]]/HistoricalStockProgress[[#This Row],[No. of Shares]],0)</f>
        <v>90.032141630375946</v>
      </c>
      <c r="K1798" s="17">
        <f>IF(HistoricalStockProgress[[#This Row],[Total Price of Shares]]&lt;&gt;0,HistoricalStockProgress[[#This Row],[Total Price of Shares]]-HistoricalStockProgress[[#This Row],[Cost of Shares]],0)</f>
        <v>10803.856995645112</v>
      </c>
      <c r="L1798" s="34" t="b" cm="1">
        <f t="array" ref="L1798">IFERROR(IF(HistoricalStockProgress[[#This Row],[Price of Shares]]="",_xlfn.STOCKHISTORY(HistoricalStockProgress[[#This Row],[Full Company Name]],HistoricalStockProgress[[#This Row],[Date]],,2,0,1)),0)</f>
        <v>0</v>
      </c>
      <c r="M1798" s="34">
        <f>YEAR(HistoricalStockProgress[[#This Row],[Date]])</f>
        <v>2024</v>
      </c>
      <c r="N1798" s="34">
        <f>MONTH(HistoricalStockProgress[[#This Row],[Date]])</f>
        <v>7</v>
      </c>
    </row>
    <row r="1799" spans="2:14">
      <c r="B1799" s="15">
        <v>45504</v>
      </c>
      <c r="C1799" s="34" t="s">
        <v>88</v>
      </c>
      <c r="D1799" s="34" t="e" vm="9">
        <f>_xlfn.XLOOKUP(HistoricalStockProgress[[#This Row],[Company Ticker]],CompanyDetailsList[Company Ticker],CompanyDetailsList[Official Name],,0)</f>
        <v>#VALUE!</v>
      </c>
      <c r="E17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17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1799" s="17">
        <f>IFERROR(HistoricalStockProgress[[#This Row],[Cost of Shares]]/HistoricalStockProgress[[#This Row],[No. of Shares]],0)</f>
        <v>224.7272684493652</v>
      </c>
      <c r="H1799" s="16" vm="2277">
        <v>265.39999999999998</v>
      </c>
      <c r="I1799" s="16">
        <f>IF(HistoricalStockProgress[[#This Row],[No. of Shares]]&lt;&gt;0,HistoricalStockProgress[[#This Row],[Price of Shares]]*HistoricalStockProgress[[#This Row],[No. of Shares]],0)</f>
        <v>25212.999999999996</v>
      </c>
      <c r="J1799" s="16">
        <f>IF(HistoricalStockProgress[[#This Row],[No. of Shares]]&lt;&gt;0,HistoricalStockProgress[[#This Row],[Price of Shares]]-HistoricalStockProgress[[#This Row],[Cost of Shares]]/HistoricalStockProgress[[#This Row],[No. of Shares]],0)</f>
        <v>40.672731550634779</v>
      </c>
      <c r="K1799" s="17">
        <f>IF(HistoricalStockProgress[[#This Row],[Total Price of Shares]]&lt;&gt;0,HistoricalStockProgress[[#This Row],[Total Price of Shares]]-HistoricalStockProgress[[#This Row],[Cost of Shares]],0)</f>
        <v>3863.909497310302</v>
      </c>
      <c r="L1799" s="34" t="b" cm="1">
        <f t="array" ref="L1799">IFERROR(IF(HistoricalStockProgress[[#This Row],[Price of Shares]]="",_xlfn.STOCKHISTORY(HistoricalStockProgress[[#This Row],[Full Company Name]],HistoricalStockProgress[[#This Row],[Date]],,2,0,1)),0)</f>
        <v>0</v>
      </c>
      <c r="M1799" s="34">
        <f>YEAR(HistoricalStockProgress[[#This Row],[Date]])</f>
        <v>2024</v>
      </c>
      <c r="N1799" s="34">
        <f>MONTH(HistoricalStockProgress[[#This Row],[Date]])</f>
        <v>7</v>
      </c>
    </row>
    <row r="1800" spans="2:14">
      <c r="B1800" s="15">
        <v>45504</v>
      </c>
      <c r="C1800" s="34" t="s">
        <v>22</v>
      </c>
      <c r="D1800" s="34" t="e" vm="10">
        <f>_xlfn.XLOOKUP(HistoricalStockProgress[[#This Row],[Company Ticker]],CompanyDetailsList[Company Ticker],CompanyDetailsList[Official Name],,0)</f>
        <v>#VALUE!</v>
      </c>
      <c r="E18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8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800" s="17">
        <f>IFERROR(HistoricalStockProgress[[#This Row],[Cost of Shares]]/HistoricalStockProgress[[#This Row],[No. of Shares]],0)</f>
        <v>130.19784136724968</v>
      </c>
      <c r="H1800" s="16" vm="2278">
        <v>346.2</v>
      </c>
      <c r="I1800" s="16">
        <f>IF(HistoricalStockProgress[[#This Row],[No. of Shares]]&lt;&gt;0,HistoricalStockProgress[[#This Row],[Price of Shares]]*HistoricalStockProgress[[#This Row],[No. of Shares]],0)</f>
        <v>41197.799999999996</v>
      </c>
      <c r="J1800" s="16">
        <f>IF(HistoricalStockProgress[[#This Row],[No. of Shares]]&lt;&gt;0,HistoricalStockProgress[[#This Row],[Price of Shares]]-HistoricalStockProgress[[#This Row],[Cost of Shares]]/HistoricalStockProgress[[#This Row],[No. of Shares]],0)</f>
        <v>216.00215863275031</v>
      </c>
      <c r="K1800" s="17">
        <f>IF(HistoricalStockProgress[[#This Row],[Total Price of Shares]]&lt;&gt;0,HistoricalStockProgress[[#This Row],[Total Price of Shares]]-HistoricalStockProgress[[#This Row],[Cost of Shares]],0)</f>
        <v>25704.256877297281</v>
      </c>
      <c r="L1800" s="34" t="b" cm="1">
        <f t="array" ref="L1800">IFERROR(IF(HistoricalStockProgress[[#This Row],[Price of Shares]]="",_xlfn.STOCKHISTORY(HistoricalStockProgress[[#This Row],[Full Company Name]],HistoricalStockProgress[[#This Row],[Date]],,2,0,1)),0)</f>
        <v>0</v>
      </c>
      <c r="M1800" s="34">
        <f>YEAR(HistoricalStockProgress[[#This Row],[Date]])</f>
        <v>2024</v>
      </c>
      <c r="N1800" s="34">
        <f>MONTH(HistoricalStockProgress[[#This Row],[Date]])</f>
        <v>7</v>
      </c>
    </row>
    <row r="1801" spans="2:14">
      <c r="B1801" s="15">
        <v>45504</v>
      </c>
      <c r="C1801" s="34" t="s">
        <v>91</v>
      </c>
      <c r="D1801" s="34" t="e" vm="11">
        <f>_xlfn.XLOOKUP(HistoricalStockProgress[[#This Row],[Company Ticker]],CompanyDetailsList[Company Ticker],CompanyDetailsList[Official Name],,0)</f>
        <v>#VALUE!</v>
      </c>
      <c r="E18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8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801" s="17">
        <f>IFERROR(HistoricalStockProgress[[#This Row],[Cost of Shares]]/HistoricalStockProgress[[#This Row],[No. of Shares]],0)</f>
        <v>133.15744058830452</v>
      </c>
      <c r="H1801" s="16" vm="2279">
        <v>418.35</v>
      </c>
      <c r="I1801" s="16">
        <f>IF(HistoricalStockProgress[[#This Row],[No. of Shares]]&lt;&gt;0,HistoricalStockProgress[[#This Row],[Price of Shares]]*HistoricalStockProgress[[#This Row],[No. of Shares]],0)</f>
        <v>76558.05</v>
      </c>
      <c r="J1801" s="16">
        <f>IF(HistoricalStockProgress[[#This Row],[No. of Shares]]&lt;&gt;0,HistoricalStockProgress[[#This Row],[Price of Shares]]-HistoricalStockProgress[[#This Row],[Cost of Shares]]/HistoricalStockProgress[[#This Row],[No. of Shares]],0)</f>
        <v>285.19255941169547</v>
      </c>
      <c r="K1801" s="17">
        <f>IF(HistoricalStockProgress[[#This Row],[Total Price of Shares]]&lt;&gt;0,HistoricalStockProgress[[#This Row],[Total Price of Shares]]-HistoricalStockProgress[[#This Row],[Cost of Shares]],0)</f>
        <v>52190.238372340275</v>
      </c>
      <c r="L1801" s="34" t="b" cm="1">
        <f t="array" ref="L1801">IFERROR(IF(HistoricalStockProgress[[#This Row],[Price of Shares]]="",_xlfn.STOCKHISTORY(HistoricalStockProgress[[#This Row],[Full Company Name]],HistoricalStockProgress[[#This Row],[Date]],,2,0,1)),0)</f>
        <v>0</v>
      </c>
      <c r="M1801" s="34">
        <f>YEAR(HistoricalStockProgress[[#This Row],[Date]])</f>
        <v>2024</v>
      </c>
      <c r="N1801" s="34">
        <f>MONTH(HistoricalStockProgress[[#This Row],[Date]])</f>
        <v>7</v>
      </c>
    </row>
    <row r="1802" spans="2:14">
      <c r="B1802" s="15">
        <v>45504</v>
      </c>
      <c r="C1802" s="34" t="s">
        <v>16</v>
      </c>
      <c r="D1802" s="34" t="e" vm="12">
        <f>_xlfn.XLOOKUP(HistoricalStockProgress[[#This Row],[Company Ticker]],CompanyDetailsList[Company Ticker],CompanyDetailsList[Official Name],,0)</f>
        <v>#VALUE!</v>
      </c>
      <c r="E18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8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802" s="17">
        <f>IFERROR(HistoricalStockProgress[[#This Row],[Cost of Shares]]/HistoricalStockProgress[[#This Row],[No. of Shares]],0)</f>
        <v>75.117698177311837</v>
      </c>
      <c r="H1802" s="16" vm="2280">
        <v>118.59</v>
      </c>
      <c r="I1802" s="16">
        <f>IF(HistoricalStockProgress[[#This Row],[No. of Shares]]&lt;&gt;0,HistoricalStockProgress[[#This Row],[Price of Shares]]*HistoricalStockProgress[[#This Row],[No. of Shares]],0)</f>
        <v>21939.15</v>
      </c>
      <c r="J1802" s="16">
        <f>IF(HistoricalStockProgress[[#This Row],[No. of Shares]]&lt;&gt;0,HistoricalStockProgress[[#This Row],[Price of Shares]]-HistoricalStockProgress[[#This Row],[Cost of Shares]]/HistoricalStockProgress[[#This Row],[No. of Shares]],0)</f>
        <v>43.472301822688166</v>
      </c>
      <c r="K1802" s="17">
        <f>IF(HistoricalStockProgress[[#This Row],[Total Price of Shares]]&lt;&gt;0,HistoricalStockProgress[[#This Row],[Total Price of Shares]]-HistoricalStockProgress[[#This Row],[Cost of Shares]],0)</f>
        <v>8042.3758371973126</v>
      </c>
      <c r="L1802" s="34" t="b" cm="1">
        <f t="array" ref="L1802">IFERROR(IF(HistoricalStockProgress[[#This Row],[Price of Shares]]="",_xlfn.STOCKHISTORY(HistoricalStockProgress[[#This Row],[Full Company Name]],HistoricalStockProgress[[#This Row],[Date]],,2,0,1)),0)</f>
        <v>0</v>
      </c>
      <c r="M1802" s="34">
        <f>YEAR(HistoricalStockProgress[[#This Row],[Date]])</f>
        <v>2024</v>
      </c>
      <c r="N1802" s="34">
        <f>MONTH(HistoricalStockProgress[[#This Row],[Date]])</f>
        <v>7</v>
      </c>
    </row>
    <row r="1803" spans="2:14">
      <c r="B1803" s="15">
        <v>45504</v>
      </c>
      <c r="C1803" s="34" t="s">
        <v>95</v>
      </c>
      <c r="D1803" s="34" t="e" vm="13">
        <f>_xlfn.XLOOKUP(HistoricalStockProgress[[#This Row],[Company Ticker]],CompanyDetailsList[Company Ticker],CompanyDetailsList[Official Name],,0)</f>
        <v>#VALUE!</v>
      </c>
      <c r="E18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143</v>
      </c>
      <c r="F18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35362.550411645469</v>
      </c>
      <c r="G1803" s="17">
        <f>IFERROR(HistoricalStockProgress[[#This Row],[Cost of Shares]]/HistoricalStockProgress[[#This Row],[No. of Shares]],0)</f>
        <v>247.29056231919907</v>
      </c>
      <c r="H1803" s="16" vm="2281">
        <v>368.16</v>
      </c>
      <c r="I1803" s="16">
        <f>IF(HistoricalStockProgress[[#This Row],[No. of Shares]]&lt;&gt;0,HistoricalStockProgress[[#This Row],[Price of Shares]]*HistoricalStockProgress[[#This Row],[No. of Shares]],0)</f>
        <v>52646.880000000005</v>
      </c>
      <c r="J1803" s="16">
        <f>IF(HistoricalStockProgress[[#This Row],[No. of Shares]]&lt;&gt;0,HistoricalStockProgress[[#This Row],[Price of Shares]]-HistoricalStockProgress[[#This Row],[Cost of Shares]]/HistoricalStockProgress[[#This Row],[No. of Shares]],0)</f>
        <v>120.86943768080096</v>
      </c>
      <c r="K1803" s="17">
        <f>IF(HistoricalStockProgress[[#This Row],[Total Price of Shares]]&lt;&gt;0,HistoricalStockProgress[[#This Row],[Total Price of Shares]]-HistoricalStockProgress[[#This Row],[Cost of Shares]],0)</f>
        <v>17284.329588354536</v>
      </c>
      <c r="L1803" s="34" t="b" cm="1">
        <f t="array" ref="L1803">IFERROR(IF(HistoricalStockProgress[[#This Row],[Price of Shares]]="",_xlfn.STOCKHISTORY(HistoricalStockProgress[[#This Row],[Full Company Name]],HistoricalStockProgress[[#This Row],[Date]],,2,0,1)),0)</f>
        <v>0</v>
      </c>
      <c r="M1803" s="34">
        <f>YEAR(HistoricalStockProgress[[#This Row],[Date]])</f>
        <v>2024</v>
      </c>
      <c r="N1803" s="34">
        <f>MONTH(HistoricalStockProgress[[#This Row],[Date]])</f>
        <v>7</v>
      </c>
    </row>
    <row r="1804" spans="2:14">
      <c r="B1804" s="15">
        <v>45504</v>
      </c>
      <c r="C1804" s="34" t="s">
        <v>17</v>
      </c>
      <c r="D1804" s="34" t="e" vm="14">
        <f>_xlfn.XLOOKUP(HistoricalStockProgress[[#This Row],[Company Ticker]],CompanyDetailsList[Company Ticker],CompanyDetailsList[Official Name],,0)</f>
        <v>#VALUE!</v>
      </c>
      <c r="E18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18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1804" s="17">
        <f>IFERROR(HistoricalStockProgress[[#This Row],[Cost of Shares]]/HistoricalStockProgress[[#This Row],[No. of Shares]],0)</f>
        <v>143.37791217450521</v>
      </c>
      <c r="H1804" s="16" vm="2282">
        <v>192.14</v>
      </c>
      <c r="I1804" s="16">
        <f>IF(HistoricalStockProgress[[#This Row],[No. of Shares]]&lt;&gt;0,HistoricalStockProgress[[#This Row],[Price of Shares]]*HistoricalStockProgress[[#This Row],[No. of Shares]],0)</f>
        <v>44384.34</v>
      </c>
      <c r="J1804" s="16">
        <f>IF(HistoricalStockProgress[[#This Row],[No. of Shares]]&lt;&gt;0,HistoricalStockProgress[[#This Row],[Price of Shares]]-HistoricalStockProgress[[#This Row],[Cost of Shares]]/HistoricalStockProgress[[#This Row],[No. of Shares]],0)</f>
        <v>48.762087825494774</v>
      </c>
      <c r="K1804" s="17">
        <f>IF(HistoricalStockProgress[[#This Row],[Total Price of Shares]]&lt;&gt;0,HistoricalStockProgress[[#This Row],[Total Price of Shares]]-HistoricalStockProgress[[#This Row],[Cost of Shares]],0)</f>
        <v>11264.042287689292</v>
      </c>
      <c r="L1804" s="34" t="b" cm="1">
        <f t="array" ref="L1804">IFERROR(IF(HistoricalStockProgress[[#This Row],[Price of Shares]]="",_xlfn.STOCKHISTORY(HistoricalStockProgress[[#This Row],[Full Company Name]],HistoricalStockProgress[[#This Row],[Date]],,2,0,1)),0)</f>
        <v>0</v>
      </c>
      <c r="M1804" s="34">
        <f>YEAR(HistoricalStockProgress[[#This Row],[Date]])</f>
        <v>2024</v>
      </c>
      <c r="N1804" s="34">
        <f>MONTH(HistoricalStockProgress[[#This Row],[Date]])</f>
        <v>7</v>
      </c>
    </row>
    <row r="1805" spans="2:14">
      <c r="B1805" s="15">
        <v>45504</v>
      </c>
      <c r="C1805" s="34" t="s">
        <v>98</v>
      </c>
      <c r="D1805" s="34" t="e" vm="15">
        <f>_xlfn.XLOOKUP(HistoricalStockProgress[[#This Row],[Company Ticker]],CompanyDetailsList[Company Ticker],CompanyDetailsList[Official Name],,0)</f>
        <v>#VALUE!</v>
      </c>
      <c r="E18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18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8175.3025483037236</v>
      </c>
      <c r="G1805" s="17">
        <f>IFERROR(HistoricalStockProgress[[#This Row],[Cost of Shares]]/HistoricalStockProgress[[#This Row],[No. of Shares]],0)</f>
        <v>55.995222933587151</v>
      </c>
      <c r="H1805" s="16" vm="2283">
        <v>76.39</v>
      </c>
      <c r="I1805" s="16">
        <f>IF(HistoricalStockProgress[[#This Row],[No. of Shares]]&lt;&gt;0,HistoricalStockProgress[[#This Row],[Price of Shares]]*HistoricalStockProgress[[#This Row],[No. of Shares]],0)</f>
        <v>11152.94</v>
      </c>
      <c r="J1805" s="16">
        <f>IF(HistoricalStockProgress[[#This Row],[No. of Shares]]&lt;&gt;0,HistoricalStockProgress[[#This Row],[Price of Shares]]-HistoricalStockProgress[[#This Row],[Cost of Shares]]/HistoricalStockProgress[[#This Row],[No. of Shares]],0)</f>
        <v>20.39477706641285</v>
      </c>
      <c r="K1805" s="17">
        <f>IF(HistoricalStockProgress[[#This Row],[Total Price of Shares]]&lt;&gt;0,HistoricalStockProgress[[#This Row],[Total Price of Shares]]-HistoricalStockProgress[[#This Row],[Cost of Shares]],0)</f>
        <v>2977.6374516962769</v>
      </c>
      <c r="L1805" s="34" t="b" cm="1">
        <f t="array" ref="L1805">IFERROR(IF(HistoricalStockProgress[[#This Row],[Price of Shares]]="",_xlfn.STOCKHISTORY(HistoricalStockProgress[[#This Row],[Full Company Name]],HistoricalStockProgress[[#This Row],[Date]],,2,0,1)),0)</f>
        <v>0</v>
      </c>
      <c r="M1805" s="34">
        <f>YEAR(HistoricalStockProgress[[#This Row],[Date]])</f>
        <v>2024</v>
      </c>
      <c r="N1805" s="34">
        <f>MONTH(HistoricalStockProgress[[#This Row],[Date]])</f>
        <v>7</v>
      </c>
    </row>
    <row r="1806" spans="2:14">
      <c r="B1806" s="15">
        <v>45504</v>
      </c>
      <c r="C1806" s="34" t="s">
        <v>100</v>
      </c>
      <c r="D1806" s="34" t="e" vm="16">
        <f>_xlfn.XLOOKUP(HistoricalStockProgress[[#This Row],[Company Ticker]],CompanyDetailsList[Company Ticker],CompanyDetailsList[Official Name],,0)</f>
        <v>#VALUE!</v>
      </c>
      <c r="E18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18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1806" s="17">
        <f>IFERROR(HistoricalStockProgress[[#This Row],[Cost of Shares]]/HistoricalStockProgress[[#This Row],[No. of Shares]],0)</f>
        <v>92.156351168716071</v>
      </c>
      <c r="H1806" s="16" vm="2284">
        <v>109.27</v>
      </c>
      <c r="I1806" s="16">
        <f>IF(HistoricalStockProgress[[#This Row],[No. of Shares]]&lt;&gt;0,HistoricalStockProgress[[#This Row],[Price of Shares]]*HistoricalStockProgress[[#This Row],[No. of Shares]],0)</f>
        <v>27317.5</v>
      </c>
      <c r="J1806" s="16">
        <f>IF(HistoricalStockProgress[[#This Row],[No. of Shares]]&lt;&gt;0,HistoricalStockProgress[[#This Row],[Price of Shares]]-HistoricalStockProgress[[#This Row],[Cost of Shares]]/HistoricalStockProgress[[#This Row],[No. of Shares]],0)</f>
        <v>17.113648831283925</v>
      </c>
      <c r="K1806" s="17">
        <f>IF(HistoricalStockProgress[[#This Row],[Total Price of Shares]]&lt;&gt;0,HistoricalStockProgress[[#This Row],[Total Price of Shares]]-HistoricalStockProgress[[#This Row],[Cost of Shares]],0)</f>
        <v>4278.4122078209839</v>
      </c>
      <c r="L1806" s="34" t="b" cm="1">
        <f t="array" ref="L1806">IFERROR(IF(HistoricalStockProgress[[#This Row],[Price of Shares]]="",_xlfn.STOCKHISTORY(HistoricalStockProgress[[#This Row],[Full Company Name]],HistoricalStockProgress[[#This Row],[Date]],,2,0,1)),0)</f>
        <v>0</v>
      </c>
      <c r="M1806" s="34">
        <f>YEAR(HistoricalStockProgress[[#This Row],[Date]])</f>
        <v>2024</v>
      </c>
      <c r="N1806" s="34">
        <f>MONTH(HistoricalStockProgress[[#This Row],[Date]])</f>
        <v>7</v>
      </c>
    </row>
    <row r="1807" spans="2:14">
      <c r="B1807" s="15">
        <v>45504</v>
      </c>
      <c r="C1807" s="34" t="s">
        <v>15</v>
      </c>
      <c r="D1807" s="34" t="e" vm="17">
        <f>_xlfn.XLOOKUP(HistoricalStockProgress[[#This Row],[Company Ticker]],CompanyDetailsList[Company Ticker],CompanyDetailsList[Official Name],,0)</f>
        <v>#VALUE!</v>
      </c>
      <c r="E18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133</v>
      </c>
      <c r="F18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3377.7842958499027</v>
      </c>
      <c r="G1807" s="17">
        <f>IFERROR(HistoricalStockProgress[[#This Row],[Cost of Shares]]/HistoricalStockProgress[[#This Row],[No. of Shares]],0)</f>
        <v>25.396874404886486</v>
      </c>
      <c r="H1807" s="16" vm="535">
        <v>19.25</v>
      </c>
      <c r="I1807" s="16">
        <f>IF(HistoricalStockProgress[[#This Row],[No. of Shares]]&lt;&gt;0,HistoricalStockProgress[[#This Row],[Price of Shares]]*HistoricalStockProgress[[#This Row],[No. of Shares]],0)</f>
        <v>2560.25</v>
      </c>
      <c r="J1807" s="16">
        <f>IF(HistoricalStockProgress[[#This Row],[No. of Shares]]&lt;&gt;0,HistoricalStockProgress[[#This Row],[Price of Shares]]-HistoricalStockProgress[[#This Row],[Cost of Shares]]/HistoricalStockProgress[[#This Row],[No. of Shares]],0)</f>
        <v>-6.1468744048864856</v>
      </c>
      <c r="K1807" s="17">
        <f>IF(HistoricalStockProgress[[#This Row],[Total Price of Shares]]&lt;&gt;0,HistoricalStockProgress[[#This Row],[Total Price of Shares]]-HistoricalStockProgress[[#This Row],[Cost of Shares]],0)</f>
        <v>-817.53429584990272</v>
      </c>
      <c r="L1807" s="34" t="b" cm="1">
        <f t="array" ref="L1807">IFERROR(IF(HistoricalStockProgress[[#This Row],[Price of Shares]]="",_xlfn.STOCKHISTORY(HistoricalStockProgress[[#This Row],[Full Company Name]],HistoricalStockProgress[[#This Row],[Date]],,2,0,1)),0)</f>
        <v>0</v>
      </c>
      <c r="M1807" s="34">
        <f>YEAR(HistoricalStockProgress[[#This Row],[Date]])</f>
        <v>2024</v>
      </c>
      <c r="N1807" s="34">
        <f>MONTH(HistoricalStockProgress[[#This Row],[Date]])</f>
        <v>7</v>
      </c>
    </row>
    <row r="1808" spans="2:14">
      <c r="B1808" s="15">
        <v>45504</v>
      </c>
      <c r="C1808" s="34" t="s">
        <v>13</v>
      </c>
      <c r="D1808" s="34" t="e" vm="18">
        <f>_xlfn.XLOOKUP(HistoricalStockProgress[[#This Row],[Company Ticker]],CompanyDetailsList[Company Ticker],CompanyDetailsList[Official Name],,0)</f>
        <v>#VALUE!</v>
      </c>
      <c r="E18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70</v>
      </c>
      <c r="F18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2391.5648840965155</v>
      </c>
      <c r="G1808" s="17">
        <f>IFERROR(HistoricalStockProgress[[#This Row],[Cost of Shares]]/HistoricalStockProgress[[#This Row],[No. of Shares]],0)</f>
        <v>34.165212629950219</v>
      </c>
      <c r="H1808" s="16" vm="2285">
        <v>30.54</v>
      </c>
      <c r="I1808" s="16">
        <f>IF(HistoricalStockProgress[[#This Row],[No. of Shares]]&lt;&gt;0,HistoricalStockProgress[[#This Row],[Price of Shares]]*HistoricalStockProgress[[#This Row],[No. of Shares]],0)</f>
        <v>2137.7999999999997</v>
      </c>
      <c r="J1808" s="16">
        <f>IF(HistoricalStockProgress[[#This Row],[No. of Shares]]&lt;&gt;0,HistoricalStockProgress[[#This Row],[Price of Shares]]-HistoricalStockProgress[[#This Row],[Cost of Shares]]/HistoricalStockProgress[[#This Row],[No. of Shares]],0)</f>
        <v>-3.6252126299502194</v>
      </c>
      <c r="K1808" s="17">
        <f>IF(HistoricalStockProgress[[#This Row],[Total Price of Shares]]&lt;&gt;0,HistoricalStockProgress[[#This Row],[Total Price of Shares]]-HistoricalStockProgress[[#This Row],[Cost of Shares]],0)</f>
        <v>-253.76488409651574</v>
      </c>
      <c r="L1808" s="34" t="b" cm="1">
        <f t="array" ref="L1808">IFERROR(IF(HistoricalStockProgress[[#This Row],[Price of Shares]]="",_xlfn.STOCKHISTORY(HistoricalStockProgress[[#This Row],[Full Company Name]],HistoricalStockProgress[[#This Row],[Date]],,2,0,1)),0)</f>
        <v>0</v>
      </c>
      <c r="M1808" s="34">
        <f>YEAR(HistoricalStockProgress[[#This Row],[Date]])</f>
        <v>2024</v>
      </c>
      <c r="N1808" s="34">
        <f>MONTH(HistoricalStockProgress[[#This Row],[Date]])</f>
        <v>7</v>
      </c>
    </row>
    <row r="1809" spans="2:14">
      <c r="B1809" s="15">
        <v>45504</v>
      </c>
      <c r="C1809" s="34" t="s">
        <v>20</v>
      </c>
      <c r="D1809" s="34" t="e" vm="19">
        <f>_xlfn.XLOOKUP(HistoricalStockProgress[[#This Row],[Company Ticker]],CompanyDetailsList[Company Ticker],CompanyDetailsList[Official Name],,0)</f>
        <v>#VALUE!</v>
      </c>
      <c r="E18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8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809" s="17">
        <f>IFERROR(HistoricalStockProgress[[#This Row],[Cost of Shares]]/HistoricalStockProgress[[#This Row],[No. of Shares]],0)</f>
        <v>108.1760767450256</v>
      </c>
      <c r="H1809" s="16" vm="2286">
        <v>212.8</v>
      </c>
      <c r="I1809" s="16">
        <f>IF(HistoricalStockProgress[[#This Row],[No. of Shares]]&lt;&gt;0,HistoricalStockProgress[[#This Row],[Price of Shares]]*HistoricalStockProgress[[#This Row],[No. of Shares]],0)</f>
        <v>24684.800000000003</v>
      </c>
      <c r="J1809" s="16">
        <f>IF(HistoricalStockProgress[[#This Row],[No. of Shares]]&lt;&gt;0,HistoricalStockProgress[[#This Row],[Price of Shares]]-HistoricalStockProgress[[#This Row],[Cost of Shares]]/HistoricalStockProgress[[#This Row],[No. of Shares]],0)</f>
        <v>104.62392325497441</v>
      </c>
      <c r="K1809" s="17">
        <f>IF(HistoricalStockProgress[[#This Row],[Total Price of Shares]]&lt;&gt;0,HistoricalStockProgress[[#This Row],[Total Price of Shares]]-HistoricalStockProgress[[#This Row],[Cost of Shares]],0)</f>
        <v>12136.375097577034</v>
      </c>
      <c r="L1809" s="34" t="b" cm="1">
        <f t="array" ref="L1809">IFERROR(IF(HistoricalStockProgress[[#This Row],[Price of Shares]]="",_xlfn.STOCKHISTORY(HistoricalStockProgress[[#This Row],[Full Company Name]],HistoricalStockProgress[[#This Row],[Date]],,2,0,1)),0)</f>
        <v>0</v>
      </c>
      <c r="M1809" s="34">
        <f>YEAR(HistoricalStockProgress[[#This Row],[Date]])</f>
        <v>2024</v>
      </c>
      <c r="N1809" s="34">
        <f>MONTH(HistoricalStockProgress[[#This Row],[Date]])</f>
        <v>7</v>
      </c>
    </row>
    <row r="1810" spans="2:14">
      <c r="B1810" s="15">
        <v>45504</v>
      </c>
      <c r="C1810" s="34" t="s">
        <v>106</v>
      </c>
      <c r="D1810" s="34" t="e" vm="20">
        <f>_xlfn.XLOOKUP(HistoricalStockProgress[[#This Row],[Company Ticker]],CompanyDetailsList[Company Ticker],CompanyDetailsList[Official Name],,0)</f>
        <v>#VALUE!</v>
      </c>
      <c r="E18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8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810" s="17">
        <f>IFERROR(HistoricalStockProgress[[#This Row],[Cost of Shares]]/HistoricalStockProgress[[#This Row],[No. of Shares]],0)</f>
        <v>108.54870748680406</v>
      </c>
      <c r="H1810" s="16" vm="1861">
        <v>126.98</v>
      </c>
      <c r="I1810" s="16">
        <f>IF(HistoricalStockProgress[[#This Row],[No. of Shares]]&lt;&gt;0,HistoricalStockProgress[[#This Row],[Price of Shares]]*HistoricalStockProgress[[#This Row],[No. of Shares]],0)</f>
        <v>11174.24</v>
      </c>
      <c r="J1810" s="16">
        <f>IF(HistoricalStockProgress[[#This Row],[No. of Shares]]&lt;&gt;0,HistoricalStockProgress[[#This Row],[Price of Shares]]-HistoricalStockProgress[[#This Row],[Cost of Shares]]/HistoricalStockProgress[[#This Row],[No. of Shares]],0)</f>
        <v>18.431292513195942</v>
      </c>
      <c r="K1810" s="17">
        <f>IF(HistoricalStockProgress[[#This Row],[Total Price of Shares]]&lt;&gt;0,HistoricalStockProgress[[#This Row],[Total Price of Shares]]-HistoricalStockProgress[[#This Row],[Cost of Shares]],0)</f>
        <v>1621.9537411612419</v>
      </c>
      <c r="L1810" s="34" t="b" cm="1">
        <f t="array" ref="L1810">IFERROR(IF(HistoricalStockProgress[[#This Row],[Price of Shares]]="",_xlfn.STOCKHISTORY(HistoricalStockProgress[[#This Row],[Full Company Name]],HistoricalStockProgress[[#This Row],[Date]],,2,0,1)),0)</f>
        <v>0</v>
      </c>
      <c r="M1810" s="34">
        <f>YEAR(HistoricalStockProgress[[#This Row],[Date]])</f>
        <v>2024</v>
      </c>
      <c r="N1810" s="34">
        <f>MONTH(HistoricalStockProgress[[#This Row],[Date]])</f>
        <v>7</v>
      </c>
    </row>
    <row r="1811" spans="2:14">
      <c r="B1811" s="15">
        <v>45535</v>
      </c>
      <c r="C1811" s="34" t="s">
        <v>12</v>
      </c>
      <c r="D1811" s="34" t="e" vm="1">
        <f>_xlfn.XLOOKUP(HistoricalStockProgress[[#This Row],[Company Ticker]],CompanyDetailsList[Company Ticker],CompanyDetailsList[Official Name],,0)</f>
        <v>#VALUE!</v>
      </c>
      <c r="E18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8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811" s="17">
        <f>IFERROR(HistoricalStockProgress[[#This Row],[Cost of Shares]]/HistoricalStockProgress[[#This Row],[No. of Shares]],0)</f>
        <v>64.573985995316889</v>
      </c>
      <c r="H1811" s="16" vm="2287">
        <v>62.11</v>
      </c>
      <c r="I1811" s="16">
        <f>IF(HistoricalStockProgress[[#This Row],[No. of Shares]]&lt;&gt;0,HistoricalStockProgress[[#This Row],[Price of Shares]]*HistoricalStockProgress[[#This Row],[No. of Shares]],0)</f>
        <v>6024.67</v>
      </c>
      <c r="J1811" s="16">
        <f>IF(HistoricalStockProgress[[#This Row],[No. of Shares]]&lt;&gt;0,HistoricalStockProgress[[#This Row],[Price of Shares]]-HistoricalStockProgress[[#This Row],[Cost of Shares]]/HistoricalStockProgress[[#This Row],[No. of Shares]],0)</f>
        <v>-2.4639859953168894</v>
      </c>
      <c r="K1811" s="17">
        <f>IF(HistoricalStockProgress[[#This Row],[Total Price of Shares]]&lt;&gt;0,HistoricalStockProgress[[#This Row],[Total Price of Shares]]-HistoricalStockProgress[[#This Row],[Cost of Shares]],0)</f>
        <v>-239.00664154573769</v>
      </c>
      <c r="L1811" s="34" t="b" cm="1">
        <f t="array" ref="L1811">IFERROR(IF(HistoricalStockProgress[[#This Row],[Price of Shares]]="",_xlfn.STOCKHISTORY(HistoricalStockProgress[[#This Row],[Full Company Name]],HistoricalStockProgress[[#This Row],[Date]],,2,0,1)),0)</f>
        <v>0</v>
      </c>
      <c r="M1811" s="34">
        <f>YEAR(HistoricalStockProgress[[#This Row],[Date]])</f>
        <v>2024</v>
      </c>
      <c r="N1811" s="34">
        <f>MONTH(HistoricalStockProgress[[#This Row],[Date]])</f>
        <v>8</v>
      </c>
    </row>
    <row r="1812" spans="2:14">
      <c r="B1812" s="15">
        <v>45535</v>
      </c>
      <c r="C1812" s="34" t="s">
        <v>14</v>
      </c>
      <c r="D1812" s="34" t="e" vm="2">
        <f>_xlfn.XLOOKUP(HistoricalStockProgress[[#This Row],[Company Ticker]],CompanyDetailsList[Company Ticker],CompanyDetailsList[Official Name],,0)</f>
        <v>#VALUE!</v>
      </c>
      <c r="E18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18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1812" s="17">
        <f>IFERROR(HistoricalStockProgress[[#This Row],[Cost of Shares]]/HistoricalStockProgress[[#This Row],[No. of Shares]],0)</f>
        <v>26.819337355148658</v>
      </c>
      <c r="H1812" s="16" vm="2288">
        <v>28.96</v>
      </c>
      <c r="I1812" s="16">
        <f>IF(HistoricalStockProgress[[#This Row],[No. of Shares]]&lt;&gt;0,HistoricalStockProgress[[#This Row],[Price of Shares]]*HistoricalStockProgress[[#This Row],[No. of Shares]],0)</f>
        <v>1824.48</v>
      </c>
      <c r="J1812" s="16">
        <f>IF(HistoricalStockProgress[[#This Row],[No. of Shares]]&lt;&gt;0,HistoricalStockProgress[[#This Row],[Price of Shares]]-HistoricalStockProgress[[#This Row],[Cost of Shares]]/HistoricalStockProgress[[#This Row],[No. of Shares]],0)</f>
        <v>2.1406626448513428</v>
      </c>
      <c r="K1812" s="17">
        <f>IF(HistoricalStockProgress[[#This Row],[Total Price of Shares]]&lt;&gt;0,HistoricalStockProgress[[#This Row],[Total Price of Shares]]-HistoricalStockProgress[[#This Row],[Cost of Shares]],0)</f>
        <v>134.86174662563462</v>
      </c>
      <c r="L1812" s="34" t="b" cm="1">
        <f t="array" ref="L1812">IFERROR(IF(HistoricalStockProgress[[#This Row],[Price of Shares]]="",_xlfn.STOCKHISTORY(HistoricalStockProgress[[#This Row],[Full Company Name]],HistoricalStockProgress[[#This Row],[Date]],,2,0,1)),0)</f>
        <v>0</v>
      </c>
      <c r="M1812" s="34">
        <f>YEAR(HistoricalStockProgress[[#This Row],[Date]])</f>
        <v>2024</v>
      </c>
      <c r="N1812" s="34">
        <f>MONTH(HistoricalStockProgress[[#This Row],[Date]])</f>
        <v>8</v>
      </c>
    </row>
    <row r="1813" spans="2:14">
      <c r="B1813" s="15">
        <v>45535</v>
      </c>
      <c r="C1813" s="34" t="s">
        <v>19</v>
      </c>
      <c r="D1813" s="34" t="e" vm="3">
        <f>_xlfn.XLOOKUP(HistoricalStockProgress[[#This Row],[Company Ticker]],CompanyDetailsList[Company Ticker],CompanyDetailsList[Official Name],,0)</f>
        <v>#VALUE!</v>
      </c>
      <c r="E18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57</v>
      </c>
      <c r="F18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9032.0717930551673</v>
      </c>
      <c r="G1813" s="17">
        <f>IFERROR(HistoricalStockProgress[[#This Row],[Cost of Shares]]/HistoricalStockProgress[[#This Row],[No. of Shares]],0)</f>
        <v>158.45739987816083</v>
      </c>
      <c r="H1813" s="16" vm="2289">
        <v>158.31</v>
      </c>
      <c r="I1813" s="16">
        <f>IF(HistoricalStockProgress[[#This Row],[No. of Shares]]&lt;&gt;0,HistoricalStockProgress[[#This Row],[Price of Shares]]*HistoricalStockProgress[[#This Row],[No. of Shares]],0)</f>
        <v>9023.67</v>
      </c>
      <c r="J1813" s="16">
        <f>IF(HistoricalStockProgress[[#This Row],[No. of Shares]]&lt;&gt;0,HistoricalStockProgress[[#This Row],[Price of Shares]]-HistoricalStockProgress[[#This Row],[Cost of Shares]]/HistoricalStockProgress[[#This Row],[No. of Shares]],0)</f>
        <v>-0.14739987816082589</v>
      </c>
      <c r="K1813" s="17">
        <f>IF(HistoricalStockProgress[[#This Row],[Total Price of Shares]]&lt;&gt;0,HistoricalStockProgress[[#This Row],[Total Price of Shares]]-HistoricalStockProgress[[#This Row],[Cost of Shares]],0)</f>
        <v>-8.401793055167218</v>
      </c>
      <c r="L1813" s="34" t="b" cm="1">
        <f t="array" ref="L1813">IFERROR(IF(HistoricalStockProgress[[#This Row],[Price of Shares]]="",_xlfn.STOCKHISTORY(HistoricalStockProgress[[#This Row],[Full Company Name]],HistoricalStockProgress[[#This Row],[Date]],,2,0,1)),0)</f>
        <v>0</v>
      </c>
      <c r="M1813" s="34">
        <f>YEAR(HistoricalStockProgress[[#This Row],[Date]])</f>
        <v>2024</v>
      </c>
      <c r="N1813" s="34">
        <f>MONTH(HistoricalStockProgress[[#This Row],[Date]])</f>
        <v>8</v>
      </c>
    </row>
    <row r="1814" spans="2:14">
      <c r="B1814" s="15">
        <v>45535</v>
      </c>
      <c r="C1814" s="34" t="s">
        <v>23</v>
      </c>
      <c r="D1814" s="34" t="e" vm="4">
        <f>_xlfn.XLOOKUP(HistoricalStockProgress[[#This Row],[Company Ticker]],CompanyDetailsList[Company Ticker],CompanyDetailsList[Official Name],,0)</f>
        <v>#VALUE!</v>
      </c>
      <c r="E18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18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1814" s="17">
        <f>IFERROR(HistoricalStockProgress[[#This Row],[Cost of Shares]]/HistoricalStockProgress[[#This Row],[No. of Shares]],0)</f>
        <v>50.781277236510277</v>
      </c>
      <c r="H1814" s="16" vm="2290">
        <v>72.47</v>
      </c>
      <c r="I1814" s="16">
        <f>IF(HistoricalStockProgress[[#This Row],[No. of Shares]]&lt;&gt;0,HistoricalStockProgress[[#This Row],[Price of Shares]]*HistoricalStockProgress[[#This Row],[No. of Shares]],0)</f>
        <v>8478.99</v>
      </c>
      <c r="J1814" s="16">
        <f>IF(HistoricalStockProgress[[#This Row],[No. of Shares]]&lt;&gt;0,HistoricalStockProgress[[#This Row],[Price of Shares]]-HistoricalStockProgress[[#This Row],[Cost of Shares]]/HistoricalStockProgress[[#This Row],[No. of Shares]],0)</f>
        <v>21.688722763489722</v>
      </c>
      <c r="K1814" s="17">
        <f>IF(HistoricalStockProgress[[#This Row],[Total Price of Shares]]&lt;&gt;0,HistoricalStockProgress[[#This Row],[Total Price of Shares]]-HistoricalStockProgress[[#This Row],[Cost of Shares]],0)</f>
        <v>2537.5805633282971</v>
      </c>
      <c r="L1814" s="34" t="b" cm="1">
        <f t="array" ref="L1814">IFERROR(IF(HistoricalStockProgress[[#This Row],[Price of Shares]]="",_xlfn.STOCKHISTORY(HistoricalStockProgress[[#This Row],[Full Company Name]],HistoricalStockProgress[[#This Row],[Date]],,2,0,1)),0)</f>
        <v>0</v>
      </c>
      <c r="M1814" s="34">
        <f>YEAR(HistoricalStockProgress[[#This Row],[Date]])</f>
        <v>2024</v>
      </c>
      <c r="N1814" s="34">
        <f>MONTH(HistoricalStockProgress[[#This Row],[Date]])</f>
        <v>8</v>
      </c>
    </row>
    <row r="1815" spans="2:14">
      <c r="B1815" s="15">
        <v>45535</v>
      </c>
      <c r="C1815" s="34" t="s">
        <v>18</v>
      </c>
      <c r="D1815" s="34" t="e" vm="5">
        <f>_xlfn.XLOOKUP(HistoricalStockProgress[[#This Row],[Company Ticker]],CompanyDetailsList[Company Ticker],CompanyDetailsList[Official Name],,0)</f>
        <v>#VALUE!</v>
      </c>
      <c r="E18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8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815" s="17">
        <f>IFERROR(HistoricalStockProgress[[#This Row],[Cost of Shares]]/HistoricalStockProgress[[#This Row],[No. of Shares]],0)</f>
        <v>160.8859607546234</v>
      </c>
      <c r="H1815" s="16" vm="2291">
        <v>172.88</v>
      </c>
      <c r="I1815" s="16">
        <f>IF(HistoricalStockProgress[[#This Row],[No. of Shares]]&lt;&gt;0,HistoricalStockProgress[[#This Row],[Price of Shares]]*HistoricalStockProgress[[#This Row],[No. of Shares]],0)</f>
        <v>7433.84</v>
      </c>
      <c r="J1815" s="16">
        <f>IF(HistoricalStockProgress[[#This Row],[No. of Shares]]&lt;&gt;0,HistoricalStockProgress[[#This Row],[Price of Shares]]-HistoricalStockProgress[[#This Row],[Cost of Shares]]/HistoricalStockProgress[[#This Row],[No. of Shares]],0)</f>
        <v>11.994039245376598</v>
      </c>
      <c r="K1815" s="17">
        <f>IF(HistoricalStockProgress[[#This Row],[Total Price of Shares]]&lt;&gt;0,HistoricalStockProgress[[#This Row],[Total Price of Shares]]-HistoricalStockProgress[[#This Row],[Cost of Shares]],0)</f>
        <v>515.74368755119394</v>
      </c>
      <c r="L1815" s="34" t="b" cm="1">
        <f t="array" ref="L1815">IFERROR(IF(HistoricalStockProgress[[#This Row],[Price of Shares]]="",_xlfn.STOCKHISTORY(HistoricalStockProgress[[#This Row],[Full Company Name]],HistoricalStockProgress[[#This Row],[Date]],,2,0,1)),0)</f>
        <v>0</v>
      </c>
      <c r="M1815" s="34">
        <f>YEAR(HistoricalStockProgress[[#This Row],[Date]])</f>
        <v>2024</v>
      </c>
      <c r="N1815" s="34">
        <f>MONTH(HistoricalStockProgress[[#This Row],[Date]])</f>
        <v>8</v>
      </c>
    </row>
    <row r="1816" spans="2:14">
      <c r="B1816" s="15">
        <v>45535</v>
      </c>
      <c r="C1816" s="34" t="s">
        <v>21</v>
      </c>
      <c r="D1816" s="34" t="e" vm="6">
        <f>_xlfn.XLOOKUP(HistoricalStockProgress[[#This Row],[Company Ticker]],CompanyDetailsList[Company Ticker],CompanyDetailsList[Official Name],,0)</f>
        <v>#VALUE!</v>
      </c>
      <c r="E18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8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816" s="17">
        <f>IFERROR(HistoricalStockProgress[[#This Row],[Cost of Shares]]/HistoricalStockProgress[[#This Row],[No. of Shares]],0)</f>
        <v>139.68700010204148</v>
      </c>
      <c r="H1816" s="16" vm="2292">
        <v>171.54</v>
      </c>
      <c r="I1816" s="16">
        <f>IF(HistoricalStockProgress[[#This Row],[No. of Shares]]&lt;&gt;0,HistoricalStockProgress[[#This Row],[Price of Shares]]*HistoricalStockProgress[[#This Row],[No. of Shares]],0)</f>
        <v>7204.6799999999994</v>
      </c>
      <c r="J1816" s="16">
        <f>IF(HistoricalStockProgress[[#This Row],[No. of Shares]]&lt;&gt;0,HistoricalStockProgress[[#This Row],[Price of Shares]]-HistoricalStockProgress[[#This Row],[Cost of Shares]]/HistoricalStockProgress[[#This Row],[No. of Shares]],0)</f>
        <v>31.852999897958512</v>
      </c>
      <c r="K1816" s="17">
        <f>IF(HistoricalStockProgress[[#This Row],[Total Price of Shares]]&lt;&gt;0,HistoricalStockProgress[[#This Row],[Total Price of Shares]]-HistoricalStockProgress[[#This Row],[Cost of Shares]],0)</f>
        <v>1337.8259957142573</v>
      </c>
      <c r="L1816" s="34" t="b" cm="1">
        <f t="array" ref="L1816">IFERROR(IF(HistoricalStockProgress[[#This Row],[Price of Shares]]="",_xlfn.STOCKHISTORY(HistoricalStockProgress[[#This Row],[Full Company Name]],HistoricalStockProgress[[#This Row],[Date]],,2,0,1)),0)</f>
        <v>0</v>
      </c>
      <c r="M1816" s="34">
        <f>YEAR(HistoricalStockProgress[[#This Row],[Date]])</f>
        <v>2024</v>
      </c>
      <c r="N1816" s="34">
        <f>MONTH(HistoricalStockProgress[[#This Row],[Date]])</f>
        <v>8</v>
      </c>
    </row>
    <row r="1817" spans="2:14">
      <c r="B1817" s="15">
        <v>45535</v>
      </c>
      <c r="C1817" s="34" t="s">
        <v>84</v>
      </c>
      <c r="D1817" s="34" t="e" vm="7">
        <f>_xlfn.XLOOKUP(HistoricalStockProgress[[#This Row],[Company Ticker]],CompanyDetailsList[Company Ticker],CompanyDetailsList[Official Name],,0)</f>
        <v>#VALUE!</v>
      </c>
      <c r="E18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8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817" s="17">
        <f>IFERROR(HistoricalStockProgress[[#This Row],[Cost of Shares]]/HistoricalStockProgress[[#This Row],[No. of Shares]],0)</f>
        <v>104.18087504950869</v>
      </c>
      <c r="H1817" s="16" vm="2293">
        <v>165.86</v>
      </c>
      <c r="I1817" s="16">
        <f>IF(HistoricalStockProgress[[#This Row],[No. of Shares]]&lt;&gt;0,HistoricalStockProgress[[#This Row],[Price of Shares]]*HistoricalStockProgress[[#This Row],[No. of Shares]],0)</f>
        <v>8458.86</v>
      </c>
      <c r="J1817" s="16">
        <f>IF(HistoricalStockProgress[[#This Row],[No. of Shares]]&lt;&gt;0,HistoricalStockProgress[[#This Row],[Price of Shares]]-HistoricalStockProgress[[#This Row],[Cost of Shares]]/HistoricalStockProgress[[#This Row],[No. of Shares]],0)</f>
        <v>61.679124950491328</v>
      </c>
      <c r="K1817" s="17">
        <f>IF(HistoricalStockProgress[[#This Row],[Total Price of Shares]]&lt;&gt;0,HistoricalStockProgress[[#This Row],[Total Price of Shares]]-HistoricalStockProgress[[#This Row],[Cost of Shares]],0)</f>
        <v>3145.6353724750579</v>
      </c>
      <c r="L1817" s="34" t="b" cm="1">
        <f t="array" ref="L1817">IFERROR(IF(HistoricalStockProgress[[#This Row],[Price of Shares]]="",_xlfn.STOCKHISTORY(HistoricalStockProgress[[#This Row],[Full Company Name]],HistoricalStockProgress[[#This Row],[Date]],,2,0,1)),0)</f>
        <v>0</v>
      </c>
      <c r="M1817" s="34">
        <f>YEAR(HistoricalStockProgress[[#This Row],[Date]])</f>
        <v>2024</v>
      </c>
      <c r="N1817" s="34">
        <f>MONTH(HistoricalStockProgress[[#This Row],[Date]])</f>
        <v>8</v>
      </c>
    </row>
    <row r="1818" spans="2:14">
      <c r="B1818" s="15">
        <v>45535</v>
      </c>
      <c r="C1818" s="34" t="s">
        <v>86</v>
      </c>
      <c r="D1818" s="34" t="e" vm="8">
        <f>_xlfn.XLOOKUP(HistoricalStockProgress[[#This Row],[Company Ticker]],CompanyDetailsList[Company Ticker],CompanyDetailsList[Official Name],,0)</f>
        <v>#VALUE!</v>
      </c>
      <c r="E18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141</v>
      </c>
      <c r="F18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15560.101749174495</v>
      </c>
      <c r="G1818" s="17">
        <f>IFERROR(HistoricalStockProgress[[#This Row],[Cost of Shares]]/HistoricalStockProgress[[#This Row],[No. of Shares]],0)</f>
        <v>110.35533155442904</v>
      </c>
      <c r="H1818" s="16" vm="2294">
        <v>196.31</v>
      </c>
      <c r="I1818" s="16">
        <f>IF(HistoricalStockProgress[[#This Row],[No. of Shares]]&lt;&gt;0,HistoricalStockProgress[[#This Row],[Price of Shares]]*HistoricalStockProgress[[#This Row],[No. of Shares]],0)</f>
        <v>27679.71</v>
      </c>
      <c r="J1818" s="16">
        <f>IF(HistoricalStockProgress[[#This Row],[No. of Shares]]&lt;&gt;0,HistoricalStockProgress[[#This Row],[Price of Shares]]-HistoricalStockProgress[[#This Row],[Cost of Shares]]/HistoricalStockProgress[[#This Row],[No. of Shares]],0)</f>
        <v>85.95466844557096</v>
      </c>
      <c r="K1818" s="17">
        <f>IF(HistoricalStockProgress[[#This Row],[Total Price of Shares]]&lt;&gt;0,HistoricalStockProgress[[#This Row],[Total Price of Shares]]-HistoricalStockProgress[[#This Row],[Cost of Shares]],0)</f>
        <v>12119.608250825504</v>
      </c>
      <c r="L1818" s="34" t="b" cm="1">
        <f t="array" ref="L1818">IFERROR(IF(HistoricalStockProgress[[#This Row],[Price of Shares]]="",_xlfn.STOCKHISTORY(HistoricalStockProgress[[#This Row],[Full Company Name]],HistoricalStockProgress[[#This Row],[Date]],,2,0,1)),0)</f>
        <v>0</v>
      </c>
      <c r="M1818" s="34">
        <f>YEAR(HistoricalStockProgress[[#This Row],[Date]])</f>
        <v>2024</v>
      </c>
      <c r="N1818" s="34">
        <f>MONTH(HistoricalStockProgress[[#This Row],[Date]])</f>
        <v>8</v>
      </c>
    </row>
    <row r="1819" spans="2:14">
      <c r="B1819" s="15">
        <v>45535</v>
      </c>
      <c r="C1819" s="34" t="s">
        <v>88</v>
      </c>
      <c r="D1819" s="34" t="e" vm="9">
        <f>_xlfn.XLOOKUP(HistoricalStockProgress[[#This Row],[Company Ticker]],CompanyDetailsList[Company Ticker],CompanyDetailsList[Official Name],,0)</f>
        <v>#VALUE!</v>
      </c>
      <c r="E18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18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1819" s="17">
        <f>IFERROR(HistoricalStockProgress[[#This Row],[Cost of Shares]]/HistoricalStockProgress[[#This Row],[No. of Shares]],0)</f>
        <v>224.7272684493652</v>
      </c>
      <c r="H1819" s="16" vm="2295">
        <v>288.66000000000003</v>
      </c>
      <c r="I1819" s="16">
        <f>IF(HistoricalStockProgress[[#This Row],[No. of Shares]]&lt;&gt;0,HistoricalStockProgress[[#This Row],[Price of Shares]]*HistoricalStockProgress[[#This Row],[No. of Shares]],0)</f>
        <v>27422.7</v>
      </c>
      <c r="J1819" s="16">
        <f>IF(HistoricalStockProgress[[#This Row],[No. of Shares]]&lt;&gt;0,HistoricalStockProgress[[#This Row],[Price of Shares]]-HistoricalStockProgress[[#This Row],[Cost of Shares]]/HistoricalStockProgress[[#This Row],[No. of Shares]],0)</f>
        <v>63.932731550634827</v>
      </c>
      <c r="K1819" s="17">
        <f>IF(HistoricalStockProgress[[#This Row],[Total Price of Shares]]&lt;&gt;0,HistoricalStockProgress[[#This Row],[Total Price of Shares]]-HistoricalStockProgress[[#This Row],[Cost of Shares]],0)</f>
        <v>6073.6094973103063</v>
      </c>
      <c r="L1819" s="34" t="b" cm="1">
        <f t="array" ref="L1819">IFERROR(IF(HistoricalStockProgress[[#This Row],[Price of Shares]]="",_xlfn.STOCKHISTORY(HistoricalStockProgress[[#This Row],[Full Company Name]],HistoricalStockProgress[[#This Row],[Date]],,2,0,1)),0)</f>
        <v>0</v>
      </c>
      <c r="M1819" s="34">
        <f>YEAR(HistoricalStockProgress[[#This Row],[Date]])</f>
        <v>2024</v>
      </c>
      <c r="N1819" s="34">
        <f>MONTH(HistoricalStockProgress[[#This Row],[Date]])</f>
        <v>8</v>
      </c>
    </row>
    <row r="1820" spans="2:14">
      <c r="B1820" s="15">
        <v>45535</v>
      </c>
      <c r="C1820" s="34" t="s">
        <v>22</v>
      </c>
      <c r="D1820" s="34" t="e" vm="10">
        <f>_xlfn.XLOOKUP(HistoricalStockProgress[[#This Row],[Company Ticker]],CompanyDetailsList[Company Ticker],CompanyDetailsList[Official Name],,0)</f>
        <v>#VALUE!</v>
      </c>
      <c r="E18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8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820" s="17">
        <f>IFERROR(HistoricalStockProgress[[#This Row],[Cost of Shares]]/HistoricalStockProgress[[#This Row],[No. of Shares]],0)</f>
        <v>130.19784136724968</v>
      </c>
      <c r="H1820" s="16" vm="2296">
        <v>356.1</v>
      </c>
      <c r="I1820" s="16">
        <f>IF(HistoricalStockProgress[[#This Row],[No. of Shares]]&lt;&gt;0,HistoricalStockProgress[[#This Row],[Price of Shares]]*HistoricalStockProgress[[#This Row],[No. of Shares]],0)</f>
        <v>42375.9</v>
      </c>
      <c r="J1820" s="16">
        <f>IF(HistoricalStockProgress[[#This Row],[No. of Shares]]&lt;&gt;0,HistoricalStockProgress[[#This Row],[Price of Shares]]-HistoricalStockProgress[[#This Row],[Cost of Shares]]/HistoricalStockProgress[[#This Row],[No. of Shares]],0)</f>
        <v>225.90215863275034</v>
      </c>
      <c r="K1820" s="17">
        <f>IF(HistoricalStockProgress[[#This Row],[Total Price of Shares]]&lt;&gt;0,HistoricalStockProgress[[#This Row],[Total Price of Shares]]-HistoricalStockProgress[[#This Row],[Cost of Shares]],0)</f>
        <v>26882.356877297287</v>
      </c>
      <c r="L1820" s="34" t="b" cm="1">
        <f t="array" ref="L1820">IFERROR(IF(HistoricalStockProgress[[#This Row],[Price of Shares]]="",_xlfn.STOCKHISTORY(HistoricalStockProgress[[#This Row],[Full Company Name]],HistoricalStockProgress[[#This Row],[Date]],,2,0,1)),0)</f>
        <v>0</v>
      </c>
      <c r="M1820" s="34">
        <f>YEAR(HistoricalStockProgress[[#This Row],[Date]])</f>
        <v>2024</v>
      </c>
      <c r="N1820" s="34">
        <f>MONTH(HistoricalStockProgress[[#This Row],[Date]])</f>
        <v>8</v>
      </c>
    </row>
    <row r="1821" spans="2:14">
      <c r="B1821" s="15">
        <v>45535</v>
      </c>
      <c r="C1821" s="34" t="s">
        <v>91</v>
      </c>
      <c r="D1821" s="34" t="e" vm="11">
        <f>_xlfn.XLOOKUP(HistoricalStockProgress[[#This Row],[Company Ticker]],CompanyDetailsList[Company Ticker],CompanyDetailsList[Official Name],,0)</f>
        <v>#VALUE!</v>
      </c>
      <c r="E18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8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821" s="17">
        <f>IFERROR(HistoricalStockProgress[[#This Row],[Cost of Shares]]/HistoricalStockProgress[[#This Row],[No. of Shares]],0)</f>
        <v>133.15744058830452</v>
      </c>
      <c r="H1821" s="16" vm="2297">
        <v>417.14</v>
      </c>
      <c r="I1821" s="16">
        <f>IF(HistoricalStockProgress[[#This Row],[No. of Shares]]&lt;&gt;0,HistoricalStockProgress[[#This Row],[Price of Shares]]*HistoricalStockProgress[[#This Row],[No. of Shares]],0)</f>
        <v>76336.62</v>
      </c>
      <c r="J1821" s="16">
        <f>IF(HistoricalStockProgress[[#This Row],[No. of Shares]]&lt;&gt;0,HistoricalStockProgress[[#This Row],[Price of Shares]]-HistoricalStockProgress[[#This Row],[Cost of Shares]]/HistoricalStockProgress[[#This Row],[No. of Shares]],0)</f>
        <v>283.98255941169543</v>
      </c>
      <c r="K1821" s="17">
        <f>IF(HistoricalStockProgress[[#This Row],[Total Price of Shares]]&lt;&gt;0,HistoricalStockProgress[[#This Row],[Total Price of Shares]]-HistoricalStockProgress[[#This Row],[Cost of Shares]],0)</f>
        <v>51968.808372340267</v>
      </c>
      <c r="L1821" s="34" t="b" cm="1">
        <f t="array" ref="L1821">IFERROR(IF(HistoricalStockProgress[[#This Row],[Price of Shares]]="",_xlfn.STOCKHISTORY(HistoricalStockProgress[[#This Row],[Full Company Name]],HistoricalStockProgress[[#This Row],[Date]],,2,0,1)),0)</f>
        <v>0</v>
      </c>
      <c r="M1821" s="34">
        <f>YEAR(HistoricalStockProgress[[#This Row],[Date]])</f>
        <v>2024</v>
      </c>
      <c r="N1821" s="34">
        <f>MONTH(HistoricalStockProgress[[#This Row],[Date]])</f>
        <v>8</v>
      </c>
    </row>
    <row r="1822" spans="2:14">
      <c r="B1822" s="15">
        <v>45535</v>
      </c>
      <c r="C1822" s="34" t="s">
        <v>16</v>
      </c>
      <c r="D1822" s="34" t="e" vm="12">
        <f>_xlfn.XLOOKUP(HistoricalStockProgress[[#This Row],[Company Ticker]],CompanyDetailsList[Company Ticker],CompanyDetailsList[Official Name],,0)</f>
        <v>#VALUE!</v>
      </c>
      <c r="E18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8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822" s="17">
        <f>IFERROR(HistoricalStockProgress[[#This Row],[Cost of Shares]]/HistoricalStockProgress[[#This Row],[No. of Shares]],0)</f>
        <v>75.117698177311837</v>
      </c>
      <c r="H1822" s="16" vm="1099">
        <v>117.94</v>
      </c>
      <c r="I1822" s="16">
        <f>IF(HistoricalStockProgress[[#This Row],[No. of Shares]]&lt;&gt;0,HistoricalStockProgress[[#This Row],[Price of Shares]]*HistoricalStockProgress[[#This Row],[No. of Shares]],0)</f>
        <v>21818.899999999998</v>
      </c>
      <c r="J1822" s="16">
        <f>IF(HistoricalStockProgress[[#This Row],[No. of Shares]]&lt;&gt;0,HistoricalStockProgress[[#This Row],[Price of Shares]]-HistoricalStockProgress[[#This Row],[Cost of Shares]]/HistoricalStockProgress[[#This Row],[No. of Shares]],0)</f>
        <v>42.822301822688161</v>
      </c>
      <c r="K1822" s="17">
        <f>IF(HistoricalStockProgress[[#This Row],[Total Price of Shares]]&lt;&gt;0,HistoricalStockProgress[[#This Row],[Total Price of Shares]]-HistoricalStockProgress[[#This Row],[Cost of Shares]],0)</f>
        <v>7922.125837197309</v>
      </c>
      <c r="L1822" s="34" t="b" cm="1">
        <f t="array" ref="L1822">IFERROR(IF(HistoricalStockProgress[[#This Row],[Price of Shares]]="",_xlfn.STOCKHISTORY(HistoricalStockProgress[[#This Row],[Full Company Name]],HistoricalStockProgress[[#This Row],[Date]],,2,0,1)),0)</f>
        <v>0</v>
      </c>
      <c r="M1822" s="34">
        <f>YEAR(HistoricalStockProgress[[#This Row],[Date]])</f>
        <v>2024</v>
      </c>
      <c r="N1822" s="34">
        <f>MONTH(HistoricalStockProgress[[#This Row],[Date]])</f>
        <v>8</v>
      </c>
    </row>
    <row r="1823" spans="2:14">
      <c r="B1823" s="15">
        <v>45535</v>
      </c>
      <c r="C1823" s="34" t="s">
        <v>95</v>
      </c>
      <c r="D1823" s="34" t="e" vm="13">
        <f>_xlfn.XLOOKUP(HistoricalStockProgress[[#This Row],[Company Ticker]],CompanyDetailsList[Company Ticker],CompanyDetailsList[Official Name],,0)</f>
        <v>#VALUE!</v>
      </c>
      <c r="E18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143</v>
      </c>
      <c r="F18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35362.550411645469</v>
      </c>
      <c r="G1823" s="17">
        <f>IFERROR(HistoricalStockProgress[[#This Row],[Cost of Shares]]/HistoricalStockProgress[[#This Row],[No. of Shares]],0)</f>
        <v>247.29056231919907</v>
      </c>
      <c r="H1823" s="16" vm="2298">
        <v>368.5</v>
      </c>
      <c r="I1823" s="16">
        <f>IF(HistoricalStockProgress[[#This Row],[No. of Shares]]&lt;&gt;0,HistoricalStockProgress[[#This Row],[Price of Shares]]*HistoricalStockProgress[[#This Row],[No. of Shares]],0)</f>
        <v>52695.5</v>
      </c>
      <c r="J1823" s="16">
        <f>IF(HistoricalStockProgress[[#This Row],[No. of Shares]]&lt;&gt;0,HistoricalStockProgress[[#This Row],[Price of Shares]]-HistoricalStockProgress[[#This Row],[Cost of Shares]]/HistoricalStockProgress[[#This Row],[No. of Shares]],0)</f>
        <v>121.20943768080093</v>
      </c>
      <c r="K1823" s="17">
        <f>IF(HistoricalStockProgress[[#This Row],[Total Price of Shares]]&lt;&gt;0,HistoricalStockProgress[[#This Row],[Total Price of Shares]]-HistoricalStockProgress[[#This Row],[Cost of Shares]],0)</f>
        <v>17332.949588354531</v>
      </c>
      <c r="L1823" s="34" t="b" cm="1">
        <f t="array" ref="L1823">IFERROR(IF(HistoricalStockProgress[[#This Row],[Price of Shares]]="",_xlfn.STOCKHISTORY(HistoricalStockProgress[[#This Row],[Full Company Name]],HistoricalStockProgress[[#This Row],[Date]],,2,0,1)),0)</f>
        <v>0</v>
      </c>
      <c r="M1823" s="34">
        <f>YEAR(HistoricalStockProgress[[#This Row],[Date]])</f>
        <v>2024</v>
      </c>
      <c r="N1823" s="34">
        <f>MONTH(HistoricalStockProgress[[#This Row],[Date]])</f>
        <v>8</v>
      </c>
    </row>
    <row r="1824" spans="2:14">
      <c r="B1824" s="15">
        <v>45535</v>
      </c>
      <c r="C1824" s="34" t="s">
        <v>17</v>
      </c>
      <c r="D1824" s="34" t="e" vm="14">
        <f>_xlfn.XLOOKUP(HistoricalStockProgress[[#This Row],[Company Ticker]],CompanyDetailsList[Company Ticker],CompanyDetailsList[Official Name],,0)</f>
        <v>#VALUE!</v>
      </c>
      <c r="E18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18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1824" s="17">
        <f>IFERROR(HistoricalStockProgress[[#This Row],[Cost of Shares]]/HistoricalStockProgress[[#This Row],[No. of Shares]],0)</f>
        <v>143.37791217450521</v>
      </c>
      <c r="H1824" s="16" vm="2299">
        <v>202.13</v>
      </c>
      <c r="I1824" s="16">
        <f>IF(HistoricalStockProgress[[#This Row],[No. of Shares]]&lt;&gt;0,HistoricalStockProgress[[#This Row],[Price of Shares]]*HistoricalStockProgress[[#This Row],[No. of Shares]],0)</f>
        <v>46692.03</v>
      </c>
      <c r="J1824" s="16">
        <f>IF(HistoricalStockProgress[[#This Row],[No. of Shares]]&lt;&gt;0,HistoricalStockProgress[[#This Row],[Price of Shares]]-HistoricalStockProgress[[#This Row],[Cost of Shares]]/HistoricalStockProgress[[#This Row],[No. of Shares]],0)</f>
        <v>58.752087825494783</v>
      </c>
      <c r="K1824" s="17">
        <f>IF(HistoricalStockProgress[[#This Row],[Total Price of Shares]]&lt;&gt;0,HistoricalStockProgress[[#This Row],[Total Price of Shares]]-HistoricalStockProgress[[#This Row],[Cost of Shares]],0)</f>
        <v>13571.732287689294</v>
      </c>
      <c r="L1824" s="34" t="b" cm="1">
        <f t="array" ref="L1824">IFERROR(IF(HistoricalStockProgress[[#This Row],[Price of Shares]]="",_xlfn.STOCKHISTORY(HistoricalStockProgress[[#This Row],[Full Company Name]],HistoricalStockProgress[[#This Row],[Date]],,2,0,1)),0)</f>
        <v>0</v>
      </c>
      <c r="M1824" s="34">
        <f>YEAR(HistoricalStockProgress[[#This Row],[Date]])</f>
        <v>2024</v>
      </c>
      <c r="N1824" s="34">
        <f>MONTH(HistoricalStockProgress[[#This Row],[Date]])</f>
        <v>8</v>
      </c>
    </row>
    <row r="1825" spans="2:14">
      <c r="B1825" s="15">
        <v>45535</v>
      </c>
      <c r="C1825" s="34" t="s">
        <v>98</v>
      </c>
      <c r="D1825" s="34" t="e" vm="15">
        <f>_xlfn.XLOOKUP(HistoricalStockProgress[[#This Row],[Company Ticker]],CompanyDetailsList[Company Ticker],CompanyDetailsList[Official Name],,0)</f>
        <v>#VALUE!</v>
      </c>
      <c r="E18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18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8175.3025483037236</v>
      </c>
      <c r="G1825" s="17">
        <f>IFERROR(HistoricalStockProgress[[#This Row],[Cost of Shares]]/HistoricalStockProgress[[#This Row],[No. of Shares]],0)</f>
        <v>55.995222933587151</v>
      </c>
      <c r="H1825" s="16" vm="2300">
        <v>80.510000000000005</v>
      </c>
      <c r="I1825" s="16">
        <f>IF(HistoricalStockProgress[[#This Row],[No. of Shares]]&lt;&gt;0,HistoricalStockProgress[[#This Row],[Price of Shares]]*HistoricalStockProgress[[#This Row],[No. of Shares]],0)</f>
        <v>11754.460000000001</v>
      </c>
      <c r="J1825" s="16">
        <f>IF(HistoricalStockProgress[[#This Row],[No. of Shares]]&lt;&gt;0,HistoricalStockProgress[[#This Row],[Price of Shares]]-HistoricalStockProgress[[#This Row],[Cost of Shares]]/HistoricalStockProgress[[#This Row],[No. of Shares]],0)</f>
        <v>24.514777066412854</v>
      </c>
      <c r="K1825" s="17">
        <f>IF(HistoricalStockProgress[[#This Row],[Total Price of Shares]]&lt;&gt;0,HistoricalStockProgress[[#This Row],[Total Price of Shares]]-HistoricalStockProgress[[#This Row],[Cost of Shares]],0)</f>
        <v>3579.1574516962773</v>
      </c>
      <c r="L1825" s="34" t="b" cm="1">
        <f t="array" ref="L1825">IFERROR(IF(HistoricalStockProgress[[#This Row],[Price of Shares]]="",_xlfn.STOCKHISTORY(HistoricalStockProgress[[#This Row],[Full Company Name]],HistoricalStockProgress[[#This Row],[Date]],,2,0,1)),0)</f>
        <v>0</v>
      </c>
      <c r="M1825" s="34">
        <f>YEAR(HistoricalStockProgress[[#This Row],[Date]])</f>
        <v>2024</v>
      </c>
      <c r="N1825" s="34">
        <f>MONTH(HistoricalStockProgress[[#This Row],[Date]])</f>
        <v>8</v>
      </c>
    </row>
    <row r="1826" spans="2:14">
      <c r="B1826" s="15">
        <v>45535</v>
      </c>
      <c r="C1826" s="34" t="s">
        <v>100</v>
      </c>
      <c r="D1826" s="34" t="e" vm="16">
        <f>_xlfn.XLOOKUP(HistoricalStockProgress[[#This Row],[Company Ticker]],CompanyDetailsList[Company Ticker],CompanyDetailsList[Official Name],,0)</f>
        <v>#VALUE!</v>
      </c>
      <c r="E18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18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1826" s="17">
        <f>IFERROR(HistoricalStockProgress[[#This Row],[Cost of Shares]]/HistoricalStockProgress[[#This Row],[No. of Shares]],0)</f>
        <v>92.156351168716071</v>
      </c>
      <c r="H1826" s="16" vm="822">
        <v>113.95</v>
      </c>
      <c r="I1826" s="16">
        <f>IF(HistoricalStockProgress[[#This Row],[No. of Shares]]&lt;&gt;0,HistoricalStockProgress[[#This Row],[Price of Shares]]*HistoricalStockProgress[[#This Row],[No. of Shares]],0)</f>
        <v>28487.5</v>
      </c>
      <c r="J1826" s="16">
        <f>IF(HistoricalStockProgress[[#This Row],[No. of Shares]]&lt;&gt;0,HistoricalStockProgress[[#This Row],[Price of Shares]]-HistoricalStockProgress[[#This Row],[Cost of Shares]]/HistoricalStockProgress[[#This Row],[No. of Shares]],0)</f>
        <v>21.793648831283932</v>
      </c>
      <c r="K1826" s="17">
        <f>IF(HistoricalStockProgress[[#This Row],[Total Price of Shares]]&lt;&gt;0,HistoricalStockProgress[[#This Row],[Total Price of Shares]]-HistoricalStockProgress[[#This Row],[Cost of Shares]],0)</f>
        <v>5448.4122078209839</v>
      </c>
      <c r="L1826" s="34" t="b" cm="1">
        <f t="array" ref="L1826">IFERROR(IF(HistoricalStockProgress[[#This Row],[Price of Shares]]="",_xlfn.STOCKHISTORY(HistoricalStockProgress[[#This Row],[Full Company Name]],HistoricalStockProgress[[#This Row],[Date]],,2,0,1)),0)</f>
        <v>0</v>
      </c>
      <c r="M1826" s="34">
        <f>YEAR(HistoricalStockProgress[[#This Row],[Date]])</f>
        <v>2024</v>
      </c>
      <c r="N1826" s="34">
        <f>MONTH(HistoricalStockProgress[[#This Row],[Date]])</f>
        <v>8</v>
      </c>
    </row>
    <row r="1827" spans="2:14">
      <c r="B1827" s="15">
        <v>45535</v>
      </c>
      <c r="C1827" s="34" t="s">
        <v>15</v>
      </c>
      <c r="D1827" s="34" t="e" vm="17">
        <f>_xlfn.XLOOKUP(HistoricalStockProgress[[#This Row],[Company Ticker]],CompanyDetailsList[Company Ticker],CompanyDetailsList[Official Name],,0)</f>
        <v>#VALUE!</v>
      </c>
      <c r="E18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18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3628.1478386140398</v>
      </c>
      <c r="G1827" s="17">
        <f>IFERROR(HistoricalStockProgress[[#This Row],[Cost of Shares]]/HistoricalStockProgress[[#This Row],[No. of Shares]],0)</f>
        <v>24.85032766174</v>
      </c>
      <c r="H1827" s="16" vm="2301">
        <v>19.899999999999999</v>
      </c>
      <c r="I1827" s="16">
        <f>IF(HistoricalStockProgress[[#This Row],[No. of Shares]]&lt;&gt;0,HistoricalStockProgress[[#This Row],[Price of Shares]]*HistoricalStockProgress[[#This Row],[No. of Shares]],0)</f>
        <v>2905.3999999999996</v>
      </c>
      <c r="J1827" s="16">
        <f>IF(HistoricalStockProgress[[#This Row],[No. of Shares]]&lt;&gt;0,HistoricalStockProgress[[#This Row],[Price of Shares]]-HistoricalStockProgress[[#This Row],[Cost of Shares]]/HistoricalStockProgress[[#This Row],[No. of Shares]],0)</f>
        <v>-4.9503276617400012</v>
      </c>
      <c r="K1827" s="17">
        <f>IF(HistoricalStockProgress[[#This Row],[Total Price of Shares]]&lt;&gt;0,HistoricalStockProgress[[#This Row],[Total Price of Shares]]-HistoricalStockProgress[[#This Row],[Cost of Shares]],0)</f>
        <v>-722.74783861404012</v>
      </c>
      <c r="L1827" s="34" t="b" cm="1">
        <f t="array" ref="L1827">IFERROR(IF(HistoricalStockProgress[[#This Row],[Price of Shares]]="",_xlfn.STOCKHISTORY(HistoricalStockProgress[[#This Row],[Full Company Name]],HistoricalStockProgress[[#This Row],[Date]],,2,0,1)),0)</f>
        <v>0</v>
      </c>
      <c r="M1827" s="34">
        <f>YEAR(HistoricalStockProgress[[#This Row],[Date]])</f>
        <v>2024</v>
      </c>
      <c r="N1827" s="34">
        <f>MONTH(HistoricalStockProgress[[#This Row],[Date]])</f>
        <v>8</v>
      </c>
    </row>
    <row r="1828" spans="2:14">
      <c r="B1828" s="15">
        <v>45535</v>
      </c>
      <c r="C1828" s="34" t="s">
        <v>13</v>
      </c>
      <c r="D1828" s="34" t="e" vm="18">
        <f>_xlfn.XLOOKUP(HistoricalStockProgress[[#This Row],[Company Ticker]],CompanyDetailsList[Company Ticker],CompanyDetailsList[Official Name],,0)</f>
        <v>#VALUE!</v>
      </c>
      <c r="E18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70</v>
      </c>
      <c r="F18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2391.5648840965155</v>
      </c>
      <c r="G1828" s="17">
        <f>IFERROR(HistoricalStockProgress[[#This Row],[Cost of Shares]]/HistoricalStockProgress[[#This Row],[No. of Shares]],0)</f>
        <v>34.165212629950219</v>
      </c>
      <c r="H1828" s="16" vm="2302">
        <v>29.01</v>
      </c>
      <c r="I1828" s="16">
        <f>IF(HistoricalStockProgress[[#This Row],[No. of Shares]]&lt;&gt;0,HistoricalStockProgress[[#This Row],[Price of Shares]]*HistoricalStockProgress[[#This Row],[No. of Shares]],0)</f>
        <v>2030.7</v>
      </c>
      <c r="J1828" s="16">
        <f>IF(HistoricalStockProgress[[#This Row],[No. of Shares]]&lt;&gt;0,HistoricalStockProgress[[#This Row],[Price of Shares]]-HistoricalStockProgress[[#This Row],[Cost of Shares]]/HistoricalStockProgress[[#This Row],[No. of Shares]],0)</f>
        <v>-5.155212629950217</v>
      </c>
      <c r="K1828" s="17">
        <f>IF(HistoricalStockProgress[[#This Row],[Total Price of Shares]]&lt;&gt;0,HistoricalStockProgress[[#This Row],[Total Price of Shares]]-HistoricalStockProgress[[#This Row],[Cost of Shares]],0)</f>
        <v>-360.86488409651542</v>
      </c>
      <c r="L1828" s="34" t="b" cm="1">
        <f t="array" ref="L1828">IFERROR(IF(HistoricalStockProgress[[#This Row],[Price of Shares]]="",_xlfn.STOCKHISTORY(HistoricalStockProgress[[#This Row],[Full Company Name]],HistoricalStockProgress[[#This Row],[Date]],,2,0,1)),0)</f>
        <v>0</v>
      </c>
      <c r="M1828" s="34">
        <f>YEAR(HistoricalStockProgress[[#This Row],[Date]])</f>
        <v>2024</v>
      </c>
      <c r="N1828" s="34">
        <f>MONTH(HistoricalStockProgress[[#This Row],[Date]])</f>
        <v>8</v>
      </c>
    </row>
    <row r="1829" spans="2:14">
      <c r="B1829" s="15">
        <v>45535</v>
      </c>
      <c r="C1829" s="34" t="s">
        <v>20</v>
      </c>
      <c r="D1829" s="34" t="e" vm="19">
        <f>_xlfn.XLOOKUP(HistoricalStockProgress[[#This Row],[Company Ticker]],CompanyDetailsList[Company Ticker],CompanyDetailsList[Official Name],,0)</f>
        <v>#VALUE!</v>
      </c>
      <c r="E18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8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829" s="17">
        <f>IFERROR(HistoricalStockProgress[[#This Row],[Cost of Shares]]/HistoricalStockProgress[[#This Row],[No. of Shares]],0)</f>
        <v>108.1760767450256</v>
      </c>
      <c r="H1829" s="16" vm="2303">
        <v>224.8</v>
      </c>
      <c r="I1829" s="16">
        <f>IF(HistoricalStockProgress[[#This Row],[No. of Shares]]&lt;&gt;0,HistoricalStockProgress[[#This Row],[Price of Shares]]*HistoricalStockProgress[[#This Row],[No. of Shares]],0)</f>
        <v>26076.800000000003</v>
      </c>
      <c r="J1829" s="16">
        <f>IF(HistoricalStockProgress[[#This Row],[No. of Shares]]&lt;&gt;0,HistoricalStockProgress[[#This Row],[Price of Shares]]-HistoricalStockProgress[[#This Row],[Cost of Shares]]/HistoricalStockProgress[[#This Row],[No. of Shares]],0)</f>
        <v>116.62392325497441</v>
      </c>
      <c r="K1829" s="17">
        <f>IF(HistoricalStockProgress[[#This Row],[Total Price of Shares]]&lt;&gt;0,HistoricalStockProgress[[#This Row],[Total Price of Shares]]-HistoricalStockProgress[[#This Row],[Cost of Shares]],0)</f>
        <v>13528.375097577034</v>
      </c>
      <c r="L1829" s="34" t="b" cm="1">
        <f t="array" ref="L1829">IFERROR(IF(HistoricalStockProgress[[#This Row],[Price of Shares]]="",_xlfn.STOCKHISTORY(HistoricalStockProgress[[#This Row],[Full Company Name]],HistoricalStockProgress[[#This Row],[Date]],,2,0,1)),0)</f>
        <v>0</v>
      </c>
      <c r="M1829" s="34">
        <f>YEAR(HistoricalStockProgress[[#This Row],[Date]])</f>
        <v>2024</v>
      </c>
      <c r="N1829" s="34">
        <f>MONTH(HistoricalStockProgress[[#This Row],[Date]])</f>
        <v>8</v>
      </c>
    </row>
    <row r="1830" spans="2:14">
      <c r="B1830" s="15">
        <v>45535</v>
      </c>
      <c r="C1830" s="34" t="s">
        <v>106</v>
      </c>
      <c r="D1830" s="34" t="e" vm="20">
        <f>_xlfn.XLOOKUP(HistoricalStockProgress[[#This Row],[Company Ticker]],CompanyDetailsList[Company Ticker],CompanyDetailsList[Official Name],,0)</f>
        <v>#VALUE!</v>
      </c>
      <c r="E18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8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830" s="17">
        <f>IFERROR(HistoricalStockProgress[[#This Row],[Cost of Shares]]/HistoricalStockProgress[[#This Row],[No. of Shares]],0)</f>
        <v>108.54870748680406</v>
      </c>
      <c r="H1830" s="16" vm="2304">
        <v>129.72999999999999</v>
      </c>
      <c r="I1830" s="16">
        <f>IF(HistoricalStockProgress[[#This Row],[No. of Shares]]&lt;&gt;0,HistoricalStockProgress[[#This Row],[Price of Shares]]*HistoricalStockProgress[[#This Row],[No. of Shares]],0)</f>
        <v>11416.24</v>
      </c>
      <c r="J1830" s="16">
        <f>IF(HistoricalStockProgress[[#This Row],[No. of Shares]]&lt;&gt;0,HistoricalStockProgress[[#This Row],[Price of Shares]]-HistoricalStockProgress[[#This Row],[Cost of Shares]]/HistoricalStockProgress[[#This Row],[No. of Shares]],0)</f>
        <v>21.181292513195928</v>
      </c>
      <c r="K1830" s="17">
        <f>IF(HistoricalStockProgress[[#This Row],[Total Price of Shares]]&lt;&gt;0,HistoricalStockProgress[[#This Row],[Total Price of Shares]]-HistoricalStockProgress[[#This Row],[Cost of Shares]],0)</f>
        <v>1863.9537411612419</v>
      </c>
      <c r="L1830" s="34" t="b" cm="1">
        <f t="array" ref="L1830">IFERROR(IF(HistoricalStockProgress[[#This Row],[Price of Shares]]="",_xlfn.STOCKHISTORY(HistoricalStockProgress[[#This Row],[Full Company Name]],HistoricalStockProgress[[#This Row],[Date]],,2,0,1)),0)</f>
        <v>0</v>
      </c>
      <c r="M1830" s="34">
        <f>YEAR(HistoricalStockProgress[[#This Row],[Date]])</f>
        <v>2024</v>
      </c>
      <c r="N1830" s="34">
        <f>MONTH(HistoricalStockProgress[[#This Row],[Date]])</f>
        <v>8</v>
      </c>
    </row>
    <row r="1831" spans="2:14">
      <c r="B1831" s="15">
        <v>45565</v>
      </c>
      <c r="C1831" s="34" t="s">
        <v>12</v>
      </c>
      <c r="D1831" s="34" t="e" vm="1">
        <f>_xlfn.XLOOKUP(HistoricalStockProgress[[#This Row],[Company Ticker]],CompanyDetailsList[Company Ticker],CompanyDetailsList[Official Name],,0)</f>
        <v>#VALUE!</v>
      </c>
      <c r="E18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8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831" s="17">
        <f>IFERROR(HistoricalStockProgress[[#This Row],[Cost of Shares]]/HistoricalStockProgress[[#This Row],[No. of Shares]],0)</f>
        <v>64.573985995316889</v>
      </c>
      <c r="H1831" s="16" vm="2305">
        <v>63.42</v>
      </c>
      <c r="I1831" s="16">
        <f>IF(HistoricalStockProgress[[#This Row],[No. of Shares]]&lt;&gt;0,HistoricalStockProgress[[#This Row],[Price of Shares]]*HistoricalStockProgress[[#This Row],[No. of Shares]],0)</f>
        <v>6151.74</v>
      </c>
      <c r="J1831" s="16">
        <f>IF(HistoricalStockProgress[[#This Row],[No. of Shares]]&lt;&gt;0,HistoricalStockProgress[[#This Row],[Price of Shares]]-HistoricalStockProgress[[#This Row],[Cost of Shares]]/HistoricalStockProgress[[#This Row],[No. of Shares]],0)</f>
        <v>-1.1539859953168872</v>
      </c>
      <c r="K1831" s="17">
        <f>IF(HistoricalStockProgress[[#This Row],[Total Price of Shares]]&lt;&gt;0,HistoricalStockProgress[[#This Row],[Total Price of Shares]]-HistoricalStockProgress[[#This Row],[Cost of Shares]],0)</f>
        <v>-111.93664154573798</v>
      </c>
      <c r="L1831" s="34" t="b" cm="1">
        <f t="array" ref="L1831">IFERROR(IF(HistoricalStockProgress[[#This Row],[Price of Shares]]="",_xlfn.STOCKHISTORY(HistoricalStockProgress[[#This Row],[Full Company Name]],HistoricalStockProgress[[#This Row],[Date]],,2,0,1)),0)</f>
        <v>0</v>
      </c>
      <c r="M1831" s="34">
        <f>YEAR(HistoricalStockProgress[[#This Row],[Date]])</f>
        <v>2024</v>
      </c>
      <c r="N1831" s="34">
        <f>MONTH(HistoricalStockProgress[[#This Row],[Date]])</f>
        <v>9</v>
      </c>
    </row>
    <row r="1832" spans="2:14">
      <c r="B1832" s="15">
        <v>45565</v>
      </c>
      <c r="C1832" s="34" t="s">
        <v>14</v>
      </c>
      <c r="D1832" s="34" t="e" vm="2">
        <f>_xlfn.XLOOKUP(HistoricalStockProgress[[#This Row],[Company Ticker]],CompanyDetailsList[Company Ticker],CompanyDetailsList[Official Name],,0)</f>
        <v>#VALUE!</v>
      </c>
      <c r="E18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18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1832" s="17">
        <f>IFERROR(HistoricalStockProgress[[#This Row],[Cost of Shares]]/HistoricalStockProgress[[#This Row],[No. of Shares]],0)</f>
        <v>26.819337355148658</v>
      </c>
      <c r="H1832" s="16" vm="2306">
        <v>30.68</v>
      </c>
      <c r="I1832" s="16">
        <f>IF(HistoricalStockProgress[[#This Row],[No. of Shares]]&lt;&gt;0,HistoricalStockProgress[[#This Row],[Price of Shares]]*HistoricalStockProgress[[#This Row],[No. of Shares]],0)</f>
        <v>1932.84</v>
      </c>
      <c r="J1832" s="16">
        <f>IF(HistoricalStockProgress[[#This Row],[No. of Shares]]&lt;&gt;0,HistoricalStockProgress[[#This Row],[Price of Shares]]-HistoricalStockProgress[[#This Row],[Cost of Shares]]/HistoricalStockProgress[[#This Row],[No. of Shares]],0)</f>
        <v>3.8606626448513417</v>
      </c>
      <c r="K1832" s="17">
        <f>IF(HistoricalStockProgress[[#This Row],[Total Price of Shares]]&lt;&gt;0,HistoricalStockProgress[[#This Row],[Total Price of Shares]]-HistoricalStockProgress[[#This Row],[Cost of Shares]],0)</f>
        <v>243.22174662563452</v>
      </c>
      <c r="L1832" s="34" t="b" cm="1">
        <f t="array" ref="L1832">IFERROR(IF(HistoricalStockProgress[[#This Row],[Price of Shares]]="",_xlfn.STOCKHISTORY(HistoricalStockProgress[[#This Row],[Full Company Name]],HistoricalStockProgress[[#This Row],[Date]],,2,0,1)),0)</f>
        <v>0</v>
      </c>
      <c r="M1832" s="34">
        <f>YEAR(HistoricalStockProgress[[#This Row],[Date]])</f>
        <v>2024</v>
      </c>
      <c r="N1832" s="34">
        <f>MONTH(HistoricalStockProgress[[#This Row],[Date]])</f>
        <v>9</v>
      </c>
    </row>
    <row r="1833" spans="2:14">
      <c r="B1833" s="15">
        <v>45565</v>
      </c>
      <c r="C1833" s="34" t="s">
        <v>19</v>
      </c>
      <c r="D1833" s="34" t="e" vm="3">
        <f>_xlfn.XLOOKUP(HistoricalStockProgress[[#This Row],[Company Ticker]],CompanyDetailsList[Company Ticker],CompanyDetailsList[Official Name],,0)</f>
        <v>#VALUE!</v>
      </c>
      <c r="E18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18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1833" s="17">
        <f>IFERROR(HistoricalStockProgress[[#This Row],[Cost of Shares]]/HistoricalStockProgress[[#This Row],[No. of Shares]],0)</f>
        <v>160.12652821044301</v>
      </c>
      <c r="H1833" s="16" vm="2307">
        <v>162.91</v>
      </c>
      <c r="I1833" s="16">
        <f>IF(HistoricalStockProgress[[#This Row],[No. of Shares]]&lt;&gt;0,HistoricalStockProgress[[#This Row],[Price of Shares]]*HistoricalStockProgress[[#This Row],[No. of Shares]],0)</f>
        <v>14010.26</v>
      </c>
      <c r="J1833" s="16">
        <f>IF(HistoricalStockProgress[[#This Row],[No. of Shares]]&lt;&gt;0,HistoricalStockProgress[[#This Row],[Price of Shares]]-HistoricalStockProgress[[#This Row],[Cost of Shares]]/HistoricalStockProgress[[#This Row],[No. of Shares]],0)</f>
        <v>2.7834717895569838</v>
      </c>
      <c r="K1833" s="17">
        <f>IF(HistoricalStockProgress[[#This Row],[Total Price of Shares]]&lt;&gt;0,HistoricalStockProgress[[#This Row],[Total Price of Shares]]-HistoricalStockProgress[[#This Row],[Cost of Shares]],0)</f>
        <v>239.3785739019022</v>
      </c>
      <c r="L1833" s="34" t="b" cm="1">
        <f t="array" ref="L1833">IFERROR(IF(HistoricalStockProgress[[#This Row],[Price of Shares]]="",_xlfn.STOCKHISTORY(HistoricalStockProgress[[#This Row],[Full Company Name]],HistoricalStockProgress[[#This Row],[Date]],,2,0,1)),0)</f>
        <v>0</v>
      </c>
      <c r="M1833" s="34">
        <f>YEAR(HistoricalStockProgress[[#This Row],[Date]])</f>
        <v>2024</v>
      </c>
      <c r="N1833" s="34">
        <f>MONTH(HistoricalStockProgress[[#This Row],[Date]])</f>
        <v>9</v>
      </c>
    </row>
    <row r="1834" spans="2:14">
      <c r="B1834" s="15">
        <v>45565</v>
      </c>
      <c r="C1834" s="34" t="s">
        <v>23</v>
      </c>
      <c r="D1834" s="34" t="e" vm="4">
        <f>_xlfn.XLOOKUP(HistoricalStockProgress[[#This Row],[Company Ticker]],CompanyDetailsList[Company Ticker],CompanyDetailsList[Official Name],,0)</f>
        <v>#VALUE!</v>
      </c>
      <c r="E18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18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1834" s="17">
        <f>IFERROR(HistoricalStockProgress[[#This Row],[Cost of Shares]]/HistoricalStockProgress[[#This Row],[No. of Shares]],0)</f>
        <v>50.781277236510277</v>
      </c>
      <c r="H1834" s="16" vm="2308">
        <v>71.86</v>
      </c>
      <c r="I1834" s="16">
        <f>IF(HistoricalStockProgress[[#This Row],[No. of Shares]]&lt;&gt;0,HistoricalStockProgress[[#This Row],[Price of Shares]]*HistoricalStockProgress[[#This Row],[No. of Shares]],0)</f>
        <v>8407.6200000000008</v>
      </c>
      <c r="J1834" s="16">
        <f>IF(HistoricalStockProgress[[#This Row],[No. of Shares]]&lt;&gt;0,HistoricalStockProgress[[#This Row],[Price of Shares]]-HistoricalStockProgress[[#This Row],[Cost of Shares]]/HistoricalStockProgress[[#This Row],[No. of Shares]],0)</f>
        <v>21.078722763489722</v>
      </c>
      <c r="K1834" s="17">
        <f>IF(HistoricalStockProgress[[#This Row],[Total Price of Shares]]&lt;&gt;0,HistoricalStockProgress[[#This Row],[Total Price of Shares]]-HistoricalStockProgress[[#This Row],[Cost of Shares]],0)</f>
        <v>2466.2105633282981</v>
      </c>
      <c r="L1834" s="34" t="b" cm="1">
        <f t="array" ref="L1834">IFERROR(IF(HistoricalStockProgress[[#This Row],[Price of Shares]]="",_xlfn.STOCKHISTORY(HistoricalStockProgress[[#This Row],[Full Company Name]],HistoricalStockProgress[[#This Row],[Date]],,2,0,1)),0)</f>
        <v>0</v>
      </c>
      <c r="M1834" s="34">
        <f>YEAR(HistoricalStockProgress[[#This Row],[Date]])</f>
        <v>2024</v>
      </c>
      <c r="N1834" s="34">
        <f>MONTH(HistoricalStockProgress[[#This Row],[Date]])</f>
        <v>9</v>
      </c>
    </row>
    <row r="1835" spans="2:14">
      <c r="B1835" s="15">
        <v>45565</v>
      </c>
      <c r="C1835" s="34" t="s">
        <v>18</v>
      </c>
      <c r="D1835" s="34" t="e" vm="5">
        <f>_xlfn.XLOOKUP(HistoricalStockProgress[[#This Row],[Company Ticker]],CompanyDetailsList[Company Ticker],CompanyDetailsList[Official Name],,0)</f>
        <v>#VALUE!</v>
      </c>
      <c r="E18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8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835" s="17">
        <f>IFERROR(HistoricalStockProgress[[#This Row],[Cost of Shares]]/HistoricalStockProgress[[#This Row],[No. of Shares]],0)</f>
        <v>160.8859607546234</v>
      </c>
      <c r="H1835" s="16" vm="2309">
        <v>170.05</v>
      </c>
      <c r="I1835" s="16">
        <f>IF(HistoricalStockProgress[[#This Row],[No. of Shares]]&lt;&gt;0,HistoricalStockProgress[[#This Row],[Price of Shares]]*HistoricalStockProgress[[#This Row],[No. of Shares]],0)</f>
        <v>7312.1500000000005</v>
      </c>
      <c r="J1835" s="16">
        <f>IF(HistoricalStockProgress[[#This Row],[No. of Shares]]&lt;&gt;0,HistoricalStockProgress[[#This Row],[Price of Shares]]-HistoricalStockProgress[[#This Row],[Cost of Shares]]/HistoricalStockProgress[[#This Row],[No. of Shares]],0)</f>
        <v>9.164039245376614</v>
      </c>
      <c r="K1835" s="17">
        <f>IF(HistoricalStockProgress[[#This Row],[Total Price of Shares]]&lt;&gt;0,HistoricalStockProgress[[#This Row],[Total Price of Shares]]-HistoricalStockProgress[[#This Row],[Cost of Shares]],0)</f>
        <v>394.05368755119434</v>
      </c>
      <c r="L1835" s="34" t="b" cm="1">
        <f t="array" ref="L1835">IFERROR(IF(HistoricalStockProgress[[#This Row],[Price of Shares]]="",_xlfn.STOCKHISTORY(HistoricalStockProgress[[#This Row],[Full Company Name]],HistoricalStockProgress[[#This Row],[Date]],,2,0,1)),0)</f>
        <v>0</v>
      </c>
      <c r="M1835" s="34">
        <f>YEAR(HistoricalStockProgress[[#This Row],[Date]])</f>
        <v>2024</v>
      </c>
      <c r="N1835" s="34">
        <f>MONTH(HistoricalStockProgress[[#This Row],[Date]])</f>
        <v>9</v>
      </c>
    </row>
    <row r="1836" spans="2:14">
      <c r="B1836" s="15">
        <v>45565</v>
      </c>
      <c r="C1836" s="34" t="s">
        <v>21</v>
      </c>
      <c r="D1836" s="34" t="e" vm="6">
        <f>_xlfn.XLOOKUP(HistoricalStockProgress[[#This Row],[Company Ticker]],CompanyDetailsList[Company Ticker],CompanyDetailsList[Official Name],,0)</f>
        <v>#VALUE!</v>
      </c>
      <c r="E18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8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836" s="17">
        <f>IFERROR(HistoricalStockProgress[[#This Row],[Cost of Shares]]/HistoricalStockProgress[[#This Row],[No. of Shares]],0)</f>
        <v>139.68700010204148</v>
      </c>
      <c r="H1836" s="16" vm="2310">
        <v>173.2</v>
      </c>
      <c r="I1836" s="16">
        <f>IF(HistoricalStockProgress[[#This Row],[No. of Shares]]&lt;&gt;0,HistoricalStockProgress[[#This Row],[Price of Shares]]*HistoricalStockProgress[[#This Row],[No. of Shares]],0)</f>
        <v>7274.4</v>
      </c>
      <c r="J1836" s="16">
        <f>IF(HistoricalStockProgress[[#This Row],[No. of Shares]]&lt;&gt;0,HistoricalStockProgress[[#This Row],[Price of Shares]]-HistoricalStockProgress[[#This Row],[Cost of Shares]]/HistoricalStockProgress[[#This Row],[No. of Shares]],0)</f>
        <v>33.512999897958508</v>
      </c>
      <c r="K1836" s="17">
        <f>IF(HistoricalStockProgress[[#This Row],[Total Price of Shares]]&lt;&gt;0,HistoricalStockProgress[[#This Row],[Total Price of Shares]]-HistoricalStockProgress[[#This Row],[Cost of Shares]],0)</f>
        <v>1407.5459957142575</v>
      </c>
      <c r="L1836" s="34" t="b" cm="1">
        <f t="array" ref="L1836">IFERROR(IF(HistoricalStockProgress[[#This Row],[Price of Shares]]="",_xlfn.STOCKHISTORY(HistoricalStockProgress[[#This Row],[Full Company Name]],HistoricalStockProgress[[#This Row],[Date]],,2,0,1)),0)</f>
        <v>0</v>
      </c>
      <c r="M1836" s="34">
        <f>YEAR(HistoricalStockProgress[[#This Row],[Date]])</f>
        <v>2024</v>
      </c>
      <c r="N1836" s="34">
        <f>MONTH(HistoricalStockProgress[[#This Row],[Date]])</f>
        <v>9</v>
      </c>
    </row>
    <row r="1837" spans="2:14">
      <c r="B1837" s="15">
        <v>45565</v>
      </c>
      <c r="C1837" s="34" t="s">
        <v>84</v>
      </c>
      <c r="D1837" s="34" t="e" vm="7">
        <f>_xlfn.XLOOKUP(HistoricalStockProgress[[#This Row],[Company Ticker]],CompanyDetailsList[Company Ticker],CompanyDetailsList[Official Name],,0)</f>
        <v>#VALUE!</v>
      </c>
      <c r="E18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8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837" s="17">
        <f>IFERROR(HistoricalStockProgress[[#This Row],[Cost of Shares]]/HistoricalStockProgress[[#This Row],[No. of Shares]],0)</f>
        <v>104.18087504950869</v>
      </c>
      <c r="H1837" s="16" vm="2311">
        <v>162.06</v>
      </c>
      <c r="I1837" s="16">
        <f>IF(HistoricalStockProgress[[#This Row],[No. of Shares]]&lt;&gt;0,HistoricalStockProgress[[#This Row],[Price of Shares]]*HistoricalStockProgress[[#This Row],[No. of Shares]],0)</f>
        <v>8265.06</v>
      </c>
      <c r="J1837" s="16">
        <f>IF(HistoricalStockProgress[[#This Row],[No. of Shares]]&lt;&gt;0,HistoricalStockProgress[[#This Row],[Price of Shares]]-HistoricalStockProgress[[#This Row],[Cost of Shares]]/HistoricalStockProgress[[#This Row],[No. of Shares]],0)</f>
        <v>57.879124950491317</v>
      </c>
      <c r="K1837" s="17">
        <f>IF(HistoricalStockProgress[[#This Row],[Total Price of Shares]]&lt;&gt;0,HistoricalStockProgress[[#This Row],[Total Price of Shares]]-HistoricalStockProgress[[#This Row],[Cost of Shares]],0)</f>
        <v>2951.8353724750568</v>
      </c>
      <c r="L1837" s="34" t="b" cm="1">
        <f t="array" ref="L1837">IFERROR(IF(HistoricalStockProgress[[#This Row],[Price of Shares]]="",_xlfn.STOCKHISTORY(HistoricalStockProgress[[#This Row],[Full Company Name]],HistoricalStockProgress[[#This Row],[Date]],,2,0,1)),0)</f>
        <v>0</v>
      </c>
      <c r="M1837" s="34">
        <f>YEAR(HistoricalStockProgress[[#This Row],[Date]])</f>
        <v>2024</v>
      </c>
      <c r="N1837" s="34">
        <f>MONTH(HistoricalStockProgress[[#This Row],[Date]])</f>
        <v>9</v>
      </c>
    </row>
    <row r="1838" spans="2:14">
      <c r="B1838" s="15">
        <v>45565</v>
      </c>
      <c r="C1838" s="34" t="s">
        <v>86</v>
      </c>
      <c r="D1838" s="34" t="e" vm="8">
        <f>_xlfn.XLOOKUP(HistoricalStockProgress[[#This Row],[Company Ticker]],CompanyDetailsList[Company Ticker],CompanyDetailsList[Official Name],,0)</f>
        <v>#VALUE!</v>
      </c>
      <c r="E18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141</v>
      </c>
      <c r="F18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15560.101749174495</v>
      </c>
      <c r="G1838" s="17">
        <f>IFERROR(HistoricalStockProgress[[#This Row],[Cost of Shares]]/HistoricalStockProgress[[#This Row],[No. of Shares]],0)</f>
        <v>110.35533155442904</v>
      </c>
      <c r="H1838" s="16" vm="2312">
        <v>197.48</v>
      </c>
      <c r="I1838" s="16">
        <f>IF(HistoricalStockProgress[[#This Row],[No. of Shares]]&lt;&gt;0,HistoricalStockProgress[[#This Row],[Price of Shares]]*HistoricalStockProgress[[#This Row],[No. of Shares]],0)</f>
        <v>27844.68</v>
      </c>
      <c r="J1838" s="16">
        <f>IF(HistoricalStockProgress[[#This Row],[No. of Shares]]&lt;&gt;0,HistoricalStockProgress[[#This Row],[Price of Shares]]-HistoricalStockProgress[[#This Row],[Cost of Shares]]/HistoricalStockProgress[[#This Row],[No. of Shares]],0)</f>
        <v>87.124668445570947</v>
      </c>
      <c r="K1838" s="17">
        <f>IF(HistoricalStockProgress[[#This Row],[Total Price of Shares]]&lt;&gt;0,HistoricalStockProgress[[#This Row],[Total Price of Shares]]-HistoricalStockProgress[[#This Row],[Cost of Shares]],0)</f>
        <v>12284.578250825505</v>
      </c>
      <c r="L1838" s="34" t="b" cm="1">
        <f t="array" ref="L1838">IFERROR(IF(HistoricalStockProgress[[#This Row],[Price of Shares]]="",_xlfn.STOCKHISTORY(HistoricalStockProgress[[#This Row],[Full Company Name]],HistoricalStockProgress[[#This Row],[Date]],,2,0,1)),0)</f>
        <v>0</v>
      </c>
      <c r="M1838" s="34">
        <f>YEAR(HistoricalStockProgress[[#This Row],[Date]])</f>
        <v>2024</v>
      </c>
      <c r="N1838" s="34">
        <f>MONTH(HistoricalStockProgress[[#This Row],[Date]])</f>
        <v>9</v>
      </c>
    </row>
    <row r="1839" spans="2:14">
      <c r="B1839" s="15">
        <v>45565</v>
      </c>
      <c r="C1839" s="34" t="s">
        <v>88</v>
      </c>
      <c r="D1839" s="34" t="e" vm="9">
        <f>_xlfn.XLOOKUP(HistoricalStockProgress[[#This Row],[Company Ticker]],CompanyDetailsList[Company Ticker],CompanyDetailsList[Official Name],,0)</f>
        <v>#VALUE!</v>
      </c>
      <c r="E18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18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1839" s="17">
        <f>IFERROR(HistoricalStockProgress[[#This Row],[Cost of Shares]]/HistoricalStockProgress[[#This Row],[No. of Shares]],0)</f>
        <v>224.7272684493652</v>
      </c>
      <c r="H1839" s="16" vm="2313">
        <v>304.51</v>
      </c>
      <c r="I1839" s="16">
        <f>IF(HistoricalStockProgress[[#This Row],[No. of Shares]]&lt;&gt;0,HistoricalStockProgress[[#This Row],[Price of Shares]]*HistoricalStockProgress[[#This Row],[No. of Shares]],0)</f>
        <v>28928.45</v>
      </c>
      <c r="J1839" s="16">
        <f>IF(HistoricalStockProgress[[#This Row],[No. of Shares]]&lt;&gt;0,HistoricalStockProgress[[#This Row],[Price of Shares]]-HistoricalStockProgress[[#This Row],[Cost of Shares]]/HistoricalStockProgress[[#This Row],[No. of Shares]],0)</f>
        <v>79.782731550634793</v>
      </c>
      <c r="K1839" s="17">
        <f>IF(HistoricalStockProgress[[#This Row],[Total Price of Shares]]&lt;&gt;0,HistoricalStockProgress[[#This Row],[Total Price of Shares]]-HistoricalStockProgress[[#This Row],[Cost of Shares]],0)</f>
        <v>7579.3594973103063</v>
      </c>
      <c r="L1839" s="34" t="b" cm="1">
        <f t="array" ref="L1839">IFERROR(IF(HistoricalStockProgress[[#This Row],[Price of Shares]]="",_xlfn.STOCKHISTORY(HistoricalStockProgress[[#This Row],[Full Company Name]],HistoricalStockProgress[[#This Row],[Date]],,2,0,1)),0)</f>
        <v>0</v>
      </c>
      <c r="M1839" s="34">
        <f>YEAR(HistoricalStockProgress[[#This Row],[Date]])</f>
        <v>2024</v>
      </c>
      <c r="N1839" s="34">
        <f>MONTH(HistoricalStockProgress[[#This Row],[Date]])</f>
        <v>9</v>
      </c>
    </row>
    <row r="1840" spans="2:14">
      <c r="B1840" s="15">
        <v>45565</v>
      </c>
      <c r="C1840" s="34" t="s">
        <v>22</v>
      </c>
      <c r="D1840" s="34" t="e" vm="10">
        <f>_xlfn.XLOOKUP(HistoricalStockProgress[[#This Row],[Company Ticker]],CompanyDetailsList[Company Ticker],CompanyDetailsList[Official Name],,0)</f>
        <v>#VALUE!</v>
      </c>
      <c r="E18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8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840" s="17">
        <f>IFERROR(HistoricalStockProgress[[#This Row],[Cost of Shares]]/HistoricalStockProgress[[#This Row],[No. of Shares]],0)</f>
        <v>130.19784136724968</v>
      </c>
      <c r="H1840" s="16" vm="2314">
        <v>391.12</v>
      </c>
      <c r="I1840" s="16">
        <f>IF(HistoricalStockProgress[[#This Row],[No. of Shares]]&lt;&gt;0,HistoricalStockProgress[[#This Row],[Price of Shares]]*HistoricalStockProgress[[#This Row],[No. of Shares]],0)</f>
        <v>46543.28</v>
      </c>
      <c r="J1840" s="16">
        <f>IF(HistoricalStockProgress[[#This Row],[No. of Shares]]&lt;&gt;0,HistoricalStockProgress[[#This Row],[Price of Shares]]-HistoricalStockProgress[[#This Row],[Cost of Shares]]/HistoricalStockProgress[[#This Row],[No. of Shares]],0)</f>
        <v>260.92215863275032</v>
      </c>
      <c r="K1840" s="17">
        <f>IF(HistoricalStockProgress[[#This Row],[Total Price of Shares]]&lt;&gt;0,HistoricalStockProgress[[#This Row],[Total Price of Shares]]-HistoricalStockProgress[[#This Row],[Cost of Shares]],0)</f>
        <v>31049.736877297284</v>
      </c>
      <c r="L1840" s="34" t="b" cm="1">
        <f t="array" ref="L1840">IFERROR(IF(HistoricalStockProgress[[#This Row],[Price of Shares]]="",_xlfn.STOCKHISTORY(HistoricalStockProgress[[#This Row],[Full Company Name]],HistoricalStockProgress[[#This Row],[Date]],,2,0,1)),0)</f>
        <v>0</v>
      </c>
      <c r="M1840" s="34">
        <f>YEAR(HistoricalStockProgress[[#This Row],[Date]])</f>
        <v>2024</v>
      </c>
      <c r="N1840" s="34">
        <f>MONTH(HistoricalStockProgress[[#This Row],[Date]])</f>
        <v>9</v>
      </c>
    </row>
    <row r="1841" spans="2:14">
      <c r="B1841" s="15">
        <v>45565</v>
      </c>
      <c r="C1841" s="34" t="s">
        <v>91</v>
      </c>
      <c r="D1841" s="34" t="e" vm="11">
        <f>_xlfn.XLOOKUP(HistoricalStockProgress[[#This Row],[Company Ticker]],CompanyDetailsList[Company Ticker],CompanyDetailsList[Official Name],,0)</f>
        <v>#VALUE!</v>
      </c>
      <c r="E18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8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841" s="17">
        <f>IFERROR(HistoricalStockProgress[[#This Row],[Cost of Shares]]/HistoricalStockProgress[[#This Row],[No. of Shares]],0)</f>
        <v>133.15744058830452</v>
      </c>
      <c r="H1841" s="16" vm="2315">
        <v>430.3</v>
      </c>
      <c r="I1841" s="16">
        <f>IF(HistoricalStockProgress[[#This Row],[No. of Shares]]&lt;&gt;0,HistoricalStockProgress[[#This Row],[Price of Shares]]*HistoricalStockProgress[[#This Row],[No. of Shares]],0)</f>
        <v>78744.900000000009</v>
      </c>
      <c r="J1841" s="16">
        <f>IF(HistoricalStockProgress[[#This Row],[No. of Shares]]&lt;&gt;0,HistoricalStockProgress[[#This Row],[Price of Shares]]-HistoricalStockProgress[[#This Row],[Cost of Shares]]/HistoricalStockProgress[[#This Row],[No. of Shares]],0)</f>
        <v>297.14255941169552</v>
      </c>
      <c r="K1841" s="17">
        <f>IF(HistoricalStockProgress[[#This Row],[Total Price of Shares]]&lt;&gt;0,HistoricalStockProgress[[#This Row],[Total Price of Shares]]-HistoricalStockProgress[[#This Row],[Cost of Shares]],0)</f>
        <v>54377.08837234028</v>
      </c>
      <c r="L1841" s="34" t="b" cm="1">
        <f t="array" ref="L1841">IFERROR(IF(HistoricalStockProgress[[#This Row],[Price of Shares]]="",_xlfn.STOCKHISTORY(HistoricalStockProgress[[#This Row],[Full Company Name]],HistoricalStockProgress[[#This Row],[Date]],,2,0,1)),0)</f>
        <v>0</v>
      </c>
      <c r="M1841" s="34">
        <f>YEAR(HistoricalStockProgress[[#This Row],[Date]])</f>
        <v>2024</v>
      </c>
      <c r="N1841" s="34">
        <f>MONTH(HistoricalStockProgress[[#This Row],[Date]])</f>
        <v>9</v>
      </c>
    </row>
    <row r="1842" spans="2:14">
      <c r="B1842" s="15">
        <v>45565</v>
      </c>
      <c r="C1842" s="34" t="s">
        <v>16</v>
      </c>
      <c r="D1842" s="34" t="e" vm="12">
        <f>_xlfn.XLOOKUP(HistoricalStockProgress[[#This Row],[Company Ticker]],CompanyDetailsList[Company Ticker],CompanyDetailsList[Official Name],,0)</f>
        <v>#VALUE!</v>
      </c>
      <c r="E18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8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842" s="17">
        <f>IFERROR(HistoricalStockProgress[[#This Row],[Cost of Shares]]/HistoricalStockProgress[[#This Row],[No. of Shares]],0)</f>
        <v>75.117698177311837</v>
      </c>
      <c r="H1842" s="16" vm="2316">
        <v>117.22</v>
      </c>
      <c r="I1842" s="16">
        <f>IF(HistoricalStockProgress[[#This Row],[No. of Shares]]&lt;&gt;0,HistoricalStockProgress[[#This Row],[Price of Shares]]*HistoricalStockProgress[[#This Row],[No. of Shares]],0)</f>
        <v>21685.7</v>
      </c>
      <c r="J1842" s="16">
        <f>IF(HistoricalStockProgress[[#This Row],[No. of Shares]]&lt;&gt;0,HistoricalStockProgress[[#This Row],[Price of Shares]]-HistoricalStockProgress[[#This Row],[Cost of Shares]]/HistoricalStockProgress[[#This Row],[No. of Shares]],0)</f>
        <v>42.102301822688162</v>
      </c>
      <c r="K1842" s="17">
        <f>IF(HistoricalStockProgress[[#This Row],[Total Price of Shares]]&lt;&gt;0,HistoricalStockProgress[[#This Row],[Total Price of Shares]]-HistoricalStockProgress[[#This Row],[Cost of Shares]],0)</f>
        <v>7788.9258371973119</v>
      </c>
      <c r="L1842" s="34" t="b" cm="1">
        <f t="array" ref="L1842">IFERROR(IF(HistoricalStockProgress[[#This Row],[Price of Shares]]="",_xlfn.STOCKHISTORY(HistoricalStockProgress[[#This Row],[Full Company Name]],HistoricalStockProgress[[#This Row],[Date]],,2,0,1)),0)</f>
        <v>0</v>
      </c>
      <c r="M1842" s="34">
        <f>YEAR(HistoricalStockProgress[[#This Row],[Date]])</f>
        <v>2024</v>
      </c>
      <c r="N1842" s="34">
        <f>MONTH(HistoricalStockProgress[[#This Row],[Date]])</f>
        <v>9</v>
      </c>
    </row>
    <row r="1843" spans="2:14">
      <c r="B1843" s="15">
        <v>45565</v>
      </c>
      <c r="C1843" s="34" t="s">
        <v>95</v>
      </c>
      <c r="D1843" s="34" t="e" vm="13">
        <f>_xlfn.XLOOKUP(HistoricalStockProgress[[#This Row],[Company Ticker]],CompanyDetailsList[Company Ticker],CompanyDetailsList[Official Name],,0)</f>
        <v>#VALUE!</v>
      </c>
      <c r="E18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143</v>
      </c>
      <c r="F18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35362.550411645469</v>
      </c>
      <c r="G1843" s="17">
        <f>IFERROR(HistoricalStockProgress[[#This Row],[Cost of Shares]]/HistoricalStockProgress[[#This Row],[No. of Shares]],0)</f>
        <v>247.29056231919907</v>
      </c>
      <c r="H1843" s="16" vm="2317">
        <v>405.2</v>
      </c>
      <c r="I1843" s="16">
        <f>IF(HistoricalStockProgress[[#This Row],[No. of Shares]]&lt;&gt;0,HistoricalStockProgress[[#This Row],[Price of Shares]]*HistoricalStockProgress[[#This Row],[No. of Shares]],0)</f>
        <v>57943.6</v>
      </c>
      <c r="J1843" s="16">
        <f>IF(HistoricalStockProgress[[#This Row],[No. of Shares]]&lt;&gt;0,HistoricalStockProgress[[#This Row],[Price of Shares]]-HistoricalStockProgress[[#This Row],[Cost of Shares]]/HistoricalStockProgress[[#This Row],[No. of Shares]],0)</f>
        <v>157.90943768080092</v>
      </c>
      <c r="K1843" s="17">
        <f>IF(HistoricalStockProgress[[#This Row],[Total Price of Shares]]&lt;&gt;0,HistoricalStockProgress[[#This Row],[Total Price of Shares]]-HistoricalStockProgress[[#This Row],[Cost of Shares]],0)</f>
        <v>22581.04958835453</v>
      </c>
      <c r="L1843" s="34" t="b" cm="1">
        <f t="array" ref="L1843">IFERROR(IF(HistoricalStockProgress[[#This Row],[Price of Shares]]="",_xlfn.STOCKHISTORY(HistoricalStockProgress[[#This Row],[Full Company Name]],HistoricalStockProgress[[#This Row],[Date]],,2,0,1)),0)</f>
        <v>0</v>
      </c>
      <c r="M1843" s="34">
        <f>YEAR(HistoricalStockProgress[[#This Row],[Date]])</f>
        <v>2024</v>
      </c>
      <c r="N1843" s="34">
        <f>MONTH(HistoricalStockProgress[[#This Row],[Date]])</f>
        <v>9</v>
      </c>
    </row>
    <row r="1844" spans="2:14">
      <c r="B1844" s="15">
        <v>45565</v>
      </c>
      <c r="C1844" s="34" t="s">
        <v>17</v>
      </c>
      <c r="D1844" s="34" t="e" vm="14">
        <f>_xlfn.XLOOKUP(HistoricalStockProgress[[#This Row],[Company Ticker]],CompanyDetailsList[Company Ticker],CompanyDetailsList[Official Name],,0)</f>
        <v>#VALUE!</v>
      </c>
      <c r="E18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18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1844" s="17">
        <f>IFERROR(HistoricalStockProgress[[#This Row],[Cost of Shares]]/HistoricalStockProgress[[#This Row],[No. of Shares]],0)</f>
        <v>143.37791217450521</v>
      </c>
      <c r="H1844" s="16" vm="2318">
        <v>221.08</v>
      </c>
      <c r="I1844" s="16">
        <f>IF(HistoricalStockProgress[[#This Row],[No. of Shares]]&lt;&gt;0,HistoricalStockProgress[[#This Row],[Price of Shares]]*HistoricalStockProgress[[#This Row],[No. of Shares]],0)</f>
        <v>51069.48</v>
      </c>
      <c r="J1844" s="16">
        <f>IF(HistoricalStockProgress[[#This Row],[No. of Shares]]&lt;&gt;0,HistoricalStockProgress[[#This Row],[Price of Shares]]-HistoricalStockProgress[[#This Row],[Cost of Shares]]/HistoricalStockProgress[[#This Row],[No. of Shares]],0)</f>
        <v>77.7020878254948</v>
      </c>
      <c r="K1844" s="17">
        <f>IF(HistoricalStockProgress[[#This Row],[Total Price of Shares]]&lt;&gt;0,HistoricalStockProgress[[#This Row],[Total Price of Shares]]-HistoricalStockProgress[[#This Row],[Cost of Shares]],0)</f>
        <v>17949.182287689298</v>
      </c>
      <c r="L1844" s="34" t="b" cm="1">
        <f t="array" ref="L1844">IFERROR(IF(HistoricalStockProgress[[#This Row],[Price of Shares]]="",_xlfn.STOCKHISTORY(HistoricalStockProgress[[#This Row],[Full Company Name]],HistoricalStockProgress[[#This Row],[Date]],,2,0,1)),0)</f>
        <v>0</v>
      </c>
      <c r="M1844" s="34">
        <f>YEAR(HistoricalStockProgress[[#This Row],[Date]])</f>
        <v>2024</v>
      </c>
      <c r="N1844" s="34">
        <f>MONTH(HistoricalStockProgress[[#This Row],[Date]])</f>
        <v>9</v>
      </c>
    </row>
    <row r="1845" spans="2:14">
      <c r="B1845" s="15">
        <v>45565</v>
      </c>
      <c r="C1845" s="34" t="s">
        <v>98</v>
      </c>
      <c r="D1845" s="34" t="e" vm="15">
        <f>_xlfn.XLOOKUP(HistoricalStockProgress[[#This Row],[Company Ticker]],CompanyDetailsList[Company Ticker],CompanyDetailsList[Official Name],,0)</f>
        <v>#VALUE!</v>
      </c>
      <c r="E18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18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8175.3025483037236</v>
      </c>
      <c r="G1845" s="17">
        <f>IFERROR(HistoricalStockProgress[[#This Row],[Cost of Shares]]/HistoricalStockProgress[[#This Row],[No. of Shares]],0)</f>
        <v>55.995222933587151</v>
      </c>
      <c r="H1845" s="16" vm="2319">
        <v>84.53</v>
      </c>
      <c r="I1845" s="16">
        <f>IF(HistoricalStockProgress[[#This Row],[No. of Shares]]&lt;&gt;0,HistoricalStockProgress[[#This Row],[Price of Shares]]*HistoricalStockProgress[[#This Row],[No. of Shares]],0)</f>
        <v>12341.380000000001</v>
      </c>
      <c r="J1845" s="16">
        <f>IF(HistoricalStockProgress[[#This Row],[No. of Shares]]&lt;&gt;0,HistoricalStockProgress[[#This Row],[Price of Shares]]-HistoricalStockProgress[[#This Row],[Cost of Shares]]/HistoricalStockProgress[[#This Row],[No. of Shares]],0)</f>
        <v>28.53477706641285</v>
      </c>
      <c r="K1845" s="17">
        <f>IF(HistoricalStockProgress[[#This Row],[Total Price of Shares]]&lt;&gt;0,HistoricalStockProgress[[#This Row],[Total Price of Shares]]-HistoricalStockProgress[[#This Row],[Cost of Shares]],0)</f>
        <v>4166.0774516962774</v>
      </c>
      <c r="L1845" s="34" t="b" cm="1">
        <f t="array" ref="L1845">IFERROR(IF(HistoricalStockProgress[[#This Row],[Price of Shares]]="",_xlfn.STOCKHISTORY(HistoricalStockProgress[[#This Row],[Full Company Name]],HistoricalStockProgress[[#This Row],[Date]],,2,0,1)),0)</f>
        <v>0</v>
      </c>
      <c r="M1845" s="34">
        <f>YEAR(HistoricalStockProgress[[#This Row],[Date]])</f>
        <v>2024</v>
      </c>
      <c r="N1845" s="34">
        <f>MONTH(HistoricalStockProgress[[#This Row],[Date]])</f>
        <v>9</v>
      </c>
    </row>
    <row r="1846" spans="2:14">
      <c r="B1846" s="15">
        <v>45565</v>
      </c>
      <c r="C1846" s="34" t="s">
        <v>100</v>
      </c>
      <c r="D1846" s="34" t="e" vm="16">
        <f>_xlfn.XLOOKUP(HistoricalStockProgress[[#This Row],[Company Ticker]],CompanyDetailsList[Company Ticker],CompanyDetailsList[Official Name],,0)</f>
        <v>#VALUE!</v>
      </c>
      <c r="E18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18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1846" s="17">
        <f>IFERROR(HistoricalStockProgress[[#This Row],[Cost of Shares]]/HistoricalStockProgress[[#This Row],[No. of Shares]],0)</f>
        <v>92.156351168716071</v>
      </c>
      <c r="H1846" s="16" vm="2320">
        <v>115.3</v>
      </c>
      <c r="I1846" s="16">
        <f>IF(HistoricalStockProgress[[#This Row],[No. of Shares]]&lt;&gt;0,HistoricalStockProgress[[#This Row],[Price of Shares]]*HistoricalStockProgress[[#This Row],[No. of Shares]],0)</f>
        <v>28825</v>
      </c>
      <c r="J1846" s="16">
        <f>IF(HistoricalStockProgress[[#This Row],[No. of Shares]]&lt;&gt;0,HistoricalStockProgress[[#This Row],[Price of Shares]]-HistoricalStockProgress[[#This Row],[Cost of Shares]]/HistoricalStockProgress[[#This Row],[No. of Shares]],0)</f>
        <v>23.143648831283926</v>
      </c>
      <c r="K1846" s="17">
        <f>IF(HistoricalStockProgress[[#This Row],[Total Price of Shares]]&lt;&gt;0,HistoricalStockProgress[[#This Row],[Total Price of Shares]]-HistoricalStockProgress[[#This Row],[Cost of Shares]],0)</f>
        <v>5785.9122078209839</v>
      </c>
      <c r="L1846" s="34" t="b" cm="1">
        <f t="array" ref="L1846">IFERROR(IF(HistoricalStockProgress[[#This Row],[Price of Shares]]="",_xlfn.STOCKHISTORY(HistoricalStockProgress[[#This Row],[Full Company Name]],HistoricalStockProgress[[#This Row],[Date]],,2,0,1)),0)</f>
        <v>0</v>
      </c>
      <c r="M1846" s="34">
        <f>YEAR(HistoricalStockProgress[[#This Row],[Date]])</f>
        <v>2024</v>
      </c>
      <c r="N1846" s="34">
        <f>MONTH(HistoricalStockProgress[[#This Row],[Date]])</f>
        <v>9</v>
      </c>
    </row>
    <row r="1847" spans="2:14">
      <c r="B1847" s="15">
        <v>45565</v>
      </c>
      <c r="C1847" s="34" t="s">
        <v>15</v>
      </c>
      <c r="D1847" s="34" t="e" vm="17">
        <f>_xlfn.XLOOKUP(HistoricalStockProgress[[#This Row],[Company Ticker]],CompanyDetailsList[Company Ticker],CompanyDetailsList[Official Name],,0)</f>
        <v>#VALUE!</v>
      </c>
      <c r="E18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18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3628.1478386140398</v>
      </c>
      <c r="G1847" s="17">
        <f>IFERROR(HistoricalStockProgress[[#This Row],[Cost of Shares]]/HistoricalStockProgress[[#This Row],[No. of Shares]],0)</f>
        <v>24.85032766174</v>
      </c>
      <c r="H1847" s="16" vm="2321">
        <v>22</v>
      </c>
      <c r="I1847" s="16">
        <f>IF(HistoricalStockProgress[[#This Row],[No. of Shares]]&lt;&gt;0,HistoricalStockProgress[[#This Row],[Price of Shares]]*HistoricalStockProgress[[#This Row],[No. of Shares]],0)</f>
        <v>3212</v>
      </c>
      <c r="J1847" s="16">
        <f>IF(HistoricalStockProgress[[#This Row],[No. of Shares]]&lt;&gt;0,HistoricalStockProgress[[#This Row],[Price of Shares]]-HistoricalStockProgress[[#This Row],[Cost of Shares]]/HistoricalStockProgress[[#This Row],[No. of Shares]],0)</f>
        <v>-2.8503276617399997</v>
      </c>
      <c r="K1847" s="17">
        <f>IF(HistoricalStockProgress[[#This Row],[Total Price of Shares]]&lt;&gt;0,HistoricalStockProgress[[#This Row],[Total Price of Shares]]-HistoricalStockProgress[[#This Row],[Cost of Shares]],0)</f>
        <v>-416.14783861403976</v>
      </c>
      <c r="L1847" s="34" t="b" cm="1">
        <f t="array" ref="L1847">IFERROR(IF(HistoricalStockProgress[[#This Row],[Price of Shares]]="",_xlfn.STOCKHISTORY(HistoricalStockProgress[[#This Row],[Full Company Name]],HistoricalStockProgress[[#This Row],[Date]],,2,0,1)),0)</f>
        <v>0</v>
      </c>
      <c r="M1847" s="34">
        <f>YEAR(HistoricalStockProgress[[#This Row],[Date]])</f>
        <v>2024</v>
      </c>
      <c r="N1847" s="34">
        <f>MONTH(HistoricalStockProgress[[#This Row],[Date]])</f>
        <v>9</v>
      </c>
    </row>
    <row r="1848" spans="2:14">
      <c r="B1848" s="15">
        <v>45565</v>
      </c>
      <c r="C1848" s="34" t="s">
        <v>13</v>
      </c>
      <c r="D1848" s="34" t="e" vm="18">
        <f>_xlfn.XLOOKUP(HistoricalStockProgress[[#This Row],[Company Ticker]],CompanyDetailsList[Company Ticker],CompanyDetailsList[Official Name],,0)</f>
        <v>#VALUE!</v>
      </c>
      <c r="E18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94</v>
      </c>
      <c r="F18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3076.0989298783938</v>
      </c>
      <c r="G1848" s="17">
        <f>IFERROR(HistoricalStockProgress[[#This Row],[Cost of Shares]]/HistoricalStockProgress[[#This Row],[No. of Shares]],0)</f>
        <v>32.724456700833976</v>
      </c>
      <c r="H1848" s="16" vm="2322">
        <v>28.94</v>
      </c>
      <c r="I1848" s="16">
        <f>IF(HistoricalStockProgress[[#This Row],[No. of Shares]]&lt;&gt;0,HistoricalStockProgress[[#This Row],[Price of Shares]]*HistoricalStockProgress[[#This Row],[No. of Shares]],0)</f>
        <v>2720.36</v>
      </c>
      <c r="J1848" s="16">
        <f>IF(HistoricalStockProgress[[#This Row],[No. of Shares]]&lt;&gt;0,HistoricalStockProgress[[#This Row],[Price of Shares]]-HistoricalStockProgress[[#This Row],[Cost of Shares]]/HistoricalStockProgress[[#This Row],[No. of Shares]],0)</f>
        <v>-3.7844567008339745</v>
      </c>
      <c r="K1848" s="17">
        <f>IF(HistoricalStockProgress[[#This Row],[Total Price of Shares]]&lt;&gt;0,HistoricalStockProgress[[#This Row],[Total Price of Shares]]-HistoricalStockProgress[[#This Row],[Cost of Shares]],0)</f>
        <v>-355.73892987839372</v>
      </c>
      <c r="L1848" s="34" t="b" cm="1">
        <f t="array" ref="L1848">IFERROR(IF(HistoricalStockProgress[[#This Row],[Price of Shares]]="",_xlfn.STOCKHISTORY(HistoricalStockProgress[[#This Row],[Full Company Name]],HistoricalStockProgress[[#This Row],[Date]],,2,0,1)),0)</f>
        <v>0</v>
      </c>
      <c r="M1848" s="34">
        <f>YEAR(HistoricalStockProgress[[#This Row],[Date]])</f>
        <v>2024</v>
      </c>
      <c r="N1848" s="34">
        <f>MONTH(HistoricalStockProgress[[#This Row],[Date]])</f>
        <v>9</v>
      </c>
    </row>
    <row r="1849" spans="2:14">
      <c r="B1849" s="15">
        <v>45565</v>
      </c>
      <c r="C1849" s="34" t="s">
        <v>20</v>
      </c>
      <c r="D1849" s="34" t="e" vm="19">
        <f>_xlfn.XLOOKUP(HistoricalStockProgress[[#This Row],[Company Ticker]],CompanyDetailsList[Company Ticker],CompanyDetailsList[Official Name],,0)</f>
        <v>#VALUE!</v>
      </c>
      <c r="E18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8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849" s="17">
        <f>IFERROR(HistoricalStockProgress[[#This Row],[Cost of Shares]]/HistoricalStockProgress[[#This Row],[No. of Shares]],0)</f>
        <v>108.1760767450256</v>
      </c>
      <c r="H1849" s="16" vm="2323">
        <v>210.86</v>
      </c>
      <c r="I1849" s="16">
        <f>IF(HistoricalStockProgress[[#This Row],[No. of Shares]]&lt;&gt;0,HistoricalStockProgress[[#This Row],[Price of Shares]]*HistoricalStockProgress[[#This Row],[No. of Shares]],0)</f>
        <v>24459.760000000002</v>
      </c>
      <c r="J1849" s="16">
        <f>IF(HistoricalStockProgress[[#This Row],[No. of Shares]]&lt;&gt;0,HistoricalStockProgress[[#This Row],[Price of Shares]]-HistoricalStockProgress[[#This Row],[Cost of Shares]]/HistoricalStockProgress[[#This Row],[No. of Shares]],0)</f>
        <v>102.68392325497442</v>
      </c>
      <c r="K1849" s="17">
        <f>IF(HistoricalStockProgress[[#This Row],[Total Price of Shares]]&lt;&gt;0,HistoricalStockProgress[[#This Row],[Total Price of Shares]]-HistoricalStockProgress[[#This Row],[Cost of Shares]],0)</f>
        <v>11911.335097577034</v>
      </c>
      <c r="L1849" s="34" t="b" cm="1">
        <f t="array" ref="L1849">IFERROR(IF(HistoricalStockProgress[[#This Row],[Price of Shares]]="",_xlfn.STOCKHISTORY(HistoricalStockProgress[[#This Row],[Full Company Name]],HistoricalStockProgress[[#This Row],[Date]],,2,0,1)),0)</f>
        <v>0</v>
      </c>
      <c r="M1849" s="34">
        <f>YEAR(HistoricalStockProgress[[#This Row],[Date]])</f>
        <v>2024</v>
      </c>
      <c r="N1849" s="34">
        <f>MONTH(HistoricalStockProgress[[#This Row],[Date]])</f>
        <v>9</v>
      </c>
    </row>
    <row r="1850" spans="2:14">
      <c r="B1850" s="15">
        <v>45565</v>
      </c>
      <c r="C1850" s="34" t="s">
        <v>106</v>
      </c>
      <c r="D1850" s="34" t="e" vm="20">
        <f>_xlfn.XLOOKUP(HistoricalStockProgress[[#This Row],[Company Ticker]],CompanyDetailsList[Company Ticker],CompanyDetailsList[Official Name],,0)</f>
        <v>#VALUE!</v>
      </c>
      <c r="E18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8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850" s="17">
        <f>IFERROR(HistoricalStockProgress[[#This Row],[Cost of Shares]]/HistoricalStockProgress[[#This Row],[No. of Shares]],0)</f>
        <v>108.54870748680406</v>
      </c>
      <c r="H1850" s="16" vm="2324">
        <v>132.46</v>
      </c>
      <c r="I1850" s="16">
        <f>IF(HistoricalStockProgress[[#This Row],[No. of Shares]]&lt;&gt;0,HistoricalStockProgress[[#This Row],[Price of Shares]]*HistoricalStockProgress[[#This Row],[No. of Shares]],0)</f>
        <v>11656.480000000001</v>
      </c>
      <c r="J1850" s="16">
        <f>IF(HistoricalStockProgress[[#This Row],[No. of Shares]]&lt;&gt;0,HistoricalStockProgress[[#This Row],[Price of Shares]]-HistoricalStockProgress[[#This Row],[Cost of Shares]]/HistoricalStockProgress[[#This Row],[No. of Shares]],0)</f>
        <v>23.911292513195946</v>
      </c>
      <c r="K1850" s="17">
        <f>IF(HistoricalStockProgress[[#This Row],[Total Price of Shares]]&lt;&gt;0,HistoricalStockProgress[[#This Row],[Total Price of Shares]]-HistoricalStockProgress[[#This Row],[Cost of Shares]],0)</f>
        <v>2104.1937411612435</v>
      </c>
      <c r="L1850" s="34" t="b" cm="1">
        <f t="array" ref="L1850">IFERROR(IF(HistoricalStockProgress[[#This Row],[Price of Shares]]="",_xlfn.STOCKHISTORY(HistoricalStockProgress[[#This Row],[Full Company Name]],HistoricalStockProgress[[#This Row],[Date]],,2,0,1)),0)</f>
        <v>0</v>
      </c>
      <c r="M1850" s="34">
        <f>YEAR(HistoricalStockProgress[[#This Row],[Date]])</f>
        <v>2024</v>
      </c>
      <c r="N1850" s="34">
        <f>MONTH(HistoricalStockProgress[[#This Row],[Date]])</f>
        <v>9</v>
      </c>
    </row>
    <row r="1851" spans="2:14">
      <c r="B1851" s="15">
        <v>45596</v>
      </c>
      <c r="C1851" s="34" t="s">
        <v>12</v>
      </c>
      <c r="D1851" s="34" t="e" vm="1">
        <f>_xlfn.XLOOKUP(HistoricalStockProgress[[#This Row],[Company Ticker]],CompanyDetailsList[Company Ticker],CompanyDetailsList[Official Name],,0)</f>
        <v>#VALUE!</v>
      </c>
      <c r="E18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8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851" s="17">
        <f>IFERROR(HistoricalStockProgress[[#This Row],[Cost of Shares]]/HistoricalStockProgress[[#This Row],[No. of Shares]],0)</f>
        <v>64.573985995316889</v>
      </c>
      <c r="H1851" s="16" vm="2325">
        <v>59.37</v>
      </c>
      <c r="I1851" s="16">
        <f>IF(HistoricalStockProgress[[#This Row],[No. of Shares]]&lt;&gt;0,HistoricalStockProgress[[#This Row],[Price of Shares]]*HistoricalStockProgress[[#This Row],[No. of Shares]],0)</f>
        <v>5758.8899999999994</v>
      </c>
      <c r="J1851" s="16">
        <f>IF(HistoricalStockProgress[[#This Row],[No. of Shares]]&lt;&gt;0,HistoricalStockProgress[[#This Row],[Price of Shares]]-HistoricalStockProgress[[#This Row],[Cost of Shares]]/HistoricalStockProgress[[#This Row],[No. of Shares]],0)</f>
        <v>-5.2039859953168914</v>
      </c>
      <c r="K1851" s="17">
        <f>IF(HistoricalStockProgress[[#This Row],[Total Price of Shares]]&lt;&gt;0,HistoricalStockProgress[[#This Row],[Total Price of Shares]]-HistoricalStockProgress[[#This Row],[Cost of Shares]],0)</f>
        <v>-504.78664154573835</v>
      </c>
      <c r="L1851" s="34" t="b" cm="1">
        <f t="array" ref="L1851">IFERROR(IF(HistoricalStockProgress[[#This Row],[Price of Shares]]="",_xlfn.STOCKHISTORY(HistoricalStockProgress[[#This Row],[Full Company Name]],HistoricalStockProgress[[#This Row],[Date]],,2,0,1)),0)</f>
        <v>0</v>
      </c>
      <c r="M1851" s="34">
        <f>YEAR(HistoricalStockProgress[[#This Row],[Date]])</f>
        <v>2024</v>
      </c>
      <c r="N1851" s="34">
        <f>MONTH(HistoricalStockProgress[[#This Row],[Date]])</f>
        <v>10</v>
      </c>
    </row>
    <row r="1852" spans="2:14">
      <c r="B1852" s="15">
        <v>45596</v>
      </c>
      <c r="C1852" s="34" t="s">
        <v>14</v>
      </c>
      <c r="D1852" s="34" t="e" vm="2">
        <f>_xlfn.XLOOKUP(HistoricalStockProgress[[#This Row],[Company Ticker]],CompanyDetailsList[Company Ticker],CompanyDetailsList[Official Name],,0)</f>
        <v>#VALUE!</v>
      </c>
      <c r="E18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18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1852" s="17">
        <f>IFERROR(HistoricalStockProgress[[#This Row],[Cost of Shares]]/HistoricalStockProgress[[#This Row],[No. of Shares]],0)</f>
        <v>26.819337355148658</v>
      </c>
      <c r="H1852" s="16" vm="2326">
        <v>28.38</v>
      </c>
      <c r="I1852" s="16">
        <f>IF(HistoricalStockProgress[[#This Row],[No. of Shares]]&lt;&gt;0,HistoricalStockProgress[[#This Row],[Price of Shares]]*HistoricalStockProgress[[#This Row],[No. of Shares]],0)</f>
        <v>1787.9399999999998</v>
      </c>
      <c r="J1852" s="16">
        <f>IF(HistoricalStockProgress[[#This Row],[No. of Shares]]&lt;&gt;0,HistoricalStockProgress[[#This Row],[Price of Shares]]-HistoricalStockProgress[[#This Row],[Cost of Shares]]/HistoricalStockProgress[[#This Row],[No. of Shares]],0)</f>
        <v>1.560662644851341</v>
      </c>
      <c r="K1852" s="17">
        <f>IF(HistoricalStockProgress[[#This Row],[Total Price of Shares]]&lt;&gt;0,HistoricalStockProgress[[#This Row],[Total Price of Shares]]-HistoricalStockProgress[[#This Row],[Cost of Shares]],0)</f>
        <v>98.321746625634432</v>
      </c>
      <c r="L1852" s="34" t="b" cm="1">
        <f t="array" ref="L1852">IFERROR(IF(HistoricalStockProgress[[#This Row],[Price of Shares]]="",_xlfn.STOCKHISTORY(HistoricalStockProgress[[#This Row],[Full Company Name]],HistoricalStockProgress[[#This Row],[Date]],,2,0,1)),0)</f>
        <v>0</v>
      </c>
      <c r="M1852" s="34">
        <f>YEAR(HistoricalStockProgress[[#This Row],[Date]])</f>
        <v>2024</v>
      </c>
      <c r="N1852" s="34">
        <f>MONTH(HistoricalStockProgress[[#This Row],[Date]])</f>
        <v>10</v>
      </c>
    </row>
    <row r="1853" spans="2:14">
      <c r="B1853" s="15">
        <v>45596</v>
      </c>
      <c r="C1853" s="34" t="s">
        <v>19</v>
      </c>
      <c r="D1853" s="34" t="e" vm="3">
        <f>_xlfn.XLOOKUP(HistoricalStockProgress[[#This Row],[Company Ticker]],CompanyDetailsList[Company Ticker],CompanyDetailsList[Official Name],,0)</f>
        <v>#VALUE!</v>
      </c>
      <c r="E18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18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1853" s="17">
        <f>IFERROR(HistoricalStockProgress[[#This Row],[Cost of Shares]]/HistoricalStockProgress[[#This Row],[No. of Shares]],0)</f>
        <v>160.12652821044301</v>
      </c>
      <c r="H1853" s="16" vm="2327">
        <v>158.55000000000001</v>
      </c>
      <c r="I1853" s="16">
        <f>IF(HistoricalStockProgress[[#This Row],[No. of Shares]]&lt;&gt;0,HistoricalStockProgress[[#This Row],[Price of Shares]]*HistoricalStockProgress[[#This Row],[No. of Shares]],0)</f>
        <v>13635.300000000001</v>
      </c>
      <c r="J1853" s="16">
        <f>IF(HistoricalStockProgress[[#This Row],[No. of Shares]]&lt;&gt;0,HistoricalStockProgress[[#This Row],[Price of Shares]]-HistoricalStockProgress[[#This Row],[Cost of Shares]]/HistoricalStockProgress[[#This Row],[No. of Shares]],0)</f>
        <v>-1.5765282104430014</v>
      </c>
      <c r="K1853" s="17">
        <f>IF(HistoricalStockProgress[[#This Row],[Total Price of Shares]]&lt;&gt;0,HistoricalStockProgress[[#This Row],[Total Price of Shares]]-HistoricalStockProgress[[#This Row],[Cost of Shares]],0)</f>
        <v>-135.58142609809693</v>
      </c>
      <c r="L1853" s="34" t="b" cm="1">
        <f t="array" ref="L1853">IFERROR(IF(HistoricalStockProgress[[#This Row],[Price of Shares]]="",_xlfn.STOCKHISTORY(HistoricalStockProgress[[#This Row],[Full Company Name]],HistoricalStockProgress[[#This Row],[Date]],,2,0,1)),0)</f>
        <v>0</v>
      </c>
      <c r="M1853" s="34">
        <f>YEAR(HistoricalStockProgress[[#This Row],[Date]])</f>
        <v>2024</v>
      </c>
      <c r="N1853" s="34">
        <f>MONTH(HistoricalStockProgress[[#This Row],[Date]])</f>
        <v>10</v>
      </c>
    </row>
    <row r="1854" spans="2:14">
      <c r="B1854" s="15">
        <v>45596</v>
      </c>
      <c r="C1854" s="34" t="s">
        <v>23</v>
      </c>
      <c r="D1854" s="34" t="e" vm="4">
        <f>_xlfn.XLOOKUP(HistoricalStockProgress[[#This Row],[Company Ticker]],CompanyDetailsList[Company Ticker],CompanyDetailsList[Official Name],,0)</f>
        <v>#VALUE!</v>
      </c>
      <c r="E18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18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1854" s="17">
        <f>IFERROR(HistoricalStockProgress[[#This Row],[Cost of Shares]]/HistoricalStockProgress[[#This Row],[No. of Shares]],0)</f>
        <v>50.781277236510277</v>
      </c>
      <c r="H1854" s="16" vm="2328">
        <v>65.31</v>
      </c>
      <c r="I1854" s="16">
        <f>IF(HistoricalStockProgress[[#This Row],[No. of Shares]]&lt;&gt;0,HistoricalStockProgress[[#This Row],[Price of Shares]]*HistoricalStockProgress[[#This Row],[No. of Shares]],0)</f>
        <v>7641.27</v>
      </c>
      <c r="J1854" s="16">
        <f>IF(HistoricalStockProgress[[#This Row],[No. of Shares]]&lt;&gt;0,HistoricalStockProgress[[#This Row],[Price of Shares]]-HistoricalStockProgress[[#This Row],[Cost of Shares]]/HistoricalStockProgress[[#This Row],[No. of Shares]],0)</f>
        <v>14.528722763489725</v>
      </c>
      <c r="K1854" s="17">
        <f>IF(HistoricalStockProgress[[#This Row],[Total Price of Shares]]&lt;&gt;0,HistoricalStockProgress[[#This Row],[Total Price of Shares]]-HistoricalStockProgress[[#This Row],[Cost of Shares]],0)</f>
        <v>1699.8605633282978</v>
      </c>
      <c r="L1854" s="34" t="b" cm="1">
        <f t="array" ref="L1854">IFERROR(IF(HistoricalStockProgress[[#This Row],[Price of Shares]]="",_xlfn.STOCKHISTORY(HistoricalStockProgress[[#This Row],[Full Company Name]],HistoricalStockProgress[[#This Row],[Date]],,2,0,1)),0)</f>
        <v>0</v>
      </c>
      <c r="M1854" s="34">
        <f>YEAR(HistoricalStockProgress[[#This Row],[Date]])</f>
        <v>2024</v>
      </c>
      <c r="N1854" s="34">
        <f>MONTH(HistoricalStockProgress[[#This Row],[Date]])</f>
        <v>10</v>
      </c>
    </row>
    <row r="1855" spans="2:14">
      <c r="B1855" s="15">
        <v>45596</v>
      </c>
      <c r="C1855" s="34" t="s">
        <v>18</v>
      </c>
      <c r="D1855" s="34" t="e" vm="5">
        <f>_xlfn.XLOOKUP(HistoricalStockProgress[[#This Row],[Company Ticker]],CompanyDetailsList[Company Ticker],CompanyDetailsList[Official Name],,0)</f>
        <v>#VALUE!</v>
      </c>
      <c r="E18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8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855" s="17">
        <f>IFERROR(HistoricalStockProgress[[#This Row],[Cost of Shares]]/HistoricalStockProgress[[#This Row],[No. of Shares]],0)</f>
        <v>160.8859607546234</v>
      </c>
      <c r="H1855" s="16" vm="2329">
        <v>166.08</v>
      </c>
      <c r="I1855" s="16">
        <f>IF(HistoricalStockProgress[[#This Row],[No. of Shares]]&lt;&gt;0,HistoricalStockProgress[[#This Row],[Price of Shares]]*HistoricalStockProgress[[#This Row],[No. of Shares]],0)</f>
        <v>7141.4400000000005</v>
      </c>
      <c r="J1855" s="16">
        <f>IF(HistoricalStockProgress[[#This Row],[No. of Shares]]&lt;&gt;0,HistoricalStockProgress[[#This Row],[Price of Shares]]-HistoricalStockProgress[[#This Row],[Cost of Shares]]/HistoricalStockProgress[[#This Row],[No. of Shares]],0)</f>
        <v>5.1940392453766151</v>
      </c>
      <c r="K1855" s="17">
        <f>IF(HistoricalStockProgress[[#This Row],[Total Price of Shares]]&lt;&gt;0,HistoricalStockProgress[[#This Row],[Total Price of Shares]]-HistoricalStockProgress[[#This Row],[Cost of Shares]],0)</f>
        <v>223.34368755119431</v>
      </c>
      <c r="L1855" s="34" t="b" cm="1">
        <f t="array" ref="L1855">IFERROR(IF(HistoricalStockProgress[[#This Row],[Price of Shares]]="",_xlfn.STOCKHISTORY(HistoricalStockProgress[[#This Row],[Full Company Name]],HistoricalStockProgress[[#This Row],[Date]],,2,0,1)),0)</f>
        <v>0</v>
      </c>
      <c r="M1855" s="34">
        <f>YEAR(HistoricalStockProgress[[#This Row],[Date]])</f>
        <v>2024</v>
      </c>
      <c r="N1855" s="34">
        <f>MONTH(HistoricalStockProgress[[#This Row],[Date]])</f>
        <v>10</v>
      </c>
    </row>
    <row r="1856" spans="2:14">
      <c r="B1856" s="15">
        <v>45596</v>
      </c>
      <c r="C1856" s="34" t="s">
        <v>21</v>
      </c>
      <c r="D1856" s="34" t="e" vm="6">
        <f>_xlfn.XLOOKUP(HistoricalStockProgress[[#This Row],[Company Ticker]],CompanyDetailsList[Company Ticker],CompanyDetailsList[Official Name],,0)</f>
        <v>#VALUE!</v>
      </c>
      <c r="E18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8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856" s="17">
        <f>IFERROR(HistoricalStockProgress[[#This Row],[Cost of Shares]]/HistoricalStockProgress[[#This Row],[No. of Shares]],0)</f>
        <v>139.68700010204148</v>
      </c>
      <c r="H1856" s="16" vm="2330">
        <v>165.18</v>
      </c>
      <c r="I1856" s="16">
        <f>IF(HistoricalStockProgress[[#This Row],[No. of Shares]]&lt;&gt;0,HistoricalStockProgress[[#This Row],[Price of Shares]]*HistoricalStockProgress[[#This Row],[No. of Shares]],0)</f>
        <v>6937.56</v>
      </c>
      <c r="J1856" s="16">
        <f>IF(HistoricalStockProgress[[#This Row],[No. of Shares]]&lt;&gt;0,HistoricalStockProgress[[#This Row],[Price of Shares]]-HistoricalStockProgress[[#This Row],[Cost of Shares]]/HistoricalStockProgress[[#This Row],[No. of Shares]],0)</f>
        <v>25.492999897958526</v>
      </c>
      <c r="K1856" s="17">
        <f>IF(HistoricalStockProgress[[#This Row],[Total Price of Shares]]&lt;&gt;0,HistoricalStockProgress[[#This Row],[Total Price of Shares]]-HistoricalStockProgress[[#This Row],[Cost of Shares]],0)</f>
        <v>1070.7059957142583</v>
      </c>
      <c r="L1856" s="34" t="b" cm="1">
        <f t="array" ref="L1856">IFERROR(IF(HistoricalStockProgress[[#This Row],[Price of Shares]]="",_xlfn.STOCKHISTORY(HistoricalStockProgress[[#This Row],[Full Company Name]],HistoricalStockProgress[[#This Row],[Date]],,2,0,1)),0)</f>
        <v>0</v>
      </c>
      <c r="M1856" s="34">
        <f>YEAR(HistoricalStockProgress[[#This Row],[Date]])</f>
        <v>2024</v>
      </c>
      <c r="N1856" s="34">
        <f>MONTH(HistoricalStockProgress[[#This Row],[Date]])</f>
        <v>10</v>
      </c>
    </row>
    <row r="1857" spans="2:14">
      <c r="B1857" s="15">
        <v>45596</v>
      </c>
      <c r="C1857" s="34" t="s">
        <v>84</v>
      </c>
      <c r="D1857" s="34" t="e" vm="7">
        <f>_xlfn.XLOOKUP(HistoricalStockProgress[[#This Row],[Company Ticker]],CompanyDetailsList[Company Ticker],CompanyDetailsList[Official Name],,0)</f>
        <v>#VALUE!</v>
      </c>
      <c r="E18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8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857" s="17">
        <f>IFERROR(HistoricalStockProgress[[#This Row],[Cost of Shares]]/HistoricalStockProgress[[#This Row],[No. of Shares]],0)</f>
        <v>104.18087504950869</v>
      </c>
      <c r="H1857" s="16" vm="2331">
        <v>159.86000000000001</v>
      </c>
      <c r="I1857" s="16">
        <f>IF(HistoricalStockProgress[[#This Row],[No. of Shares]]&lt;&gt;0,HistoricalStockProgress[[#This Row],[Price of Shares]]*HistoricalStockProgress[[#This Row],[No. of Shares]],0)</f>
        <v>8152.8600000000006</v>
      </c>
      <c r="J1857" s="16">
        <f>IF(HistoricalStockProgress[[#This Row],[No. of Shares]]&lt;&gt;0,HistoricalStockProgress[[#This Row],[Price of Shares]]-HistoricalStockProgress[[#This Row],[Cost of Shares]]/HistoricalStockProgress[[#This Row],[No. of Shares]],0)</f>
        <v>55.679124950491328</v>
      </c>
      <c r="K1857" s="17">
        <f>IF(HistoricalStockProgress[[#This Row],[Total Price of Shares]]&lt;&gt;0,HistoricalStockProgress[[#This Row],[Total Price of Shares]]-HistoricalStockProgress[[#This Row],[Cost of Shares]],0)</f>
        <v>2839.6353724750579</v>
      </c>
      <c r="L1857" s="34" t="b" cm="1">
        <f t="array" ref="L1857">IFERROR(IF(HistoricalStockProgress[[#This Row],[Price of Shares]]="",_xlfn.STOCKHISTORY(HistoricalStockProgress[[#This Row],[Full Company Name]],HistoricalStockProgress[[#This Row],[Date]],,2,0,1)),0)</f>
        <v>0</v>
      </c>
      <c r="M1857" s="34">
        <f>YEAR(HistoricalStockProgress[[#This Row],[Date]])</f>
        <v>2024</v>
      </c>
      <c r="N1857" s="34">
        <f>MONTH(HistoricalStockProgress[[#This Row],[Date]])</f>
        <v>10</v>
      </c>
    </row>
    <row r="1858" spans="2:14">
      <c r="B1858" s="15">
        <v>45596</v>
      </c>
      <c r="C1858" s="34" t="s">
        <v>86</v>
      </c>
      <c r="D1858" s="34" t="e" vm="8">
        <f>_xlfn.XLOOKUP(HistoricalStockProgress[[#This Row],[Company Ticker]],CompanyDetailsList[Company Ticker],CompanyDetailsList[Official Name],,0)</f>
        <v>#VALUE!</v>
      </c>
      <c r="E18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141</v>
      </c>
      <c r="F18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15560.101749174495</v>
      </c>
      <c r="G1858" s="17">
        <f>IFERROR(HistoricalStockProgress[[#This Row],[Cost of Shares]]/HistoricalStockProgress[[#This Row],[No. of Shares]],0)</f>
        <v>110.35533155442904</v>
      </c>
      <c r="H1858" s="16" vm="2332">
        <v>203.87</v>
      </c>
      <c r="I1858" s="16">
        <f>IF(HistoricalStockProgress[[#This Row],[No. of Shares]]&lt;&gt;0,HistoricalStockProgress[[#This Row],[Price of Shares]]*HistoricalStockProgress[[#This Row],[No. of Shares]],0)</f>
        <v>28745.670000000002</v>
      </c>
      <c r="J1858" s="16">
        <f>IF(HistoricalStockProgress[[#This Row],[No. of Shares]]&lt;&gt;0,HistoricalStockProgress[[#This Row],[Price of Shares]]-HistoricalStockProgress[[#This Row],[Cost of Shares]]/HistoricalStockProgress[[#This Row],[No. of Shares]],0)</f>
        <v>93.514668445570962</v>
      </c>
      <c r="K1858" s="17">
        <f>IF(HistoricalStockProgress[[#This Row],[Total Price of Shares]]&lt;&gt;0,HistoricalStockProgress[[#This Row],[Total Price of Shares]]-HistoricalStockProgress[[#This Row],[Cost of Shares]],0)</f>
        <v>13185.568250825507</v>
      </c>
      <c r="L1858" s="34" t="b" cm="1">
        <f t="array" ref="L1858">IFERROR(IF(HistoricalStockProgress[[#This Row],[Price of Shares]]="",_xlfn.STOCKHISTORY(HistoricalStockProgress[[#This Row],[Full Company Name]],HistoricalStockProgress[[#This Row],[Date]],,2,0,1)),0)</f>
        <v>0</v>
      </c>
      <c r="M1858" s="34">
        <f>YEAR(HistoricalStockProgress[[#This Row],[Date]])</f>
        <v>2024</v>
      </c>
      <c r="N1858" s="34">
        <f>MONTH(HistoricalStockProgress[[#This Row],[Date]])</f>
        <v>10</v>
      </c>
    </row>
    <row r="1859" spans="2:14">
      <c r="B1859" s="15">
        <v>45596</v>
      </c>
      <c r="C1859" s="34" t="s">
        <v>88</v>
      </c>
      <c r="D1859" s="34" t="e" vm="9">
        <f>_xlfn.XLOOKUP(HistoricalStockProgress[[#This Row],[Company Ticker]],CompanyDetailsList[Company Ticker],CompanyDetailsList[Official Name],,0)</f>
        <v>#VALUE!</v>
      </c>
      <c r="E18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18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1859" s="17">
        <f>IFERROR(HistoricalStockProgress[[#This Row],[Cost of Shares]]/HistoricalStockProgress[[#This Row],[No. of Shares]],0)</f>
        <v>224.7272684493652</v>
      </c>
      <c r="H1859" s="16" vm="2333">
        <v>292.11</v>
      </c>
      <c r="I1859" s="16">
        <f>IF(HistoricalStockProgress[[#This Row],[No. of Shares]]&lt;&gt;0,HistoricalStockProgress[[#This Row],[Price of Shares]]*HistoricalStockProgress[[#This Row],[No. of Shares]],0)</f>
        <v>27750.45</v>
      </c>
      <c r="J1859" s="16">
        <f>IF(HistoricalStockProgress[[#This Row],[No. of Shares]]&lt;&gt;0,HistoricalStockProgress[[#This Row],[Price of Shares]]-HistoricalStockProgress[[#This Row],[Cost of Shares]]/HistoricalStockProgress[[#This Row],[No. of Shares]],0)</f>
        <v>67.382731550634816</v>
      </c>
      <c r="K1859" s="17">
        <f>IF(HistoricalStockProgress[[#This Row],[Total Price of Shares]]&lt;&gt;0,HistoricalStockProgress[[#This Row],[Total Price of Shares]]-HistoricalStockProgress[[#This Row],[Cost of Shares]],0)</f>
        <v>6401.3594973103063</v>
      </c>
      <c r="L1859" s="34" t="b" cm="1">
        <f t="array" ref="L1859">IFERROR(IF(HistoricalStockProgress[[#This Row],[Price of Shares]]="",_xlfn.STOCKHISTORY(HistoricalStockProgress[[#This Row],[Full Company Name]],HistoricalStockProgress[[#This Row],[Date]],,2,0,1)),0)</f>
        <v>0</v>
      </c>
      <c r="M1859" s="34">
        <f>YEAR(HistoricalStockProgress[[#This Row],[Date]])</f>
        <v>2024</v>
      </c>
      <c r="N1859" s="34">
        <f>MONTH(HistoricalStockProgress[[#This Row],[Date]])</f>
        <v>10</v>
      </c>
    </row>
    <row r="1860" spans="2:14">
      <c r="B1860" s="15">
        <v>45596</v>
      </c>
      <c r="C1860" s="34" t="s">
        <v>22</v>
      </c>
      <c r="D1860" s="34" t="e" vm="10">
        <f>_xlfn.XLOOKUP(HistoricalStockProgress[[#This Row],[Company Ticker]],CompanyDetailsList[Company Ticker],CompanyDetailsList[Official Name],,0)</f>
        <v>#VALUE!</v>
      </c>
      <c r="E18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8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860" s="17">
        <f>IFERROR(HistoricalStockProgress[[#This Row],[Cost of Shares]]/HistoricalStockProgress[[#This Row],[No. of Shares]],0)</f>
        <v>130.19784136724968</v>
      </c>
      <c r="H1860" s="16" vm="2334">
        <v>376.2</v>
      </c>
      <c r="I1860" s="16">
        <f>IF(HistoricalStockProgress[[#This Row],[No. of Shares]]&lt;&gt;0,HistoricalStockProgress[[#This Row],[Price of Shares]]*HistoricalStockProgress[[#This Row],[No. of Shares]],0)</f>
        <v>44767.799999999996</v>
      </c>
      <c r="J1860" s="16">
        <f>IF(HistoricalStockProgress[[#This Row],[No. of Shares]]&lt;&gt;0,HistoricalStockProgress[[#This Row],[Price of Shares]]-HistoricalStockProgress[[#This Row],[Cost of Shares]]/HistoricalStockProgress[[#This Row],[No. of Shares]],0)</f>
        <v>246.00215863275031</v>
      </c>
      <c r="K1860" s="17">
        <f>IF(HistoricalStockProgress[[#This Row],[Total Price of Shares]]&lt;&gt;0,HistoricalStockProgress[[#This Row],[Total Price of Shares]]-HistoricalStockProgress[[#This Row],[Cost of Shares]],0)</f>
        <v>29274.256877297281</v>
      </c>
      <c r="L1860" s="34" t="b" cm="1">
        <f t="array" ref="L1860">IFERROR(IF(HistoricalStockProgress[[#This Row],[Price of Shares]]="",_xlfn.STOCKHISTORY(HistoricalStockProgress[[#This Row],[Full Company Name]],HistoricalStockProgress[[#This Row],[Date]],,2,0,1)),0)</f>
        <v>0</v>
      </c>
      <c r="M1860" s="34">
        <f>YEAR(HistoricalStockProgress[[#This Row],[Date]])</f>
        <v>2024</v>
      </c>
      <c r="N1860" s="34">
        <f>MONTH(HistoricalStockProgress[[#This Row],[Date]])</f>
        <v>10</v>
      </c>
    </row>
    <row r="1861" spans="2:14">
      <c r="B1861" s="15">
        <v>45596</v>
      </c>
      <c r="C1861" s="34" t="s">
        <v>91</v>
      </c>
      <c r="D1861" s="34" t="e" vm="11">
        <f>_xlfn.XLOOKUP(HistoricalStockProgress[[#This Row],[Company Ticker]],CompanyDetailsList[Company Ticker],CompanyDetailsList[Official Name],,0)</f>
        <v>#VALUE!</v>
      </c>
      <c r="E18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8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861" s="17">
        <f>IFERROR(HistoricalStockProgress[[#This Row],[Cost of Shares]]/HistoricalStockProgress[[#This Row],[No. of Shares]],0)</f>
        <v>133.15744058830452</v>
      </c>
      <c r="H1861" s="16" vm="2335">
        <v>406.35</v>
      </c>
      <c r="I1861" s="16">
        <f>IF(HistoricalStockProgress[[#This Row],[No. of Shares]]&lt;&gt;0,HistoricalStockProgress[[#This Row],[Price of Shares]]*HistoricalStockProgress[[#This Row],[No. of Shares]],0)</f>
        <v>74362.05</v>
      </c>
      <c r="J1861" s="16">
        <f>IF(HistoricalStockProgress[[#This Row],[No. of Shares]]&lt;&gt;0,HistoricalStockProgress[[#This Row],[Price of Shares]]-HistoricalStockProgress[[#This Row],[Cost of Shares]]/HistoricalStockProgress[[#This Row],[No. of Shares]],0)</f>
        <v>273.19255941169547</v>
      </c>
      <c r="K1861" s="17">
        <f>IF(HistoricalStockProgress[[#This Row],[Total Price of Shares]]&lt;&gt;0,HistoricalStockProgress[[#This Row],[Total Price of Shares]]-HistoricalStockProgress[[#This Row],[Cost of Shares]],0)</f>
        <v>49994.238372340275</v>
      </c>
      <c r="L1861" s="34" t="b" cm="1">
        <f t="array" ref="L1861">IFERROR(IF(HistoricalStockProgress[[#This Row],[Price of Shares]]="",_xlfn.STOCKHISTORY(HistoricalStockProgress[[#This Row],[Full Company Name]],HistoricalStockProgress[[#This Row],[Date]],,2,0,1)),0)</f>
        <v>0</v>
      </c>
      <c r="M1861" s="34">
        <f>YEAR(HistoricalStockProgress[[#This Row],[Date]])</f>
        <v>2024</v>
      </c>
      <c r="N1861" s="34">
        <f>MONTH(HistoricalStockProgress[[#This Row],[Date]])</f>
        <v>10</v>
      </c>
    </row>
    <row r="1862" spans="2:14">
      <c r="B1862" s="15">
        <v>45596</v>
      </c>
      <c r="C1862" s="34" t="s">
        <v>16</v>
      </c>
      <c r="D1862" s="34" t="e" vm="12">
        <f>_xlfn.XLOOKUP(HistoricalStockProgress[[#This Row],[Company Ticker]],CompanyDetailsList[Company Ticker],CompanyDetailsList[Official Name],,0)</f>
        <v>#VALUE!</v>
      </c>
      <c r="E18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8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862" s="17">
        <f>IFERROR(HistoricalStockProgress[[#This Row],[Cost of Shares]]/HistoricalStockProgress[[#This Row],[No. of Shares]],0)</f>
        <v>75.117698177311837</v>
      </c>
      <c r="H1862" s="16" vm="2336">
        <v>116.78</v>
      </c>
      <c r="I1862" s="16">
        <f>IF(HistoricalStockProgress[[#This Row],[No. of Shares]]&lt;&gt;0,HistoricalStockProgress[[#This Row],[Price of Shares]]*HistoricalStockProgress[[#This Row],[No. of Shares]],0)</f>
        <v>21604.3</v>
      </c>
      <c r="J1862" s="16">
        <f>IF(HistoricalStockProgress[[#This Row],[No. of Shares]]&lt;&gt;0,HistoricalStockProgress[[#This Row],[Price of Shares]]-HistoricalStockProgress[[#This Row],[Cost of Shares]]/HistoricalStockProgress[[#This Row],[No. of Shares]],0)</f>
        <v>41.662301822688164</v>
      </c>
      <c r="K1862" s="17">
        <f>IF(HistoricalStockProgress[[#This Row],[Total Price of Shares]]&lt;&gt;0,HistoricalStockProgress[[#This Row],[Total Price of Shares]]-HistoricalStockProgress[[#This Row],[Cost of Shares]],0)</f>
        <v>7707.5258371973105</v>
      </c>
      <c r="L1862" s="34" t="b" cm="1">
        <f t="array" ref="L1862">IFERROR(IF(HistoricalStockProgress[[#This Row],[Price of Shares]]="",_xlfn.STOCKHISTORY(HistoricalStockProgress[[#This Row],[Full Company Name]],HistoricalStockProgress[[#This Row],[Date]],,2,0,1)),0)</f>
        <v>0</v>
      </c>
      <c r="M1862" s="34">
        <f>YEAR(HistoricalStockProgress[[#This Row],[Date]])</f>
        <v>2024</v>
      </c>
      <c r="N1862" s="34">
        <f>MONTH(HistoricalStockProgress[[#This Row],[Date]])</f>
        <v>10</v>
      </c>
    </row>
    <row r="1863" spans="2:14">
      <c r="B1863" s="15">
        <v>45596</v>
      </c>
      <c r="C1863" s="34" t="s">
        <v>95</v>
      </c>
      <c r="D1863" s="34" t="e" vm="13">
        <f>_xlfn.XLOOKUP(HistoricalStockProgress[[#This Row],[Company Ticker]],CompanyDetailsList[Company Ticker],CompanyDetailsList[Official Name],,0)</f>
        <v>#VALUE!</v>
      </c>
      <c r="E18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143</v>
      </c>
      <c r="F18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35362.550411645469</v>
      </c>
      <c r="G1863" s="17">
        <f>IFERROR(HistoricalStockProgress[[#This Row],[Cost of Shares]]/HistoricalStockProgress[[#This Row],[No. of Shares]],0)</f>
        <v>247.29056231919907</v>
      </c>
      <c r="H1863" s="16" vm="2337">
        <v>393.75</v>
      </c>
      <c r="I1863" s="16">
        <f>IF(HistoricalStockProgress[[#This Row],[No. of Shares]]&lt;&gt;0,HistoricalStockProgress[[#This Row],[Price of Shares]]*HistoricalStockProgress[[#This Row],[No. of Shares]],0)</f>
        <v>56306.25</v>
      </c>
      <c r="J1863" s="16">
        <f>IF(HistoricalStockProgress[[#This Row],[No. of Shares]]&lt;&gt;0,HistoricalStockProgress[[#This Row],[Price of Shares]]-HistoricalStockProgress[[#This Row],[Cost of Shares]]/HistoricalStockProgress[[#This Row],[No. of Shares]],0)</f>
        <v>146.45943768080093</v>
      </c>
      <c r="K1863" s="17">
        <f>IF(HistoricalStockProgress[[#This Row],[Total Price of Shares]]&lt;&gt;0,HistoricalStockProgress[[#This Row],[Total Price of Shares]]-HistoricalStockProgress[[#This Row],[Cost of Shares]],0)</f>
        <v>20943.699588354531</v>
      </c>
      <c r="L1863" s="34" t="b" cm="1">
        <f t="array" ref="L1863">IFERROR(IF(HistoricalStockProgress[[#This Row],[Price of Shares]]="",_xlfn.STOCKHISTORY(HistoricalStockProgress[[#This Row],[Full Company Name]],HistoricalStockProgress[[#This Row],[Date]],,2,0,1)),0)</f>
        <v>0</v>
      </c>
      <c r="M1863" s="34">
        <f>YEAR(HistoricalStockProgress[[#This Row],[Date]])</f>
        <v>2024</v>
      </c>
      <c r="N1863" s="34">
        <f>MONTH(HistoricalStockProgress[[#This Row],[Date]])</f>
        <v>10</v>
      </c>
    </row>
    <row r="1864" spans="2:14">
      <c r="B1864" s="15">
        <v>45596</v>
      </c>
      <c r="C1864" s="34" t="s">
        <v>17</v>
      </c>
      <c r="D1864" s="34" t="e" vm="14">
        <f>_xlfn.XLOOKUP(HistoricalStockProgress[[#This Row],[Company Ticker]],CompanyDetailsList[Company Ticker],CompanyDetailsList[Official Name],,0)</f>
        <v>#VALUE!</v>
      </c>
      <c r="E18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18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1864" s="17">
        <f>IFERROR(HistoricalStockProgress[[#This Row],[Cost of Shares]]/HistoricalStockProgress[[#This Row],[No. of Shares]],0)</f>
        <v>143.37791217450521</v>
      </c>
      <c r="H1864" s="16" vm="2338">
        <v>206.72</v>
      </c>
      <c r="I1864" s="16">
        <f>IF(HistoricalStockProgress[[#This Row],[No. of Shares]]&lt;&gt;0,HistoricalStockProgress[[#This Row],[Price of Shares]]*HistoricalStockProgress[[#This Row],[No. of Shares]],0)</f>
        <v>47752.32</v>
      </c>
      <c r="J1864" s="16">
        <f>IF(HistoricalStockProgress[[#This Row],[No. of Shares]]&lt;&gt;0,HistoricalStockProgress[[#This Row],[Price of Shares]]-HistoricalStockProgress[[#This Row],[Cost of Shares]]/HistoricalStockProgress[[#This Row],[No. of Shares]],0)</f>
        <v>63.342087825494787</v>
      </c>
      <c r="K1864" s="17">
        <f>IF(HistoricalStockProgress[[#This Row],[Total Price of Shares]]&lt;&gt;0,HistoricalStockProgress[[#This Row],[Total Price of Shares]]-HistoricalStockProgress[[#This Row],[Cost of Shares]],0)</f>
        <v>14632.022287689295</v>
      </c>
      <c r="L1864" s="34" t="b" cm="1">
        <f t="array" ref="L1864">IFERROR(IF(HistoricalStockProgress[[#This Row],[Price of Shares]]="",_xlfn.STOCKHISTORY(HistoricalStockProgress[[#This Row],[Full Company Name]],HistoricalStockProgress[[#This Row],[Date]],,2,0,1)),0)</f>
        <v>0</v>
      </c>
      <c r="M1864" s="34">
        <f>YEAR(HistoricalStockProgress[[#This Row],[Date]])</f>
        <v>2024</v>
      </c>
      <c r="N1864" s="34">
        <f>MONTH(HistoricalStockProgress[[#This Row],[Date]])</f>
        <v>10</v>
      </c>
    </row>
    <row r="1865" spans="2:14">
      <c r="B1865" s="15">
        <v>45596</v>
      </c>
      <c r="C1865" s="34" t="s">
        <v>98</v>
      </c>
      <c r="D1865" s="34" t="e" vm="15">
        <f>_xlfn.XLOOKUP(HistoricalStockProgress[[#This Row],[Company Ticker]],CompanyDetailsList[Company Ticker],CompanyDetailsList[Official Name],,0)</f>
        <v>#VALUE!</v>
      </c>
      <c r="E18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18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8175.3025483037236</v>
      </c>
      <c r="G1865" s="17">
        <f>IFERROR(HistoricalStockProgress[[#This Row],[Cost of Shares]]/HistoricalStockProgress[[#This Row],[No. of Shares]],0)</f>
        <v>55.995222933587151</v>
      </c>
      <c r="H1865" s="16" vm="2339">
        <v>79.25</v>
      </c>
      <c r="I1865" s="16">
        <f>IF(HistoricalStockProgress[[#This Row],[No. of Shares]]&lt;&gt;0,HistoricalStockProgress[[#This Row],[Price of Shares]]*HistoricalStockProgress[[#This Row],[No. of Shares]],0)</f>
        <v>11570.5</v>
      </c>
      <c r="J1865" s="16">
        <f>IF(HistoricalStockProgress[[#This Row],[No. of Shares]]&lt;&gt;0,HistoricalStockProgress[[#This Row],[Price of Shares]]-HistoricalStockProgress[[#This Row],[Cost of Shares]]/HistoricalStockProgress[[#This Row],[No. of Shares]],0)</f>
        <v>23.254777066412849</v>
      </c>
      <c r="K1865" s="17">
        <f>IF(HistoricalStockProgress[[#This Row],[Total Price of Shares]]&lt;&gt;0,HistoricalStockProgress[[#This Row],[Total Price of Shares]]-HistoricalStockProgress[[#This Row],[Cost of Shares]],0)</f>
        <v>3395.1974516962764</v>
      </c>
      <c r="L1865" s="34" t="b" cm="1">
        <f t="array" ref="L1865">IFERROR(IF(HistoricalStockProgress[[#This Row],[Price of Shares]]="",_xlfn.STOCKHISTORY(HistoricalStockProgress[[#This Row],[Full Company Name]],HistoricalStockProgress[[#This Row],[Date]],,2,0,1)),0)</f>
        <v>0</v>
      </c>
      <c r="M1865" s="34">
        <f>YEAR(HistoricalStockProgress[[#This Row],[Date]])</f>
        <v>2024</v>
      </c>
      <c r="N1865" s="34">
        <f>MONTH(HistoricalStockProgress[[#This Row],[Date]])</f>
        <v>10</v>
      </c>
    </row>
    <row r="1866" spans="2:14">
      <c r="B1866" s="15">
        <v>45596</v>
      </c>
      <c r="C1866" s="34" t="s">
        <v>100</v>
      </c>
      <c r="D1866" s="34" t="e" vm="16">
        <f>_xlfn.XLOOKUP(HistoricalStockProgress[[#This Row],[Company Ticker]],CompanyDetailsList[Company Ticker],CompanyDetailsList[Official Name],,0)</f>
        <v>#VALUE!</v>
      </c>
      <c r="E18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18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1866" s="17">
        <f>IFERROR(HistoricalStockProgress[[#This Row],[Cost of Shares]]/HistoricalStockProgress[[#This Row],[No. of Shares]],0)</f>
        <v>92.156351168716071</v>
      </c>
      <c r="H1866" s="16" vm="2340">
        <v>115.27</v>
      </c>
      <c r="I1866" s="16">
        <f>IF(HistoricalStockProgress[[#This Row],[No. of Shares]]&lt;&gt;0,HistoricalStockProgress[[#This Row],[Price of Shares]]*HistoricalStockProgress[[#This Row],[No. of Shares]],0)</f>
        <v>28817.5</v>
      </c>
      <c r="J1866" s="16">
        <f>IF(HistoricalStockProgress[[#This Row],[No. of Shares]]&lt;&gt;0,HistoricalStockProgress[[#This Row],[Price of Shares]]-HistoricalStockProgress[[#This Row],[Cost of Shares]]/HistoricalStockProgress[[#This Row],[No. of Shares]],0)</f>
        <v>23.113648831283925</v>
      </c>
      <c r="K1866" s="17">
        <f>IF(HistoricalStockProgress[[#This Row],[Total Price of Shares]]&lt;&gt;0,HistoricalStockProgress[[#This Row],[Total Price of Shares]]-HistoricalStockProgress[[#This Row],[Cost of Shares]],0)</f>
        <v>5778.4122078209839</v>
      </c>
      <c r="L1866" s="34" t="b" cm="1">
        <f t="array" ref="L1866">IFERROR(IF(HistoricalStockProgress[[#This Row],[Price of Shares]]="",_xlfn.STOCKHISTORY(HistoricalStockProgress[[#This Row],[Full Company Name]],HistoricalStockProgress[[#This Row],[Date]],,2,0,1)),0)</f>
        <v>0</v>
      </c>
      <c r="M1866" s="34">
        <f>YEAR(HistoricalStockProgress[[#This Row],[Date]])</f>
        <v>2024</v>
      </c>
      <c r="N1866" s="34">
        <f>MONTH(HistoricalStockProgress[[#This Row],[Date]])</f>
        <v>10</v>
      </c>
    </row>
    <row r="1867" spans="2:14">
      <c r="B1867" s="15">
        <v>45596</v>
      </c>
      <c r="C1867" s="34" t="s">
        <v>15</v>
      </c>
      <c r="D1867" s="34" t="e" vm="17">
        <f>_xlfn.XLOOKUP(HistoricalStockProgress[[#This Row],[Company Ticker]],CompanyDetailsList[Company Ticker],CompanyDetailsList[Official Name],,0)</f>
        <v>#VALUE!</v>
      </c>
      <c r="E18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18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3628.1478386140398</v>
      </c>
      <c r="G1867" s="17">
        <f>IFERROR(HistoricalStockProgress[[#This Row],[Cost of Shares]]/HistoricalStockProgress[[#This Row],[No. of Shares]],0)</f>
        <v>24.85032766174</v>
      </c>
      <c r="H1867" s="16" vm="2341">
        <v>22.54</v>
      </c>
      <c r="I1867" s="16">
        <f>IF(HistoricalStockProgress[[#This Row],[No. of Shares]]&lt;&gt;0,HistoricalStockProgress[[#This Row],[Price of Shares]]*HistoricalStockProgress[[#This Row],[No. of Shares]],0)</f>
        <v>3290.8399999999997</v>
      </c>
      <c r="J1867" s="16">
        <f>IF(HistoricalStockProgress[[#This Row],[No. of Shares]]&lt;&gt;0,HistoricalStockProgress[[#This Row],[Price of Shares]]-HistoricalStockProgress[[#This Row],[Cost of Shares]]/HistoricalStockProgress[[#This Row],[No. of Shares]],0)</f>
        <v>-2.3103276617400006</v>
      </c>
      <c r="K1867" s="17">
        <f>IF(HistoricalStockProgress[[#This Row],[Total Price of Shares]]&lt;&gt;0,HistoricalStockProgress[[#This Row],[Total Price of Shares]]-HistoricalStockProgress[[#This Row],[Cost of Shares]],0)</f>
        <v>-337.30783861404007</v>
      </c>
      <c r="L1867" s="34" t="b" cm="1">
        <f t="array" ref="L1867">IFERROR(IF(HistoricalStockProgress[[#This Row],[Price of Shares]]="",_xlfn.STOCKHISTORY(HistoricalStockProgress[[#This Row],[Full Company Name]],HistoricalStockProgress[[#This Row],[Date]],,2,0,1)),0)</f>
        <v>0</v>
      </c>
      <c r="M1867" s="34">
        <f>YEAR(HistoricalStockProgress[[#This Row],[Date]])</f>
        <v>2024</v>
      </c>
      <c r="N1867" s="34">
        <f>MONTH(HistoricalStockProgress[[#This Row],[Date]])</f>
        <v>10</v>
      </c>
    </row>
    <row r="1868" spans="2:14">
      <c r="B1868" s="15">
        <v>45596</v>
      </c>
      <c r="C1868" s="34" t="s">
        <v>13</v>
      </c>
      <c r="D1868" s="34" t="e" vm="18">
        <f>_xlfn.XLOOKUP(HistoricalStockProgress[[#This Row],[Company Ticker]],CompanyDetailsList[Company Ticker],CompanyDetailsList[Official Name],,0)</f>
        <v>#VALUE!</v>
      </c>
      <c r="E18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115</v>
      </c>
      <c r="F18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3682.4466352500076</v>
      </c>
      <c r="G1868" s="17">
        <f>IFERROR(HistoricalStockProgress[[#This Row],[Cost of Shares]]/HistoricalStockProgress[[#This Row],[No. of Shares]],0)</f>
        <v>32.021275089130498</v>
      </c>
      <c r="H1868" s="16" vm="2342">
        <v>28.3</v>
      </c>
      <c r="I1868" s="16">
        <f>IF(HistoricalStockProgress[[#This Row],[No. of Shares]]&lt;&gt;0,HistoricalStockProgress[[#This Row],[Price of Shares]]*HistoricalStockProgress[[#This Row],[No. of Shares]],0)</f>
        <v>3254.5</v>
      </c>
      <c r="J1868" s="16">
        <f>IF(HistoricalStockProgress[[#This Row],[No. of Shares]]&lt;&gt;0,HistoricalStockProgress[[#This Row],[Price of Shares]]-HistoricalStockProgress[[#This Row],[Cost of Shares]]/HistoricalStockProgress[[#This Row],[No. of Shares]],0)</f>
        <v>-3.7212750891304971</v>
      </c>
      <c r="K1868" s="17">
        <f>IF(HistoricalStockProgress[[#This Row],[Total Price of Shares]]&lt;&gt;0,HistoricalStockProgress[[#This Row],[Total Price of Shares]]-HistoricalStockProgress[[#This Row],[Cost of Shares]],0)</f>
        <v>-427.9466352500076</v>
      </c>
      <c r="L1868" s="34" t="b" cm="1">
        <f t="array" ref="L1868">IFERROR(IF(HistoricalStockProgress[[#This Row],[Price of Shares]]="",_xlfn.STOCKHISTORY(HistoricalStockProgress[[#This Row],[Full Company Name]],HistoricalStockProgress[[#This Row],[Date]],,2,0,1)),0)</f>
        <v>0</v>
      </c>
      <c r="M1868" s="34">
        <f>YEAR(HistoricalStockProgress[[#This Row],[Date]])</f>
        <v>2024</v>
      </c>
      <c r="N1868" s="34">
        <f>MONTH(HistoricalStockProgress[[#This Row],[Date]])</f>
        <v>10</v>
      </c>
    </row>
    <row r="1869" spans="2:14">
      <c r="B1869" s="15">
        <v>45596</v>
      </c>
      <c r="C1869" s="34" t="s">
        <v>20</v>
      </c>
      <c r="D1869" s="34" t="e" vm="19">
        <f>_xlfn.XLOOKUP(HistoricalStockProgress[[#This Row],[Company Ticker]],CompanyDetailsList[Company Ticker],CompanyDetailsList[Official Name],,0)</f>
        <v>#VALUE!</v>
      </c>
      <c r="E18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8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869" s="17">
        <f>IFERROR(HistoricalStockProgress[[#This Row],[Cost of Shares]]/HistoricalStockProgress[[#This Row],[No. of Shares]],0)</f>
        <v>108.1760767450256</v>
      </c>
      <c r="H1869" s="16" vm="2343">
        <v>221.92</v>
      </c>
      <c r="I1869" s="16">
        <f>IF(HistoricalStockProgress[[#This Row],[No. of Shares]]&lt;&gt;0,HistoricalStockProgress[[#This Row],[Price of Shares]]*HistoricalStockProgress[[#This Row],[No. of Shares]],0)</f>
        <v>25742.719999999998</v>
      </c>
      <c r="J1869" s="16">
        <f>IF(HistoricalStockProgress[[#This Row],[No. of Shares]]&lt;&gt;0,HistoricalStockProgress[[#This Row],[Price of Shares]]-HistoricalStockProgress[[#This Row],[Cost of Shares]]/HistoricalStockProgress[[#This Row],[No. of Shares]],0)</f>
        <v>113.74392325497439</v>
      </c>
      <c r="K1869" s="17">
        <f>IF(HistoricalStockProgress[[#This Row],[Total Price of Shares]]&lt;&gt;0,HistoricalStockProgress[[#This Row],[Total Price of Shares]]-HistoricalStockProgress[[#This Row],[Cost of Shares]],0)</f>
        <v>13194.295097577029</v>
      </c>
      <c r="L1869" s="34" t="b" cm="1">
        <f t="array" ref="L1869">IFERROR(IF(HistoricalStockProgress[[#This Row],[Price of Shares]]="",_xlfn.STOCKHISTORY(HistoricalStockProgress[[#This Row],[Full Company Name]],HistoricalStockProgress[[#This Row],[Date]],,2,0,1)),0)</f>
        <v>0</v>
      </c>
      <c r="M1869" s="34">
        <f>YEAR(HistoricalStockProgress[[#This Row],[Date]])</f>
        <v>2024</v>
      </c>
      <c r="N1869" s="34">
        <f>MONTH(HistoricalStockProgress[[#This Row],[Date]])</f>
        <v>10</v>
      </c>
    </row>
    <row r="1870" spans="2:14">
      <c r="B1870" s="15">
        <v>45596</v>
      </c>
      <c r="C1870" s="34" t="s">
        <v>106</v>
      </c>
      <c r="D1870" s="34" t="e" vm="20">
        <f>_xlfn.XLOOKUP(HistoricalStockProgress[[#This Row],[Company Ticker]],CompanyDetailsList[Company Ticker],CompanyDetailsList[Official Name],,0)</f>
        <v>#VALUE!</v>
      </c>
      <c r="E18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8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870" s="17">
        <f>IFERROR(HistoricalStockProgress[[#This Row],[Cost of Shares]]/HistoricalStockProgress[[#This Row],[No. of Shares]],0)</f>
        <v>108.54870748680406</v>
      </c>
      <c r="H1870" s="16" vm="1206">
        <v>124.51</v>
      </c>
      <c r="I1870" s="16">
        <f>IF(HistoricalStockProgress[[#This Row],[No. of Shares]]&lt;&gt;0,HistoricalStockProgress[[#This Row],[Price of Shares]]*HistoricalStockProgress[[#This Row],[No. of Shares]],0)</f>
        <v>10956.880000000001</v>
      </c>
      <c r="J1870" s="16">
        <f>IF(HistoricalStockProgress[[#This Row],[No. of Shares]]&lt;&gt;0,HistoricalStockProgress[[#This Row],[Price of Shares]]-HistoricalStockProgress[[#This Row],[Cost of Shares]]/HistoricalStockProgress[[#This Row],[No. of Shares]],0)</f>
        <v>15.961292513195943</v>
      </c>
      <c r="K1870" s="17">
        <f>IF(HistoricalStockProgress[[#This Row],[Total Price of Shares]]&lt;&gt;0,HistoricalStockProgress[[#This Row],[Total Price of Shares]]-HistoricalStockProgress[[#This Row],[Cost of Shares]],0)</f>
        <v>1404.5937411612431</v>
      </c>
      <c r="L1870" s="34" t="b" cm="1">
        <f t="array" ref="L1870">IFERROR(IF(HistoricalStockProgress[[#This Row],[Price of Shares]]="",_xlfn.STOCKHISTORY(HistoricalStockProgress[[#This Row],[Full Company Name]],HistoricalStockProgress[[#This Row],[Date]],,2,0,1)),0)</f>
        <v>0</v>
      </c>
      <c r="M1870" s="34">
        <f>YEAR(HistoricalStockProgress[[#This Row],[Date]])</f>
        <v>2024</v>
      </c>
      <c r="N1870" s="34">
        <f>MONTH(HistoricalStockProgress[[#This Row],[Date]])</f>
        <v>10</v>
      </c>
    </row>
    <row r="1871" spans="2:14">
      <c r="B1871" s="15">
        <v>45626</v>
      </c>
      <c r="C1871" s="34" t="s">
        <v>12</v>
      </c>
      <c r="D1871" s="34" t="e" vm="1">
        <f>_xlfn.XLOOKUP(HistoricalStockProgress[[#This Row],[Company Ticker]],CompanyDetailsList[Company Ticker],CompanyDetailsList[Official Name],,0)</f>
        <v>#VALUE!</v>
      </c>
      <c r="E18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8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871" s="17">
        <f>IFERROR(HistoricalStockProgress[[#This Row],[Cost of Shares]]/HistoricalStockProgress[[#This Row],[No. of Shares]],0)</f>
        <v>64.573985995316889</v>
      </c>
      <c r="H1871" s="16" vm="2344">
        <v>57.89</v>
      </c>
      <c r="I1871" s="16">
        <f>IF(HistoricalStockProgress[[#This Row],[No. of Shares]]&lt;&gt;0,HistoricalStockProgress[[#This Row],[Price of Shares]]*HistoricalStockProgress[[#This Row],[No. of Shares]],0)</f>
        <v>5615.33</v>
      </c>
      <c r="J1871" s="16">
        <f>IF(HistoricalStockProgress[[#This Row],[No. of Shares]]&lt;&gt;0,HistoricalStockProgress[[#This Row],[Price of Shares]]-HistoricalStockProgress[[#This Row],[Cost of Shares]]/HistoricalStockProgress[[#This Row],[No. of Shares]],0)</f>
        <v>-6.6839859953168883</v>
      </c>
      <c r="K1871" s="17">
        <f>IF(HistoricalStockProgress[[#This Row],[Total Price of Shares]]&lt;&gt;0,HistoricalStockProgress[[#This Row],[Total Price of Shares]]-HistoricalStockProgress[[#This Row],[Cost of Shares]],0)</f>
        <v>-648.34664154573784</v>
      </c>
      <c r="L1871" s="34" t="b" cm="1">
        <f t="array" ref="L1871">IFERROR(IF(HistoricalStockProgress[[#This Row],[Price of Shares]]="",_xlfn.STOCKHISTORY(HistoricalStockProgress[[#This Row],[Full Company Name]],HistoricalStockProgress[[#This Row],[Date]],,2,0,1)),0)</f>
        <v>0</v>
      </c>
      <c r="M1871" s="34">
        <f>YEAR(HistoricalStockProgress[[#This Row],[Date]])</f>
        <v>2024</v>
      </c>
      <c r="N1871" s="34">
        <f>MONTH(HistoricalStockProgress[[#This Row],[Date]])</f>
        <v>11</v>
      </c>
    </row>
    <row r="1872" spans="2:14">
      <c r="B1872" s="15">
        <v>45626</v>
      </c>
      <c r="C1872" s="34" t="s">
        <v>14</v>
      </c>
      <c r="D1872" s="34" t="e" vm="2">
        <f>_xlfn.XLOOKUP(HistoricalStockProgress[[#This Row],[Company Ticker]],CompanyDetailsList[Company Ticker],CompanyDetailsList[Official Name],,0)</f>
        <v>#VALUE!</v>
      </c>
      <c r="E18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18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1872" s="17">
        <f>IFERROR(HistoricalStockProgress[[#This Row],[Cost of Shares]]/HistoricalStockProgress[[#This Row],[No. of Shares]],0)</f>
        <v>26.819337355148658</v>
      </c>
      <c r="H1872" s="16" vm="2345">
        <v>29.49</v>
      </c>
      <c r="I1872" s="16">
        <f>IF(HistoricalStockProgress[[#This Row],[No. of Shares]]&lt;&gt;0,HistoricalStockProgress[[#This Row],[Price of Shares]]*HistoricalStockProgress[[#This Row],[No. of Shares]],0)</f>
        <v>1857.87</v>
      </c>
      <c r="J1872" s="16">
        <f>IF(HistoricalStockProgress[[#This Row],[No. of Shares]]&lt;&gt;0,HistoricalStockProgress[[#This Row],[Price of Shares]]-HistoricalStockProgress[[#This Row],[Cost of Shares]]/HistoricalStockProgress[[#This Row],[No. of Shares]],0)</f>
        <v>2.6706626448513404</v>
      </c>
      <c r="K1872" s="17">
        <f>IF(HistoricalStockProgress[[#This Row],[Total Price of Shares]]&lt;&gt;0,HistoricalStockProgress[[#This Row],[Total Price of Shares]]-HistoricalStockProgress[[#This Row],[Cost of Shares]],0)</f>
        <v>168.2517466256345</v>
      </c>
      <c r="L1872" s="34" t="b" cm="1">
        <f t="array" ref="L1872">IFERROR(IF(HistoricalStockProgress[[#This Row],[Price of Shares]]="",_xlfn.STOCKHISTORY(HistoricalStockProgress[[#This Row],[Full Company Name]],HistoricalStockProgress[[#This Row],[Date]],,2,0,1)),0)</f>
        <v>0</v>
      </c>
      <c r="M1872" s="34">
        <f>YEAR(HistoricalStockProgress[[#This Row],[Date]])</f>
        <v>2024</v>
      </c>
      <c r="N1872" s="34">
        <f>MONTH(HistoricalStockProgress[[#This Row],[Date]])</f>
        <v>11</v>
      </c>
    </row>
    <row r="1873" spans="2:14">
      <c r="B1873" s="15">
        <v>45626</v>
      </c>
      <c r="C1873" s="34" t="s">
        <v>19</v>
      </c>
      <c r="D1873" s="34" t="e" vm="3">
        <f>_xlfn.XLOOKUP(HistoricalStockProgress[[#This Row],[Company Ticker]],CompanyDetailsList[Company Ticker],CompanyDetailsList[Official Name],,0)</f>
        <v>#VALUE!</v>
      </c>
      <c r="E18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18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1873" s="17">
        <f>IFERROR(HistoricalStockProgress[[#This Row],[Cost of Shares]]/HistoricalStockProgress[[#This Row],[No. of Shares]],0)</f>
        <v>160.12652821044301</v>
      </c>
      <c r="H1873" s="16" vm="2346">
        <v>167.17</v>
      </c>
      <c r="I1873" s="16">
        <f>IF(HistoricalStockProgress[[#This Row],[No. of Shares]]&lt;&gt;0,HistoricalStockProgress[[#This Row],[Price of Shares]]*HistoricalStockProgress[[#This Row],[No. of Shares]],0)</f>
        <v>14376.619999999999</v>
      </c>
      <c r="J1873" s="16">
        <f>IF(HistoricalStockProgress[[#This Row],[No. of Shares]]&lt;&gt;0,HistoricalStockProgress[[#This Row],[Price of Shares]]-HistoricalStockProgress[[#This Row],[Cost of Shares]]/HistoricalStockProgress[[#This Row],[No. of Shares]],0)</f>
        <v>7.0434717895569747</v>
      </c>
      <c r="K1873" s="17">
        <f>IF(HistoricalStockProgress[[#This Row],[Total Price of Shares]]&lt;&gt;0,HistoricalStockProgress[[#This Row],[Total Price of Shares]]-HistoricalStockProgress[[#This Row],[Cost of Shares]],0)</f>
        <v>605.73857390190096</v>
      </c>
      <c r="L1873" s="34" t="b" cm="1">
        <f t="array" ref="L1873">IFERROR(IF(HistoricalStockProgress[[#This Row],[Price of Shares]]="",_xlfn.STOCKHISTORY(HistoricalStockProgress[[#This Row],[Full Company Name]],HistoricalStockProgress[[#This Row],[Date]],,2,0,1)),0)</f>
        <v>0</v>
      </c>
      <c r="M1873" s="34">
        <f>YEAR(HistoricalStockProgress[[#This Row],[Date]])</f>
        <v>2024</v>
      </c>
      <c r="N1873" s="34">
        <f>MONTH(HistoricalStockProgress[[#This Row],[Date]])</f>
        <v>11</v>
      </c>
    </row>
    <row r="1874" spans="2:14">
      <c r="B1874" s="15">
        <v>45626</v>
      </c>
      <c r="C1874" s="34" t="s">
        <v>23</v>
      </c>
      <c r="D1874" s="34" t="e" vm="4">
        <f>_xlfn.XLOOKUP(HistoricalStockProgress[[#This Row],[Company Ticker]],CompanyDetailsList[Company Ticker],CompanyDetailsList[Official Name],,0)</f>
        <v>#VALUE!</v>
      </c>
      <c r="E18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18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1874" s="17">
        <f>IFERROR(HistoricalStockProgress[[#This Row],[Cost of Shares]]/HistoricalStockProgress[[#This Row],[No. of Shares]],0)</f>
        <v>50.781277236510277</v>
      </c>
      <c r="H1874" s="16" vm="2347">
        <v>64.08</v>
      </c>
      <c r="I1874" s="16">
        <f>IF(HistoricalStockProgress[[#This Row],[No. of Shares]]&lt;&gt;0,HistoricalStockProgress[[#This Row],[Price of Shares]]*HistoricalStockProgress[[#This Row],[No. of Shares]],0)</f>
        <v>7497.36</v>
      </c>
      <c r="J1874" s="16">
        <f>IF(HistoricalStockProgress[[#This Row],[No. of Shares]]&lt;&gt;0,HistoricalStockProgress[[#This Row],[Price of Shares]]-HistoricalStockProgress[[#This Row],[Cost of Shares]]/HistoricalStockProgress[[#This Row],[No. of Shares]],0)</f>
        <v>13.298722763489721</v>
      </c>
      <c r="K1874" s="17">
        <f>IF(HistoricalStockProgress[[#This Row],[Total Price of Shares]]&lt;&gt;0,HistoricalStockProgress[[#This Row],[Total Price of Shares]]-HistoricalStockProgress[[#This Row],[Cost of Shares]],0)</f>
        <v>1555.950563328297</v>
      </c>
      <c r="L1874" s="34" t="b" cm="1">
        <f t="array" ref="L1874">IFERROR(IF(HistoricalStockProgress[[#This Row],[Price of Shares]]="",_xlfn.STOCKHISTORY(HistoricalStockProgress[[#This Row],[Full Company Name]],HistoricalStockProgress[[#This Row],[Date]],,2,0,1)),0)</f>
        <v>0</v>
      </c>
      <c r="M1874" s="34">
        <f>YEAR(HistoricalStockProgress[[#This Row],[Date]])</f>
        <v>2024</v>
      </c>
      <c r="N1874" s="34">
        <f>MONTH(HistoricalStockProgress[[#This Row],[Date]])</f>
        <v>11</v>
      </c>
    </row>
    <row r="1875" spans="2:14">
      <c r="B1875" s="15">
        <v>45626</v>
      </c>
      <c r="C1875" s="34" t="s">
        <v>18</v>
      </c>
      <c r="D1875" s="34" t="e" vm="5">
        <f>_xlfn.XLOOKUP(HistoricalStockProgress[[#This Row],[Company Ticker]],CompanyDetailsList[Company Ticker],CompanyDetailsList[Official Name],,0)</f>
        <v>#VALUE!</v>
      </c>
      <c r="E18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8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875" s="17">
        <f>IFERROR(HistoricalStockProgress[[#This Row],[Cost of Shares]]/HistoricalStockProgress[[#This Row],[No. of Shares]],0)</f>
        <v>160.8859607546234</v>
      </c>
      <c r="H1875" s="16" vm="2348">
        <v>163.44999999999999</v>
      </c>
      <c r="I1875" s="16">
        <f>IF(HistoricalStockProgress[[#This Row],[No. of Shares]]&lt;&gt;0,HistoricalStockProgress[[#This Row],[Price of Shares]]*HistoricalStockProgress[[#This Row],[No. of Shares]],0)</f>
        <v>7028.3499999999995</v>
      </c>
      <c r="J1875" s="16">
        <f>IF(HistoricalStockProgress[[#This Row],[No. of Shares]]&lt;&gt;0,HistoricalStockProgress[[#This Row],[Price of Shares]]-HistoricalStockProgress[[#This Row],[Cost of Shares]]/HistoricalStockProgress[[#This Row],[No. of Shares]],0)</f>
        <v>2.5640392453765912</v>
      </c>
      <c r="K1875" s="17">
        <f>IF(HistoricalStockProgress[[#This Row],[Total Price of Shares]]&lt;&gt;0,HistoricalStockProgress[[#This Row],[Total Price of Shares]]-HistoricalStockProgress[[#This Row],[Cost of Shares]],0)</f>
        <v>110.25368755119325</v>
      </c>
      <c r="L1875" s="34" t="b" cm="1">
        <f t="array" ref="L1875">IFERROR(IF(HistoricalStockProgress[[#This Row],[Price of Shares]]="",_xlfn.STOCKHISTORY(HistoricalStockProgress[[#This Row],[Full Company Name]],HistoricalStockProgress[[#This Row],[Date]],,2,0,1)),0)</f>
        <v>0</v>
      </c>
      <c r="M1875" s="34">
        <f>YEAR(HistoricalStockProgress[[#This Row],[Date]])</f>
        <v>2024</v>
      </c>
      <c r="N1875" s="34">
        <f>MONTH(HistoricalStockProgress[[#This Row],[Date]])</f>
        <v>11</v>
      </c>
    </row>
    <row r="1876" spans="2:14">
      <c r="B1876" s="15">
        <v>45626</v>
      </c>
      <c r="C1876" s="34" t="s">
        <v>21</v>
      </c>
      <c r="D1876" s="34" t="e" vm="6">
        <f>_xlfn.XLOOKUP(HistoricalStockProgress[[#This Row],[Company Ticker]],CompanyDetailsList[Company Ticker],CompanyDetailsList[Official Name],,0)</f>
        <v>#VALUE!</v>
      </c>
      <c r="E18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42</v>
      </c>
      <c r="F18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5866.8540042857421</v>
      </c>
      <c r="G1876" s="17">
        <f>IFERROR(HistoricalStockProgress[[#This Row],[Cost of Shares]]/HistoricalStockProgress[[#This Row],[No. of Shares]],0)</f>
        <v>139.68700010204148</v>
      </c>
      <c r="H1876" s="16" vm="2349">
        <v>179.26</v>
      </c>
      <c r="I1876" s="16">
        <f>IF(HistoricalStockProgress[[#This Row],[No. of Shares]]&lt;&gt;0,HistoricalStockProgress[[#This Row],[Price of Shares]]*HistoricalStockProgress[[#This Row],[No. of Shares]],0)</f>
        <v>7528.92</v>
      </c>
      <c r="J1876" s="16">
        <f>IF(HistoricalStockProgress[[#This Row],[No. of Shares]]&lt;&gt;0,HistoricalStockProgress[[#This Row],[Price of Shares]]-HistoricalStockProgress[[#This Row],[Cost of Shares]]/HistoricalStockProgress[[#This Row],[No. of Shares]],0)</f>
        <v>39.57299989795851</v>
      </c>
      <c r="K1876" s="17">
        <f>IF(HistoricalStockProgress[[#This Row],[Total Price of Shares]]&lt;&gt;0,HistoricalStockProgress[[#This Row],[Total Price of Shares]]-HistoricalStockProgress[[#This Row],[Cost of Shares]],0)</f>
        <v>1662.065995714258</v>
      </c>
      <c r="L1876" s="34" t="b" cm="1">
        <f t="array" ref="L1876">IFERROR(IF(HistoricalStockProgress[[#This Row],[Price of Shares]]="",_xlfn.STOCKHISTORY(HistoricalStockProgress[[#This Row],[Full Company Name]],HistoricalStockProgress[[#This Row],[Date]],,2,0,1)),0)</f>
        <v>0</v>
      </c>
      <c r="M1876" s="34">
        <f>YEAR(HistoricalStockProgress[[#This Row],[Date]])</f>
        <v>2024</v>
      </c>
      <c r="N1876" s="34">
        <f>MONTH(HistoricalStockProgress[[#This Row],[Date]])</f>
        <v>11</v>
      </c>
    </row>
    <row r="1877" spans="2:14">
      <c r="B1877" s="15">
        <v>45626</v>
      </c>
      <c r="C1877" s="34" t="s">
        <v>84</v>
      </c>
      <c r="D1877" s="34" t="e" vm="7">
        <f>_xlfn.XLOOKUP(HistoricalStockProgress[[#This Row],[Company Ticker]],CompanyDetailsList[Company Ticker],CompanyDetailsList[Official Name],,0)</f>
        <v>#VALUE!</v>
      </c>
      <c r="E18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8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877" s="17">
        <f>IFERROR(HistoricalStockProgress[[#This Row],[Cost of Shares]]/HistoricalStockProgress[[#This Row],[No. of Shares]],0)</f>
        <v>104.18087504950869</v>
      </c>
      <c r="H1877" s="16" vm="2350">
        <v>155.01</v>
      </c>
      <c r="I1877" s="16">
        <f>IF(HistoricalStockProgress[[#This Row],[No. of Shares]]&lt;&gt;0,HistoricalStockProgress[[#This Row],[Price of Shares]]*HistoricalStockProgress[[#This Row],[No. of Shares]],0)</f>
        <v>7905.5099999999993</v>
      </c>
      <c r="J1877" s="16">
        <f>IF(HistoricalStockProgress[[#This Row],[No. of Shares]]&lt;&gt;0,HistoricalStockProgress[[#This Row],[Price of Shares]]-HistoricalStockProgress[[#This Row],[Cost of Shares]]/HistoricalStockProgress[[#This Row],[No. of Shares]],0)</f>
        <v>50.829124950491305</v>
      </c>
      <c r="K1877" s="17">
        <f>IF(HistoricalStockProgress[[#This Row],[Total Price of Shares]]&lt;&gt;0,HistoricalStockProgress[[#This Row],[Total Price of Shares]]-HistoricalStockProgress[[#This Row],[Cost of Shares]],0)</f>
        <v>2592.2853724750566</v>
      </c>
      <c r="L1877" s="34" t="b" cm="1">
        <f t="array" ref="L1877">IFERROR(IF(HistoricalStockProgress[[#This Row],[Price of Shares]]="",_xlfn.STOCKHISTORY(HistoricalStockProgress[[#This Row],[Full Company Name]],HistoricalStockProgress[[#This Row],[Date]],,2,0,1)),0)</f>
        <v>0</v>
      </c>
      <c r="M1877" s="34">
        <f>YEAR(HistoricalStockProgress[[#This Row],[Date]])</f>
        <v>2024</v>
      </c>
      <c r="N1877" s="34">
        <f>MONTH(HistoricalStockProgress[[#This Row],[Date]])</f>
        <v>11</v>
      </c>
    </row>
    <row r="1878" spans="2:14">
      <c r="B1878" s="15">
        <v>45626</v>
      </c>
      <c r="C1878" s="34" t="s">
        <v>86</v>
      </c>
      <c r="D1878" s="34" t="e" vm="8">
        <f>_xlfn.XLOOKUP(HistoricalStockProgress[[#This Row],[Company Ticker]],CompanyDetailsList[Company Ticker],CompanyDetailsList[Official Name],,0)</f>
        <v>#VALUE!</v>
      </c>
      <c r="E18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141</v>
      </c>
      <c r="F18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15560.101749174495</v>
      </c>
      <c r="G1878" s="17">
        <f>IFERROR(HistoricalStockProgress[[#This Row],[Cost of Shares]]/HistoricalStockProgress[[#This Row],[No. of Shares]],0)</f>
        <v>110.35533155442904</v>
      </c>
      <c r="H1878" s="16" vm="2351">
        <v>182.93</v>
      </c>
      <c r="I1878" s="16">
        <f>IF(HistoricalStockProgress[[#This Row],[No. of Shares]]&lt;&gt;0,HistoricalStockProgress[[#This Row],[Price of Shares]]*HistoricalStockProgress[[#This Row],[No. of Shares]],0)</f>
        <v>25793.13</v>
      </c>
      <c r="J1878" s="16">
        <f>IF(HistoricalStockProgress[[#This Row],[No. of Shares]]&lt;&gt;0,HistoricalStockProgress[[#This Row],[Price of Shares]]-HistoricalStockProgress[[#This Row],[Cost of Shares]]/HistoricalStockProgress[[#This Row],[No. of Shares]],0)</f>
        <v>72.574668445570964</v>
      </c>
      <c r="K1878" s="17">
        <f>IF(HistoricalStockProgress[[#This Row],[Total Price of Shares]]&lt;&gt;0,HistoricalStockProgress[[#This Row],[Total Price of Shares]]-HistoricalStockProgress[[#This Row],[Cost of Shares]],0)</f>
        <v>10233.028250825506</v>
      </c>
      <c r="L1878" s="34" t="b" cm="1">
        <f t="array" ref="L1878">IFERROR(IF(HistoricalStockProgress[[#This Row],[Price of Shares]]="",_xlfn.STOCKHISTORY(HistoricalStockProgress[[#This Row],[Full Company Name]],HistoricalStockProgress[[#This Row],[Date]],,2,0,1)),0)</f>
        <v>0</v>
      </c>
      <c r="M1878" s="34">
        <f>YEAR(HistoricalStockProgress[[#This Row],[Date]])</f>
        <v>2024</v>
      </c>
      <c r="N1878" s="34">
        <f>MONTH(HistoricalStockProgress[[#This Row],[Date]])</f>
        <v>11</v>
      </c>
    </row>
    <row r="1879" spans="2:14">
      <c r="B1879" s="15">
        <v>45626</v>
      </c>
      <c r="C1879" s="34" t="s">
        <v>88</v>
      </c>
      <c r="D1879" s="34" t="e" vm="9">
        <f>_xlfn.XLOOKUP(HistoricalStockProgress[[#This Row],[Company Ticker]],CompanyDetailsList[Company Ticker],CompanyDetailsList[Official Name],,0)</f>
        <v>#VALUE!</v>
      </c>
      <c r="E18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18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1879" s="17">
        <f>IFERROR(HistoricalStockProgress[[#This Row],[Cost of Shares]]/HistoricalStockProgress[[#This Row],[No. of Shares]],0)</f>
        <v>224.7272684493652</v>
      </c>
      <c r="H1879" s="16" vm="2352">
        <v>296.01</v>
      </c>
      <c r="I1879" s="16">
        <f>IF(HistoricalStockProgress[[#This Row],[No. of Shares]]&lt;&gt;0,HistoricalStockProgress[[#This Row],[Price of Shares]]*HistoricalStockProgress[[#This Row],[No. of Shares]],0)</f>
        <v>28120.95</v>
      </c>
      <c r="J1879" s="16">
        <f>IF(HistoricalStockProgress[[#This Row],[No. of Shares]]&lt;&gt;0,HistoricalStockProgress[[#This Row],[Price of Shares]]-HistoricalStockProgress[[#This Row],[Cost of Shares]]/HistoricalStockProgress[[#This Row],[No. of Shares]],0)</f>
        <v>71.282731550634793</v>
      </c>
      <c r="K1879" s="17">
        <f>IF(HistoricalStockProgress[[#This Row],[Total Price of Shares]]&lt;&gt;0,HistoricalStockProgress[[#This Row],[Total Price of Shares]]-HistoricalStockProgress[[#This Row],[Cost of Shares]],0)</f>
        <v>6771.8594973103063</v>
      </c>
      <c r="L1879" s="34" t="b" cm="1">
        <f t="array" ref="L1879">IFERROR(IF(HistoricalStockProgress[[#This Row],[Price of Shares]]="",_xlfn.STOCKHISTORY(HistoricalStockProgress[[#This Row],[Full Company Name]],HistoricalStockProgress[[#This Row],[Date]],,2,0,1)),0)</f>
        <v>0</v>
      </c>
      <c r="M1879" s="34">
        <f>YEAR(HistoricalStockProgress[[#This Row],[Date]])</f>
        <v>2024</v>
      </c>
      <c r="N1879" s="34">
        <f>MONTH(HistoricalStockProgress[[#This Row],[Date]])</f>
        <v>11</v>
      </c>
    </row>
    <row r="1880" spans="2:14">
      <c r="B1880" s="15">
        <v>45626</v>
      </c>
      <c r="C1880" s="34" t="s">
        <v>22</v>
      </c>
      <c r="D1880" s="34" t="e" vm="10">
        <f>_xlfn.XLOOKUP(HistoricalStockProgress[[#This Row],[Company Ticker]],CompanyDetailsList[Company Ticker],CompanyDetailsList[Official Name],,0)</f>
        <v>#VALUE!</v>
      </c>
      <c r="E18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8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880" s="17">
        <f>IFERROR(HistoricalStockProgress[[#This Row],[Cost of Shares]]/HistoricalStockProgress[[#This Row],[No. of Shares]],0)</f>
        <v>130.19784136724968</v>
      </c>
      <c r="H1880" s="16" vm="2353">
        <v>406.11</v>
      </c>
      <c r="I1880" s="16">
        <f>IF(HistoricalStockProgress[[#This Row],[No. of Shares]]&lt;&gt;0,HistoricalStockProgress[[#This Row],[Price of Shares]]*HistoricalStockProgress[[#This Row],[No. of Shares]],0)</f>
        <v>48327.090000000004</v>
      </c>
      <c r="J1880" s="16">
        <f>IF(HistoricalStockProgress[[#This Row],[No. of Shares]]&lt;&gt;0,HistoricalStockProgress[[#This Row],[Price of Shares]]-HistoricalStockProgress[[#This Row],[Cost of Shares]]/HistoricalStockProgress[[#This Row],[No. of Shares]],0)</f>
        <v>275.91215863275033</v>
      </c>
      <c r="K1880" s="17">
        <f>IF(HistoricalStockProgress[[#This Row],[Total Price of Shares]]&lt;&gt;0,HistoricalStockProgress[[#This Row],[Total Price of Shares]]-HistoricalStockProgress[[#This Row],[Cost of Shares]],0)</f>
        <v>32833.546877297289</v>
      </c>
      <c r="L1880" s="34" t="b" cm="1">
        <f t="array" ref="L1880">IFERROR(IF(HistoricalStockProgress[[#This Row],[Price of Shares]]="",_xlfn.STOCKHISTORY(HistoricalStockProgress[[#This Row],[Full Company Name]],HistoricalStockProgress[[#This Row],[Date]],,2,0,1)),0)</f>
        <v>0</v>
      </c>
      <c r="M1880" s="34">
        <f>YEAR(HistoricalStockProgress[[#This Row],[Date]])</f>
        <v>2024</v>
      </c>
      <c r="N1880" s="34">
        <f>MONTH(HistoricalStockProgress[[#This Row],[Date]])</f>
        <v>11</v>
      </c>
    </row>
    <row r="1881" spans="2:14">
      <c r="B1881" s="15">
        <v>45626</v>
      </c>
      <c r="C1881" s="34" t="s">
        <v>91</v>
      </c>
      <c r="D1881" s="34" t="e" vm="11">
        <f>_xlfn.XLOOKUP(HistoricalStockProgress[[#This Row],[Company Ticker]],CompanyDetailsList[Company Ticker],CompanyDetailsList[Official Name],,0)</f>
        <v>#VALUE!</v>
      </c>
      <c r="E18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8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881" s="17">
        <f>IFERROR(HistoricalStockProgress[[#This Row],[Cost of Shares]]/HistoricalStockProgress[[#This Row],[No. of Shares]],0)</f>
        <v>133.15744058830452</v>
      </c>
      <c r="H1881" s="16" vm="2354">
        <v>423.46</v>
      </c>
      <c r="I1881" s="16">
        <f>IF(HistoricalStockProgress[[#This Row],[No. of Shares]]&lt;&gt;0,HistoricalStockProgress[[#This Row],[Price of Shares]]*HistoricalStockProgress[[#This Row],[No. of Shares]],0)</f>
        <v>77493.179999999993</v>
      </c>
      <c r="J1881" s="16">
        <f>IF(HistoricalStockProgress[[#This Row],[No. of Shares]]&lt;&gt;0,HistoricalStockProgress[[#This Row],[Price of Shares]]-HistoricalStockProgress[[#This Row],[Cost of Shares]]/HistoricalStockProgress[[#This Row],[No. of Shares]],0)</f>
        <v>290.30255941169548</v>
      </c>
      <c r="K1881" s="17">
        <f>IF(HistoricalStockProgress[[#This Row],[Total Price of Shares]]&lt;&gt;0,HistoricalStockProgress[[#This Row],[Total Price of Shares]]-HistoricalStockProgress[[#This Row],[Cost of Shares]],0)</f>
        <v>53125.368372340265</v>
      </c>
      <c r="L1881" s="34" t="b" cm="1">
        <f t="array" ref="L1881">IFERROR(IF(HistoricalStockProgress[[#This Row],[Price of Shares]]="",_xlfn.STOCKHISTORY(HistoricalStockProgress[[#This Row],[Full Company Name]],HistoricalStockProgress[[#This Row],[Date]],,2,0,1)),0)</f>
        <v>0</v>
      </c>
      <c r="M1881" s="34">
        <f>YEAR(HistoricalStockProgress[[#This Row],[Date]])</f>
        <v>2024</v>
      </c>
      <c r="N1881" s="34">
        <f>MONTH(HistoricalStockProgress[[#This Row],[Date]])</f>
        <v>11</v>
      </c>
    </row>
    <row r="1882" spans="2:14">
      <c r="B1882" s="15">
        <v>45626</v>
      </c>
      <c r="C1882" s="34" t="s">
        <v>16</v>
      </c>
      <c r="D1882" s="34" t="e" vm="12">
        <f>_xlfn.XLOOKUP(HistoricalStockProgress[[#This Row],[Company Ticker]],CompanyDetailsList[Company Ticker],CompanyDetailsList[Official Name],,0)</f>
        <v>#VALUE!</v>
      </c>
      <c r="E18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8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882" s="17">
        <f>IFERROR(HistoricalStockProgress[[#This Row],[Cost of Shares]]/HistoricalStockProgress[[#This Row],[No. of Shares]],0)</f>
        <v>75.117698177311837</v>
      </c>
      <c r="H1882" s="16" vm="2355">
        <v>117.96</v>
      </c>
      <c r="I1882" s="16">
        <f>IF(HistoricalStockProgress[[#This Row],[No. of Shares]]&lt;&gt;0,HistoricalStockProgress[[#This Row],[Price of Shares]]*HistoricalStockProgress[[#This Row],[No. of Shares]],0)</f>
        <v>21822.6</v>
      </c>
      <c r="J1882" s="16">
        <f>IF(HistoricalStockProgress[[#This Row],[No. of Shares]]&lt;&gt;0,HistoricalStockProgress[[#This Row],[Price of Shares]]-HistoricalStockProgress[[#This Row],[Cost of Shares]]/HistoricalStockProgress[[#This Row],[No. of Shares]],0)</f>
        <v>42.842301822688157</v>
      </c>
      <c r="K1882" s="17">
        <f>IF(HistoricalStockProgress[[#This Row],[Total Price of Shares]]&lt;&gt;0,HistoricalStockProgress[[#This Row],[Total Price of Shares]]-HistoricalStockProgress[[#This Row],[Cost of Shares]],0)</f>
        <v>7925.8258371973097</v>
      </c>
      <c r="L1882" s="34" t="b" cm="1">
        <f t="array" ref="L1882">IFERROR(IF(HistoricalStockProgress[[#This Row],[Price of Shares]]="",_xlfn.STOCKHISTORY(HistoricalStockProgress[[#This Row],[Full Company Name]],HistoricalStockProgress[[#This Row],[Date]],,2,0,1)),0)</f>
        <v>0</v>
      </c>
      <c r="M1882" s="34">
        <f>YEAR(HistoricalStockProgress[[#This Row],[Date]])</f>
        <v>2024</v>
      </c>
      <c r="N1882" s="34">
        <f>MONTH(HistoricalStockProgress[[#This Row],[Date]])</f>
        <v>11</v>
      </c>
    </row>
    <row r="1883" spans="2:14">
      <c r="B1883" s="15">
        <v>45626</v>
      </c>
      <c r="C1883" s="34" t="s">
        <v>95</v>
      </c>
      <c r="D1883" s="34" t="e" vm="13">
        <f>_xlfn.XLOOKUP(HistoricalStockProgress[[#This Row],[Company Ticker]],CompanyDetailsList[Company Ticker],CompanyDetailsList[Official Name],,0)</f>
        <v>#VALUE!</v>
      </c>
      <c r="E18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143</v>
      </c>
      <c r="F18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35362.550411645469</v>
      </c>
      <c r="G1883" s="17">
        <f>IFERROR(HistoricalStockProgress[[#This Row],[Cost of Shares]]/HistoricalStockProgress[[#This Row],[No. of Shares]],0)</f>
        <v>247.29056231919907</v>
      </c>
      <c r="H1883" s="16" vm="2356">
        <v>429.13</v>
      </c>
      <c r="I1883" s="16">
        <f>IF(HistoricalStockProgress[[#This Row],[No. of Shares]]&lt;&gt;0,HistoricalStockProgress[[#This Row],[Price of Shares]]*HistoricalStockProgress[[#This Row],[No. of Shares]],0)</f>
        <v>61365.59</v>
      </c>
      <c r="J1883" s="16">
        <f>IF(HistoricalStockProgress[[#This Row],[No. of Shares]]&lt;&gt;0,HistoricalStockProgress[[#This Row],[Price of Shares]]-HistoricalStockProgress[[#This Row],[Cost of Shares]]/HistoricalStockProgress[[#This Row],[No. of Shares]],0)</f>
        <v>181.83943768080093</v>
      </c>
      <c r="K1883" s="17">
        <f>IF(HistoricalStockProgress[[#This Row],[Total Price of Shares]]&lt;&gt;0,HistoricalStockProgress[[#This Row],[Total Price of Shares]]-HistoricalStockProgress[[#This Row],[Cost of Shares]],0)</f>
        <v>26003.039588354528</v>
      </c>
      <c r="L1883" s="34" t="b" cm="1">
        <f t="array" ref="L1883">IFERROR(IF(HistoricalStockProgress[[#This Row],[Price of Shares]]="",_xlfn.STOCKHISTORY(HistoricalStockProgress[[#This Row],[Full Company Name]],HistoricalStockProgress[[#This Row],[Date]],,2,0,1)),0)</f>
        <v>0</v>
      </c>
      <c r="M1883" s="34">
        <f>YEAR(HistoricalStockProgress[[#This Row],[Date]])</f>
        <v>2024</v>
      </c>
      <c r="N1883" s="34">
        <f>MONTH(HistoricalStockProgress[[#This Row],[Date]])</f>
        <v>11</v>
      </c>
    </row>
    <row r="1884" spans="2:14">
      <c r="B1884" s="15">
        <v>45626</v>
      </c>
      <c r="C1884" s="34" t="s">
        <v>17</v>
      </c>
      <c r="D1884" s="34" t="e" vm="14">
        <f>_xlfn.XLOOKUP(HistoricalStockProgress[[#This Row],[Company Ticker]],CompanyDetailsList[Company Ticker],CompanyDetailsList[Official Name],,0)</f>
        <v>#VALUE!</v>
      </c>
      <c r="E18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18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1884" s="17">
        <f>IFERROR(HistoricalStockProgress[[#This Row],[Cost of Shares]]/HistoricalStockProgress[[#This Row],[No. of Shares]],0)</f>
        <v>143.37791217450521</v>
      </c>
      <c r="H1884" s="16" vm="2357">
        <v>227.41</v>
      </c>
      <c r="I1884" s="16">
        <f>IF(HistoricalStockProgress[[#This Row],[No. of Shares]]&lt;&gt;0,HistoricalStockProgress[[#This Row],[Price of Shares]]*HistoricalStockProgress[[#This Row],[No. of Shares]],0)</f>
        <v>52531.71</v>
      </c>
      <c r="J1884" s="16">
        <f>IF(HistoricalStockProgress[[#This Row],[No. of Shares]]&lt;&gt;0,HistoricalStockProgress[[#This Row],[Price of Shares]]-HistoricalStockProgress[[#This Row],[Cost of Shares]]/HistoricalStockProgress[[#This Row],[No. of Shares]],0)</f>
        <v>84.032087825494784</v>
      </c>
      <c r="K1884" s="17">
        <f>IF(HistoricalStockProgress[[#This Row],[Total Price of Shares]]&lt;&gt;0,HistoricalStockProgress[[#This Row],[Total Price of Shares]]-HistoricalStockProgress[[#This Row],[Cost of Shares]],0)</f>
        <v>19411.412287689294</v>
      </c>
      <c r="L1884" s="34" t="b" cm="1">
        <f t="array" ref="L1884">IFERROR(IF(HistoricalStockProgress[[#This Row],[Price of Shares]]="",_xlfn.STOCKHISTORY(HistoricalStockProgress[[#This Row],[Full Company Name]],HistoricalStockProgress[[#This Row],[Date]],,2,0,1)),0)</f>
        <v>0</v>
      </c>
      <c r="M1884" s="34">
        <f>YEAR(HistoricalStockProgress[[#This Row],[Date]])</f>
        <v>2024</v>
      </c>
      <c r="N1884" s="34">
        <f>MONTH(HistoricalStockProgress[[#This Row],[Date]])</f>
        <v>11</v>
      </c>
    </row>
    <row r="1885" spans="2:14">
      <c r="B1885" s="15">
        <v>45626</v>
      </c>
      <c r="C1885" s="34" t="s">
        <v>98</v>
      </c>
      <c r="D1885" s="34" t="e" vm="15">
        <f>_xlfn.XLOOKUP(HistoricalStockProgress[[#This Row],[Company Ticker]],CompanyDetailsList[Company Ticker],CompanyDetailsList[Official Name],,0)</f>
        <v>#VALUE!</v>
      </c>
      <c r="E18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18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8175.3025483037236</v>
      </c>
      <c r="G1885" s="17">
        <f>IFERROR(HistoricalStockProgress[[#This Row],[Cost of Shares]]/HistoricalStockProgress[[#This Row],[No. of Shares]],0)</f>
        <v>55.995222933587151</v>
      </c>
      <c r="H1885" s="16" vm="2358">
        <v>78.67</v>
      </c>
      <c r="I1885" s="16">
        <f>IF(HistoricalStockProgress[[#This Row],[No. of Shares]]&lt;&gt;0,HistoricalStockProgress[[#This Row],[Price of Shares]]*HistoricalStockProgress[[#This Row],[No. of Shares]],0)</f>
        <v>11485.82</v>
      </c>
      <c r="J1885" s="16">
        <f>IF(HistoricalStockProgress[[#This Row],[No. of Shares]]&lt;&gt;0,HistoricalStockProgress[[#This Row],[Price of Shares]]-HistoricalStockProgress[[#This Row],[Cost of Shares]]/HistoricalStockProgress[[#This Row],[No. of Shares]],0)</f>
        <v>22.674777066412851</v>
      </c>
      <c r="K1885" s="17">
        <f>IF(HistoricalStockProgress[[#This Row],[Total Price of Shares]]&lt;&gt;0,HistoricalStockProgress[[#This Row],[Total Price of Shares]]-HistoricalStockProgress[[#This Row],[Cost of Shares]],0)</f>
        <v>3310.5174516962761</v>
      </c>
      <c r="L1885" s="34" t="b" cm="1">
        <f t="array" ref="L1885">IFERROR(IF(HistoricalStockProgress[[#This Row],[Price of Shares]]="",_xlfn.STOCKHISTORY(HistoricalStockProgress[[#This Row],[Full Company Name]],HistoricalStockProgress[[#This Row],[Date]],,2,0,1)),0)</f>
        <v>0</v>
      </c>
      <c r="M1885" s="34">
        <f>YEAR(HistoricalStockProgress[[#This Row],[Date]])</f>
        <v>2024</v>
      </c>
      <c r="N1885" s="34">
        <f>MONTH(HistoricalStockProgress[[#This Row],[Date]])</f>
        <v>11</v>
      </c>
    </row>
    <row r="1886" spans="2:14">
      <c r="B1886" s="15">
        <v>45626</v>
      </c>
      <c r="C1886" s="34" t="s">
        <v>100</v>
      </c>
      <c r="D1886" s="34" t="e" vm="16">
        <f>_xlfn.XLOOKUP(HistoricalStockProgress[[#This Row],[Company Ticker]],CompanyDetailsList[Company Ticker],CompanyDetailsList[Official Name],,0)</f>
        <v>#VALUE!</v>
      </c>
      <c r="E18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18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1886" s="17">
        <f>IFERROR(HistoricalStockProgress[[#This Row],[Cost of Shares]]/HistoricalStockProgress[[#This Row],[No. of Shares]],0)</f>
        <v>92.156351168716071</v>
      </c>
      <c r="H1886" s="16" vm="2359">
        <v>117.05</v>
      </c>
      <c r="I1886" s="16">
        <f>IF(HistoricalStockProgress[[#This Row],[No. of Shares]]&lt;&gt;0,HistoricalStockProgress[[#This Row],[Price of Shares]]*HistoricalStockProgress[[#This Row],[No. of Shares]],0)</f>
        <v>29262.5</v>
      </c>
      <c r="J1886" s="16">
        <f>IF(HistoricalStockProgress[[#This Row],[No. of Shares]]&lt;&gt;0,HistoricalStockProgress[[#This Row],[Price of Shares]]-HistoricalStockProgress[[#This Row],[Cost of Shares]]/HistoricalStockProgress[[#This Row],[No. of Shares]],0)</f>
        <v>24.893648831283926</v>
      </c>
      <c r="K1886" s="17">
        <f>IF(HistoricalStockProgress[[#This Row],[Total Price of Shares]]&lt;&gt;0,HistoricalStockProgress[[#This Row],[Total Price of Shares]]-HistoricalStockProgress[[#This Row],[Cost of Shares]],0)</f>
        <v>6223.4122078209839</v>
      </c>
      <c r="L1886" s="34" t="b" cm="1">
        <f t="array" ref="L1886">IFERROR(IF(HistoricalStockProgress[[#This Row],[Price of Shares]]="",_xlfn.STOCKHISTORY(HistoricalStockProgress[[#This Row],[Full Company Name]],HistoricalStockProgress[[#This Row],[Date]],,2,0,1)),0)</f>
        <v>0</v>
      </c>
      <c r="M1886" s="34">
        <f>YEAR(HistoricalStockProgress[[#This Row],[Date]])</f>
        <v>2024</v>
      </c>
      <c r="N1886" s="34">
        <f>MONTH(HistoricalStockProgress[[#This Row],[Date]])</f>
        <v>11</v>
      </c>
    </row>
    <row r="1887" spans="2:14">
      <c r="B1887" s="15">
        <v>45626</v>
      </c>
      <c r="C1887" s="34" t="s">
        <v>15</v>
      </c>
      <c r="D1887" s="34" t="e" vm="17">
        <f>_xlfn.XLOOKUP(HistoricalStockProgress[[#This Row],[Company Ticker]],CompanyDetailsList[Company Ticker],CompanyDetailsList[Official Name],,0)</f>
        <v>#VALUE!</v>
      </c>
      <c r="E18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18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3628.1478386140398</v>
      </c>
      <c r="G1887" s="17">
        <f>IFERROR(HistoricalStockProgress[[#This Row],[Cost of Shares]]/HistoricalStockProgress[[#This Row],[No. of Shares]],0)</f>
        <v>24.85032766174</v>
      </c>
      <c r="H1887" s="16" vm="2360">
        <v>23.16</v>
      </c>
      <c r="I1887" s="16">
        <f>IF(HistoricalStockProgress[[#This Row],[No. of Shares]]&lt;&gt;0,HistoricalStockProgress[[#This Row],[Price of Shares]]*HistoricalStockProgress[[#This Row],[No. of Shares]],0)</f>
        <v>3381.36</v>
      </c>
      <c r="J1887" s="16">
        <f>IF(HistoricalStockProgress[[#This Row],[No. of Shares]]&lt;&gt;0,HistoricalStockProgress[[#This Row],[Price of Shares]]-HistoricalStockProgress[[#This Row],[Cost of Shares]]/HistoricalStockProgress[[#This Row],[No. of Shares]],0)</f>
        <v>-1.6903276617399996</v>
      </c>
      <c r="K1887" s="17">
        <f>IF(HistoricalStockProgress[[#This Row],[Total Price of Shares]]&lt;&gt;0,HistoricalStockProgress[[#This Row],[Total Price of Shares]]-HistoricalStockProgress[[#This Row],[Cost of Shares]],0)</f>
        <v>-246.78783861403963</v>
      </c>
      <c r="L1887" s="34" t="b" cm="1">
        <f t="array" ref="L1887">IFERROR(IF(HistoricalStockProgress[[#This Row],[Price of Shares]]="",_xlfn.STOCKHISTORY(HistoricalStockProgress[[#This Row],[Full Company Name]],HistoricalStockProgress[[#This Row],[Date]],,2,0,1)),0)</f>
        <v>0</v>
      </c>
      <c r="M1887" s="34">
        <f>YEAR(HistoricalStockProgress[[#This Row],[Date]])</f>
        <v>2024</v>
      </c>
      <c r="N1887" s="34">
        <f>MONTH(HistoricalStockProgress[[#This Row],[Date]])</f>
        <v>11</v>
      </c>
    </row>
    <row r="1888" spans="2:14">
      <c r="B1888" s="15">
        <v>45626</v>
      </c>
      <c r="C1888" s="34" t="s">
        <v>13</v>
      </c>
      <c r="D1888" s="34" t="e" vm="18">
        <f>_xlfn.XLOOKUP(HistoricalStockProgress[[#This Row],[Company Ticker]],CompanyDetailsList[Company Ticker],CompanyDetailsList[Official Name],,0)</f>
        <v>#VALUE!</v>
      </c>
      <c r="E18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115</v>
      </c>
      <c r="F18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3682.4466352500076</v>
      </c>
      <c r="G1888" s="17">
        <f>IFERROR(HistoricalStockProgress[[#This Row],[Cost of Shares]]/HistoricalStockProgress[[#This Row],[No. of Shares]],0)</f>
        <v>32.021275089130498</v>
      </c>
      <c r="H1888" s="16" vm="2361">
        <v>26.21</v>
      </c>
      <c r="I1888" s="16">
        <f>IF(HistoricalStockProgress[[#This Row],[No. of Shares]]&lt;&gt;0,HistoricalStockProgress[[#This Row],[Price of Shares]]*HistoricalStockProgress[[#This Row],[No. of Shares]],0)</f>
        <v>3014.15</v>
      </c>
      <c r="J1888" s="16">
        <f>IF(HistoricalStockProgress[[#This Row],[No. of Shares]]&lt;&gt;0,HistoricalStockProgress[[#This Row],[Price of Shares]]-HistoricalStockProgress[[#This Row],[Cost of Shares]]/HistoricalStockProgress[[#This Row],[No. of Shares]],0)</f>
        <v>-5.811275089130497</v>
      </c>
      <c r="K1888" s="17">
        <f>IF(HistoricalStockProgress[[#This Row],[Total Price of Shares]]&lt;&gt;0,HistoricalStockProgress[[#This Row],[Total Price of Shares]]-HistoricalStockProgress[[#This Row],[Cost of Shares]],0)</f>
        <v>-668.29663525000751</v>
      </c>
      <c r="L1888" s="34" t="b" cm="1">
        <f t="array" ref="L1888">IFERROR(IF(HistoricalStockProgress[[#This Row],[Price of Shares]]="",_xlfn.STOCKHISTORY(HistoricalStockProgress[[#This Row],[Full Company Name]],HistoricalStockProgress[[#This Row],[Date]],,2,0,1)),0)</f>
        <v>0</v>
      </c>
      <c r="M1888" s="34">
        <f>YEAR(HistoricalStockProgress[[#This Row],[Date]])</f>
        <v>2024</v>
      </c>
      <c r="N1888" s="34">
        <f>MONTH(HistoricalStockProgress[[#This Row],[Date]])</f>
        <v>11</v>
      </c>
    </row>
    <row r="1889" spans="2:14">
      <c r="B1889" s="15">
        <v>45626</v>
      </c>
      <c r="C1889" s="34" t="s">
        <v>20</v>
      </c>
      <c r="D1889" s="34" t="e" vm="19">
        <f>_xlfn.XLOOKUP(HistoricalStockProgress[[#This Row],[Company Ticker]],CompanyDetailsList[Company Ticker],CompanyDetailsList[Official Name],,0)</f>
        <v>#VALUE!</v>
      </c>
      <c r="E18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8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889" s="17">
        <f>IFERROR(HistoricalStockProgress[[#This Row],[Cost of Shares]]/HistoricalStockProgress[[#This Row],[No. of Shares]],0)</f>
        <v>108.1760767450256</v>
      </c>
      <c r="H1889" s="16" vm="2362">
        <v>249.72</v>
      </c>
      <c r="I1889" s="16">
        <f>IF(HistoricalStockProgress[[#This Row],[No. of Shares]]&lt;&gt;0,HistoricalStockProgress[[#This Row],[Price of Shares]]*HistoricalStockProgress[[#This Row],[No. of Shares]],0)</f>
        <v>28967.52</v>
      </c>
      <c r="J1889" s="16">
        <f>IF(HistoricalStockProgress[[#This Row],[No. of Shares]]&lt;&gt;0,HistoricalStockProgress[[#This Row],[Price of Shares]]-HistoricalStockProgress[[#This Row],[Cost of Shares]]/HistoricalStockProgress[[#This Row],[No. of Shares]],0)</f>
        <v>141.5439232549744</v>
      </c>
      <c r="K1889" s="17">
        <f>IF(HistoricalStockProgress[[#This Row],[Total Price of Shares]]&lt;&gt;0,HistoricalStockProgress[[#This Row],[Total Price of Shares]]-HistoricalStockProgress[[#This Row],[Cost of Shares]],0)</f>
        <v>16419.095097577032</v>
      </c>
      <c r="L1889" s="34" t="b" cm="1">
        <f t="array" ref="L1889">IFERROR(IF(HistoricalStockProgress[[#This Row],[Price of Shares]]="",_xlfn.STOCKHISTORY(HistoricalStockProgress[[#This Row],[Full Company Name]],HistoricalStockProgress[[#This Row],[Date]],,2,0,1)),0)</f>
        <v>0</v>
      </c>
      <c r="M1889" s="34">
        <f>YEAR(HistoricalStockProgress[[#This Row],[Date]])</f>
        <v>2024</v>
      </c>
      <c r="N1889" s="34">
        <f>MONTH(HistoricalStockProgress[[#This Row],[Date]])</f>
        <v>11</v>
      </c>
    </row>
    <row r="1890" spans="2:14">
      <c r="B1890" s="15">
        <v>45626</v>
      </c>
      <c r="C1890" s="34" t="s">
        <v>106</v>
      </c>
      <c r="D1890" s="34" t="e" vm="20">
        <f>_xlfn.XLOOKUP(HistoricalStockProgress[[#This Row],[Company Ticker]],CompanyDetailsList[Company Ticker],CompanyDetailsList[Official Name],,0)</f>
        <v>#VALUE!</v>
      </c>
      <c r="E18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8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890" s="17">
        <f>IFERROR(HistoricalStockProgress[[#This Row],[Cost of Shares]]/HistoricalStockProgress[[#This Row],[No. of Shares]],0)</f>
        <v>108.54870748680406</v>
      </c>
      <c r="H1890" s="16" vm="2363">
        <v>124.37</v>
      </c>
      <c r="I1890" s="16">
        <f>IF(HistoricalStockProgress[[#This Row],[No. of Shares]]&lt;&gt;0,HistoricalStockProgress[[#This Row],[Price of Shares]]*HistoricalStockProgress[[#This Row],[No. of Shares]],0)</f>
        <v>10944.560000000001</v>
      </c>
      <c r="J1890" s="16">
        <f>IF(HistoricalStockProgress[[#This Row],[No. of Shares]]&lt;&gt;0,HistoricalStockProgress[[#This Row],[Price of Shares]]-HistoricalStockProgress[[#This Row],[Cost of Shares]]/HistoricalStockProgress[[#This Row],[No. of Shares]],0)</f>
        <v>15.821292513195942</v>
      </c>
      <c r="K1890" s="17">
        <f>IF(HistoricalStockProgress[[#This Row],[Total Price of Shares]]&lt;&gt;0,HistoricalStockProgress[[#This Row],[Total Price of Shares]]-HistoricalStockProgress[[#This Row],[Cost of Shares]],0)</f>
        <v>1392.2737411612434</v>
      </c>
      <c r="L1890" s="34" t="b" cm="1">
        <f t="array" ref="L1890">IFERROR(IF(HistoricalStockProgress[[#This Row],[Price of Shares]]="",_xlfn.STOCKHISTORY(HistoricalStockProgress[[#This Row],[Full Company Name]],HistoricalStockProgress[[#This Row],[Date]],,2,0,1)),0)</f>
        <v>0</v>
      </c>
      <c r="M1890" s="34">
        <f>YEAR(HistoricalStockProgress[[#This Row],[Date]])</f>
        <v>2024</v>
      </c>
      <c r="N1890" s="34">
        <f>MONTH(HistoricalStockProgress[[#This Row],[Date]])</f>
        <v>11</v>
      </c>
    </row>
    <row r="1891" spans="2:14">
      <c r="B1891" s="15">
        <v>45657</v>
      </c>
      <c r="C1891" s="34" t="s">
        <v>12</v>
      </c>
      <c r="D1891" s="34" t="e" vm="1">
        <f>_xlfn.XLOOKUP(HistoricalStockProgress[[#This Row],[Company Ticker]],CompanyDetailsList[Company Ticker],CompanyDetailsList[Official Name],,0)</f>
        <v>#VALUE!</v>
      </c>
      <c r="E18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8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891" s="17">
        <f>IFERROR(HistoricalStockProgress[[#This Row],[Cost of Shares]]/HistoricalStockProgress[[#This Row],[No. of Shares]],0)</f>
        <v>64.573985995316889</v>
      </c>
      <c r="H1891" s="16" vm="2364">
        <v>53.41</v>
      </c>
      <c r="I1891" s="16">
        <f>IF(HistoricalStockProgress[[#This Row],[No. of Shares]]&lt;&gt;0,HistoricalStockProgress[[#This Row],[Price of Shares]]*HistoricalStockProgress[[#This Row],[No. of Shares]],0)</f>
        <v>5180.7699999999995</v>
      </c>
      <c r="J1891" s="16">
        <f>IF(HistoricalStockProgress[[#This Row],[No. of Shares]]&lt;&gt;0,HistoricalStockProgress[[#This Row],[Price of Shares]]-HistoricalStockProgress[[#This Row],[Cost of Shares]]/HistoricalStockProgress[[#This Row],[No. of Shares]],0)</f>
        <v>-11.163985995316892</v>
      </c>
      <c r="K1891" s="17">
        <f>IF(HistoricalStockProgress[[#This Row],[Total Price of Shares]]&lt;&gt;0,HistoricalStockProgress[[#This Row],[Total Price of Shares]]-HistoricalStockProgress[[#This Row],[Cost of Shares]],0)</f>
        <v>-1082.9066415457382</v>
      </c>
      <c r="L1891" s="34" t="b" cm="1">
        <f t="array" ref="L1891">IFERROR(IF(HistoricalStockProgress[[#This Row],[Price of Shares]]="",_xlfn.STOCKHISTORY(HistoricalStockProgress[[#This Row],[Full Company Name]],HistoricalStockProgress[[#This Row],[Date]],,2,0,1)),0)</f>
        <v>0</v>
      </c>
      <c r="M1891" s="34">
        <f>YEAR(HistoricalStockProgress[[#This Row],[Date]])</f>
        <v>2024</v>
      </c>
      <c r="N1891" s="34">
        <f>MONTH(HistoricalStockProgress[[#This Row],[Date]])</f>
        <v>12</v>
      </c>
    </row>
    <row r="1892" spans="2:14">
      <c r="B1892" s="15">
        <v>45657</v>
      </c>
      <c r="C1892" s="34" t="s">
        <v>14</v>
      </c>
      <c r="D1892" s="34" t="e" vm="2">
        <f>_xlfn.XLOOKUP(HistoricalStockProgress[[#This Row],[Company Ticker]],CompanyDetailsList[Company Ticker],CompanyDetailsList[Official Name],,0)</f>
        <v>#VALUE!</v>
      </c>
      <c r="E18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18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1892" s="17">
        <f>IFERROR(HistoricalStockProgress[[#This Row],[Cost of Shares]]/HistoricalStockProgress[[#This Row],[No. of Shares]],0)</f>
        <v>26.819337355148658</v>
      </c>
      <c r="H1892" s="16" vm="2365">
        <v>26</v>
      </c>
      <c r="I1892" s="16">
        <f>IF(HistoricalStockProgress[[#This Row],[No. of Shares]]&lt;&gt;0,HistoricalStockProgress[[#This Row],[Price of Shares]]*HistoricalStockProgress[[#This Row],[No. of Shares]],0)</f>
        <v>1638</v>
      </c>
      <c r="J1892" s="16">
        <f>IF(HistoricalStockProgress[[#This Row],[No. of Shares]]&lt;&gt;0,HistoricalStockProgress[[#This Row],[Price of Shares]]-HistoricalStockProgress[[#This Row],[Cost of Shares]]/HistoricalStockProgress[[#This Row],[No. of Shares]],0)</f>
        <v>-0.81933735514865802</v>
      </c>
      <c r="K1892" s="17">
        <f>IF(HistoricalStockProgress[[#This Row],[Total Price of Shares]]&lt;&gt;0,HistoricalStockProgress[[#This Row],[Total Price of Shares]]-HistoricalStockProgress[[#This Row],[Cost of Shares]],0)</f>
        <v>-51.618253374365395</v>
      </c>
      <c r="L1892" s="34" t="b" cm="1">
        <f t="array" ref="L1892">IFERROR(IF(HistoricalStockProgress[[#This Row],[Price of Shares]]="",_xlfn.STOCKHISTORY(HistoricalStockProgress[[#This Row],[Full Company Name]],HistoricalStockProgress[[#This Row],[Date]],,2,0,1)),0)</f>
        <v>0</v>
      </c>
      <c r="M1892" s="34">
        <f>YEAR(HistoricalStockProgress[[#This Row],[Date]])</f>
        <v>2024</v>
      </c>
      <c r="N1892" s="34">
        <f>MONTH(HistoricalStockProgress[[#This Row],[Date]])</f>
        <v>12</v>
      </c>
    </row>
    <row r="1893" spans="2:14">
      <c r="B1893" s="15">
        <v>45657</v>
      </c>
      <c r="C1893" s="34" t="s">
        <v>19</v>
      </c>
      <c r="D1893" s="34" t="e" vm="3">
        <f>_xlfn.XLOOKUP(HistoricalStockProgress[[#This Row],[Company Ticker]],CompanyDetailsList[Company Ticker],CompanyDetailsList[Official Name],,0)</f>
        <v>#VALUE!</v>
      </c>
      <c r="E18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18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1893" s="17">
        <f>IFERROR(HistoricalStockProgress[[#This Row],[Cost of Shares]]/HistoricalStockProgress[[#This Row],[No. of Shares]],0)</f>
        <v>160.12652821044301</v>
      </c>
      <c r="H1893" s="16" vm="2366">
        <v>162.41</v>
      </c>
      <c r="I1893" s="16">
        <f>IF(HistoricalStockProgress[[#This Row],[No. of Shares]]&lt;&gt;0,HistoricalStockProgress[[#This Row],[Price of Shares]]*HistoricalStockProgress[[#This Row],[No. of Shares]],0)</f>
        <v>13967.26</v>
      </c>
      <c r="J1893" s="16">
        <f>IF(HistoricalStockProgress[[#This Row],[No. of Shares]]&lt;&gt;0,HistoricalStockProgress[[#This Row],[Price of Shares]]-HistoricalStockProgress[[#This Row],[Cost of Shares]]/HistoricalStockProgress[[#This Row],[No. of Shares]],0)</f>
        <v>2.2834717895569838</v>
      </c>
      <c r="K1893" s="17">
        <f>IF(HistoricalStockProgress[[#This Row],[Total Price of Shares]]&lt;&gt;0,HistoricalStockProgress[[#This Row],[Total Price of Shares]]-HistoricalStockProgress[[#This Row],[Cost of Shares]],0)</f>
        <v>196.3785739019022</v>
      </c>
      <c r="L1893" s="34" t="b" cm="1">
        <f t="array" ref="L1893">IFERROR(IF(HistoricalStockProgress[[#This Row],[Price of Shares]]="",_xlfn.STOCKHISTORY(HistoricalStockProgress[[#This Row],[Full Company Name]],HistoricalStockProgress[[#This Row],[Date]],,2,0,1)),0)</f>
        <v>0</v>
      </c>
      <c r="M1893" s="34">
        <f>YEAR(HistoricalStockProgress[[#This Row],[Date]])</f>
        <v>2024</v>
      </c>
      <c r="N1893" s="34">
        <f>MONTH(HistoricalStockProgress[[#This Row],[Date]])</f>
        <v>12</v>
      </c>
    </row>
    <row r="1894" spans="2:14">
      <c r="B1894" s="15">
        <v>45657</v>
      </c>
      <c r="C1894" s="34" t="s">
        <v>23</v>
      </c>
      <c r="D1894" s="34" t="e" vm="4">
        <f>_xlfn.XLOOKUP(HistoricalStockProgress[[#This Row],[Company Ticker]],CompanyDetailsList[Company Ticker],CompanyDetailsList[Official Name],,0)</f>
        <v>#VALUE!</v>
      </c>
      <c r="E18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18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1894" s="17">
        <f>IFERROR(HistoricalStockProgress[[#This Row],[Cost of Shares]]/HistoricalStockProgress[[#This Row],[No. of Shares]],0)</f>
        <v>50.781277236510277</v>
      </c>
      <c r="H1894" s="16" vm="2367">
        <v>62.26</v>
      </c>
      <c r="I1894" s="16">
        <f>IF(HistoricalStockProgress[[#This Row],[No. of Shares]]&lt;&gt;0,HistoricalStockProgress[[#This Row],[Price of Shares]]*HistoricalStockProgress[[#This Row],[No. of Shares]],0)</f>
        <v>7284.42</v>
      </c>
      <c r="J1894" s="16">
        <f>IF(HistoricalStockProgress[[#This Row],[No. of Shares]]&lt;&gt;0,HistoricalStockProgress[[#This Row],[Price of Shares]]-HistoricalStockProgress[[#This Row],[Cost of Shares]]/HistoricalStockProgress[[#This Row],[No. of Shares]],0)</f>
        <v>11.478722763489721</v>
      </c>
      <c r="K1894" s="17">
        <f>IF(HistoricalStockProgress[[#This Row],[Total Price of Shares]]&lt;&gt;0,HistoricalStockProgress[[#This Row],[Total Price of Shares]]-HistoricalStockProgress[[#This Row],[Cost of Shares]],0)</f>
        <v>1343.0105633282974</v>
      </c>
      <c r="L1894" s="34" t="b" cm="1">
        <f t="array" ref="L1894">IFERROR(IF(HistoricalStockProgress[[#This Row],[Price of Shares]]="",_xlfn.STOCKHISTORY(HistoricalStockProgress[[#This Row],[Full Company Name]],HistoricalStockProgress[[#This Row],[Date]],,2,0,1)),0)</f>
        <v>0</v>
      </c>
      <c r="M1894" s="34">
        <f>YEAR(HistoricalStockProgress[[#This Row],[Date]])</f>
        <v>2024</v>
      </c>
      <c r="N1894" s="34">
        <f>MONTH(HistoricalStockProgress[[#This Row],[Date]])</f>
        <v>12</v>
      </c>
    </row>
    <row r="1895" spans="2:14">
      <c r="B1895" s="15">
        <v>45657</v>
      </c>
      <c r="C1895" s="34" t="s">
        <v>18</v>
      </c>
      <c r="D1895" s="34" t="e" vm="5">
        <f>_xlfn.XLOOKUP(HistoricalStockProgress[[#This Row],[Company Ticker]],CompanyDetailsList[Company Ticker],CompanyDetailsList[Official Name],,0)</f>
        <v>#VALUE!</v>
      </c>
      <c r="E18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8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895" s="17">
        <f>IFERROR(HistoricalStockProgress[[#This Row],[Cost of Shares]]/HistoricalStockProgress[[#This Row],[No. of Shares]],0)</f>
        <v>160.8859607546234</v>
      </c>
      <c r="H1895" s="16" vm="2368">
        <v>152.06</v>
      </c>
      <c r="I1895" s="16">
        <f>IF(HistoricalStockProgress[[#This Row],[No. of Shares]]&lt;&gt;0,HistoricalStockProgress[[#This Row],[Price of Shares]]*HistoricalStockProgress[[#This Row],[No. of Shares]],0)</f>
        <v>6538.58</v>
      </c>
      <c r="J1895" s="16">
        <f>IF(HistoricalStockProgress[[#This Row],[No. of Shares]]&lt;&gt;0,HistoricalStockProgress[[#This Row],[Price of Shares]]-HistoricalStockProgress[[#This Row],[Cost of Shares]]/HistoricalStockProgress[[#This Row],[No. of Shares]],0)</f>
        <v>-8.8259607546233951</v>
      </c>
      <c r="K1895" s="17">
        <f>IF(HistoricalStockProgress[[#This Row],[Total Price of Shares]]&lt;&gt;0,HistoricalStockProgress[[#This Row],[Total Price of Shares]]-HistoricalStockProgress[[#This Row],[Cost of Shares]],0)</f>
        <v>-379.51631244880627</v>
      </c>
      <c r="L1895" s="34" t="b" cm="1">
        <f t="array" ref="L1895">IFERROR(IF(HistoricalStockProgress[[#This Row],[Price of Shares]]="",_xlfn.STOCKHISTORY(HistoricalStockProgress[[#This Row],[Full Company Name]],HistoricalStockProgress[[#This Row],[Date]],,2,0,1)),0)</f>
        <v>0</v>
      </c>
      <c r="M1895" s="34">
        <f>YEAR(HistoricalStockProgress[[#This Row],[Date]])</f>
        <v>2024</v>
      </c>
      <c r="N1895" s="34">
        <f>MONTH(HistoricalStockProgress[[#This Row],[Date]])</f>
        <v>12</v>
      </c>
    </row>
    <row r="1896" spans="2:14">
      <c r="B1896" s="15">
        <v>45657</v>
      </c>
      <c r="C1896" s="34" t="s">
        <v>21</v>
      </c>
      <c r="D1896" s="34" t="e" vm="6">
        <f>_xlfn.XLOOKUP(HistoricalStockProgress[[#This Row],[Company Ticker]],CompanyDetailsList[Company Ticker],CompanyDetailsList[Official Name],,0)</f>
        <v>#VALUE!</v>
      </c>
      <c r="E18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49</v>
      </c>
      <c r="F18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7099.5799078510599</v>
      </c>
      <c r="G1896" s="17">
        <f>IFERROR(HistoricalStockProgress[[#This Row],[Cost of Shares]]/HistoricalStockProgress[[#This Row],[No. of Shares]],0)</f>
        <v>144.88938587451142</v>
      </c>
      <c r="H1896" s="16" vm="2369">
        <v>167.65</v>
      </c>
      <c r="I1896" s="16">
        <f>IF(HistoricalStockProgress[[#This Row],[No. of Shares]]&lt;&gt;0,HistoricalStockProgress[[#This Row],[Price of Shares]]*HistoricalStockProgress[[#This Row],[No. of Shares]],0)</f>
        <v>8214.85</v>
      </c>
      <c r="J1896" s="16">
        <f>IF(HistoricalStockProgress[[#This Row],[No. of Shares]]&lt;&gt;0,HistoricalStockProgress[[#This Row],[Price of Shares]]-HistoricalStockProgress[[#This Row],[Cost of Shares]]/HistoricalStockProgress[[#This Row],[No. of Shares]],0)</f>
        <v>22.760614125488587</v>
      </c>
      <c r="K1896" s="17">
        <f>IF(HistoricalStockProgress[[#This Row],[Total Price of Shares]]&lt;&gt;0,HistoricalStockProgress[[#This Row],[Total Price of Shares]]-HistoricalStockProgress[[#This Row],[Cost of Shares]],0)</f>
        <v>1115.2700921489404</v>
      </c>
      <c r="L1896" s="34" t="b" cm="1">
        <f t="array" ref="L1896">IFERROR(IF(HistoricalStockProgress[[#This Row],[Price of Shares]]="",_xlfn.STOCKHISTORY(HistoricalStockProgress[[#This Row],[Full Company Name]],HistoricalStockProgress[[#This Row],[Date]],,2,0,1)),0)</f>
        <v>0</v>
      </c>
      <c r="M1896" s="34">
        <f>YEAR(HistoricalStockProgress[[#This Row],[Date]])</f>
        <v>2024</v>
      </c>
      <c r="N1896" s="34">
        <f>MONTH(HistoricalStockProgress[[#This Row],[Date]])</f>
        <v>12</v>
      </c>
    </row>
    <row r="1897" spans="2:14">
      <c r="B1897" s="15">
        <v>45657</v>
      </c>
      <c r="C1897" s="34" t="s">
        <v>84</v>
      </c>
      <c r="D1897" s="34" t="e" vm="7">
        <f>_xlfn.XLOOKUP(HistoricalStockProgress[[#This Row],[Company Ticker]],CompanyDetailsList[Company Ticker],CompanyDetailsList[Official Name],,0)</f>
        <v>#VALUE!</v>
      </c>
      <c r="E18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8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897" s="17">
        <f>IFERROR(HistoricalStockProgress[[#This Row],[Cost of Shares]]/HistoricalStockProgress[[#This Row],[No. of Shares]],0)</f>
        <v>104.18087504950869</v>
      </c>
      <c r="H1897" s="16" vm="2370">
        <v>144.62</v>
      </c>
      <c r="I1897" s="16">
        <f>IF(HistoricalStockProgress[[#This Row],[No. of Shares]]&lt;&gt;0,HistoricalStockProgress[[#This Row],[Price of Shares]]*HistoricalStockProgress[[#This Row],[No. of Shares]],0)</f>
        <v>7375.62</v>
      </c>
      <c r="J1897" s="16">
        <f>IF(HistoricalStockProgress[[#This Row],[No. of Shares]]&lt;&gt;0,HistoricalStockProgress[[#This Row],[Price of Shares]]-HistoricalStockProgress[[#This Row],[Cost of Shares]]/HistoricalStockProgress[[#This Row],[No. of Shares]],0)</f>
        <v>40.439124950491319</v>
      </c>
      <c r="K1897" s="17">
        <f>IF(HistoricalStockProgress[[#This Row],[Total Price of Shares]]&lt;&gt;0,HistoricalStockProgress[[#This Row],[Total Price of Shares]]-HistoricalStockProgress[[#This Row],[Cost of Shares]],0)</f>
        <v>2062.3953724750572</v>
      </c>
      <c r="L1897" s="34" t="b" cm="1">
        <f t="array" ref="L1897">IFERROR(IF(HistoricalStockProgress[[#This Row],[Price of Shares]]="",_xlfn.STOCKHISTORY(HistoricalStockProgress[[#This Row],[Full Company Name]],HistoricalStockProgress[[#This Row],[Date]],,2,0,1)),0)</f>
        <v>0</v>
      </c>
      <c r="M1897" s="34">
        <f>YEAR(HistoricalStockProgress[[#This Row],[Date]])</f>
        <v>2024</v>
      </c>
      <c r="N1897" s="34">
        <f>MONTH(HistoricalStockProgress[[#This Row],[Date]])</f>
        <v>12</v>
      </c>
    </row>
    <row r="1898" spans="2:14">
      <c r="B1898" s="15">
        <v>45657</v>
      </c>
      <c r="C1898" s="34" t="s">
        <v>86</v>
      </c>
      <c r="D1898" s="34" t="e" vm="8">
        <f>_xlfn.XLOOKUP(HistoricalStockProgress[[#This Row],[Company Ticker]],CompanyDetailsList[Company Ticker],CompanyDetailsList[Official Name],,0)</f>
        <v>#VALUE!</v>
      </c>
      <c r="E18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141</v>
      </c>
      <c r="F18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15560.101749174495</v>
      </c>
      <c r="G1898" s="17">
        <f>IFERROR(HistoricalStockProgress[[#This Row],[Cost of Shares]]/HistoricalStockProgress[[#This Row],[No. of Shares]],0)</f>
        <v>110.35533155442904</v>
      </c>
      <c r="H1898" s="16" vm="2371">
        <v>177.7</v>
      </c>
      <c r="I1898" s="16">
        <f>IF(HistoricalStockProgress[[#This Row],[No. of Shares]]&lt;&gt;0,HistoricalStockProgress[[#This Row],[Price of Shares]]*HistoricalStockProgress[[#This Row],[No. of Shares]],0)</f>
        <v>25055.699999999997</v>
      </c>
      <c r="J1898" s="16">
        <f>IF(HistoricalStockProgress[[#This Row],[No. of Shares]]&lt;&gt;0,HistoricalStockProgress[[#This Row],[Price of Shares]]-HistoricalStockProgress[[#This Row],[Cost of Shares]]/HistoricalStockProgress[[#This Row],[No. of Shares]],0)</f>
        <v>67.344668445570946</v>
      </c>
      <c r="K1898" s="17">
        <f>IF(HistoricalStockProgress[[#This Row],[Total Price of Shares]]&lt;&gt;0,HistoricalStockProgress[[#This Row],[Total Price of Shares]]-HistoricalStockProgress[[#This Row],[Cost of Shares]],0)</f>
        <v>9495.598250825502</v>
      </c>
      <c r="L1898" s="34" t="b" cm="1">
        <f t="array" ref="L1898">IFERROR(IF(HistoricalStockProgress[[#This Row],[Price of Shares]]="",_xlfn.STOCKHISTORY(HistoricalStockProgress[[#This Row],[Full Company Name]],HistoricalStockProgress[[#This Row],[Date]],,2,0,1)),0)</f>
        <v>0</v>
      </c>
      <c r="M1898" s="34">
        <f>YEAR(HistoricalStockProgress[[#This Row],[Date]])</f>
        <v>2024</v>
      </c>
      <c r="N1898" s="34">
        <f>MONTH(HistoricalStockProgress[[#This Row],[Date]])</f>
        <v>12</v>
      </c>
    </row>
    <row r="1899" spans="2:14">
      <c r="B1899" s="15">
        <v>45657</v>
      </c>
      <c r="C1899" s="34" t="s">
        <v>88</v>
      </c>
      <c r="D1899" s="34" t="e" vm="9">
        <f>_xlfn.XLOOKUP(HistoricalStockProgress[[#This Row],[Company Ticker]],CompanyDetailsList[Company Ticker],CompanyDetailsList[Official Name],,0)</f>
        <v>#VALUE!</v>
      </c>
      <c r="E18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18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1899" s="17">
        <f>IFERROR(HistoricalStockProgress[[#This Row],[Cost of Shares]]/HistoricalStockProgress[[#This Row],[No. of Shares]],0)</f>
        <v>224.7272684493652</v>
      </c>
      <c r="H1899" s="16" vm="2372">
        <v>289.89</v>
      </c>
      <c r="I1899" s="16">
        <f>IF(HistoricalStockProgress[[#This Row],[No. of Shares]]&lt;&gt;0,HistoricalStockProgress[[#This Row],[Price of Shares]]*HistoricalStockProgress[[#This Row],[No. of Shares]],0)</f>
        <v>27539.55</v>
      </c>
      <c r="J1899" s="16">
        <f>IF(HistoricalStockProgress[[#This Row],[No. of Shares]]&lt;&gt;0,HistoricalStockProgress[[#This Row],[Price of Shares]]-HistoricalStockProgress[[#This Row],[Cost of Shares]]/HistoricalStockProgress[[#This Row],[No. of Shares]],0)</f>
        <v>65.162731550634788</v>
      </c>
      <c r="K1899" s="17">
        <f>IF(HistoricalStockProgress[[#This Row],[Total Price of Shares]]&lt;&gt;0,HistoricalStockProgress[[#This Row],[Total Price of Shares]]-HistoricalStockProgress[[#This Row],[Cost of Shares]],0)</f>
        <v>6190.4594973103049</v>
      </c>
      <c r="L1899" s="34" t="b" cm="1">
        <f t="array" ref="L1899">IFERROR(IF(HistoricalStockProgress[[#This Row],[Price of Shares]]="",_xlfn.STOCKHISTORY(HistoricalStockProgress[[#This Row],[Full Company Name]],HistoricalStockProgress[[#This Row],[Date]],,2,0,1)),0)</f>
        <v>0</v>
      </c>
      <c r="M1899" s="34">
        <f>YEAR(HistoricalStockProgress[[#This Row],[Date]])</f>
        <v>2024</v>
      </c>
      <c r="N1899" s="34">
        <f>MONTH(HistoricalStockProgress[[#This Row],[Date]])</f>
        <v>12</v>
      </c>
    </row>
    <row r="1900" spans="2:14">
      <c r="B1900" s="15">
        <v>45657</v>
      </c>
      <c r="C1900" s="34" t="s">
        <v>22</v>
      </c>
      <c r="D1900" s="34" t="e" vm="10">
        <f>_xlfn.XLOOKUP(HistoricalStockProgress[[#This Row],[Company Ticker]],CompanyDetailsList[Company Ticker],CompanyDetailsList[Official Name],,0)</f>
        <v>#VALUE!</v>
      </c>
      <c r="E19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9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900" s="17">
        <f>IFERROR(HistoricalStockProgress[[#This Row],[Cost of Shares]]/HistoricalStockProgress[[#This Row],[No. of Shares]],0)</f>
        <v>130.19784136724968</v>
      </c>
      <c r="H1900" s="16" vm="2373">
        <v>362.76</v>
      </c>
      <c r="I1900" s="16">
        <f>IF(HistoricalStockProgress[[#This Row],[No. of Shares]]&lt;&gt;0,HistoricalStockProgress[[#This Row],[Price of Shares]]*HistoricalStockProgress[[#This Row],[No. of Shares]],0)</f>
        <v>43168.44</v>
      </c>
      <c r="J1900" s="16">
        <f>IF(HistoricalStockProgress[[#This Row],[No. of Shares]]&lt;&gt;0,HistoricalStockProgress[[#This Row],[Price of Shares]]-HistoricalStockProgress[[#This Row],[Cost of Shares]]/HistoricalStockProgress[[#This Row],[No. of Shares]],0)</f>
        <v>232.56215863275031</v>
      </c>
      <c r="K1900" s="17">
        <f>IF(HistoricalStockProgress[[#This Row],[Total Price of Shares]]&lt;&gt;0,HistoricalStockProgress[[#This Row],[Total Price of Shares]]-HistoricalStockProgress[[#This Row],[Cost of Shares]],0)</f>
        <v>27674.896877297288</v>
      </c>
      <c r="L1900" s="34" t="b" cm="1">
        <f t="array" ref="L1900">IFERROR(IF(HistoricalStockProgress[[#This Row],[Price of Shares]]="",_xlfn.STOCKHISTORY(HistoricalStockProgress[[#This Row],[Full Company Name]],HistoricalStockProgress[[#This Row],[Date]],,2,0,1)),0)</f>
        <v>0</v>
      </c>
      <c r="M1900" s="34">
        <f>YEAR(HistoricalStockProgress[[#This Row],[Date]])</f>
        <v>2024</v>
      </c>
      <c r="N1900" s="34">
        <f>MONTH(HistoricalStockProgress[[#This Row],[Date]])</f>
        <v>12</v>
      </c>
    </row>
    <row r="1901" spans="2:14">
      <c r="B1901" s="15">
        <v>45657</v>
      </c>
      <c r="C1901" s="34" t="s">
        <v>91</v>
      </c>
      <c r="D1901" s="34" t="e" vm="11">
        <f>_xlfn.XLOOKUP(HistoricalStockProgress[[#This Row],[Company Ticker]],CompanyDetailsList[Company Ticker],CompanyDetailsList[Official Name],,0)</f>
        <v>#VALUE!</v>
      </c>
      <c r="E19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9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901" s="17">
        <f>IFERROR(HistoricalStockProgress[[#This Row],[Cost of Shares]]/HistoricalStockProgress[[#This Row],[No. of Shares]],0)</f>
        <v>133.15744058830452</v>
      </c>
      <c r="H1901" s="16" vm="2374">
        <v>421.5</v>
      </c>
      <c r="I1901" s="16">
        <f>IF(HistoricalStockProgress[[#This Row],[No. of Shares]]&lt;&gt;0,HistoricalStockProgress[[#This Row],[Price of Shares]]*HistoricalStockProgress[[#This Row],[No. of Shares]],0)</f>
        <v>77134.5</v>
      </c>
      <c r="J1901" s="16">
        <f>IF(HistoricalStockProgress[[#This Row],[No. of Shares]]&lt;&gt;0,HistoricalStockProgress[[#This Row],[Price of Shares]]-HistoricalStockProgress[[#This Row],[Cost of Shares]]/HistoricalStockProgress[[#This Row],[No. of Shares]],0)</f>
        <v>288.34255941169545</v>
      </c>
      <c r="K1901" s="17">
        <f>IF(HistoricalStockProgress[[#This Row],[Total Price of Shares]]&lt;&gt;0,HistoricalStockProgress[[#This Row],[Total Price of Shares]]-HistoricalStockProgress[[#This Row],[Cost of Shares]],0)</f>
        <v>52766.688372340272</v>
      </c>
      <c r="L1901" s="34" t="b" cm="1">
        <f t="array" ref="L1901">IFERROR(IF(HistoricalStockProgress[[#This Row],[Price of Shares]]="",_xlfn.STOCKHISTORY(HistoricalStockProgress[[#This Row],[Full Company Name]],HistoricalStockProgress[[#This Row],[Date]],,2,0,1)),0)</f>
        <v>0</v>
      </c>
      <c r="M1901" s="34">
        <f>YEAR(HistoricalStockProgress[[#This Row],[Date]])</f>
        <v>2024</v>
      </c>
      <c r="N1901" s="34">
        <f>MONTH(HistoricalStockProgress[[#This Row],[Date]])</f>
        <v>12</v>
      </c>
    </row>
    <row r="1902" spans="2:14">
      <c r="B1902" s="15">
        <v>45657</v>
      </c>
      <c r="C1902" s="34" t="s">
        <v>16</v>
      </c>
      <c r="D1902" s="34" t="e" vm="12">
        <f>_xlfn.XLOOKUP(HistoricalStockProgress[[#This Row],[Company Ticker]],CompanyDetailsList[Company Ticker],CompanyDetailsList[Official Name],,0)</f>
        <v>#VALUE!</v>
      </c>
      <c r="E19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9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902" s="17">
        <f>IFERROR(HistoricalStockProgress[[#This Row],[Cost of Shares]]/HistoricalStockProgress[[#This Row],[No. of Shares]],0)</f>
        <v>75.117698177311837</v>
      </c>
      <c r="H1902" s="16" vm="2375">
        <v>107.57</v>
      </c>
      <c r="I1902" s="16">
        <f>IF(HistoricalStockProgress[[#This Row],[No. of Shares]]&lt;&gt;0,HistoricalStockProgress[[#This Row],[Price of Shares]]*HistoricalStockProgress[[#This Row],[No. of Shares]],0)</f>
        <v>19900.449999999997</v>
      </c>
      <c r="J1902" s="16">
        <f>IF(HistoricalStockProgress[[#This Row],[No. of Shares]]&lt;&gt;0,HistoricalStockProgress[[#This Row],[Price of Shares]]-HistoricalStockProgress[[#This Row],[Cost of Shares]]/HistoricalStockProgress[[#This Row],[No. of Shares]],0)</f>
        <v>32.452301822688156</v>
      </c>
      <c r="K1902" s="17">
        <f>IF(HistoricalStockProgress[[#This Row],[Total Price of Shares]]&lt;&gt;0,HistoricalStockProgress[[#This Row],[Total Price of Shares]]-HistoricalStockProgress[[#This Row],[Cost of Shares]],0)</f>
        <v>6003.6758371973083</v>
      </c>
      <c r="L1902" s="34" t="b" cm="1">
        <f t="array" ref="L1902">IFERROR(IF(HistoricalStockProgress[[#This Row],[Price of Shares]]="",_xlfn.STOCKHISTORY(HistoricalStockProgress[[#This Row],[Full Company Name]],HistoricalStockProgress[[#This Row],[Date]],,2,0,1)),0)</f>
        <v>0</v>
      </c>
      <c r="M1902" s="34">
        <f>YEAR(HistoricalStockProgress[[#This Row],[Date]])</f>
        <v>2024</v>
      </c>
      <c r="N1902" s="34">
        <f>MONTH(HistoricalStockProgress[[#This Row],[Date]])</f>
        <v>12</v>
      </c>
    </row>
    <row r="1903" spans="2:14">
      <c r="B1903" s="15">
        <v>45657</v>
      </c>
      <c r="C1903" s="34" t="s">
        <v>95</v>
      </c>
      <c r="D1903" s="34" t="e" vm="13">
        <f>_xlfn.XLOOKUP(HistoricalStockProgress[[#This Row],[Company Ticker]],CompanyDetailsList[Company Ticker],CompanyDetailsList[Official Name],,0)</f>
        <v>#VALUE!</v>
      </c>
      <c r="E19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143</v>
      </c>
      <c r="F19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35362.550411645469</v>
      </c>
      <c r="G1903" s="17">
        <f>IFERROR(HistoricalStockProgress[[#This Row],[Cost of Shares]]/HistoricalStockProgress[[#This Row],[No. of Shares]],0)</f>
        <v>247.29056231919907</v>
      </c>
      <c r="H1903" s="16" vm="2376">
        <v>388.99</v>
      </c>
      <c r="I1903" s="16">
        <f>IF(HistoricalStockProgress[[#This Row],[No. of Shares]]&lt;&gt;0,HistoricalStockProgress[[#This Row],[Price of Shares]]*HistoricalStockProgress[[#This Row],[No. of Shares]],0)</f>
        <v>55625.57</v>
      </c>
      <c r="J1903" s="16">
        <f>IF(HistoricalStockProgress[[#This Row],[No. of Shares]]&lt;&gt;0,HistoricalStockProgress[[#This Row],[Price of Shares]]-HistoricalStockProgress[[#This Row],[Cost of Shares]]/HistoricalStockProgress[[#This Row],[No. of Shares]],0)</f>
        <v>141.69943768080094</v>
      </c>
      <c r="K1903" s="17">
        <f>IF(HistoricalStockProgress[[#This Row],[Total Price of Shares]]&lt;&gt;0,HistoricalStockProgress[[#This Row],[Total Price of Shares]]-HistoricalStockProgress[[#This Row],[Cost of Shares]],0)</f>
        <v>20263.019588354531</v>
      </c>
      <c r="L1903" s="34" t="b" cm="1">
        <f t="array" ref="L1903">IFERROR(IF(HistoricalStockProgress[[#This Row],[Price of Shares]]="",_xlfn.STOCKHISTORY(HistoricalStockProgress[[#This Row],[Full Company Name]],HistoricalStockProgress[[#This Row],[Date]],,2,0,1)),0)</f>
        <v>0</v>
      </c>
      <c r="M1903" s="34">
        <f>YEAR(HistoricalStockProgress[[#This Row],[Date]])</f>
        <v>2024</v>
      </c>
      <c r="N1903" s="34">
        <f>MONTH(HistoricalStockProgress[[#This Row],[Date]])</f>
        <v>12</v>
      </c>
    </row>
    <row r="1904" spans="2:14">
      <c r="B1904" s="15">
        <v>45657</v>
      </c>
      <c r="C1904" s="34" t="s">
        <v>17</v>
      </c>
      <c r="D1904" s="34" t="e" vm="14">
        <f>_xlfn.XLOOKUP(HistoricalStockProgress[[#This Row],[Company Ticker]],CompanyDetailsList[Company Ticker],CompanyDetailsList[Official Name],,0)</f>
        <v>#VALUE!</v>
      </c>
      <c r="E19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19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1904" s="17">
        <f>IFERROR(HistoricalStockProgress[[#This Row],[Cost of Shares]]/HistoricalStockProgress[[#This Row],[No. of Shares]],0)</f>
        <v>143.37791217450521</v>
      </c>
      <c r="H1904" s="16" vm="1320">
        <v>219.83</v>
      </c>
      <c r="I1904" s="16">
        <f>IF(HistoricalStockProgress[[#This Row],[No. of Shares]]&lt;&gt;0,HistoricalStockProgress[[#This Row],[Price of Shares]]*HistoricalStockProgress[[#This Row],[No. of Shares]],0)</f>
        <v>50780.73</v>
      </c>
      <c r="J1904" s="16">
        <f>IF(HistoricalStockProgress[[#This Row],[No. of Shares]]&lt;&gt;0,HistoricalStockProgress[[#This Row],[Price of Shares]]-HistoricalStockProgress[[#This Row],[Cost of Shares]]/HistoricalStockProgress[[#This Row],[No. of Shares]],0)</f>
        <v>76.4520878254948</v>
      </c>
      <c r="K1904" s="17">
        <f>IF(HistoricalStockProgress[[#This Row],[Total Price of Shares]]&lt;&gt;0,HistoricalStockProgress[[#This Row],[Total Price of Shares]]-HistoricalStockProgress[[#This Row],[Cost of Shares]],0)</f>
        <v>17660.432287689298</v>
      </c>
      <c r="L1904" s="34" t="b" cm="1">
        <f t="array" ref="L1904">IFERROR(IF(HistoricalStockProgress[[#This Row],[Price of Shares]]="",_xlfn.STOCKHISTORY(HistoricalStockProgress[[#This Row],[Full Company Name]],HistoricalStockProgress[[#This Row],[Date]],,2,0,1)),0)</f>
        <v>0</v>
      </c>
      <c r="M1904" s="34">
        <f>YEAR(HistoricalStockProgress[[#This Row],[Date]])</f>
        <v>2024</v>
      </c>
      <c r="N1904" s="34">
        <f>MONTH(HistoricalStockProgress[[#This Row],[Date]])</f>
        <v>12</v>
      </c>
    </row>
    <row r="1905" spans="2:14">
      <c r="B1905" s="15">
        <v>45657</v>
      </c>
      <c r="C1905" s="34" t="s">
        <v>98</v>
      </c>
      <c r="D1905" s="34" t="e" vm="15">
        <f>_xlfn.XLOOKUP(HistoricalStockProgress[[#This Row],[Company Ticker]],CompanyDetailsList[Company Ticker],CompanyDetailsList[Official Name],,0)</f>
        <v>#VALUE!</v>
      </c>
      <c r="E19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19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8175.3025483037236</v>
      </c>
      <c r="G1905" s="17">
        <f>IFERROR(HistoricalStockProgress[[#This Row],[Cost of Shares]]/HistoricalStockProgress[[#This Row],[No. of Shares]],0)</f>
        <v>55.995222933587151</v>
      </c>
      <c r="H1905" s="16" vm="2377">
        <v>71.69</v>
      </c>
      <c r="I1905" s="16">
        <f>IF(HistoricalStockProgress[[#This Row],[No. of Shares]]&lt;&gt;0,HistoricalStockProgress[[#This Row],[Price of Shares]]*HistoricalStockProgress[[#This Row],[No. of Shares]],0)</f>
        <v>10466.74</v>
      </c>
      <c r="J1905" s="16">
        <f>IF(HistoricalStockProgress[[#This Row],[No. of Shares]]&lt;&gt;0,HistoricalStockProgress[[#This Row],[Price of Shares]]-HistoricalStockProgress[[#This Row],[Cost of Shares]]/HistoricalStockProgress[[#This Row],[No. of Shares]],0)</f>
        <v>15.694777066412847</v>
      </c>
      <c r="K1905" s="17">
        <f>IF(HistoricalStockProgress[[#This Row],[Total Price of Shares]]&lt;&gt;0,HistoricalStockProgress[[#This Row],[Total Price of Shares]]-HistoricalStockProgress[[#This Row],[Cost of Shares]],0)</f>
        <v>2291.4374516962762</v>
      </c>
      <c r="L1905" s="34" t="b" cm="1">
        <f t="array" ref="L1905">IFERROR(IF(HistoricalStockProgress[[#This Row],[Price of Shares]]="",_xlfn.STOCKHISTORY(HistoricalStockProgress[[#This Row],[Full Company Name]],HistoricalStockProgress[[#This Row],[Date]],,2,0,1)),0)</f>
        <v>0</v>
      </c>
      <c r="M1905" s="34">
        <f>YEAR(HistoricalStockProgress[[#This Row],[Date]])</f>
        <v>2024</v>
      </c>
      <c r="N1905" s="34">
        <f>MONTH(HistoricalStockProgress[[#This Row],[Date]])</f>
        <v>12</v>
      </c>
    </row>
    <row r="1906" spans="2:14">
      <c r="B1906" s="15">
        <v>45657</v>
      </c>
      <c r="C1906" s="34" t="s">
        <v>100</v>
      </c>
      <c r="D1906" s="34" t="e" vm="16">
        <f>_xlfn.XLOOKUP(HistoricalStockProgress[[#This Row],[Company Ticker]],CompanyDetailsList[Company Ticker],CompanyDetailsList[Official Name],,0)</f>
        <v>#VALUE!</v>
      </c>
      <c r="E19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19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1906" s="17">
        <f>IFERROR(HistoricalStockProgress[[#This Row],[Cost of Shares]]/HistoricalStockProgress[[#This Row],[No. of Shares]],0)</f>
        <v>92.156351168716071</v>
      </c>
      <c r="H1906" s="16" vm="1500">
        <v>107.74</v>
      </c>
      <c r="I1906" s="16">
        <f>IF(HistoricalStockProgress[[#This Row],[No. of Shares]]&lt;&gt;0,HistoricalStockProgress[[#This Row],[Price of Shares]]*HistoricalStockProgress[[#This Row],[No. of Shares]],0)</f>
        <v>26935</v>
      </c>
      <c r="J1906" s="16">
        <f>IF(HistoricalStockProgress[[#This Row],[No. of Shares]]&lt;&gt;0,HistoricalStockProgress[[#This Row],[Price of Shares]]-HistoricalStockProgress[[#This Row],[Cost of Shares]]/HistoricalStockProgress[[#This Row],[No. of Shares]],0)</f>
        <v>15.583648831283924</v>
      </c>
      <c r="K1906" s="17">
        <f>IF(HistoricalStockProgress[[#This Row],[Total Price of Shares]]&lt;&gt;0,HistoricalStockProgress[[#This Row],[Total Price of Shares]]-HistoricalStockProgress[[#This Row],[Cost of Shares]],0)</f>
        <v>3895.9122078209839</v>
      </c>
      <c r="L1906" s="34" t="b" cm="1">
        <f t="array" ref="L1906">IFERROR(IF(HistoricalStockProgress[[#This Row],[Price of Shares]]="",_xlfn.STOCKHISTORY(HistoricalStockProgress[[#This Row],[Full Company Name]],HistoricalStockProgress[[#This Row],[Date]],,2,0,1)),0)</f>
        <v>0</v>
      </c>
      <c r="M1906" s="34">
        <f>YEAR(HistoricalStockProgress[[#This Row],[Date]])</f>
        <v>2024</v>
      </c>
      <c r="N1906" s="34">
        <f>MONTH(HistoricalStockProgress[[#This Row],[Date]])</f>
        <v>12</v>
      </c>
    </row>
    <row r="1907" spans="2:14">
      <c r="B1907" s="15">
        <v>45657</v>
      </c>
      <c r="C1907" s="34" t="s">
        <v>15</v>
      </c>
      <c r="D1907" s="34" t="e" vm="17">
        <f>_xlfn.XLOOKUP(HistoricalStockProgress[[#This Row],[Company Ticker]],CompanyDetailsList[Company Ticker],CompanyDetailsList[Official Name],,0)</f>
        <v>#VALUE!</v>
      </c>
      <c r="E19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19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3628.1478386140398</v>
      </c>
      <c r="G1907" s="17">
        <f>IFERROR(HistoricalStockProgress[[#This Row],[Cost of Shares]]/HistoricalStockProgress[[#This Row],[No. of Shares]],0)</f>
        <v>24.85032766174</v>
      </c>
      <c r="H1907" s="16" vm="2378">
        <v>22.77</v>
      </c>
      <c r="I1907" s="16">
        <f>IF(HistoricalStockProgress[[#This Row],[No. of Shares]]&lt;&gt;0,HistoricalStockProgress[[#This Row],[Price of Shares]]*HistoricalStockProgress[[#This Row],[No. of Shares]],0)</f>
        <v>3324.42</v>
      </c>
      <c r="J1907" s="16">
        <f>IF(HistoricalStockProgress[[#This Row],[No. of Shares]]&lt;&gt;0,HistoricalStockProgress[[#This Row],[Price of Shares]]-HistoricalStockProgress[[#This Row],[Cost of Shares]]/HistoricalStockProgress[[#This Row],[No. of Shares]],0)</f>
        <v>-2.0803276617400002</v>
      </c>
      <c r="K1907" s="17">
        <f>IF(HistoricalStockProgress[[#This Row],[Total Price of Shares]]&lt;&gt;0,HistoricalStockProgress[[#This Row],[Total Price of Shares]]-HistoricalStockProgress[[#This Row],[Cost of Shares]],0)</f>
        <v>-303.72783861403968</v>
      </c>
      <c r="L1907" s="34" t="b" cm="1">
        <f t="array" ref="L1907">IFERROR(IF(HistoricalStockProgress[[#This Row],[Price of Shares]]="",_xlfn.STOCKHISTORY(HistoricalStockProgress[[#This Row],[Full Company Name]],HistoricalStockProgress[[#This Row],[Date]],,2,0,1)),0)</f>
        <v>0</v>
      </c>
      <c r="M1907" s="34">
        <f>YEAR(HistoricalStockProgress[[#This Row],[Date]])</f>
        <v>2024</v>
      </c>
      <c r="N1907" s="34">
        <f>MONTH(HistoricalStockProgress[[#This Row],[Date]])</f>
        <v>12</v>
      </c>
    </row>
    <row r="1908" spans="2:14">
      <c r="B1908" s="15">
        <v>45657</v>
      </c>
      <c r="C1908" s="34" t="s">
        <v>13</v>
      </c>
      <c r="D1908" s="34" t="e" vm="18">
        <f>_xlfn.XLOOKUP(HistoricalStockProgress[[#This Row],[Company Ticker]],CompanyDetailsList[Company Ticker],CompanyDetailsList[Official Name],,0)</f>
        <v>#VALUE!</v>
      </c>
      <c r="E19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115</v>
      </c>
      <c r="F19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3682.4466352500076</v>
      </c>
      <c r="G1908" s="17">
        <f>IFERROR(HistoricalStockProgress[[#This Row],[Cost of Shares]]/HistoricalStockProgress[[#This Row],[No. of Shares]],0)</f>
        <v>32.021275089130498</v>
      </c>
      <c r="H1908" s="16" vm="2379">
        <v>26.53</v>
      </c>
      <c r="I1908" s="16">
        <f>IF(HistoricalStockProgress[[#This Row],[No. of Shares]]&lt;&gt;0,HistoricalStockProgress[[#This Row],[Price of Shares]]*HistoricalStockProgress[[#This Row],[No. of Shares]],0)</f>
        <v>3050.9500000000003</v>
      </c>
      <c r="J1908" s="16">
        <f>IF(HistoricalStockProgress[[#This Row],[No. of Shares]]&lt;&gt;0,HistoricalStockProgress[[#This Row],[Price of Shares]]-HistoricalStockProgress[[#This Row],[Cost of Shares]]/HistoricalStockProgress[[#This Row],[No. of Shares]],0)</f>
        <v>-5.4912750891304967</v>
      </c>
      <c r="K1908" s="17">
        <f>IF(HistoricalStockProgress[[#This Row],[Total Price of Shares]]&lt;&gt;0,HistoricalStockProgress[[#This Row],[Total Price of Shares]]-HistoricalStockProgress[[#This Row],[Cost of Shares]],0)</f>
        <v>-631.49663525000733</v>
      </c>
      <c r="L1908" s="34" t="b" cm="1">
        <f t="array" ref="L1908">IFERROR(IF(HistoricalStockProgress[[#This Row],[Price of Shares]]="",_xlfn.STOCKHISTORY(HistoricalStockProgress[[#This Row],[Full Company Name]],HistoricalStockProgress[[#This Row],[Date]],,2,0,1)),0)</f>
        <v>0</v>
      </c>
      <c r="M1908" s="34">
        <f>YEAR(HistoricalStockProgress[[#This Row],[Date]])</f>
        <v>2024</v>
      </c>
      <c r="N1908" s="34">
        <f>MONTH(HistoricalStockProgress[[#This Row],[Date]])</f>
        <v>12</v>
      </c>
    </row>
    <row r="1909" spans="2:14">
      <c r="B1909" s="15">
        <v>45657</v>
      </c>
      <c r="C1909" s="34" t="s">
        <v>20</v>
      </c>
      <c r="D1909" s="34" t="e" vm="19">
        <f>_xlfn.XLOOKUP(HistoricalStockProgress[[#This Row],[Company Ticker]],CompanyDetailsList[Company Ticker],CompanyDetailsList[Official Name],,0)</f>
        <v>#VALUE!</v>
      </c>
      <c r="E19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9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909" s="17">
        <f>IFERROR(HistoricalStockProgress[[#This Row],[Cost of Shares]]/HistoricalStockProgress[[#This Row],[No. of Shares]],0)</f>
        <v>108.1760767450256</v>
      </c>
      <c r="H1909" s="16" vm="2380">
        <v>239.71</v>
      </c>
      <c r="I1909" s="16">
        <f>IF(HistoricalStockProgress[[#This Row],[No. of Shares]]&lt;&gt;0,HistoricalStockProgress[[#This Row],[Price of Shares]]*HistoricalStockProgress[[#This Row],[No. of Shares]],0)</f>
        <v>27806.36</v>
      </c>
      <c r="J1909" s="16">
        <f>IF(HistoricalStockProgress[[#This Row],[No. of Shares]]&lt;&gt;0,HistoricalStockProgress[[#This Row],[Price of Shares]]-HistoricalStockProgress[[#This Row],[Cost of Shares]]/HistoricalStockProgress[[#This Row],[No. of Shares]],0)</f>
        <v>131.53392325497441</v>
      </c>
      <c r="K1909" s="17">
        <f>IF(HistoricalStockProgress[[#This Row],[Total Price of Shares]]&lt;&gt;0,HistoricalStockProgress[[#This Row],[Total Price of Shares]]-HistoricalStockProgress[[#This Row],[Cost of Shares]],0)</f>
        <v>15257.935097577032</v>
      </c>
      <c r="L1909" s="34" t="b" cm="1">
        <f t="array" ref="L1909">IFERROR(IF(HistoricalStockProgress[[#This Row],[Price of Shares]]="",_xlfn.STOCKHISTORY(HistoricalStockProgress[[#This Row],[Full Company Name]],HistoricalStockProgress[[#This Row],[Date]],,2,0,1)),0)</f>
        <v>0</v>
      </c>
      <c r="M1909" s="34">
        <f>YEAR(HistoricalStockProgress[[#This Row],[Date]])</f>
        <v>2024</v>
      </c>
      <c r="N1909" s="34">
        <f>MONTH(HistoricalStockProgress[[#This Row],[Date]])</f>
        <v>12</v>
      </c>
    </row>
    <row r="1910" spans="2:14">
      <c r="B1910" s="15">
        <v>45657</v>
      </c>
      <c r="C1910" s="34" t="s">
        <v>106</v>
      </c>
      <c r="D1910" s="34" t="e" vm="20">
        <f>_xlfn.XLOOKUP(HistoricalStockProgress[[#This Row],[Company Ticker]],CompanyDetailsList[Company Ticker],CompanyDetailsList[Official Name],,0)</f>
        <v>#VALUE!</v>
      </c>
      <c r="E19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9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910" s="17">
        <f>IFERROR(HistoricalStockProgress[[#This Row],[Cost of Shares]]/HistoricalStockProgress[[#This Row],[No. of Shares]],0)</f>
        <v>108.54870748680406</v>
      </c>
      <c r="H1910" s="16" vm="2381">
        <v>119.45</v>
      </c>
      <c r="I1910" s="16">
        <f>IF(HistoricalStockProgress[[#This Row],[No. of Shares]]&lt;&gt;0,HistoricalStockProgress[[#This Row],[Price of Shares]]*HistoricalStockProgress[[#This Row],[No. of Shares]],0)</f>
        <v>10511.6</v>
      </c>
      <c r="J1910" s="16">
        <f>IF(HistoricalStockProgress[[#This Row],[No. of Shares]]&lt;&gt;0,HistoricalStockProgress[[#This Row],[Price of Shares]]-HistoricalStockProgress[[#This Row],[Cost of Shares]]/HistoricalStockProgress[[#This Row],[No. of Shares]],0)</f>
        <v>10.901292513195941</v>
      </c>
      <c r="K1910" s="17">
        <f>IF(HistoricalStockProgress[[#This Row],[Total Price of Shares]]&lt;&gt;0,HistoricalStockProgress[[#This Row],[Total Price of Shares]]-HistoricalStockProgress[[#This Row],[Cost of Shares]],0)</f>
        <v>959.31374116124243</v>
      </c>
      <c r="L1910" s="34" t="b" cm="1">
        <f t="array" ref="L1910">IFERROR(IF(HistoricalStockProgress[[#This Row],[Price of Shares]]="",_xlfn.STOCKHISTORY(HistoricalStockProgress[[#This Row],[Full Company Name]],HistoricalStockProgress[[#This Row],[Date]],,2,0,1)),0)</f>
        <v>0</v>
      </c>
      <c r="M1910" s="34">
        <f>YEAR(HistoricalStockProgress[[#This Row],[Date]])</f>
        <v>2024</v>
      </c>
      <c r="N1910" s="34">
        <f>MONTH(HistoricalStockProgress[[#This Row],[Date]])</f>
        <v>12</v>
      </c>
    </row>
    <row r="1911" spans="2:14">
      <c r="B1911" s="15">
        <v>45688</v>
      </c>
      <c r="C1911" s="34" t="s">
        <v>12</v>
      </c>
      <c r="D1911" s="34" t="e" vm="1">
        <f>_xlfn.XLOOKUP(HistoricalStockProgress[[#This Row],[Company Ticker]],CompanyDetailsList[Company Ticker],CompanyDetailsList[Official Name],,0)</f>
        <v>#VALUE!</v>
      </c>
      <c r="E19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9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911" s="17">
        <f>IFERROR(HistoricalStockProgress[[#This Row],[Cost of Shares]]/HistoricalStockProgress[[#This Row],[No. of Shares]],0)</f>
        <v>64.573985995316889</v>
      </c>
      <c r="H1911" s="16" vm="2382">
        <v>54.64</v>
      </c>
      <c r="I1911" s="16">
        <f>IF(HistoricalStockProgress[[#This Row],[No. of Shares]]&lt;&gt;0,HistoricalStockProgress[[#This Row],[Price of Shares]]*HistoricalStockProgress[[#This Row],[No. of Shares]],0)</f>
        <v>5300.08</v>
      </c>
      <c r="J1911" s="16">
        <f>IF(HistoricalStockProgress[[#This Row],[No. of Shares]]&lt;&gt;0,HistoricalStockProgress[[#This Row],[Price of Shares]]-HistoricalStockProgress[[#This Row],[Cost of Shares]]/HistoricalStockProgress[[#This Row],[No. of Shares]],0)</f>
        <v>-9.9339859953168883</v>
      </c>
      <c r="K1911" s="17">
        <f>IF(HistoricalStockProgress[[#This Row],[Total Price of Shares]]&lt;&gt;0,HistoricalStockProgress[[#This Row],[Total Price of Shares]]-HistoricalStockProgress[[#This Row],[Cost of Shares]],0)</f>
        <v>-963.59664154573784</v>
      </c>
      <c r="L1911" s="34" t="b" cm="1">
        <f t="array" ref="L1911">IFERROR(IF(HistoricalStockProgress[[#This Row],[Price of Shares]]="",_xlfn.STOCKHISTORY(HistoricalStockProgress[[#This Row],[Full Company Name]],HistoricalStockProgress[[#This Row],[Date]],,2,0,1)),0)</f>
        <v>0</v>
      </c>
      <c r="M1911" s="34">
        <f>YEAR(HistoricalStockProgress[[#This Row],[Date]])</f>
        <v>2025</v>
      </c>
      <c r="N1911" s="34">
        <f>MONTH(HistoricalStockProgress[[#This Row],[Date]])</f>
        <v>1</v>
      </c>
    </row>
    <row r="1912" spans="2:14">
      <c r="B1912" s="15">
        <v>45688</v>
      </c>
      <c r="C1912" s="34" t="s">
        <v>14</v>
      </c>
      <c r="D1912" s="34" t="e" vm="2">
        <f>_xlfn.XLOOKUP(HistoricalStockProgress[[#This Row],[Company Ticker]],CompanyDetailsList[Company Ticker],CompanyDetailsList[Official Name],,0)</f>
        <v>#VALUE!</v>
      </c>
      <c r="E19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19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1912" s="17">
        <f>IFERROR(HistoricalStockProgress[[#This Row],[Cost of Shares]]/HistoricalStockProgress[[#This Row],[No. of Shares]],0)</f>
        <v>26.819337355148658</v>
      </c>
      <c r="H1912" s="16" vm="2383">
        <v>25.93</v>
      </c>
      <c r="I1912" s="16">
        <f>IF(HistoricalStockProgress[[#This Row],[No. of Shares]]&lt;&gt;0,HistoricalStockProgress[[#This Row],[Price of Shares]]*HistoricalStockProgress[[#This Row],[No. of Shares]],0)</f>
        <v>1633.59</v>
      </c>
      <c r="J1912" s="16">
        <f>IF(HistoricalStockProgress[[#This Row],[No. of Shares]]&lt;&gt;0,HistoricalStockProgress[[#This Row],[Price of Shares]]-HistoricalStockProgress[[#This Row],[Cost of Shares]]/HistoricalStockProgress[[#This Row],[No. of Shares]],0)</f>
        <v>-0.8893373551486583</v>
      </c>
      <c r="K1912" s="17">
        <f>IF(HistoricalStockProgress[[#This Row],[Total Price of Shares]]&lt;&gt;0,HistoricalStockProgress[[#This Row],[Total Price of Shares]]-HistoricalStockProgress[[#This Row],[Cost of Shares]],0)</f>
        <v>-56.028253374365477</v>
      </c>
      <c r="L1912" s="34" t="b" cm="1">
        <f t="array" ref="L1912">IFERROR(IF(HistoricalStockProgress[[#This Row],[Price of Shares]]="",_xlfn.STOCKHISTORY(HistoricalStockProgress[[#This Row],[Full Company Name]],HistoricalStockProgress[[#This Row],[Date]],,2,0,1)),0)</f>
        <v>0</v>
      </c>
      <c r="M1912" s="34">
        <f>YEAR(HistoricalStockProgress[[#This Row],[Date]])</f>
        <v>2025</v>
      </c>
      <c r="N1912" s="34">
        <f>MONTH(HistoricalStockProgress[[#This Row],[Date]])</f>
        <v>1</v>
      </c>
    </row>
    <row r="1913" spans="2:14">
      <c r="B1913" s="15">
        <v>45688</v>
      </c>
      <c r="C1913" s="34" t="s">
        <v>19</v>
      </c>
      <c r="D1913" s="34" t="e" vm="3">
        <f>_xlfn.XLOOKUP(HistoricalStockProgress[[#This Row],[Company Ticker]],CompanyDetailsList[Company Ticker],CompanyDetailsList[Official Name],,0)</f>
        <v>#VALUE!</v>
      </c>
      <c r="E19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19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1913" s="17">
        <f>IFERROR(HistoricalStockProgress[[#This Row],[Cost of Shares]]/HistoricalStockProgress[[#This Row],[No. of Shares]],0)</f>
        <v>160.12652821044301</v>
      </c>
      <c r="H1913" s="16" vm="2384">
        <v>158.68</v>
      </c>
      <c r="I1913" s="16">
        <f>IF(HistoricalStockProgress[[#This Row],[No. of Shares]]&lt;&gt;0,HistoricalStockProgress[[#This Row],[Price of Shares]]*HistoricalStockProgress[[#This Row],[No. of Shares]],0)</f>
        <v>13646.480000000001</v>
      </c>
      <c r="J1913" s="16">
        <f>IF(HistoricalStockProgress[[#This Row],[No. of Shares]]&lt;&gt;0,HistoricalStockProgress[[#This Row],[Price of Shares]]-HistoricalStockProgress[[#This Row],[Cost of Shares]]/HistoricalStockProgress[[#This Row],[No. of Shares]],0)</f>
        <v>-1.4465282104430059</v>
      </c>
      <c r="K1913" s="17">
        <f>IF(HistoricalStockProgress[[#This Row],[Total Price of Shares]]&lt;&gt;0,HistoricalStockProgress[[#This Row],[Total Price of Shares]]-HistoricalStockProgress[[#This Row],[Cost of Shares]],0)</f>
        <v>-124.40142609809664</v>
      </c>
      <c r="L1913" s="34" t="b" cm="1">
        <f t="array" ref="L1913">IFERROR(IF(HistoricalStockProgress[[#This Row],[Price of Shares]]="",_xlfn.STOCKHISTORY(HistoricalStockProgress[[#This Row],[Full Company Name]],HistoricalStockProgress[[#This Row],[Date]],,2,0,1)),0)</f>
        <v>0</v>
      </c>
      <c r="M1913" s="34">
        <f>YEAR(HistoricalStockProgress[[#This Row],[Date]])</f>
        <v>2025</v>
      </c>
      <c r="N1913" s="34">
        <f>MONTH(HistoricalStockProgress[[#This Row],[Date]])</f>
        <v>1</v>
      </c>
    </row>
    <row r="1914" spans="2:14">
      <c r="B1914" s="15">
        <v>45688</v>
      </c>
      <c r="C1914" s="34" t="s">
        <v>23</v>
      </c>
      <c r="D1914" s="34" t="e" vm="4">
        <f>_xlfn.XLOOKUP(HistoricalStockProgress[[#This Row],[Company Ticker]],CompanyDetailsList[Company Ticker],CompanyDetailsList[Official Name],,0)</f>
        <v>#VALUE!</v>
      </c>
      <c r="E19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19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1914" s="17">
        <f>IFERROR(HistoricalStockProgress[[#This Row],[Cost of Shares]]/HistoricalStockProgress[[#This Row],[No. of Shares]],0)</f>
        <v>50.781277236510277</v>
      </c>
      <c r="H1914" s="16" vm="2385">
        <v>63.48</v>
      </c>
      <c r="I1914" s="16">
        <f>IF(HistoricalStockProgress[[#This Row],[No. of Shares]]&lt;&gt;0,HistoricalStockProgress[[#This Row],[Price of Shares]]*HistoricalStockProgress[[#This Row],[No. of Shares]],0)</f>
        <v>7427.16</v>
      </c>
      <c r="J1914" s="16">
        <f>IF(HistoricalStockProgress[[#This Row],[No. of Shares]]&lt;&gt;0,HistoricalStockProgress[[#This Row],[Price of Shares]]-HistoricalStockProgress[[#This Row],[Cost of Shares]]/HistoricalStockProgress[[#This Row],[No. of Shares]],0)</f>
        <v>12.69872276348972</v>
      </c>
      <c r="K1914" s="17">
        <f>IF(HistoricalStockProgress[[#This Row],[Total Price of Shares]]&lt;&gt;0,HistoricalStockProgress[[#This Row],[Total Price of Shares]]-HistoricalStockProgress[[#This Row],[Cost of Shares]],0)</f>
        <v>1485.7505633282972</v>
      </c>
      <c r="L1914" s="34" t="b" cm="1">
        <f t="array" ref="L1914">IFERROR(IF(HistoricalStockProgress[[#This Row],[Price of Shares]]="",_xlfn.STOCKHISTORY(HistoricalStockProgress[[#This Row],[Full Company Name]],HistoricalStockProgress[[#This Row],[Date]],,2,0,1)),0)</f>
        <v>0</v>
      </c>
      <c r="M1914" s="34">
        <f>YEAR(HistoricalStockProgress[[#This Row],[Date]])</f>
        <v>2025</v>
      </c>
      <c r="N1914" s="34">
        <f>MONTH(HistoricalStockProgress[[#This Row],[Date]])</f>
        <v>1</v>
      </c>
    </row>
    <row r="1915" spans="2:14">
      <c r="B1915" s="15">
        <v>45688</v>
      </c>
      <c r="C1915" s="34" t="s">
        <v>18</v>
      </c>
      <c r="D1915" s="34" t="e" vm="5">
        <f>_xlfn.XLOOKUP(HistoricalStockProgress[[#This Row],[Company Ticker]],CompanyDetailsList[Company Ticker],CompanyDetailsList[Official Name],,0)</f>
        <v>#VALUE!</v>
      </c>
      <c r="E19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9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915" s="17">
        <f>IFERROR(HistoricalStockProgress[[#This Row],[Cost of Shares]]/HistoricalStockProgress[[#This Row],[No. of Shares]],0)</f>
        <v>160.8859607546234</v>
      </c>
      <c r="H1915" s="16" vm="2386">
        <v>150.69</v>
      </c>
      <c r="I1915" s="16">
        <f>IF(HistoricalStockProgress[[#This Row],[No. of Shares]]&lt;&gt;0,HistoricalStockProgress[[#This Row],[Price of Shares]]*HistoricalStockProgress[[#This Row],[No. of Shares]],0)</f>
        <v>6479.67</v>
      </c>
      <c r="J1915" s="16">
        <f>IF(HistoricalStockProgress[[#This Row],[No. of Shares]]&lt;&gt;0,HistoricalStockProgress[[#This Row],[Price of Shares]]-HistoricalStockProgress[[#This Row],[Cost of Shares]]/HistoricalStockProgress[[#This Row],[No. of Shares]],0)</f>
        <v>-10.1959607546234</v>
      </c>
      <c r="K1915" s="17">
        <f>IF(HistoricalStockProgress[[#This Row],[Total Price of Shares]]&lt;&gt;0,HistoricalStockProgress[[#This Row],[Total Price of Shares]]-HistoricalStockProgress[[#This Row],[Cost of Shares]],0)</f>
        <v>-438.42631244880613</v>
      </c>
      <c r="L1915" s="34" t="b" cm="1">
        <f t="array" ref="L1915">IFERROR(IF(HistoricalStockProgress[[#This Row],[Price of Shares]]="",_xlfn.STOCKHISTORY(HistoricalStockProgress[[#This Row],[Full Company Name]],HistoricalStockProgress[[#This Row],[Date]],,2,0,1)),0)</f>
        <v>0</v>
      </c>
      <c r="M1915" s="34">
        <f>YEAR(HistoricalStockProgress[[#This Row],[Date]])</f>
        <v>2025</v>
      </c>
      <c r="N1915" s="34">
        <f>MONTH(HistoricalStockProgress[[#This Row],[Date]])</f>
        <v>1</v>
      </c>
    </row>
    <row r="1916" spans="2:14">
      <c r="B1916" s="15">
        <v>45688</v>
      </c>
      <c r="C1916" s="34" t="s">
        <v>21</v>
      </c>
      <c r="D1916" s="34" t="e" vm="6">
        <f>_xlfn.XLOOKUP(HistoricalStockProgress[[#This Row],[Company Ticker]],CompanyDetailsList[Company Ticker],CompanyDetailsList[Official Name],,0)</f>
        <v>#VALUE!</v>
      </c>
      <c r="E19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49</v>
      </c>
      <c r="F19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7099.5799078510599</v>
      </c>
      <c r="G1916" s="17">
        <f>IFERROR(HistoricalStockProgress[[#This Row],[Cost of Shares]]/HistoricalStockProgress[[#This Row],[No. of Shares]],0)</f>
        <v>144.88938587451142</v>
      </c>
      <c r="H1916" s="16" vm="742">
        <v>165.99</v>
      </c>
      <c r="I1916" s="16">
        <f>IF(HistoricalStockProgress[[#This Row],[No. of Shares]]&lt;&gt;0,HistoricalStockProgress[[#This Row],[Price of Shares]]*HistoricalStockProgress[[#This Row],[No. of Shares]],0)</f>
        <v>8133.51</v>
      </c>
      <c r="J1916" s="16">
        <f>IF(HistoricalStockProgress[[#This Row],[No. of Shares]]&lt;&gt;0,HistoricalStockProgress[[#This Row],[Price of Shares]]-HistoricalStockProgress[[#This Row],[Cost of Shares]]/HistoricalStockProgress[[#This Row],[No. of Shares]],0)</f>
        <v>21.10061412548859</v>
      </c>
      <c r="K1916" s="17">
        <f>IF(HistoricalStockProgress[[#This Row],[Total Price of Shares]]&lt;&gt;0,HistoricalStockProgress[[#This Row],[Total Price of Shares]]-HistoricalStockProgress[[#This Row],[Cost of Shares]],0)</f>
        <v>1033.9300921489403</v>
      </c>
      <c r="L1916" s="34" t="b" cm="1">
        <f t="array" ref="L1916">IFERROR(IF(HistoricalStockProgress[[#This Row],[Price of Shares]]="",_xlfn.STOCKHISTORY(HistoricalStockProgress[[#This Row],[Full Company Name]],HistoricalStockProgress[[#This Row],[Date]],,2,0,1)),0)</f>
        <v>0</v>
      </c>
      <c r="M1916" s="34">
        <f>YEAR(HistoricalStockProgress[[#This Row],[Date]])</f>
        <v>2025</v>
      </c>
      <c r="N1916" s="34">
        <f>MONTH(HistoricalStockProgress[[#This Row],[Date]])</f>
        <v>1</v>
      </c>
    </row>
    <row r="1917" spans="2:14">
      <c r="B1917" s="15">
        <v>45688</v>
      </c>
      <c r="C1917" s="34" t="s">
        <v>84</v>
      </c>
      <c r="D1917" s="34" t="e" vm="7">
        <f>_xlfn.XLOOKUP(HistoricalStockProgress[[#This Row],[Company Ticker]],CompanyDetailsList[Company Ticker],CompanyDetailsList[Official Name],,0)</f>
        <v>#VALUE!</v>
      </c>
      <c r="E19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9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917" s="17">
        <f>IFERROR(HistoricalStockProgress[[#This Row],[Cost of Shares]]/HistoricalStockProgress[[#This Row],[No. of Shares]],0)</f>
        <v>104.18087504950869</v>
      </c>
      <c r="H1917" s="16" vm="2387">
        <v>152.15</v>
      </c>
      <c r="I1917" s="16">
        <f>IF(HistoricalStockProgress[[#This Row],[No. of Shares]]&lt;&gt;0,HistoricalStockProgress[[#This Row],[Price of Shares]]*HistoricalStockProgress[[#This Row],[No. of Shares]],0)</f>
        <v>7759.6500000000005</v>
      </c>
      <c r="J1917" s="16">
        <f>IF(HistoricalStockProgress[[#This Row],[No. of Shares]]&lt;&gt;0,HistoricalStockProgress[[#This Row],[Price of Shares]]-HistoricalStockProgress[[#This Row],[Cost of Shares]]/HistoricalStockProgress[[#This Row],[No. of Shares]],0)</f>
        <v>47.96912495049132</v>
      </c>
      <c r="K1917" s="17">
        <f>IF(HistoricalStockProgress[[#This Row],[Total Price of Shares]]&lt;&gt;0,HistoricalStockProgress[[#This Row],[Total Price of Shares]]-HistoricalStockProgress[[#This Row],[Cost of Shares]],0)</f>
        <v>2446.4253724750579</v>
      </c>
      <c r="L1917" s="34" t="b" cm="1">
        <f t="array" ref="L1917">IFERROR(IF(HistoricalStockProgress[[#This Row],[Price of Shares]]="",_xlfn.STOCKHISTORY(HistoricalStockProgress[[#This Row],[Full Company Name]],HistoricalStockProgress[[#This Row],[Date]],,2,0,1)),0)</f>
        <v>0</v>
      </c>
      <c r="M1917" s="34">
        <f>YEAR(HistoricalStockProgress[[#This Row],[Date]])</f>
        <v>2025</v>
      </c>
      <c r="N1917" s="34">
        <f>MONTH(HistoricalStockProgress[[#This Row],[Date]])</f>
        <v>1</v>
      </c>
    </row>
    <row r="1918" spans="2:14">
      <c r="B1918" s="15">
        <v>45688</v>
      </c>
      <c r="C1918" s="34" t="s">
        <v>86</v>
      </c>
      <c r="D1918" s="34" t="e" vm="8">
        <f>_xlfn.XLOOKUP(HistoricalStockProgress[[#This Row],[Company Ticker]],CompanyDetailsList[Company Ticker],CompanyDetailsList[Official Name],,0)</f>
        <v>#VALUE!</v>
      </c>
      <c r="E19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19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1918" s="17">
        <f>IFERROR(HistoricalStockProgress[[#This Row],[Cost of Shares]]/HistoricalStockProgress[[#This Row],[No. of Shares]],0)</f>
        <v>115.48970647877745</v>
      </c>
      <c r="H1918" s="16" vm="2388">
        <v>183.9</v>
      </c>
      <c r="I1918" s="16">
        <f>IF(HistoricalStockProgress[[#This Row],[No. of Shares]]&lt;&gt;0,HistoricalStockProgress[[#This Row],[Price of Shares]]*HistoricalStockProgress[[#This Row],[No. of Shares]],0)</f>
        <v>27952.799999999999</v>
      </c>
      <c r="J1918" s="16">
        <f>IF(HistoricalStockProgress[[#This Row],[No. of Shares]]&lt;&gt;0,HistoricalStockProgress[[#This Row],[Price of Shares]]-HistoricalStockProgress[[#This Row],[Cost of Shares]]/HistoricalStockProgress[[#This Row],[No. of Shares]],0)</f>
        <v>68.410293521222556</v>
      </c>
      <c r="K1918" s="17">
        <f>IF(HistoricalStockProgress[[#This Row],[Total Price of Shares]]&lt;&gt;0,HistoricalStockProgress[[#This Row],[Total Price of Shares]]-HistoricalStockProgress[[#This Row],[Cost of Shares]],0)</f>
        <v>10398.364615225826</v>
      </c>
      <c r="L1918" s="34" t="b" cm="1">
        <f t="array" ref="L1918">IFERROR(IF(HistoricalStockProgress[[#This Row],[Price of Shares]]="",_xlfn.STOCKHISTORY(HistoricalStockProgress[[#This Row],[Full Company Name]],HistoricalStockProgress[[#This Row],[Date]],,2,0,1)),0)</f>
        <v>0</v>
      </c>
      <c r="M1918" s="34">
        <f>YEAR(HistoricalStockProgress[[#This Row],[Date]])</f>
        <v>2025</v>
      </c>
      <c r="N1918" s="34">
        <f>MONTH(HistoricalStockProgress[[#This Row],[Date]])</f>
        <v>1</v>
      </c>
    </row>
    <row r="1919" spans="2:14">
      <c r="B1919" s="15">
        <v>45688</v>
      </c>
      <c r="C1919" s="34" t="s">
        <v>88</v>
      </c>
      <c r="D1919" s="34" t="e" vm="9">
        <f>_xlfn.XLOOKUP(HistoricalStockProgress[[#This Row],[Company Ticker]],CompanyDetailsList[Company Ticker],CompanyDetailsList[Official Name],,0)</f>
        <v>#VALUE!</v>
      </c>
      <c r="E19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19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1919" s="17">
        <f>IFERROR(HistoricalStockProgress[[#This Row],[Cost of Shares]]/HistoricalStockProgress[[#This Row],[No. of Shares]],0)</f>
        <v>224.7272684493652</v>
      </c>
      <c r="H1919" s="16" vm="2389">
        <v>288.7</v>
      </c>
      <c r="I1919" s="16">
        <f>IF(HistoricalStockProgress[[#This Row],[No. of Shares]]&lt;&gt;0,HistoricalStockProgress[[#This Row],[Price of Shares]]*HistoricalStockProgress[[#This Row],[No. of Shares]],0)</f>
        <v>27426.5</v>
      </c>
      <c r="J1919" s="16">
        <f>IF(HistoricalStockProgress[[#This Row],[No. of Shares]]&lt;&gt;0,HistoricalStockProgress[[#This Row],[Price of Shares]]-HistoricalStockProgress[[#This Row],[Cost of Shares]]/HistoricalStockProgress[[#This Row],[No. of Shares]],0)</f>
        <v>63.972731550634791</v>
      </c>
      <c r="K1919" s="17">
        <f>IF(HistoricalStockProgress[[#This Row],[Total Price of Shares]]&lt;&gt;0,HistoricalStockProgress[[#This Row],[Total Price of Shares]]-HistoricalStockProgress[[#This Row],[Cost of Shares]],0)</f>
        <v>6077.4094973103056</v>
      </c>
      <c r="L1919" s="34" t="b" cm="1">
        <f t="array" ref="L1919">IFERROR(IF(HistoricalStockProgress[[#This Row],[Price of Shares]]="",_xlfn.STOCKHISTORY(HistoricalStockProgress[[#This Row],[Full Company Name]],HistoricalStockProgress[[#This Row],[Date]],,2,0,1)),0)</f>
        <v>0</v>
      </c>
      <c r="M1919" s="34">
        <f>YEAR(HistoricalStockProgress[[#This Row],[Date]])</f>
        <v>2025</v>
      </c>
      <c r="N1919" s="34">
        <f>MONTH(HistoricalStockProgress[[#This Row],[Date]])</f>
        <v>1</v>
      </c>
    </row>
    <row r="1920" spans="2:14">
      <c r="B1920" s="15">
        <v>45688</v>
      </c>
      <c r="C1920" s="34" t="s">
        <v>22</v>
      </c>
      <c r="D1920" s="34" t="e" vm="10">
        <f>_xlfn.XLOOKUP(HistoricalStockProgress[[#This Row],[Company Ticker]],CompanyDetailsList[Company Ticker],CompanyDetailsList[Official Name],,0)</f>
        <v>#VALUE!</v>
      </c>
      <c r="E19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9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920" s="17">
        <f>IFERROR(HistoricalStockProgress[[#This Row],[Cost of Shares]]/HistoricalStockProgress[[#This Row],[No. of Shares]],0)</f>
        <v>130.19784136724968</v>
      </c>
      <c r="H1920" s="16" vm="2390">
        <v>371.44</v>
      </c>
      <c r="I1920" s="16">
        <f>IF(HistoricalStockProgress[[#This Row],[No. of Shares]]&lt;&gt;0,HistoricalStockProgress[[#This Row],[Price of Shares]]*HistoricalStockProgress[[#This Row],[No. of Shares]],0)</f>
        <v>44201.36</v>
      </c>
      <c r="J1920" s="16">
        <f>IF(HistoricalStockProgress[[#This Row],[No. of Shares]]&lt;&gt;0,HistoricalStockProgress[[#This Row],[Price of Shares]]-HistoricalStockProgress[[#This Row],[Cost of Shares]]/HistoricalStockProgress[[#This Row],[No. of Shares]],0)</f>
        <v>241.24215863275032</v>
      </c>
      <c r="K1920" s="17">
        <f>IF(HistoricalStockProgress[[#This Row],[Total Price of Shares]]&lt;&gt;0,HistoricalStockProgress[[#This Row],[Total Price of Shares]]-HistoricalStockProgress[[#This Row],[Cost of Shares]],0)</f>
        <v>28707.816877297286</v>
      </c>
      <c r="L1920" s="34" t="b" cm="1">
        <f t="array" ref="L1920">IFERROR(IF(HistoricalStockProgress[[#This Row],[Price of Shares]]="",_xlfn.STOCKHISTORY(HistoricalStockProgress[[#This Row],[Full Company Name]],HistoricalStockProgress[[#This Row],[Date]],,2,0,1)),0)</f>
        <v>0</v>
      </c>
      <c r="M1920" s="34">
        <f>YEAR(HistoricalStockProgress[[#This Row],[Date]])</f>
        <v>2025</v>
      </c>
      <c r="N1920" s="34">
        <f>MONTH(HistoricalStockProgress[[#This Row],[Date]])</f>
        <v>1</v>
      </c>
    </row>
    <row r="1921" spans="2:14">
      <c r="B1921" s="15">
        <v>45688</v>
      </c>
      <c r="C1921" s="34" t="s">
        <v>91</v>
      </c>
      <c r="D1921" s="34" t="e" vm="11">
        <f>_xlfn.XLOOKUP(HistoricalStockProgress[[#This Row],[Company Ticker]],CompanyDetailsList[Company Ticker],CompanyDetailsList[Official Name],,0)</f>
        <v>#VALUE!</v>
      </c>
      <c r="E19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9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921" s="17">
        <f>IFERROR(HistoricalStockProgress[[#This Row],[Cost of Shares]]/HistoricalStockProgress[[#This Row],[No. of Shares]],0)</f>
        <v>133.15744058830452</v>
      </c>
      <c r="H1921" s="16" vm="2391">
        <v>415.06</v>
      </c>
      <c r="I1921" s="16">
        <f>IF(HistoricalStockProgress[[#This Row],[No. of Shares]]&lt;&gt;0,HistoricalStockProgress[[#This Row],[Price of Shares]]*HistoricalStockProgress[[#This Row],[No. of Shares]],0)</f>
        <v>75955.98</v>
      </c>
      <c r="J1921" s="16">
        <f>IF(HistoricalStockProgress[[#This Row],[No. of Shares]]&lt;&gt;0,HistoricalStockProgress[[#This Row],[Price of Shares]]-HistoricalStockProgress[[#This Row],[Cost of Shares]]/HistoricalStockProgress[[#This Row],[No. of Shares]],0)</f>
        <v>281.90255941169551</v>
      </c>
      <c r="K1921" s="17">
        <f>IF(HistoricalStockProgress[[#This Row],[Total Price of Shares]]&lt;&gt;0,HistoricalStockProgress[[#This Row],[Total Price of Shares]]-HistoricalStockProgress[[#This Row],[Cost of Shares]],0)</f>
        <v>51588.168372340268</v>
      </c>
      <c r="L1921" s="34" t="b" cm="1">
        <f t="array" ref="L1921">IFERROR(IF(HistoricalStockProgress[[#This Row],[Price of Shares]]="",_xlfn.STOCKHISTORY(HistoricalStockProgress[[#This Row],[Full Company Name]],HistoricalStockProgress[[#This Row],[Date]],,2,0,1)),0)</f>
        <v>0</v>
      </c>
      <c r="M1921" s="34">
        <f>YEAR(HistoricalStockProgress[[#This Row],[Date]])</f>
        <v>2025</v>
      </c>
      <c r="N1921" s="34">
        <f>MONTH(HistoricalStockProgress[[#This Row],[Date]])</f>
        <v>1</v>
      </c>
    </row>
    <row r="1922" spans="2:14">
      <c r="B1922" s="15">
        <v>45688</v>
      </c>
      <c r="C1922" s="34" t="s">
        <v>16</v>
      </c>
      <c r="D1922" s="34" t="e" vm="12">
        <f>_xlfn.XLOOKUP(HistoricalStockProgress[[#This Row],[Company Ticker]],CompanyDetailsList[Company Ticker],CompanyDetailsList[Official Name],,0)</f>
        <v>#VALUE!</v>
      </c>
      <c r="E19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9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922" s="17">
        <f>IFERROR(HistoricalStockProgress[[#This Row],[Cost of Shares]]/HistoricalStockProgress[[#This Row],[No. of Shares]],0)</f>
        <v>75.117698177311837</v>
      </c>
      <c r="H1922" s="16" vm="2392">
        <v>106.83</v>
      </c>
      <c r="I1922" s="16">
        <f>IF(HistoricalStockProgress[[#This Row],[No. of Shares]]&lt;&gt;0,HistoricalStockProgress[[#This Row],[Price of Shares]]*HistoricalStockProgress[[#This Row],[No. of Shares]],0)</f>
        <v>19763.55</v>
      </c>
      <c r="J1922" s="16">
        <f>IF(HistoricalStockProgress[[#This Row],[No. of Shares]]&lt;&gt;0,HistoricalStockProgress[[#This Row],[Price of Shares]]-HistoricalStockProgress[[#This Row],[Cost of Shares]]/HistoricalStockProgress[[#This Row],[No. of Shares]],0)</f>
        <v>31.712301822688161</v>
      </c>
      <c r="K1922" s="17">
        <f>IF(HistoricalStockProgress[[#This Row],[Total Price of Shares]]&lt;&gt;0,HistoricalStockProgress[[#This Row],[Total Price of Shares]]-HistoricalStockProgress[[#This Row],[Cost of Shares]],0)</f>
        <v>5866.7758371973105</v>
      </c>
      <c r="L1922" s="34" t="b" cm="1">
        <f t="array" ref="L1922">IFERROR(IF(HistoricalStockProgress[[#This Row],[Price of Shares]]="",_xlfn.STOCKHISTORY(HistoricalStockProgress[[#This Row],[Full Company Name]],HistoricalStockProgress[[#This Row],[Date]],,2,0,1)),0)</f>
        <v>0</v>
      </c>
      <c r="M1922" s="34">
        <f>YEAR(HistoricalStockProgress[[#This Row],[Date]])</f>
        <v>2025</v>
      </c>
      <c r="N1922" s="34">
        <f>MONTH(HistoricalStockProgress[[#This Row],[Date]])</f>
        <v>1</v>
      </c>
    </row>
    <row r="1923" spans="2:14">
      <c r="B1923" s="15">
        <v>45688</v>
      </c>
      <c r="C1923" s="34" t="s">
        <v>95</v>
      </c>
      <c r="D1923" s="34" t="e" vm="13">
        <f>_xlfn.XLOOKUP(HistoricalStockProgress[[#This Row],[Company Ticker]],CompanyDetailsList[Company Ticker],CompanyDetailsList[Official Name],,0)</f>
        <v>#VALUE!</v>
      </c>
      <c r="E19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143</v>
      </c>
      <c r="F19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35362.550411645469</v>
      </c>
      <c r="G1923" s="17">
        <f>IFERROR(HistoricalStockProgress[[#This Row],[Cost of Shares]]/HistoricalStockProgress[[#This Row],[No. of Shares]],0)</f>
        <v>247.29056231919907</v>
      </c>
      <c r="H1923" s="16" vm="2393">
        <v>411.98</v>
      </c>
      <c r="I1923" s="16">
        <f>IF(HistoricalStockProgress[[#This Row],[No. of Shares]]&lt;&gt;0,HistoricalStockProgress[[#This Row],[Price of Shares]]*HistoricalStockProgress[[#This Row],[No. of Shares]],0)</f>
        <v>58913.14</v>
      </c>
      <c r="J1923" s="16">
        <f>IF(HistoricalStockProgress[[#This Row],[No. of Shares]]&lt;&gt;0,HistoricalStockProgress[[#This Row],[Price of Shares]]-HistoricalStockProgress[[#This Row],[Cost of Shares]]/HistoricalStockProgress[[#This Row],[No. of Shares]],0)</f>
        <v>164.68943768080095</v>
      </c>
      <c r="K1923" s="17">
        <f>IF(HistoricalStockProgress[[#This Row],[Total Price of Shares]]&lt;&gt;0,HistoricalStockProgress[[#This Row],[Total Price of Shares]]-HistoricalStockProgress[[#This Row],[Cost of Shares]],0)</f>
        <v>23550.589588354531</v>
      </c>
      <c r="L1923" s="34" t="b" cm="1">
        <f t="array" ref="L1923">IFERROR(IF(HistoricalStockProgress[[#This Row],[Price of Shares]]="",_xlfn.STOCKHISTORY(HistoricalStockProgress[[#This Row],[Full Company Name]],HistoricalStockProgress[[#This Row],[Date]],,2,0,1)),0)</f>
        <v>0</v>
      </c>
      <c r="M1923" s="34">
        <f>YEAR(HistoricalStockProgress[[#This Row],[Date]])</f>
        <v>2025</v>
      </c>
      <c r="N1923" s="34">
        <f>MONTH(HistoricalStockProgress[[#This Row],[Date]])</f>
        <v>1</v>
      </c>
    </row>
    <row r="1924" spans="2:14">
      <c r="B1924" s="15">
        <v>45688</v>
      </c>
      <c r="C1924" s="34" t="s">
        <v>17</v>
      </c>
      <c r="D1924" s="34" t="e" vm="14">
        <f>_xlfn.XLOOKUP(HistoricalStockProgress[[#This Row],[Company Ticker]],CompanyDetailsList[Company Ticker],CompanyDetailsList[Official Name],,0)</f>
        <v>#VALUE!</v>
      </c>
      <c r="E19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19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1924" s="17">
        <f>IFERROR(HistoricalStockProgress[[#This Row],[Cost of Shares]]/HistoricalStockProgress[[#This Row],[No. of Shares]],0)</f>
        <v>143.37791217450521</v>
      </c>
      <c r="H1924" s="16" vm="2394">
        <v>255.7</v>
      </c>
      <c r="I1924" s="16">
        <f>IF(HistoricalStockProgress[[#This Row],[No. of Shares]]&lt;&gt;0,HistoricalStockProgress[[#This Row],[Price of Shares]]*HistoricalStockProgress[[#This Row],[No. of Shares]],0)</f>
        <v>59066.7</v>
      </c>
      <c r="J1924" s="16">
        <f>IF(HistoricalStockProgress[[#This Row],[No. of Shares]]&lt;&gt;0,HistoricalStockProgress[[#This Row],[Price of Shares]]-HistoricalStockProgress[[#This Row],[Cost of Shares]]/HistoricalStockProgress[[#This Row],[No. of Shares]],0)</f>
        <v>112.32208782549478</v>
      </c>
      <c r="K1924" s="17">
        <f>IF(HistoricalStockProgress[[#This Row],[Total Price of Shares]]&lt;&gt;0,HistoricalStockProgress[[#This Row],[Total Price of Shares]]-HistoricalStockProgress[[#This Row],[Cost of Shares]],0)</f>
        <v>25946.402287689292</v>
      </c>
      <c r="L1924" s="34" t="b" cm="1">
        <f t="array" ref="L1924">IFERROR(IF(HistoricalStockProgress[[#This Row],[Price of Shares]]="",_xlfn.STOCKHISTORY(HistoricalStockProgress[[#This Row],[Full Company Name]],HistoricalStockProgress[[#This Row],[Date]],,2,0,1)),0)</f>
        <v>0</v>
      </c>
      <c r="M1924" s="34">
        <f>YEAR(HistoricalStockProgress[[#This Row],[Date]])</f>
        <v>2025</v>
      </c>
      <c r="N1924" s="34">
        <f>MONTH(HistoricalStockProgress[[#This Row],[Date]])</f>
        <v>1</v>
      </c>
    </row>
    <row r="1925" spans="2:14">
      <c r="B1925" s="15">
        <v>45688</v>
      </c>
      <c r="C1925" s="34" t="s">
        <v>98</v>
      </c>
      <c r="D1925" s="34" t="e" vm="15">
        <f>_xlfn.XLOOKUP(HistoricalStockProgress[[#This Row],[Company Ticker]],CompanyDetailsList[Company Ticker],CompanyDetailsList[Official Name],,0)</f>
        <v>#VALUE!</v>
      </c>
      <c r="E19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169</v>
      </c>
      <c r="F19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9805.5515776785378</v>
      </c>
      <c r="G1925" s="17">
        <f>IFERROR(HistoricalStockProgress[[#This Row],[Cost of Shares]]/HistoricalStockProgress[[#This Row],[No. of Shares]],0)</f>
        <v>58.021015252535726</v>
      </c>
      <c r="H1925" s="16" vm="2395">
        <v>71.56</v>
      </c>
      <c r="I1925" s="16">
        <f>IF(HistoricalStockProgress[[#This Row],[No. of Shares]]&lt;&gt;0,HistoricalStockProgress[[#This Row],[Price of Shares]]*HistoricalStockProgress[[#This Row],[No. of Shares]],0)</f>
        <v>12093.640000000001</v>
      </c>
      <c r="J1925" s="16">
        <f>IF(HistoricalStockProgress[[#This Row],[No. of Shares]]&lt;&gt;0,HistoricalStockProgress[[#This Row],[Price of Shares]]-HistoricalStockProgress[[#This Row],[Cost of Shares]]/HistoricalStockProgress[[#This Row],[No. of Shares]],0)</f>
        <v>13.538984747464276</v>
      </c>
      <c r="K1925" s="17">
        <f>IF(HistoricalStockProgress[[#This Row],[Total Price of Shares]]&lt;&gt;0,HistoricalStockProgress[[#This Row],[Total Price of Shares]]-HistoricalStockProgress[[#This Row],[Cost of Shares]],0)</f>
        <v>2288.0884223214634</v>
      </c>
      <c r="L1925" s="34" t="b" cm="1">
        <f t="array" ref="L1925">IFERROR(IF(HistoricalStockProgress[[#This Row],[Price of Shares]]="",_xlfn.STOCKHISTORY(HistoricalStockProgress[[#This Row],[Full Company Name]],HistoricalStockProgress[[#This Row],[Date]],,2,0,1)),0)</f>
        <v>0</v>
      </c>
      <c r="M1925" s="34">
        <f>YEAR(HistoricalStockProgress[[#This Row],[Date]])</f>
        <v>2025</v>
      </c>
      <c r="N1925" s="34">
        <f>MONTH(HistoricalStockProgress[[#This Row],[Date]])</f>
        <v>1</v>
      </c>
    </row>
    <row r="1926" spans="2:14">
      <c r="B1926" s="15">
        <v>45688</v>
      </c>
      <c r="C1926" s="34" t="s">
        <v>100</v>
      </c>
      <c r="D1926" s="34" t="e" vm="16">
        <f>_xlfn.XLOOKUP(HistoricalStockProgress[[#This Row],[Company Ticker]],CompanyDetailsList[Company Ticker],CompanyDetailsList[Official Name],,0)</f>
        <v>#VALUE!</v>
      </c>
      <c r="E19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19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1926" s="17">
        <f>IFERROR(HistoricalStockProgress[[#This Row],[Cost of Shares]]/HistoricalStockProgress[[#This Row],[No. of Shares]],0)</f>
        <v>92.156351168716071</v>
      </c>
      <c r="H1926" s="16" vm="2396">
        <v>111.99</v>
      </c>
      <c r="I1926" s="16">
        <f>IF(HistoricalStockProgress[[#This Row],[No. of Shares]]&lt;&gt;0,HistoricalStockProgress[[#This Row],[Price of Shares]]*HistoricalStockProgress[[#This Row],[No. of Shares]],0)</f>
        <v>27997.5</v>
      </c>
      <c r="J1926" s="16">
        <f>IF(HistoricalStockProgress[[#This Row],[No. of Shares]]&lt;&gt;0,HistoricalStockProgress[[#This Row],[Price of Shares]]-HistoricalStockProgress[[#This Row],[Cost of Shares]]/HistoricalStockProgress[[#This Row],[No. of Shares]],0)</f>
        <v>19.833648831283924</v>
      </c>
      <c r="K1926" s="17">
        <f>IF(HistoricalStockProgress[[#This Row],[Total Price of Shares]]&lt;&gt;0,HistoricalStockProgress[[#This Row],[Total Price of Shares]]-HistoricalStockProgress[[#This Row],[Cost of Shares]],0)</f>
        <v>4958.4122078209839</v>
      </c>
      <c r="L1926" s="34" t="b" cm="1">
        <f t="array" ref="L1926">IFERROR(IF(HistoricalStockProgress[[#This Row],[Price of Shares]]="",_xlfn.STOCKHISTORY(HistoricalStockProgress[[#This Row],[Full Company Name]],HistoricalStockProgress[[#This Row],[Date]],,2,0,1)),0)</f>
        <v>0</v>
      </c>
      <c r="M1926" s="34">
        <f>YEAR(HistoricalStockProgress[[#This Row],[Date]])</f>
        <v>2025</v>
      </c>
      <c r="N1926" s="34">
        <f>MONTH(HistoricalStockProgress[[#This Row],[Date]])</f>
        <v>1</v>
      </c>
    </row>
    <row r="1927" spans="2:14">
      <c r="B1927" s="15">
        <v>45688</v>
      </c>
      <c r="C1927" s="34" t="s">
        <v>15</v>
      </c>
      <c r="D1927" s="34" t="e" vm="17">
        <f>_xlfn.XLOOKUP(HistoricalStockProgress[[#This Row],[Company Ticker]],CompanyDetailsList[Company Ticker],CompanyDetailsList[Official Name],,0)</f>
        <v>#VALUE!</v>
      </c>
      <c r="E19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19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3628.1478386140398</v>
      </c>
      <c r="G1927" s="17">
        <f>IFERROR(HistoricalStockProgress[[#This Row],[Cost of Shares]]/HistoricalStockProgress[[#This Row],[No. of Shares]],0)</f>
        <v>24.85032766174</v>
      </c>
      <c r="H1927" s="16" vm="2397">
        <v>23.73</v>
      </c>
      <c r="I1927" s="16">
        <f>IF(HistoricalStockProgress[[#This Row],[No. of Shares]]&lt;&gt;0,HistoricalStockProgress[[#This Row],[Price of Shares]]*HistoricalStockProgress[[#This Row],[No. of Shares]],0)</f>
        <v>3464.58</v>
      </c>
      <c r="J1927" s="16">
        <f>IF(HistoricalStockProgress[[#This Row],[No. of Shares]]&lt;&gt;0,HistoricalStockProgress[[#This Row],[Price of Shares]]-HistoricalStockProgress[[#This Row],[Cost of Shares]]/HistoricalStockProgress[[#This Row],[No. of Shares]],0)</f>
        <v>-1.1203276617399993</v>
      </c>
      <c r="K1927" s="17">
        <f>IF(HistoricalStockProgress[[#This Row],[Total Price of Shares]]&lt;&gt;0,HistoricalStockProgress[[#This Row],[Total Price of Shares]]-HistoricalStockProgress[[#This Row],[Cost of Shares]],0)</f>
        <v>-163.56783861403983</v>
      </c>
      <c r="L1927" s="34" t="b" cm="1">
        <f t="array" ref="L1927">IFERROR(IF(HistoricalStockProgress[[#This Row],[Price of Shares]]="",_xlfn.STOCKHISTORY(HistoricalStockProgress[[#This Row],[Full Company Name]],HistoricalStockProgress[[#This Row],[Date]],,2,0,1)),0)</f>
        <v>0</v>
      </c>
      <c r="M1927" s="34">
        <f>YEAR(HistoricalStockProgress[[#This Row],[Date]])</f>
        <v>2025</v>
      </c>
      <c r="N1927" s="34">
        <f>MONTH(HistoricalStockProgress[[#This Row],[Date]])</f>
        <v>1</v>
      </c>
    </row>
    <row r="1928" spans="2:14">
      <c r="B1928" s="15">
        <v>45688</v>
      </c>
      <c r="C1928" s="34" t="s">
        <v>13</v>
      </c>
      <c r="D1928" s="34" t="e" vm="18">
        <f>_xlfn.XLOOKUP(HistoricalStockProgress[[#This Row],[Company Ticker]],CompanyDetailsList[Company Ticker],CompanyDetailsList[Official Name],,0)</f>
        <v>#VALUE!</v>
      </c>
      <c r="E19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115</v>
      </c>
      <c r="F19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3682.4466352500076</v>
      </c>
      <c r="G1928" s="17">
        <f>IFERROR(HistoricalStockProgress[[#This Row],[Cost of Shares]]/HistoricalStockProgress[[#This Row],[No. of Shares]],0)</f>
        <v>32.021275089130498</v>
      </c>
      <c r="H1928" s="16" vm="2398">
        <v>26.52</v>
      </c>
      <c r="I1928" s="16">
        <f>IF(HistoricalStockProgress[[#This Row],[No. of Shares]]&lt;&gt;0,HistoricalStockProgress[[#This Row],[Price of Shares]]*HistoricalStockProgress[[#This Row],[No. of Shares]],0)</f>
        <v>3049.7999999999997</v>
      </c>
      <c r="J1928" s="16">
        <f>IF(HistoricalStockProgress[[#This Row],[No. of Shares]]&lt;&gt;0,HistoricalStockProgress[[#This Row],[Price of Shares]]-HistoricalStockProgress[[#This Row],[Cost of Shares]]/HistoricalStockProgress[[#This Row],[No. of Shares]],0)</f>
        <v>-5.5012750891304982</v>
      </c>
      <c r="K1928" s="17">
        <f>IF(HistoricalStockProgress[[#This Row],[Total Price of Shares]]&lt;&gt;0,HistoricalStockProgress[[#This Row],[Total Price of Shares]]-HistoricalStockProgress[[#This Row],[Cost of Shares]],0)</f>
        <v>-632.64663525000788</v>
      </c>
      <c r="L1928" s="34" t="b" cm="1">
        <f t="array" ref="L1928">IFERROR(IF(HistoricalStockProgress[[#This Row],[Price of Shares]]="",_xlfn.STOCKHISTORY(HistoricalStockProgress[[#This Row],[Full Company Name]],HistoricalStockProgress[[#This Row],[Date]],,2,0,1)),0)</f>
        <v>0</v>
      </c>
      <c r="M1928" s="34">
        <f>YEAR(HistoricalStockProgress[[#This Row],[Date]])</f>
        <v>2025</v>
      </c>
      <c r="N1928" s="34">
        <f>MONTH(HistoricalStockProgress[[#This Row],[Date]])</f>
        <v>1</v>
      </c>
    </row>
    <row r="1929" spans="2:14">
      <c r="B1929" s="15">
        <v>45688</v>
      </c>
      <c r="C1929" s="34" t="s">
        <v>20</v>
      </c>
      <c r="D1929" s="34" t="e" vm="19">
        <f>_xlfn.XLOOKUP(HistoricalStockProgress[[#This Row],[Company Ticker]],CompanyDetailsList[Company Ticker],CompanyDetailsList[Official Name],,0)</f>
        <v>#VALUE!</v>
      </c>
      <c r="E19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9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929" s="17">
        <f>IFERROR(HistoricalStockProgress[[#This Row],[Cost of Shares]]/HistoricalStockProgress[[#This Row],[No. of Shares]],0)</f>
        <v>108.1760767450256</v>
      </c>
      <c r="H1929" s="16" vm="2399">
        <v>267.3</v>
      </c>
      <c r="I1929" s="16">
        <f>IF(HistoricalStockProgress[[#This Row],[No. of Shares]]&lt;&gt;0,HistoricalStockProgress[[#This Row],[Price of Shares]]*HistoricalStockProgress[[#This Row],[No. of Shares]],0)</f>
        <v>31006.800000000003</v>
      </c>
      <c r="J1929" s="16">
        <f>IF(HistoricalStockProgress[[#This Row],[No. of Shares]]&lt;&gt;0,HistoricalStockProgress[[#This Row],[Price of Shares]]-HistoricalStockProgress[[#This Row],[Cost of Shares]]/HistoricalStockProgress[[#This Row],[No. of Shares]],0)</f>
        <v>159.12392325497441</v>
      </c>
      <c r="K1929" s="17">
        <f>IF(HistoricalStockProgress[[#This Row],[Total Price of Shares]]&lt;&gt;0,HistoricalStockProgress[[#This Row],[Total Price of Shares]]-HistoricalStockProgress[[#This Row],[Cost of Shares]],0)</f>
        <v>18458.375097577034</v>
      </c>
      <c r="L1929" s="34" t="b" cm="1">
        <f t="array" ref="L1929">IFERROR(IF(HistoricalStockProgress[[#This Row],[Price of Shares]]="",_xlfn.STOCKHISTORY(HistoricalStockProgress[[#This Row],[Full Company Name]],HistoricalStockProgress[[#This Row],[Date]],,2,0,1)),0)</f>
        <v>0</v>
      </c>
      <c r="M1929" s="34">
        <f>YEAR(HistoricalStockProgress[[#This Row],[Date]])</f>
        <v>2025</v>
      </c>
      <c r="N1929" s="34">
        <f>MONTH(HistoricalStockProgress[[#This Row],[Date]])</f>
        <v>1</v>
      </c>
    </row>
    <row r="1930" spans="2:14">
      <c r="B1930" s="15">
        <v>45688</v>
      </c>
      <c r="C1930" s="34" t="s">
        <v>106</v>
      </c>
      <c r="D1930" s="34" t="e" vm="20">
        <f>_xlfn.XLOOKUP(HistoricalStockProgress[[#This Row],[Company Ticker]],CompanyDetailsList[Company Ticker],CompanyDetailsList[Official Name],,0)</f>
        <v>#VALUE!</v>
      </c>
      <c r="E19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9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930" s="17">
        <f>IFERROR(HistoricalStockProgress[[#This Row],[Cost of Shares]]/HistoricalStockProgress[[#This Row],[No. of Shares]],0)</f>
        <v>108.54870748680406</v>
      </c>
      <c r="H1930" s="16" vm="2400">
        <v>115.38</v>
      </c>
      <c r="I1930" s="16">
        <f>IF(HistoricalStockProgress[[#This Row],[No. of Shares]]&lt;&gt;0,HistoricalStockProgress[[#This Row],[Price of Shares]]*HistoricalStockProgress[[#This Row],[No. of Shares]],0)</f>
        <v>10153.439999999999</v>
      </c>
      <c r="J1930" s="16">
        <f>IF(HistoricalStockProgress[[#This Row],[No. of Shares]]&lt;&gt;0,HistoricalStockProgress[[#This Row],[Price of Shares]]-HistoricalStockProgress[[#This Row],[Cost of Shares]]/HistoricalStockProgress[[#This Row],[No. of Shares]],0)</f>
        <v>6.8312925131959332</v>
      </c>
      <c r="K1930" s="17">
        <f>IF(HistoricalStockProgress[[#This Row],[Total Price of Shares]]&lt;&gt;0,HistoricalStockProgress[[#This Row],[Total Price of Shares]]-HistoricalStockProgress[[#This Row],[Cost of Shares]],0)</f>
        <v>601.15374116124076</v>
      </c>
      <c r="L1930" s="34" t="b" cm="1">
        <f t="array" ref="L1930">IFERROR(IF(HistoricalStockProgress[[#This Row],[Price of Shares]]="",_xlfn.STOCKHISTORY(HistoricalStockProgress[[#This Row],[Full Company Name]],HistoricalStockProgress[[#This Row],[Date]],,2,0,1)),0)</f>
        <v>0</v>
      </c>
      <c r="M1930" s="34">
        <f>YEAR(HistoricalStockProgress[[#This Row],[Date]])</f>
        <v>2025</v>
      </c>
      <c r="N1930" s="34">
        <f>MONTH(HistoricalStockProgress[[#This Row],[Date]])</f>
        <v>1</v>
      </c>
    </row>
    <row r="1931" spans="2:14">
      <c r="B1931" s="15">
        <v>45716</v>
      </c>
      <c r="C1931" s="34" t="s">
        <v>12</v>
      </c>
      <c r="D1931" s="34" t="e" vm="1">
        <f>_xlfn.XLOOKUP(HistoricalStockProgress[[#This Row],[Company Ticker]],CompanyDetailsList[Company Ticker],CompanyDetailsList[Official Name],,0)</f>
        <v>#VALUE!</v>
      </c>
      <c r="E19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9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931" s="17">
        <f>IFERROR(HistoricalStockProgress[[#This Row],[Cost of Shares]]/HistoricalStockProgress[[#This Row],[No. of Shares]],0)</f>
        <v>64.573985995316889</v>
      </c>
      <c r="H1931" s="16" vm="1593">
        <v>57.03</v>
      </c>
      <c r="I1931" s="16">
        <f>IF(HistoricalStockProgress[[#This Row],[No. of Shares]]&lt;&gt;0,HistoricalStockProgress[[#This Row],[Price of Shares]]*HistoricalStockProgress[[#This Row],[No. of Shares]],0)</f>
        <v>5531.91</v>
      </c>
      <c r="J1931" s="16">
        <f>IF(HistoricalStockProgress[[#This Row],[No. of Shares]]&lt;&gt;0,HistoricalStockProgress[[#This Row],[Price of Shares]]-HistoricalStockProgress[[#This Row],[Cost of Shares]]/HistoricalStockProgress[[#This Row],[No. of Shares]],0)</f>
        <v>-7.5439859953168877</v>
      </c>
      <c r="K1931" s="17">
        <f>IF(HistoricalStockProgress[[#This Row],[Total Price of Shares]]&lt;&gt;0,HistoricalStockProgress[[#This Row],[Total Price of Shares]]-HistoricalStockProgress[[#This Row],[Cost of Shares]],0)</f>
        <v>-731.76664154573791</v>
      </c>
      <c r="L1931" s="34" t="b" cm="1">
        <f t="array" ref="L1931">IFERROR(IF(HistoricalStockProgress[[#This Row],[Price of Shares]]="",_xlfn.STOCKHISTORY(HistoricalStockProgress[[#This Row],[Full Company Name]],HistoricalStockProgress[[#This Row],[Date]],,2,0,1)),0)</f>
        <v>0</v>
      </c>
      <c r="M1931" s="34">
        <f>YEAR(HistoricalStockProgress[[#This Row],[Date]])</f>
        <v>2025</v>
      </c>
      <c r="N1931" s="34">
        <f>MONTH(HistoricalStockProgress[[#This Row],[Date]])</f>
        <v>2</v>
      </c>
    </row>
    <row r="1932" spans="2:14">
      <c r="B1932" s="15">
        <v>45716</v>
      </c>
      <c r="C1932" s="34" t="s">
        <v>14</v>
      </c>
      <c r="D1932" s="34" t="e" vm="2">
        <f>_xlfn.XLOOKUP(HistoricalStockProgress[[#This Row],[Company Ticker]],CompanyDetailsList[Company Ticker],CompanyDetailsList[Official Name],,0)</f>
        <v>#VALUE!</v>
      </c>
      <c r="E19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19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1932" s="17">
        <f>IFERROR(HistoricalStockProgress[[#This Row],[Cost of Shares]]/HistoricalStockProgress[[#This Row],[No. of Shares]],0)</f>
        <v>26.819337355148658</v>
      </c>
      <c r="H1932" s="16" vm="2401">
        <v>28.02</v>
      </c>
      <c r="I1932" s="16">
        <f>IF(HistoricalStockProgress[[#This Row],[No. of Shares]]&lt;&gt;0,HistoricalStockProgress[[#This Row],[Price of Shares]]*HistoricalStockProgress[[#This Row],[No. of Shares]],0)</f>
        <v>1765.26</v>
      </c>
      <c r="J1932" s="16">
        <f>IF(HistoricalStockProgress[[#This Row],[No. of Shares]]&lt;&gt;0,HistoricalStockProgress[[#This Row],[Price of Shares]]-HistoricalStockProgress[[#This Row],[Cost of Shares]]/HistoricalStockProgress[[#This Row],[No. of Shares]],0)</f>
        <v>1.2006626448513416</v>
      </c>
      <c r="K1932" s="17">
        <f>IF(HistoricalStockProgress[[#This Row],[Total Price of Shares]]&lt;&gt;0,HistoricalStockProgress[[#This Row],[Total Price of Shares]]-HistoricalStockProgress[[#This Row],[Cost of Shares]],0)</f>
        <v>75.641746625634596</v>
      </c>
      <c r="L1932" s="34" t="b" cm="1">
        <f t="array" ref="L1932">IFERROR(IF(HistoricalStockProgress[[#This Row],[Price of Shares]]="",_xlfn.STOCKHISTORY(HistoricalStockProgress[[#This Row],[Full Company Name]],HistoricalStockProgress[[#This Row],[Date]],,2,0,1)),0)</f>
        <v>0</v>
      </c>
      <c r="M1932" s="34">
        <f>YEAR(HistoricalStockProgress[[#This Row],[Date]])</f>
        <v>2025</v>
      </c>
      <c r="N1932" s="34">
        <f>MONTH(HistoricalStockProgress[[#This Row],[Date]])</f>
        <v>2</v>
      </c>
    </row>
    <row r="1933" spans="2:14">
      <c r="B1933" s="15">
        <v>45716</v>
      </c>
      <c r="C1933" s="34" t="s">
        <v>19</v>
      </c>
      <c r="D1933" s="34" t="e" vm="3">
        <f>_xlfn.XLOOKUP(HistoricalStockProgress[[#This Row],[Company Ticker]],CompanyDetailsList[Company Ticker],CompanyDetailsList[Official Name],,0)</f>
        <v>#VALUE!</v>
      </c>
      <c r="E19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19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1933" s="17">
        <f>IFERROR(HistoricalStockProgress[[#This Row],[Cost of Shares]]/HistoricalStockProgress[[#This Row],[No. of Shares]],0)</f>
        <v>160.12652821044301</v>
      </c>
      <c r="H1933" s="16" vm="1614">
        <v>156.38999999999999</v>
      </c>
      <c r="I1933" s="16">
        <f>IF(HistoricalStockProgress[[#This Row],[No. of Shares]]&lt;&gt;0,HistoricalStockProgress[[#This Row],[Price of Shares]]*HistoricalStockProgress[[#This Row],[No. of Shares]],0)</f>
        <v>13449.539999999999</v>
      </c>
      <c r="J1933" s="16">
        <f>IF(HistoricalStockProgress[[#This Row],[No. of Shares]]&lt;&gt;0,HistoricalStockProgress[[#This Row],[Price of Shares]]-HistoricalStockProgress[[#This Row],[Cost of Shares]]/HistoricalStockProgress[[#This Row],[No. of Shares]],0)</f>
        <v>-3.7365282104430264</v>
      </c>
      <c r="K1933" s="17">
        <f>IF(HistoricalStockProgress[[#This Row],[Total Price of Shares]]&lt;&gt;0,HistoricalStockProgress[[#This Row],[Total Price of Shares]]-HistoricalStockProgress[[#This Row],[Cost of Shares]],0)</f>
        <v>-321.34142609809896</v>
      </c>
      <c r="L1933" s="34" t="b" cm="1">
        <f t="array" ref="L1933">IFERROR(IF(HistoricalStockProgress[[#This Row],[Price of Shares]]="",_xlfn.STOCKHISTORY(HistoricalStockProgress[[#This Row],[Full Company Name]],HistoricalStockProgress[[#This Row],[Date]],,2,0,1)),0)</f>
        <v>0</v>
      </c>
      <c r="M1933" s="34">
        <f>YEAR(HistoricalStockProgress[[#This Row],[Date]])</f>
        <v>2025</v>
      </c>
      <c r="N1933" s="34">
        <f>MONTH(HistoricalStockProgress[[#This Row],[Date]])</f>
        <v>2</v>
      </c>
    </row>
    <row r="1934" spans="2:14">
      <c r="B1934" s="15">
        <v>45716</v>
      </c>
      <c r="C1934" s="34" t="s">
        <v>23</v>
      </c>
      <c r="D1934" s="34" t="e" vm="4">
        <f>_xlfn.XLOOKUP(HistoricalStockProgress[[#This Row],[Company Ticker]],CompanyDetailsList[Company Ticker],CompanyDetailsList[Official Name],,0)</f>
        <v>#VALUE!</v>
      </c>
      <c r="E19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19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1934" s="17">
        <f>IFERROR(HistoricalStockProgress[[#This Row],[Cost of Shares]]/HistoricalStockProgress[[#This Row],[No. of Shares]],0)</f>
        <v>50.781277236510277</v>
      </c>
      <c r="H1934" s="16" vm="2402">
        <v>71.209999999999994</v>
      </c>
      <c r="I1934" s="16">
        <f>IF(HistoricalStockProgress[[#This Row],[No. of Shares]]&lt;&gt;0,HistoricalStockProgress[[#This Row],[Price of Shares]]*HistoricalStockProgress[[#This Row],[No. of Shares]],0)</f>
        <v>8331.57</v>
      </c>
      <c r="J1934" s="16">
        <f>IF(HistoricalStockProgress[[#This Row],[No. of Shares]]&lt;&gt;0,HistoricalStockProgress[[#This Row],[Price of Shares]]-HistoricalStockProgress[[#This Row],[Cost of Shares]]/HistoricalStockProgress[[#This Row],[No. of Shares]],0)</f>
        <v>20.428722763489716</v>
      </c>
      <c r="K1934" s="17">
        <f>IF(HistoricalStockProgress[[#This Row],[Total Price of Shares]]&lt;&gt;0,HistoricalStockProgress[[#This Row],[Total Price of Shares]]-HistoricalStockProgress[[#This Row],[Cost of Shares]],0)</f>
        <v>2390.160563328297</v>
      </c>
      <c r="L1934" s="34" t="b" cm="1">
        <f t="array" ref="L1934">IFERROR(IF(HistoricalStockProgress[[#This Row],[Price of Shares]]="",_xlfn.STOCKHISTORY(HistoricalStockProgress[[#This Row],[Full Company Name]],HistoricalStockProgress[[#This Row],[Date]],,2,0,1)),0)</f>
        <v>0</v>
      </c>
      <c r="M1934" s="34">
        <f>YEAR(HistoricalStockProgress[[#This Row],[Date]])</f>
        <v>2025</v>
      </c>
      <c r="N1934" s="34">
        <f>MONTH(HistoricalStockProgress[[#This Row],[Date]])</f>
        <v>2</v>
      </c>
    </row>
    <row r="1935" spans="2:14">
      <c r="B1935" s="15">
        <v>45716</v>
      </c>
      <c r="C1935" s="34" t="s">
        <v>18</v>
      </c>
      <c r="D1935" s="34" t="e" vm="5">
        <f>_xlfn.XLOOKUP(HistoricalStockProgress[[#This Row],[Company Ticker]],CompanyDetailsList[Company Ticker],CompanyDetailsList[Official Name],,0)</f>
        <v>#VALUE!</v>
      </c>
      <c r="E19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9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935" s="17">
        <f>IFERROR(HistoricalStockProgress[[#This Row],[Cost of Shares]]/HistoricalStockProgress[[#This Row],[No. of Shares]],0)</f>
        <v>160.8859607546234</v>
      </c>
      <c r="H1935" s="16" vm="2403">
        <v>153.47</v>
      </c>
      <c r="I1935" s="16">
        <f>IF(HistoricalStockProgress[[#This Row],[No. of Shares]]&lt;&gt;0,HistoricalStockProgress[[#This Row],[Price of Shares]]*HistoricalStockProgress[[#This Row],[No. of Shares]],0)</f>
        <v>6599.21</v>
      </c>
      <c r="J1935" s="16">
        <f>IF(HistoricalStockProgress[[#This Row],[No. of Shares]]&lt;&gt;0,HistoricalStockProgress[[#This Row],[Price of Shares]]-HistoricalStockProgress[[#This Row],[Cost of Shares]]/HistoricalStockProgress[[#This Row],[No. of Shares]],0)</f>
        <v>-7.4159607546233985</v>
      </c>
      <c r="K1935" s="17">
        <f>IF(HistoricalStockProgress[[#This Row],[Total Price of Shares]]&lt;&gt;0,HistoricalStockProgress[[#This Row],[Total Price of Shares]]-HistoricalStockProgress[[#This Row],[Cost of Shares]],0)</f>
        <v>-318.88631244880617</v>
      </c>
      <c r="L1935" s="34" t="b" cm="1">
        <f t="array" ref="L1935">IFERROR(IF(HistoricalStockProgress[[#This Row],[Price of Shares]]="",_xlfn.STOCKHISTORY(HistoricalStockProgress[[#This Row],[Full Company Name]],HistoricalStockProgress[[#This Row],[Date]],,2,0,1)),0)</f>
        <v>0</v>
      </c>
      <c r="M1935" s="34">
        <f>YEAR(HistoricalStockProgress[[#This Row],[Date]])</f>
        <v>2025</v>
      </c>
      <c r="N1935" s="34">
        <f>MONTH(HistoricalStockProgress[[#This Row],[Date]])</f>
        <v>2</v>
      </c>
    </row>
    <row r="1936" spans="2:14">
      <c r="B1936" s="15">
        <v>45716</v>
      </c>
      <c r="C1936" s="34" t="s">
        <v>21</v>
      </c>
      <c r="D1936" s="34" t="e" vm="6">
        <f>_xlfn.XLOOKUP(HistoricalStockProgress[[#This Row],[Company Ticker]],CompanyDetailsList[Company Ticker],CompanyDetailsList[Official Name],,0)</f>
        <v>#VALUE!</v>
      </c>
      <c r="E19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49</v>
      </c>
      <c r="F19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7099.5799078510599</v>
      </c>
      <c r="G1936" s="17">
        <f>IFERROR(HistoricalStockProgress[[#This Row],[Cost of Shares]]/HistoricalStockProgress[[#This Row],[No. of Shares]],0)</f>
        <v>144.88938587451142</v>
      </c>
      <c r="H1936" s="16" vm="2404">
        <v>173.84</v>
      </c>
      <c r="I1936" s="16">
        <f>IF(HistoricalStockProgress[[#This Row],[No. of Shares]]&lt;&gt;0,HistoricalStockProgress[[#This Row],[Price of Shares]]*HistoricalStockProgress[[#This Row],[No. of Shares]],0)</f>
        <v>8518.16</v>
      </c>
      <c r="J1936" s="16">
        <f>IF(HistoricalStockProgress[[#This Row],[No. of Shares]]&lt;&gt;0,HistoricalStockProgress[[#This Row],[Price of Shares]]-HistoricalStockProgress[[#This Row],[Cost of Shares]]/HistoricalStockProgress[[#This Row],[No. of Shares]],0)</f>
        <v>28.950614125488585</v>
      </c>
      <c r="K1936" s="17">
        <f>IF(HistoricalStockProgress[[#This Row],[Total Price of Shares]]&lt;&gt;0,HistoricalStockProgress[[#This Row],[Total Price of Shares]]-HistoricalStockProgress[[#This Row],[Cost of Shares]],0)</f>
        <v>1418.5800921489399</v>
      </c>
      <c r="L1936" s="34" t="b" cm="1">
        <f t="array" ref="L1936">IFERROR(IF(HistoricalStockProgress[[#This Row],[Price of Shares]]="",_xlfn.STOCKHISTORY(HistoricalStockProgress[[#This Row],[Full Company Name]],HistoricalStockProgress[[#This Row],[Date]],,2,0,1)),0)</f>
        <v>0</v>
      </c>
      <c r="M1936" s="34">
        <f>YEAR(HistoricalStockProgress[[#This Row],[Date]])</f>
        <v>2025</v>
      </c>
      <c r="N1936" s="34">
        <f>MONTH(HistoricalStockProgress[[#This Row],[Date]])</f>
        <v>2</v>
      </c>
    </row>
    <row r="1937" spans="2:14">
      <c r="B1937" s="15">
        <v>45716</v>
      </c>
      <c r="C1937" s="34" t="s">
        <v>84</v>
      </c>
      <c r="D1937" s="34" t="e" vm="7">
        <f>_xlfn.XLOOKUP(HistoricalStockProgress[[#This Row],[Company Ticker]],CompanyDetailsList[Company Ticker],CompanyDetailsList[Official Name],,0)</f>
        <v>#VALUE!</v>
      </c>
      <c r="E19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9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937" s="17">
        <f>IFERROR(HistoricalStockProgress[[#This Row],[Cost of Shares]]/HistoricalStockProgress[[#This Row],[No. of Shares]],0)</f>
        <v>104.18087504950869</v>
      </c>
      <c r="H1937" s="16" vm="2405">
        <v>165.02</v>
      </c>
      <c r="I1937" s="16">
        <f>IF(HistoricalStockProgress[[#This Row],[No. of Shares]]&lt;&gt;0,HistoricalStockProgress[[#This Row],[Price of Shares]]*HistoricalStockProgress[[#This Row],[No. of Shares]],0)</f>
        <v>8416.02</v>
      </c>
      <c r="J1937" s="16">
        <f>IF(HistoricalStockProgress[[#This Row],[No. of Shares]]&lt;&gt;0,HistoricalStockProgress[[#This Row],[Price of Shares]]-HistoricalStockProgress[[#This Row],[Cost of Shares]]/HistoricalStockProgress[[#This Row],[No. of Shares]],0)</f>
        <v>60.839124950491325</v>
      </c>
      <c r="K1937" s="17">
        <f>IF(HistoricalStockProgress[[#This Row],[Total Price of Shares]]&lt;&gt;0,HistoricalStockProgress[[#This Row],[Total Price of Shares]]-HistoricalStockProgress[[#This Row],[Cost of Shares]],0)</f>
        <v>3102.7953724750578</v>
      </c>
      <c r="L1937" s="34" t="b" cm="1">
        <f t="array" ref="L1937">IFERROR(IF(HistoricalStockProgress[[#This Row],[Price of Shares]]="",_xlfn.STOCKHISTORY(HistoricalStockProgress[[#This Row],[Full Company Name]],HistoricalStockProgress[[#This Row],[Date]],,2,0,1)),0)</f>
        <v>0</v>
      </c>
      <c r="M1937" s="34">
        <f>YEAR(HistoricalStockProgress[[#This Row],[Date]])</f>
        <v>2025</v>
      </c>
      <c r="N1937" s="34">
        <f>MONTH(HistoricalStockProgress[[#This Row],[Date]])</f>
        <v>2</v>
      </c>
    </row>
    <row r="1938" spans="2:14">
      <c r="B1938" s="15">
        <v>45716</v>
      </c>
      <c r="C1938" s="34" t="s">
        <v>86</v>
      </c>
      <c r="D1938" s="34" t="e" vm="8">
        <f>_xlfn.XLOOKUP(HistoricalStockProgress[[#This Row],[Company Ticker]],CompanyDetailsList[Company Ticker],CompanyDetailsList[Official Name],,0)</f>
        <v>#VALUE!</v>
      </c>
      <c r="E19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19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1938" s="17">
        <f>IFERROR(HistoricalStockProgress[[#This Row],[Cost of Shares]]/HistoricalStockProgress[[#This Row],[No. of Shares]],0)</f>
        <v>115.48970647877745</v>
      </c>
      <c r="H1938" s="16" vm="2406">
        <v>209.03</v>
      </c>
      <c r="I1938" s="16">
        <f>IF(HistoricalStockProgress[[#This Row],[No. of Shares]]&lt;&gt;0,HistoricalStockProgress[[#This Row],[Price of Shares]]*HistoricalStockProgress[[#This Row],[No. of Shares]],0)</f>
        <v>31772.560000000001</v>
      </c>
      <c r="J1938" s="16">
        <f>IF(HistoricalStockProgress[[#This Row],[No. of Shares]]&lt;&gt;0,HistoricalStockProgress[[#This Row],[Price of Shares]]-HistoricalStockProgress[[#This Row],[Cost of Shares]]/HistoricalStockProgress[[#This Row],[No. of Shares]],0)</f>
        <v>93.540293521222551</v>
      </c>
      <c r="K1938" s="17">
        <f>IF(HistoricalStockProgress[[#This Row],[Total Price of Shares]]&lt;&gt;0,HistoricalStockProgress[[#This Row],[Total Price of Shares]]-HistoricalStockProgress[[#This Row],[Cost of Shares]],0)</f>
        <v>14218.124615225828</v>
      </c>
      <c r="L1938" s="34" t="b" cm="1">
        <f t="array" ref="L1938">IFERROR(IF(HistoricalStockProgress[[#This Row],[Price of Shares]]="",_xlfn.STOCKHISTORY(HistoricalStockProgress[[#This Row],[Full Company Name]],HistoricalStockProgress[[#This Row],[Date]],,2,0,1)),0)</f>
        <v>0</v>
      </c>
      <c r="M1938" s="34">
        <f>YEAR(HistoricalStockProgress[[#This Row],[Date]])</f>
        <v>2025</v>
      </c>
      <c r="N1938" s="34">
        <f>MONTH(HistoricalStockProgress[[#This Row],[Date]])</f>
        <v>2</v>
      </c>
    </row>
    <row r="1939" spans="2:14">
      <c r="B1939" s="15">
        <v>45716</v>
      </c>
      <c r="C1939" s="34" t="s">
        <v>88</v>
      </c>
      <c r="D1939" s="34" t="e" vm="9">
        <f>_xlfn.XLOOKUP(HistoricalStockProgress[[#This Row],[Company Ticker]],CompanyDetailsList[Company Ticker],CompanyDetailsList[Official Name],,0)</f>
        <v>#VALUE!</v>
      </c>
      <c r="E19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19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1939" s="17">
        <f>IFERROR(HistoricalStockProgress[[#This Row],[Cost of Shares]]/HistoricalStockProgress[[#This Row],[No. of Shares]],0)</f>
        <v>224.7272684493652</v>
      </c>
      <c r="H1939" s="16" vm="2407">
        <v>308.33</v>
      </c>
      <c r="I1939" s="16">
        <f>IF(HistoricalStockProgress[[#This Row],[No. of Shares]]&lt;&gt;0,HistoricalStockProgress[[#This Row],[Price of Shares]]*HistoricalStockProgress[[#This Row],[No. of Shares]],0)</f>
        <v>29291.35</v>
      </c>
      <c r="J1939" s="16">
        <f>IF(HistoricalStockProgress[[#This Row],[No. of Shares]]&lt;&gt;0,HistoricalStockProgress[[#This Row],[Price of Shares]]-HistoricalStockProgress[[#This Row],[Cost of Shares]]/HistoricalStockProgress[[#This Row],[No. of Shares]],0)</f>
        <v>83.602731550634786</v>
      </c>
      <c r="K1939" s="17">
        <f>IF(HistoricalStockProgress[[#This Row],[Total Price of Shares]]&lt;&gt;0,HistoricalStockProgress[[#This Row],[Total Price of Shares]]-HistoricalStockProgress[[#This Row],[Cost of Shares]],0)</f>
        <v>7942.2594973103041</v>
      </c>
      <c r="L1939" s="34" t="b" cm="1">
        <f t="array" ref="L1939">IFERROR(IF(HistoricalStockProgress[[#This Row],[Price of Shares]]="",_xlfn.STOCKHISTORY(HistoricalStockProgress[[#This Row],[Full Company Name]],HistoricalStockProgress[[#This Row],[Date]],,2,0,1)),0)</f>
        <v>0</v>
      </c>
      <c r="M1939" s="34">
        <f>YEAR(HistoricalStockProgress[[#This Row],[Date]])</f>
        <v>2025</v>
      </c>
      <c r="N1939" s="34">
        <f>MONTH(HistoricalStockProgress[[#This Row],[Date]])</f>
        <v>2</v>
      </c>
    </row>
    <row r="1940" spans="2:14">
      <c r="B1940" s="15">
        <v>45716</v>
      </c>
      <c r="C1940" s="34" t="s">
        <v>22</v>
      </c>
      <c r="D1940" s="34" t="e" vm="10">
        <f>_xlfn.XLOOKUP(HistoricalStockProgress[[#This Row],[Company Ticker]],CompanyDetailsList[Company Ticker],CompanyDetailsList[Official Name],,0)</f>
        <v>#VALUE!</v>
      </c>
      <c r="E19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9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940" s="17">
        <f>IFERROR(HistoricalStockProgress[[#This Row],[Cost of Shares]]/HistoricalStockProgress[[#This Row],[No. of Shares]],0)</f>
        <v>130.19784136724968</v>
      </c>
      <c r="H1940" s="16" vm="2408">
        <v>343.95</v>
      </c>
      <c r="I1940" s="16">
        <f>IF(HistoricalStockProgress[[#This Row],[No. of Shares]]&lt;&gt;0,HistoricalStockProgress[[#This Row],[Price of Shares]]*HistoricalStockProgress[[#This Row],[No. of Shares]],0)</f>
        <v>40930.049999999996</v>
      </c>
      <c r="J1940" s="16">
        <f>IF(HistoricalStockProgress[[#This Row],[No. of Shares]]&lt;&gt;0,HistoricalStockProgress[[#This Row],[Price of Shares]]-HistoricalStockProgress[[#This Row],[Cost of Shares]]/HistoricalStockProgress[[#This Row],[No. of Shares]],0)</f>
        <v>213.75215863275031</v>
      </c>
      <c r="K1940" s="17">
        <f>IF(HistoricalStockProgress[[#This Row],[Total Price of Shares]]&lt;&gt;0,HistoricalStockProgress[[#This Row],[Total Price of Shares]]-HistoricalStockProgress[[#This Row],[Cost of Shares]],0)</f>
        <v>25436.506877297281</v>
      </c>
      <c r="L1940" s="34" t="b" cm="1">
        <f t="array" ref="L1940">IFERROR(IF(HistoricalStockProgress[[#This Row],[Price of Shares]]="",_xlfn.STOCKHISTORY(HistoricalStockProgress[[#This Row],[Full Company Name]],HistoricalStockProgress[[#This Row],[Date]],,2,0,1)),0)</f>
        <v>0</v>
      </c>
      <c r="M1940" s="34">
        <f>YEAR(HistoricalStockProgress[[#This Row],[Date]])</f>
        <v>2025</v>
      </c>
      <c r="N1940" s="34">
        <f>MONTH(HistoricalStockProgress[[#This Row],[Date]])</f>
        <v>2</v>
      </c>
    </row>
    <row r="1941" spans="2:14">
      <c r="B1941" s="15">
        <v>45716</v>
      </c>
      <c r="C1941" s="34" t="s">
        <v>91</v>
      </c>
      <c r="D1941" s="34" t="e" vm="11">
        <f>_xlfn.XLOOKUP(HistoricalStockProgress[[#This Row],[Company Ticker]],CompanyDetailsList[Company Ticker],CompanyDetailsList[Official Name],,0)</f>
        <v>#VALUE!</v>
      </c>
      <c r="E19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183</v>
      </c>
      <c r="F19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24367.811627659728</v>
      </c>
      <c r="G1941" s="17">
        <f>IFERROR(HistoricalStockProgress[[#This Row],[Cost of Shares]]/HistoricalStockProgress[[#This Row],[No. of Shares]],0)</f>
        <v>133.15744058830452</v>
      </c>
      <c r="H1941" s="16" vm="2409">
        <v>396.99</v>
      </c>
      <c r="I1941" s="16">
        <f>IF(HistoricalStockProgress[[#This Row],[No. of Shares]]&lt;&gt;0,HistoricalStockProgress[[#This Row],[Price of Shares]]*HistoricalStockProgress[[#This Row],[No. of Shares]],0)</f>
        <v>72649.17</v>
      </c>
      <c r="J1941" s="16">
        <f>IF(HistoricalStockProgress[[#This Row],[No. of Shares]]&lt;&gt;0,HistoricalStockProgress[[#This Row],[Price of Shares]]-HistoricalStockProgress[[#This Row],[Cost of Shares]]/HistoricalStockProgress[[#This Row],[No. of Shares]],0)</f>
        <v>263.83255941169546</v>
      </c>
      <c r="K1941" s="17">
        <f>IF(HistoricalStockProgress[[#This Row],[Total Price of Shares]]&lt;&gt;0,HistoricalStockProgress[[#This Row],[Total Price of Shares]]-HistoricalStockProgress[[#This Row],[Cost of Shares]],0)</f>
        <v>48281.35837234027</v>
      </c>
      <c r="L1941" s="34" t="b" cm="1">
        <f t="array" ref="L1941">IFERROR(IF(HistoricalStockProgress[[#This Row],[Price of Shares]]="",_xlfn.STOCKHISTORY(HistoricalStockProgress[[#This Row],[Full Company Name]],HistoricalStockProgress[[#This Row],[Date]],,2,0,1)),0)</f>
        <v>0</v>
      </c>
      <c r="M1941" s="34">
        <f>YEAR(HistoricalStockProgress[[#This Row],[Date]])</f>
        <v>2025</v>
      </c>
      <c r="N1941" s="34">
        <f>MONTH(HistoricalStockProgress[[#This Row],[Date]])</f>
        <v>2</v>
      </c>
    </row>
    <row r="1942" spans="2:14">
      <c r="B1942" s="15">
        <v>45716</v>
      </c>
      <c r="C1942" s="34" t="s">
        <v>16</v>
      </c>
      <c r="D1942" s="34" t="e" vm="12">
        <f>_xlfn.XLOOKUP(HistoricalStockProgress[[#This Row],[Company Ticker]],CompanyDetailsList[Company Ticker],CompanyDetailsList[Official Name],,0)</f>
        <v>#VALUE!</v>
      </c>
      <c r="E19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9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942" s="17">
        <f>IFERROR(HistoricalStockProgress[[#This Row],[Cost of Shares]]/HistoricalStockProgress[[#This Row],[No. of Shares]],0)</f>
        <v>75.117698177311837</v>
      </c>
      <c r="H1942" s="16" vm="2410">
        <v>111.33</v>
      </c>
      <c r="I1942" s="16">
        <f>IF(HistoricalStockProgress[[#This Row],[No. of Shares]]&lt;&gt;0,HistoricalStockProgress[[#This Row],[Price of Shares]]*HistoricalStockProgress[[#This Row],[No. of Shares]],0)</f>
        <v>20596.05</v>
      </c>
      <c r="J1942" s="16">
        <f>IF(HistoricalStockProgress[[#This Row],[No. of Shares]]&lt;&gt;0,HistoricalStockProgress[[#This Row],[Price of Shares]]-HistoricalStockProgress[[#This Row],[Cost of Shares]]/HistoricalStockProgress[[#This Row],[No. of Shares]],0)</f>
        <v>36.212301822688161</v>
      </c>
      <c r="K1942" s="17">
        <f>IF(HistoricalStockProgress[[#This Row],[Total Price of Shares]]&lt;&gt;0,HistoricalStockProgress[[#This Row],[Total Price of Shares]]-HistoricalStockProgress[[#This Row],[Cost of Shares]],0)</f>
        <v>6699.2758371973105</v>
      </c>
      <c r="L1942" s="34" t="b" cm="1">
        <f t="array" ref="L1942">IFERROR(IF(HistoricalStockProgress[[#This Row],[Price of Shares]]="",_xlfn.STOCKHISTORY(HistoricalStockProgress[[#This Row],[Full Company Name]],HistoricalStockProgress[[#This Row],[Date]],,2,0,1)),0)</f>
        <v>0</v>
      </c>
      <c r="M1942" s="34">
        <f>YEAR(HistoricalStockProgress[[#This Row],[Date]])</f>
        <v>2025</v>
      </c>
      <c r="N1942" s="34">
        <f>MONTH(HistoricalStockProgress[[#This Row],[Date]])</f>
        <v>2</v>
      </c>
    </row>
    <row r="1943" spans="2:14">
      <c r="B1943" s="15">
        <v>45716</v>
      </c>
      <c r="C1943" s="34" t="s">
        <v>95</v>
      </c>
      <c r="D1943" s="34" t="e" vm="13">
        <f>_xlfn.XLOOKUP(HistoricalStockProgress[[#This Row],[Company Ticker]],CompanyDetailsList[Company Ticker],CompanyDetailsList[Official Name],,0)</f>
        <v>#VALUE!</v>
      </c>
      <c r="E19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172</v>
      </c>
      <c r="F19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47379.162890220832</v>
      </c>
      <c r="G1943" s="17">
        <f>IFERROR(HistoricalStockProgress[[#This Row],[Cost of Shares]]/HistoricalStockProgress[[#This Row],[No. of Shares]],0)</f>
        <v>275.46024936174905</v>
      </c>
      <c r="H1943" s="16" vm="2411">
        <v>396.6</v>
      </c>
      <c r="I1943" s="16">
        <f>IF(HistoricalStockProgress[[#This Row],[No. of Shares]]&lt;&gt;0,HistoricalStockProgress[[#This Row],[Price of Shares]]*HistoricalStockProgress[[#This Row],[No. of Shares]],0)</f>
        <v>68215.199999999997</v>
      </c>
      <c r="J1943" s="16">
        <f>IF(HistoricalStockProgress[[#This Row],[No. of Shares]]&lt;&gt;0,HistoricalStockProgress[[#This Row],[Price of Shares]]-HistoricalStockProgress[[#This Row],[Cost of Shares]]/HistoricalStockProgress[[#This Row],[No. of Shares]],0)</f>
        <v>121.13975063825097</v>
      </c>
      <c r="K1943" s="17">
        <f>IF(HistoricalStockProgress[[#This Row],[Total Price of Shares]]&lt;&gt;0,HistoricalStockProgress[[#This Row],[Total Price of Shares]]-HistoricalStockProgress[[#This Row],[Cost of Shares]],0)</f>
        <v>20836.037109779165</v>
      </c>
      <c r="L1943" s="34" t="b" cm="1">
        <f t="array" ref="L1943">IFERROR(IF(HistoricalStockProgress[[#This Row],[Price of Shares]]="",_xlfn.STOCKHISTORY(HistoricalStockProgress[[#This Row],[Full Company Name]],HistoricalStockProgress[[#This Row],[Date]],,2,0,1)),0)</f>
        <v>0</v>
      </c>
      <c r="M1943" s="34">
        <f>YEAR(HistoricalStockProgress[[#This Row],[Date]])</f>
        <v>2025</v>
      </c>
      <c r="N1943" s="34">
        <f>MONTH(HistoricalStockProgress[[#This Row],[Date]])</f>
        <v>2</v>
      </c>
    </row>
    <row r="1944" spans="2:14">
      <c r="B1944" s="15">
        <v>45716</v>
      </c>
      <c r="C1944" s="34" t="s">
        <v>17</v>
      </c>
      <c r="D1944" s="34" t="e" vm="14">
        <f>_xlfn.XLOOKUP(HistoricalStockProgress[[#This Row],[Company Ticker]],CompanyDetailsList[Company Ticker],CompanyDetailsList[Official Name],,0)</f>
        <v>#VALUE!</v>
      </c>
      <c r="E19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19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1944" s="17">
        <f>IFERROR(HistoricalStockProgress[[#This Row],[Cost of Shares]]/HistoricalStockProgress[[#This Row],[No. of Shares]],0)</f>
        <v>143.37791217450521</v>
      </c>
      <c r="H1944" s="16" vm="2412">
        <v>252.44</v>
      </c>
      <c r="I1944" s="16">
        <f>IF(HistoricalStockProgress[[#This Row],[No. of Shares]]&lt;&gt;0,HistoricalStockProgress[[#This Row],[Price of Shares]]*HistoricalStockProgress[[#This Row],[No. of Shares]],0)</f>
        <v>58313.64</v>
      </c>
      <c r="J1944" s="16">
        <f>IF(HistoricalStockProgress[[#This Row],[No. of Shares]]&lt;&gt;0,HistoricalStockProgress[[#This Row],[Price of Shares]]-HistoricalStockProgress[[#This Row],[Cost of Shares]]/HistoricalStockProgress[[#This Row],[No. of Shares]],0)</f>
        <v>109.06208782549479</v>
      </c>
      <c r="K1944" s="17">
        <f>IF(HistoricalStockProgress[[#This Row],[Total Price of Shares]]&lt;&gt;0,HistoricalStockProgress[[#This Row],[Total Price of Shares]]-HistoricalStockProgress[[#This Row],[Cost of Shares]],0)</f>
        <v>25193.342287689295</v>
      </c>
      <c r="L1944" s="34" t="b" cm="1">
        <f t="array" ref="L1944">IFERROR(IF(HistoricalStockProgress[[#This Row],[Price of Shares]]="",_xlfn.STOCKHISTORY(HistoricalStockProgress[[#This Row],[Full Company Name]],HistoricalStockProgress[[#This Row],[Date]],,2,0,1)),0)</f>
        <v>0</v>
      </c>
      <c r="M1944" s="34">
        <f>YEAR(HistoricalStockProgress[[#This Row],[Date]])</f>
        <v>2025</v>
      </c>
      <c r="N1944" s="34">
        <f>MONTH(HistoricalStockProgress[[#This Row],[Date]])</f>
        <v>2</v>
      </c>
    </row>
    <row r="1945" spans="2:14">
      <c r="B1945" s="15">
        <v>45716</v>
      </c>
      <c r="C1945" s="34" t="s">
        <v>98</v>
      </c>
      <c r="D1945" s="34" t="e" vm="15">
        <f>_xlfn.XLOOKUP(HistoricalStockProgress[[#This Row],[Company Ticker]],CompanyDetailsList[Company Ticker],CompanyDetailsList[Official Name],,0)</f>
        <v>#VALUE!</v>
      </c>
      <c r="E19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169</v>
      </c>
      <c r="F19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9805.5515776785378</v>
      </c>
      <c r="G1945" s="17">
        <f>IFERROR(HistoricalStockProgress[[#This Row],[Cost of Shares]]/HistoricalStockProgress[[#This Row],[No. of Shares]],0)</f>
        <v>58.021015252535726</v>
      </c>
      <c r="H1945" s="16" vm="2413">
        <v>70.17</v>
      </c>
      <c r="I1945" s="16">
        <f>IF(HistoricalStockProgress[[#This Row],[No. of Shares]]&lt;&gt;0,HistoricalStockProgress[[#This Row],[Price of Shares]]*HistoricalStockProgress[[#This Row],[No. of Shares]],0)</f>
        <v>11858.73</v>
      </c>
      <c r="J1945" s="16">
        <f>IF(HistoricalStockProgress[[#This Row],[No. of Shares]]&lt;&gt;0,HistoricalStockProgress[[#This Row],[Price of Shares]]-HistoricalStockProgress[[#This Row],[Cost of Shares]]/HistoricalStockProgress[[#This Row],[No. of Shares]],0)</f>
        <v>12.148984747464276</v>
      </c>
      <c r="K1945" s="17">
        <f>IF(HistoricalStockProgress[[#This Row],[Total Price of Shares]]&lt;&gt;0,HistoricalStockProgress[[#This Row],[Total Price of Shares]]-HistoricalStockProgress[[#This Row],[Cost of Shares]],0)</f>
        <v>2053.1784223214618</v>
      </c>
      <c r="L1945" s="34" t="b" cm="1">
        <f t="array" ref="L1945">IFERROR(IF(HistoricalStockProgress[[#This Row],[Price of Shares]]="",_xlfn.STOCKHISTORY(HistoricalStockProgress[[#This Row],[Full Company Name]],HistoricalStockProgress[[#This Row],[Date]],,2,0,1)),0)</f>
        <v>0</v>
      </c>
      <c r="M1945" s="34">
        <f>YEAR(HistoricalStockProgress[[#This Row],[Date]])</f>
        <v>2025</v>
      </c>
      <c r="N1945" s="34">
        <f>MONTH(HistoricalStockProgress[[#This Row],[Date]])</f>
        <v>2</v>
      </c>
    </row>
    <row r="1946" spans="2:14">
      <c r="B1946" s="15">
        <v>45716</v>
      </c>
      <c r="C1946" s="34" t="s">
        <v>100</v>
      </c>
      <c r="D1946" s="34" t="e" vm="16">
        <f>_xlfn.XLOOKUP(HistoricalStockProgress[[#This Row],[Company Ticker]],CompanyDetailsList[Company Ticker],CompanyDetailsList[Official Name],,0)</f>
        <v>#VALUE!</v>
      </c>
      <c r="E19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19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1946" s="17">
        <f>IFERROR(HistoricalStockProgress[[#This Row],[Cost of Shares]]/HistoricalStockProgress[[#This Row],[No. of Shares]],0)</f>
        <v>92.156351168716071</v>
      </c>
      <c r="H1946" s="16" vm="834">
        <v>117.49</v>
      </c>
      <c r="I1946" s="16">
        <f>IF(HistoricalStockProgress[[#This Row],[No. of Shares]]&lt;&gt;0,HistoricalStockProgress[[#This Row],[Price of Shares]]*HistoricalStockProgress[[#This Row],[No. of Shares]],0)</f>
        <v>29372.5</v>
      </c>
      <c r="J1946" s="16">
        <f>IF(HistoricalStockProgress[[#This Row],[No. of Shares]]&lt;&gt;0,HistoricalStockProgress[[#This Row],[Price of Shares]]-HistoricalStockProgress[[#This Row],[Cost of Shares]]/HistoricalStockProgress[[#This Row],[No. of Shares]],0)</f>
        <v>25.333648831283924</v>
      </c>
      <c r="K1946" s="17">
        <f>IF(HistoricalStockProgress[[#This Row],[Total Price of Shares]]&lt;&gt;0,HistoricalStockProgress[[#This Row],[Total Price of Shares]]-HistoricalStockProgress[[#This Row],[Cost of Shares]],0)</f>
        <v>6333.4122078209839</v>
      </c>
      <c r="L1946" s="34" t="b" cm="1">
        <f t="array" ref="L1946">IFERROR(IF(HistoricalStockProgress[[#This Row],[Price of Shares]]="",_xlfn.STOCKHISTORY(HistoricalStockProgress[[#This Row],[Full Company Name]],HistoricalStockProgress[[#This Row],[Date]],,2,0,1)),0)</f>
        <v>0</v>
      </c>
      <c r="M1946" s="34">
        <f>YEAR(HistoricalStockProgress[[#This Row],[Date]])</f>
        <v>2025</v>
      </c>
      <c r="N1946" s="34">
        <f>MONTH(HistoricalStockProgress[[#This Row],[Date]])</f>
        <v>2</v>
      </c>
    </row>
    <row r="1947" spans="2:14">
      <c r="B1947" s="15">
        <v>45716</v>
      </c>
      <c r="C1947" s="34" t="s">
        <v>15</v>
      </c>
      <c r="D1947" s="34" t="e" vm="17">
        <f>_xlfn.XLOOKUP(HistoricalStockProgress[[#This Row],[Company Ticker]],CompanyDetailsList[Company Ticker],CompanyDetailsList[Official Name],,0)</f>
        <v>#VALUE!</v>
      </c>
      <c r="E19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19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3628.1478386140398</v>
      </c>
      <c r="G1947" s="17">
        <f>IFERROR(HistoricalStockProgress[[#This Row],[Cost of Shares]]/HistoricalStockProgress[[#This Row],[No. of Shares]],0)</f>
        <v>24.85032766174</v>
      </c>
      <c r="H1947" s="16" vm="2414">
        <v>27.41</v>
      </c>
      <c r="I1947" s="16">
        <f>IF(HistoricalStockProgress[[#This Row],[No. of Shares]]&lt;&gt;0,HistoricalStockProgress[[#This Row],[Price of Shares]]*HistoricalStockProgress[[#This Row],[No. of Shares]],0)</f>
        <v>4001.86</v>
      </c>
      <c r="J1947" s="16">
        <f>IF(HistoricalStockProgress[[#This Row],[No. of Shares]]&lt;&gt;0,HistoricalStockProgress[[#This Row],[Price of Shares]]-HistoricalStockProgress[[#This Row],[Cost of Shares]]/HistoricalStockProgress[[#This Row],[No. of Shares]],0)</f>
        <v>2.5596723382600004</v>
      </c>
      <c r="K1947" s="17">
        <f>IF(HistoricalStockProgress[[#This Row],[Total Price of Shares]]&lt;&gt;0,HistoricalStockProgress[[#This Row],[Total Price of Shares]]-HistoricalStockProgress[[#This Row],[Cost of Shares]],0)</f>
        <v>373.71216138596037</v>
      </c>
      <c r="L1947" s="34" t="b" cm="1">
        <f t="array" ref="L1947">IFERROR(IF(HistoricalStockProgress[[#This Row],[Price of Shares]]="",_xlfn.STOCKHISTORY(HistoricalStockProgress[[#This Row],[Full Company Name]],HistoricalStockProgress[[#This Row],[Date]],,2,0,1)),0)</f>
        <v>0</v>
      </c>
      <c r="M1947" s="34">
        <f>YEAR(HistoricalStockProgress[[#This Row],[Date]])</f>
        <v>2025</v>
      </c>
      <c r="N1947" s="34">
        <f>MONTH(HistoricalStockProgress[[#This Row],[Date]])</f>
        <v>2</v>
      </c>
    </row>
    <row r="1948" spans="2:14">
      <c r="B1948" s="15">
        <v>45716</v>
      </c>
      <c r="C1948" s="34" t="s">
        <v>13</v>
      </c>
      <c r="D1948" s="34" t="e" vm="18">
        <f>_xlfn.XLOOKUP(HistoricalStockProgress[[#This Row],[Company Ticker]],CompanyDetailsList[Company Ticker],CompanyDetailsList[Official Name],,0)</f>
        <v>#VALUE!</v>
      </c>
      <c r="E19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115</v>
      </c>
      <c r="F19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3682.4466352500076</v>
      </c>
      <c r="G1948" s="17">
        <f>IFERROR(HistoricalStockProgress[[#This Row],[Cost of Shares]]/HistoricalStockProgress[[#This Row],[No. of Shares]],0)</f>
        <v>32.021275089130498</v>
      </c>
      <c r="H1948" s="16" vm="2415">
        <v>26.43</v>
      </c>
      <c r="I1948" s="16">
        <f>IF(HistoricalStockProgress[[#This Row],[No. of Shares]]&lt;&gt;0,HistoricalStockProgress[[#This Row],[Price of Shares]]*HistoricalStockProgress[[#This Row],[No. of Shares]],0)</f>
        <v>3039.45</v>
      </c>
      <c r="J1948" s="16">
        <f>IF(HistoricalStockProgress[[#This Row],[No. of Shares]]&lt;&gt;0,HistoricalStockProgress[[#This Row],[Price of Shares]]-HistoricalStockProgress[[#This Row],[Cost of Shares]]/HistoricalStockProgress[[#This Row],[No. of Shares]],0)</f>
        <v>-5.5912750891304981</v>
      </c>
      <c r="K1948" s="17">
        <f>IF(HistoricalStockProgress[[#This Row],[Total Price of Shares]]&lt;&gt;0,HistoricalStockProgress[[#This Row],[Total Price of Shares]]-HistoricalStockProgress[[#This Row],[Cost of Shares]],0)</f>
        <v>-642.99663525000778</v>
      </c>
      <c r="L1948" s="34" t="b" cm="1">
        <f t="array" ref="L1948">IFERROR(IF(HistoricalStockProgress[[#This Row],[Price of Shares]]="",_xlfn.STOCKHISTORY(HistoricalStockProgress[[#This Row],[Full Company Name]],HistoricalStockProgress[[#This Row],[Date]],,2,0,1)),0)</f>
        <v>0</v>
      </c>
      <c r="M1948" s="34">
        <f>YEAR(HistoricalStockProgress[[#This Row],[Date]])</f>
        <v>2025</v>
      </c>
      <c r="N1948" s="34">
        <f>MONTH(HistoricalStockProgress[[#This Row],[Date]])</f>
        <v>2</v>
      </c>
    </row>
    <row r="1949" spans="2:14">
      <c r="B1949" s="15">
        <v>45716</v>
      </c>
      <c r="C1949" s="34" t="s">
        <v>20</v>
      </c>
      <c r="D1949" s="34" t="e" vm="19">
        <f>_xlfn.XLOOKUP(HistoricalStockProgress[[#This Row],[Company Ticker]],CompanyDetailsList[Company Ticker],CompanyDetailsList[Official Name],,0)</f>
        <v>#VALUE!</v>
      </c>
      <c r="E19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9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949" s="17">
        <f>IFERROR(HistoricalStockProgress[[#This Row],[Cost of Shares]]/HistoricalStockProgress[[#This Row],[No. of Shares]],0)</f>
        <v>108.1760767450256</v>
      </c>
      <c r="H1949" s="16" vm="2416">
        <v>264.64999999999998</v>
      </c>
      <c r="I1949" s="16">
        <f>IF(HistoricalStockProgress[[#This Row],[No. of Shares]]&lt;&gt;0,HistoricalStockProgress[[#This Row],[Price of Shares]]*HistoricalStockProgress[[#This Row],[No. of Shares]],0)</f>
        <v>30699.399999999998</v>
      </c>
      <c r="J1949" s="16">
        <f>IF(HistoricalStockProgress[[#This Row],[No. of Shares]]&lt;&gt;0,HistoricalStockProgress[[#This Row],[Price of Shares]]-HistoricalStockProgress[[#This Row],[Cost of Shares]]/HistoricalStockProgress[[#This Row],[No. of Shares]],0)</f>
        <v>156.47392325497438</v>
      </c>
      <c r="K1949" s="17">
        <f>IF(HistoricalStockProgress[[#This Row],[Total Price of Shares]]&lt;&gt;0,HistoricalStockProgress[[#This Row],[Total Price of Shares]]-HistoricalStockProgress[[#This Row],[Cost of Shares]],0)</f>
        <v>18150.975097577029</v>
      </c>
      <c r="L1949" s="34" t="b" cm="1">
        <f t="array" ref="L1949">IFERROR(IF(HistoricalStockProgress[[#This Row],[Price of Shares]]="",_xlfn.STOCKHISTORY(HistoricalStockProgress[[#This Row],[Full Company Name]],HistoricalStockProgress[[#This Row],[Date]],,2,0,1)),0)</f>
        <v>0</v>
      </c>
      <c r="M1949" s="34">
        <f>YEAR(HistoricalStockProgress[[#This Row],[Date]])</f>
        <v>2025</v>
      </c>
      <c r="N1949" s="34">
        <f>MONTH(HistoricalStockProgress[[#This Row],[Date]])</f>
        <v>2</v>
      </c>
    </row>
    <row r="1950" spans="2:14">
      <c r="B1950" s="15">
        <v>45716</v>
      </c>
      <c r="C1950" s="34" t="s">
        <v>106</v>
      </c>
      <c r="D1950" s="34" t="e" vm="20">
        <f>_xlfn.XLOOKUP(HistoricalStockProgress[[#This Row],[Company Ticker]],CompanyDetailsList[Company Ticker],CompanyDetailsList[Official Name],,0)</f>
        <v>#VALUE!</v>
      </c>
      <c r="E19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9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950" s="17">
        <f>IFERROR(HistoricalStockProgress[[#This Row],[Cost of Shares]]/HistoricalStockProgress[[#This Row],[No. of Shares]],0)</f>
        <v>108.54870748680406</v>
      </c>
      <c r="H1950" s="16" vm="2417">
        <v>113.22</v>
      </c>
      <c r="I1950" s="16">
        <f>IF(HistoricalStockProgress[[#This Row],[No. of Shares]]&lt;&gt;0,HistoricalStockProgress[[#This Row],[Price of Shares]]*HistoricalStockProgress[[#This Row],[No. of Shares]],0)</f>
        <v>9963.36</v>
      </c>
      <c r="J1950" s="16">
        <f>IF(HistoricalStockProgress[[#This Row],[No. of Shares]]&lt;&gt;0,HistoricalStockProgress[[#This Row],[Price of Shares]]-HistoricalStockProgress[[#This Row],[Cost of Shares]]/HistoricalStockProgress[[#This Row],[No. of Shares]],0)</f>
        <v>4.6712925131959366</v>
      </c>
      <c r="K1950" s="17">
        <f>IF(HistoricalStockProgress[[#This Row],[Total Price of Shares]]&lt;&gt;0,HistoricalStockProgress[[#This Row],[Total Price of Shares]]-HistoricalStockProgress[[#This Row],[Cost of Shares]],0)</f>
        <v>411.07374116124265</v>
      </c>
      <c r="L1950" s="34" t="b" cm="1">
        <f t="array" ref="L1950">IFERROR(IF(HistoricalStockProgress[[#This Row],[Price of Shares]]="",_xlfn.STOCKHISTORY(HistoricalStockProgress[[#This Row],[Full Company Name]],HistoricalStockProgress[[#This Row],[Date]],,2,0,1)),0)</f>
        <v>0</v>
      </c>
      <c r="M1950" s="34">
        <f>YEAR(HistoricalStockProgress[[#This Row],[Date]])</f>
        <v>2025</v>
      </c>
      <c r="N1950" s="34">
        <f>MONTH(HistoricalStockProgress[[#This Row],[Date]])</f>
        <v>2</v>
      </c>
    </row>
    <row r="1951" spans="2:14">
      <c r="B1951" s="15">
        <v>45747</v>
      </c>
      <c r="C1951" s="34" t="s">
        <v>12</v>
      </c>
      <c r="D1951" s="34" t="e" vm="1">
        <f>_xlfn.XLOOKUP(HistoricalStockProgress[[#This Row],[Company Ticker]],CompanyDetailsList[Company Ticker],CompanyDetailsList[Official Name],,0)</f>
        <v>#VALUE!</v>
      </c>
      <c r="E19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9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951" s="17">
        <f>IFERROR(HistoricalStockProgress[[#This Row],[Cost of Shares]]/HistoricalStockProgress[[#This Row],[No. of Shares]],0)</f>
        <v>64.573985995316889</v>
      </c>
      <c r="H1951" s="16" vm="2418">
        <v>58.01</v>
      </c>
      <c r="I1951" s="16">
        <f>IF(HistoricalStockProgress[[#This Row],[No. of Shares]]&lt;&gt;0,HistoricalStockProgress[[#This Row],[Price of Shares]]*HistoricalStockProgress[[#This Row],[No. of Shares]],0)</f>
        <v>5626.97</v>
      </c>
      <c r="J1951" s="16">
        <f>IF(HistoricalStockProgress[[#This Row],[No. of Shares]]&lt;&gt;0,HistoricalStockProgress[[#This Row],[Price of Shares]]-HistoricalStockProgress[[#This Row],[Cost of Shares]]/HistoricalStockProgress[[#This Row],[No. of Shares]],0)</f>
        <v>-6.5639859953168909</v>
      </c>
      <c r="K1951" s="17">
        <f>IF(HistoricalStockProgress[[#This Row],[Total Price of Shares]]&lt;&gt;0,HistoricalStockProgress[[#This Row],[Total Price of Shares]]-HistoricalStockProgress[[#This Row],[Cost of Shares]],0)</f>
        <v>-636.70664154573751</v>
      </c>
      <c r="L1951" s="34" t="b" cm="1">
        <f t="array" ref="L1951">IFERROR(IF(HistoricalStockProgress[[#This Row],[Price of Shares]]="",_xlfn.STOCKHISTORY(HistoricalStockProgress[[#This Row],[Full Company Name]],HistoricalStockProgress[[#This Row],[Date]],,2,0,1)),0)</f>
        <v>0</v>
      </c>
      <c r="M1951" s="34">
        <f>YEAR(HistoricalStockProgress[[#This Row],[Date]])</f>
        <v>2025</v>
      </c>
      <c r="N1951" s="34">
        <f>MONTH(HistoricalStockProgress[[#This Row],[Date]])</f>
        <v>3</v>
      </c>
    </row>
    <row r="1952" spans="2:14">
      <c r="B1952" s="15">
        <v>45747</v>
      </c>
      <c r="C1952" s="34" t="s">
        <v>14</v>
      </c>
      <c r="D1952" s="34" t="e" vm="2">
        <f>_xlfn.XLOOKUP(HistoricalStockProgress[[#This Row],[Company Ticker]],CompanyDetailsList[Company Ticker],CompanyDetailsList[Official Name],,0)</f>
        <v>#VALUE!</v>
      </c>
      <c r="E19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19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1952" s="17">
        <f>IFERROR(HistoricalStockProgress[[#This Row],[Cost of Shares]]/HistoricalStockProgress[[#This Row],[No. of Shares]],0)</f>
        <v>26.819337355148658</v>
      </c>
      <c r="H1952" s="16" vm="1631">
        <v>30.27</v>
      </c>
      <c r="I1952" s="16">
        <f>IF(HistoricalStockProgress[[#This Row],[No. of Shares]]&lt;&gt;0,HistoricalStockProgress[[#This Row],[Price of Shares]]*HistoricalStockProgress[[#This Row],[No. of Shares]],0)</f>
        <v>1907.01</v>
      </c>
      <c r="J1952" s="16">
        <f>IF(HistoricalStockProgress[[#This Row],[No. of Shares]]&lt;&gt;0,HistoricalStockProgress[[#This Row],[Price of Shares]]-HistoricalStockProgress[[#This Row],[Cost of Shares]]/HistoricalStockProgress[[#This Row],[No. of Shares]],0)</f>
        <v>3.4506626448513416</v>
      </c>
      <c r="K1952" s="17">
        <f>IF(HistoricalStockProgress[[#This Row],[Total Price of Shares]]&lt;&gt;0,HistoricalStockProgress[[#This Row],[Total Price of Shares]]-HistoricalStockProgress[[#This Row],[Cost of Shares]],0)</f>
        <v>217.3917466256346</v>
      </c>
      <c r="L1952" s="34" t="b" cm="1">
        <f t="array" ref="L1952">IFERROR(IF(HistoricalStockProgress[[#This Row],[Price of Shares]]="",_xlfn.STOCKHISTORY(HistoricalStockProgress[[#This Row],[Full Company Name]],HistoricalStockProgress[[#This Row],[Date]],,2,0,1)),0)</f>
        <v>0</v>
      </c>
      <c r="M1952" s="34">
        <f>YEAR(HistoricalStockProgress[[#This Row],[Date]])</f>
        <v>2025</v>
      </c>
      <c r="N1952" s="34">
        <f>MONTH(HistoricalStockProgress[[#This Row],[Date]])</f>
        <v>3</v>
      </c>
    </row>
    <row r="1953" spans="2:14">
      <c r="B1953" s="15">
        <v>45747</v>
      </c>
      <c r="C1953" s="34" t="s">
        <v>19</v>
      </c>
      <c r="D1953" s="34" t="e" vm="3">
        <f>_xlfn.XLOOKUP(HistoricalStockProgress[[#This Row],[Company Ticker]],CompanyDetailsList[Company Ticker],CompanyDetailsList[Official Name],,0)</f>
        <v>#VALUE!</v>
      </c>
      <c r="E19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19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1953" s="17">
        <f>IFERROR(HistoricalStockProgress[[#This Row],[Cost of Shares]]/HistoricalStockProgress[[#This Row],[No. of Shares]],0)</f>
        <v>160.12652821044301</v>
      </c>
      <c r="H1953" s="16" vm="2419">
        <v>147.25</v>
      </c>
      <c r="I1953" s="16">
        <f>IF(HistoricalStockProgress[[#This Row],[No. of Shares]]&lt;&gt;0,HistoricalStockProgress[[#This Row],[Price of Shares]]*HistoricalStockProgress[[#This Row],[No. of Shares]],0)</f>
        <v>12663.5</v>
      </c>
      <c r="J1953" s="16">
        <f>IF(HistoricalStockProgress[[#This Row],[No. of Shares]]&lt;&gt;0,HistoricalStockProgress[[#This Row],[Price of Shares]]-HistoricalStockProgress[[#This Row],[Cost of Shares]]/HistoricalStockProgress[[#This Row],[No. of Shares]],0)</f>
        <v>-12.876528210443013</v>
      </c>
      <c r="K1953" s="17">
        <f>IF(HistoricalStockProgress[[#This Row],[Total Price of Shares]]&lt;&gt;0,HistoricalStockProgress[[#This Row],[Total Price of Shares]]-HistoricalStockProgress[[#This Row],[Cost of Shares]],0)</f>
        <v>-1107.381426098098</v>
      </c>
      <c r="L1953" s="34" t="b" cm="1">
        <f t="array" ref="L1953">IFERROR(IF(HistoricalStockProgress[[#This Row],[Price of Shares]]="",_xlfn.STOCKHISTORY(HistoricalStockProgress[[#This Row],[Full Company Name]],HistoricalStockProgress[[#This Row],[Date]],,2,0,1)),0)</f>
        <v>0</v>
      </c>
      <c r="M1953" s="34">
        <f>YEAR(HistoricalStockProgress[[#This Row],[Date]])</f>
        <v>2025</v>
      </c>
      <c r="N1953" s="34">
        <f>MONTH(HistoricalStockProgress[[#This Row],[Date]])</f>
        <v>3</v>
      </c>
    </row>
    <row r="1954" spans="2:14">
      <c r="B1954" s="15">
        <v>45747</v>
      </c>
      <c r="C1954" s="34" t="s">
        <v>23</v>
      </c>
      <c r="D1954" s="34" t="e" vm="4">
        <f>_xlfn.XLOOKUP(HistoricalStockProgress[[#This Row],[Company Ticker]],CompanyDetailsList[Company Ticker],CompanyDetailsList[Official Name],,0)</f>
        <v>#VALUE!</v>
      </c>
      <c r="E19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19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1954" s="17">
        <f>IFERROR(HistoricalStockProgress[[#This Row],[Cost of Shares]]/HistoricalStockProgress[[#This Row],[No. of Shares]],0)</f>
        <v>50.781277236510277</v>
      </c>
      <c r="H1954" s="16" vm="2420">
        <v>71.62</v>
      </c>
      <c r="I1954" s="16">
        <f>IF(HistoricalStockProgress[[#This Row],[No. of Shares]]&lt;&gt;0,HistoricalStockProgress[[#This Row],[Price of Shares]]*HistoricalStockProgress[[#This Row],[No. of Shares]],0)</f>
        <v>8379.5400000000009</v>
      </c>
      <c r="J1954" s="16">
        <f>IF(HistoricalStockProgress[[#This Row],[No. of Shares]]&lt;&gt;0,HistoricalStockProgress[[#This Row],[Price of Shares]]-HistoricalStockProgress[[#This Row],[Cost of Shares]]/HistoricalStockProgress[[#This Row],[No. of Shares]],0)</f>
        <v>20.838722763489727</v>
      </c>
      <c r="K1954" s="17">
        <f>IF(HistoricalStockProgress[[#This Row],[Total Price of Shares]]&lt;&gt;0,HistoricalStockProgress[[#This Row],[Total Price of Shares]]-HistoricalStockProgress[[#This Row],[Cost of Shares]],0)</f>
        <v>2438.1305633282982</v>
      </c>
      <c r="L1954" s="34" t="b" cm="1">
        <f t="array" ref="L1954">IFERROR(IF(HistoricalStockProgress[[#This Row],[Price of Shares]]="",_xlfn.STOCKHISTORY(HistoricalStockProgress[[#This Row],[Full Company Name]],HistoricalStockProgress[[#This Row],[Date]],,2,0,1)),0)</f>
        <v>0</v>
      </c>
      <c r="M1954" s="34">
        <f>YEAR(HistoricalStockProgress[[#This Row],[Date]])</f>
        <v>2025</v>
      </c>
      <c r="N1954" s="34">
        <f>MONTH(HistoricalStockProgress[[#This Row],[Date]])</f>
        <v>3</v>
      </c>
    </row>
    <row r="1955" spans="2:14">
      <c r="B1955" s="15">
        <v>45747</v>
      </c>
      <c r="C1955" s="34" t="s">
        <v>18</v>
      </c>
      <c r="D1955" s="34" t="e" vm="5">
        <f>_xlfn.XLOOKUP(HistoricalStockProgress[[#This Row],[Company Ticker]],CompanyDetailsList[Company Ticker],CompanyDetailsList[Official Name],,0)</f>
        <v>#VALUE!</v>
      </c>
      <c r="E19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9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955" s="17">
        <f>IFERROR(HistoricalStockProgress[[#This Row],[Cost of Shares]]/HistoricalStockProgress[[#This Row],[No. of Shares]],0)</f>
        <v>160.8859607546234</v>
      </c>
      <c r="H1955" s="16" vm="2421">
        <v>149.94</v>
      </c>
      <c r="I1955" s="16">
        <f>IF(HistoricalStockProgress[[#This Row],[No. of Shares]]&lt;&gt;0,HistoricalStockProgress[[#This Row],[Price of Shares]]*HistoricalStockProgress[[#This Row],[No. of Shares]],0)</f>
        <v>6447.42</v>
      </c>
      <c r="J1955" s="16">
        <f>IF(HistoricalStockProgress[[#This Row],[No. of Shares]]&lt;&gt;0,HistoricalStockProgress[[#This Row],[Price of Shares]]-HistoricalStockProgress[[#This Row],[Cost of Shares]]/HistoricalStockProgress[[#This Row],[No. of Shares]],0)</f>
        <v>-10.9459607546234</v>
      </c>
      <c r="K1955" s="17">
        <f>IF(HistoricalStockProgress[[#This Row],[Total Price of Shares]]&lt;&gt;0,HistoricalStockProgress[[#This Row],[Total Price of Shares]]-HistoricalStockProgress[[#This Row],[Cost of Shares]],0)</f>
        <v>-470.67631244880613</v>
      </c>
      <c r="L1955" s="34" t="b" cm="1">
        <f t="array" ref="L1955">IFERROR(IF(HistoricalStockProgress[[#This Row],[Price of Shares]]="",_xlfn.STOCKHISTORY(HistoricalStockProgress[[#This Row],[Full Company Name]],HistoricalStockProgress[[#This Row],[Date]],,2,0,1)),0)</f>
        <v>0</v>
      </c>
      <c r="M1955" s="34">
        <f>YEAR(HistoricalStockProgress[[#This Row],[Date]])</f>
        <v>2025</v>
      </c>
      <c r="N1955" s="34">
        <f>MONTH(HistoricalStockProgress[[#This Row],[Date]])</f>
        <v>3</v>
      </c>
    </row>
    <row r="1956" spans="2:14">
      <c r="B1956" s="15">
        <v>45747</v>
      </c>
      <c r="C1956" s="34" t="s">
        <v>21</v>
      </c>
      <c r="D1956" s="34" t="e" vm="6">
        <f>_xlfn.XLOOKUP(HistoricalStockProgress[[#This Row],[Company Ticker]],CompanyDetailsList[Company Ticker],CompanyDetailsList[Official Name],,0)</f>
        <v>#VALUE!</v>
      </c>
      <c r="E19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49</v>
      </c>
      <c r="F19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7099.5799078510599</v>
      </c>
      <c r="G1956" s="17">
        <f>IFERROR(HistoricalStockProgress[[#This Row],[Cost of Shares]]/HistoricalStockProgress[[#This Row],[No. of Shares]],0)</f>
        <v>144.88938587451142</v>
      </c>
      <c r="H1956" s="16" vm="2422">
        <v>170.42</v>
      </c>
      <c r="I1956" s="16">
        <f>IF(HistoricalStockProgress[[#This Row],[No. of Shares]]&lt;&gt;0,HistoricalStockProgress[[#This Row],[Price of Shares]]*HistoricalStockProgress[[#This Row],[No. of Shares]],0)</f>
        <v>8350.58</v>
      </c>
      <c r="J1956" s="16">
        <f>IF(HistoricalStockProgress[[#This Row],[No. of Shares]]&lt;&gt;0,HistoricalStockProgress[[#This Row],[Price of Shares]]-HistoricalStockProgress[[#This Row],[Cost of Shares]]/HistoricalStockProgress[[#This Row],[No. of Shares]],0)</f>
        <v>25.530614125488569</v>
      </c>
      <c r="K1956" s="17">
        <f>IF(HistoricalStockProgress[[#This Row],[Total Price of Shares]]&lt;&gt;0,HistoricalStockProgress[[#This Row],[Total Price of Shares]]-HistoricalStockProgress[[#This Row],[Cost of Shares]],0)</f>
        <v>1251.00009214894</v>
      </c>
      <c r="L1956" s="34" t="b" cm="1">
        <f t="array" ref="L1956">IFERROR(IF(HistoricalStockProgress[[#This Row],[Price of Shares]]="",_xlfn.STOCKHISTORY(HistoricalStockProgress[[#This Row],[Full Company Name]],HistoricalStockProgress[[#This Row],[Date]],,2,0,1)),0)</f>
        <v>0</v>
      </c>
      <c r="M1956" s="34">
        <f>YEAR(HistoricalStockProgress[[#This Row],[Date]])</f>
        <v>2025</v>
      </c>
      <c r="N1956" s="34">
        <f>MONTH(HistoricalStockProgress[[#This Row],[Date]])</f>
        <v>3</v>
      </c>
    </row>
    <row r="1957" spans="2:14">
      <c r="B1957" s="15">
        <v>45747</v>
      </c>
      <c r="C1957" s="34" t="s">
        <v>84</v>
      </c>
      <c r="D1957" s="34" t="e" vm="7">
        <f>_xlfn.XLOOKUP(HistoricalStockProgress[[#This Row],[Company Ticker]],CompanyDetailsList[Company Ticker],CompanyDetailsList[Official Name],,0)</f>
        <v>#VALUE!</v>
      </c>
      <c r="E19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9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957" s="17">
        <f>IFERROR(HistoricalStockProgress[[#This Row],[Cost of Shares]]/HistoricalStockProgress[[#This Row],[No. of Shares]],0)</f>
        <v>104.18087504950869</v>
      </c>
      <c r="H1957" s="16" vm="2423">
        <v>165.84</v>
      </c>
      <c r="I1957" s="16">
        <f>IF(HistoricalStockProgress[[#This Row],[No. of Shares]]&lt;&gt;0,HistoricalStockProgress[[#This Row],[Price of Shares]]*HistoricalStockProgress[[#This Row],[No. of Shares]],0)</f>
        <v>8457.84</v>
      </c>
      <c r="J1957" s="16">
        <f>IF(HistoricalStockProgress[[#This Row],[No. of Shares]]&lt;&gt;0,HistoricalStockProgress[[#This Row],[Price of Shares]]-HistoricalStockProgress[[#This Row],[Cost of Shares]]/HistoricalStockProgress[[#This Row],[No. of Shares]],0)</f>
        <v>61.659124950491318</v>
      </c>
      <c r="K1957" s="17">
        <f>IF(HistoricalStockProgress[[#This Row],[Total Price of Shares]]&lt;&gt;0,HistoricalStockProgress[[#This Row],[Total Price of Shares]]-HistoricalStockProgress[[#This Row],[Cost of Shares]],0)</f>
        <v>3144.6153724750575</v>
      </c>
      <c r="L1957" s="34" t="b" cm="1">
        <f t="array" ref="L1957">IFERROR(IF(HistoricalStockProgress[[#This Row],[Price of Shares]]="",_xlfn.STOCKHISTORY(HistoricalStockProgress[[#This Row],[Full Company Name]],HistoricalStockProgress[[#This Row],[Date]],,2,0,1)),0)</f>
        <v>0</v>
      </c>
      <c r="M1957" s="34">
        <f>YEAR(HistoricalStockProgress[[#This Row],[Date]])</f>
        <v>2025</v>
      </c>
      <c r="N1957" s="34">
        <f>MONTH(HistoricalStockProgress[[#This Row],[Date]])</f>
        <v>3</v>
      </c>
    </row>
    <row r="1958" spans="2:14">
      <c r="B1958" s="15">
        <v>45747</v>
      </c>
      <c r="C1958" s="34" t="s">
        <v>86</v>
      </c>
      <c r="D1958" s="34" t="e" vm="8">
        <f>_xlfn.XLOOKUP(HistoricalStockProgress[[#This Row],[Company Ticker]],CompanyDetailsList[Company Ticker],CompanyDetailsList[Official Name],,0)</f>
        <v>#VALUE!</v>
      </c>
      <c r="E19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19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1958" s="17">
        <f>IFERROR(HistoricalStockProgress[[#This Row],[Cost of Shares]]/HistoricalStockProgress[[#This Row],[No. of Shares]],0)</f>
        <v>115.48970647877745</v>
      </c>
      <c r="H1958" s="16" vm="2424">
        <v>209.52</v>
      </c>
      <c r="I1958" s="16">
        <f>IF(HistoricalStockProgress[[#This Row],[No. of Shares]]&lt;&gt;0,HistoricalStockProgress[[#This Row],[Price of Shares]]*HistoricalStockProgress[[#This Row],[No. of Shares]],0)</f>
        <v>31847.040000000001</v>
      </c>
      <c r="J1958" s="16">
        <f>IF(HistoricalStockProgress[[#This Row],[No. of Shares]]&lt;&gt;0,HistoricalStockProgress[[#This Row],[Price of Shares]]-HistoricalStockProgress[[#This Row],[Cost of Shares]]/HistoricalStockProgress[[#This Row],[No. of Shares]],0)</f>
        <v>94.030293521222561</v>
      </c>
      <c r="K1958" s="17">
        <f>IF(HistoricalStockProgress[[#This Row],[Total Price of Shares]]&lt;&gt;0,HistoricalStockProgress[[#This Row],[Total Price of Shares]]-HistoricalStockProgress[[#This Row],[Cost of Shares]],0)</f>
        <v>14292.604615225828</v>
      </c>
      <c r="L1958" s="34" t="b" cm="1">
        <f t="array" ref="L1958">IFERROR(IF(HistoricalStockProgress[[#This Row],[Price of Shares]]="",_xlfn.STOCKHISTORY(HistoricalStockProgress[[#This Row],[Full Company Name]],HistoricalStockProgress[[#This Row],[Date]],,2,0,1)),0)</f>
        <v>0</v>
      </c>
      <c r="M1958" s="34">
        <f>YEAR(HistoricalStockProgress[[#This Row],[Date]])</f>
        <v>2025</v>
      </c>
      <c r="N1958" s="34">
        <f>MONTH(HistoricalStockProgress[[#This Row],[Date]])</f>
        <v>3</v>
      </c>
    </row>
    <row r="1959" spans="2:14">
      <c r="B1959" s="15">
        <v>45747</v>
      </c>
      <c r="C1959" s="34" t="s">
        <v>88</v>
      </c>
      <c r="D1959" s="34" t="e" vm="9">
        <f>_xlfn.XLOOKUP(HistoricalStockProgress[[#This Row],[Company Ticker]],CompanyDetailsList[Company Ticker],CompanyDetailsList[Official Name],,0)</f>
        <v>#VALUE!</v>
      </c>
      <c r="E19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19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1959" s="17">
        <f>IFERROR(HistoricalStockProgress[[#This Row],[Cost of Shares]]/HistoricalStockProgress[[#This Row],[No. of Shares]],0)</f>
        <v>224.7272684493652</v>
      </c>
      <c r="H1959" s="16" vm="2425">
        <v>312.37</v>
      </c>
      <c r="I1959" s="16">
        <f>IF(HistoricalStockProgress[[#This Row],[No. of Shares]]&lt;&gt;0,HistoricalStockProgress[[#This Row],[Price of Shares]]*HistoricalStockProgress[[#This Row],[No. of Shares]],0)</f>
        <v>29675.15</v>
      </c>
      <c r="J1959" s="16">
        <f>IF(HistoricalStockProgress[[#This Row],[No. of Shares]]&lt;&gt;0,HistoricalStockProgress[[#This Row],[Price of Shares]]-HistoricalStockProgress[[#This Row],[Cost of Shares]]/HistoricalStockProgress[[#This Row],[No. of Shares]],0)</f>
        <v>87.642731550634807</v>
      </c>
      <c r="K1959" s="17">
        <f>IF(HistoricalStockProgress[[#This Row],[Total Price of Shares]]&lt;&gt;0,HistoricalStockProgress[[#This Row],[Total Price of Shares]]-HistoricalStockProgress[[#This Row],[Cost of Shares]],0)</f>
        <v>8326.0594973103071</v>
      </c>
      <c r="L1959" s="34" t="b" cm="1">
        <f t="array" ref="L1959">IFERROR(IF(HistoricalStockProgress[[#This Row],[Price of Shares]]="",_xlfn.STOCKHISTORY(HistoricalStockProgress[[#This Row],[Full Company Name]],HistoricalStockProgress[[#This Row],[Date]],,2,0,1)),0)</f>
        <v>0</v>
      </c>
      <c r="M1959" s="34">
        <f>YEAR(HistoricalStockProgress[[#This Row],[Date]])</f>
        <v>2025</v>
      </c>
      <c r="N1959" s="34">
        <f>MONTH(HistoricalStockProgress[[#This Row],[Date]])</f>
        <v>3</v>
      </c>
    </row>
    <row r="1960" spans="2:14">
      <c r="B1960" s="15">
        <v>45747</v>
      </c>
      <c r="C1960" s="34" t="s">
        <v>22</v>
      </c>
      <c r="D1960" s="34" t="e" vm="10">
        <f>_xlfn.XLOOKUP(HistoricalStockProgress[[#This Row],[Company Ticker]],CompanyDetailsList[Company Ticker],CompanyDetailsList[Official Name],,0)</f>
        <v>#VALUE!</v>
      </c>
      <c r="E19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9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960" s="17">
        <f>IFERROR(HistoricalStockProgress[[#This Row],[Cost of Shares]]/HistoricalStockProgress[[#This Row],[No. of Shares]],0)</f>
        <v>130.19784136724968</v>
      </c>
      <c r="H1960" s="16" vm="2426">
        <v>329.8</v>
      </c>
      <c r="I1960" s="16">
        <f>IF(HistoricalStockProgress[[#This Row],[No. of Shares]]&lt;&gt;0,HistoricalStockProgress[[#This Row],[Price of Shares]]*HistoricalStockProgress[[#This Row],[No. of Shares]],0)</f>
        <v>39246.200000000004</v>
      </c>
      <c r="J1960" s="16">
        <f>IF(HistoricalStockProgress[[#This Row],[No. of Shares]]&lt;&gt;0,HistoricalStockProgress[[#This Row],[Price of Shares]]-HistoricalStockProgress[[#This Row],[Cost of Shares]]/HistoricalStockProgress[[#This Row],[No. of Shares]],0)</f>
        <v>199.60215863275033</v>
      </c>
      <c r="K1960" s="17">
        <f>IF(HistoricalStockProgress[[#This Row],[Total Price of Shares]]&lt;&gt;0,HistoricalStockProgress[[#This Row],[Total Price of Shares]]-HistoricalStockProgress[[#This Row],[Cost of Shares]],0)</f>
        <v>23752.65687729729</v>
      </c>
      <c r="L1960" s="34" t="b" cm="1">
        <f t="array" ref="L1960">IFERROR(IF(HistoricalStockProgress[[#This Row],[Price of Shares]]="",_xlfn.STOCKHISTORY(HistoricalStockProgress[[#This Row],[Full Company Name]],HistoricalStockProgress[[#This Row],[Date]],,2,0,1)),0)</f>
        <v>0</v>
      </c>
      <c r="M1960" s="34">
        <f>YEAR(HistoricalStockProgress[[#This Row],[Date]])</f>
        <v>2025</v>
      </c>
      <c r="N1960" s="34">
        <f>MONTH(HistoricalStockProgress[[#This Row],[Date]])</f>
        <v>3</v>
      </c>
    </row>
    <row r="1961" spans="2:14">
      <c r="B1961" s="15">
        <v>45747</v>
      </c>
      <c r="C1961" s="34" t="s">
        <v>91</v>
      </c>
      <c r="D1961" s="34" t="e" vm="11">
        <f>_xlfn.XLOOKUP(HistoricalStockProgress[[#This Row],[Company Ticker]],CompanyDetailsList[Company Ticker],CompanyDetailsList[Official Name],,0)</f>
        <v>#VALUE!</v>
      </c>
      <c r="E19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206</v>
      </c>
      <c r="F19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33500.246609033078</v>
      </c>
      <c r="G1961" s="17">
        <f>IFERROR(HistoricalStockProgress[[#This Row],[Cost of Shares]]/HistoricalStockProgress[[#This Row],[No. of Shares]],0)</f>
        <v>162.62255635452951</v>
      </c>
      <c r="H1961" s="16" vm="2427">
        <v>375.39</v>
      </c>
      <c r="I1961" s="16">
        <f>IF(HistoricalStockProgress[[#This Row],[No. of Shares]]&lt;&gt;0,HistoricalStockProgress[[#This Row],[Price of Shares]]*HistoricalStockProgress[[#This Row],[No. of Shares]],0)</f>
        <v>77330.34</v>
      </c>
      <c r="J1961" s="16">
        <f>IF(HistoricalStockProgress[[#This Row],[No. of Shares]]&lt;&gt;0,HistoricalStockProgress[[#This Row],[Price of Shares]]-HistoricalStockProgress[[#This Row],[Cost of Shares]]/HistoricalStockProgress[[#This Row],[No. of Shares]],0)</f>
        <v>212.76744364547048</v>
      </c>
      <c r="K1961" s="17">
        <f>IF(HistoricalStockProgress[[#This Row],[Total Price of Shares]]&lt;&gt;0,HistoricalStockProgress[[#This Row],[Total Price of Shares]]-HistoricalStockProgress[[#This Row],[Cost of Shares]],0)</f>
        <v>43830.093390966918</v>
      </c>
      <c r="L1961" s="34" t="b" cm="1">
        <f t="array" ref="L1961">IFERROR(IF(HistoricalStockProgress[[#This Row],[Price of Shares]]="",_xlfn.STOCKHISTORY(HistoricalStockProgress[[#This Row],[Full Company Name]],HistoricalStockProgress[[#This Row],[Date]],,2,0,1)),0)</f>
        <v>0</v>
      </c>
      <c r="M1961" s="34">
        <f>YEAR(HistoricalStockProgress[[#This Row],[Date]])</f>
        <v>2025</v>
      </c>
      <c r="N1961" s="34">
        <f>MONTH(HistoricalStockProgress[[#This Row],[Date]])</f>
        <v>3</v>
      </c>
    </row>
    <row r="1962" spans="2:14">
      <c r="B1962" s="15">
        <v>45747</v>
      </c>
      <c r="C1962" s="34" t="s">
        <v>16</v>
      </c>
      <c r="D1962" s="34" t="e" vm="12">
        <f>_xlfn.XLOOKUP(HistoricalStockProgress[[#This Row],[Company Ticker]],CompanyDetailsList[Company Ticker],CompanyDetailsList[Official Name],,0)</f>
        <v>#VALUE!</v>
      </c>
      <c r="E19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9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962" s="17">
        <f>IFERROR(HistoricalStockProgress[[#This Row],[Cost of Shares]]/HistoricalStockProgress[[#This Row],[No. of Shares]],0)</f>
        <v>75.117698177311837</v>
      </c>
      <c r="H1962" s="16" vm="1506">
        <v>118.93</v>
      </c>
      <c r="I1962" s="16">
        <f>IF(HistoricalStockProgress[[#This Row],[No. of Shares]]&lt;&gt;0,HistoricalStockProgress[[#This Row],[Price of Shares]]*HistoricalStockProgress[[#This Row],[No. of Shares]],0)</f>
        <v>22002.050000000003</v>
      </c>
      <c r="J1962" s="16">
        <f>IF(HistoricalStockProgress[[#This Row],[No. of Shares]]&lt;&gt;0,HistoricalStockProgress[[#This Row],[Price of Shares]]-HistoricalStockProgress[[#This Row],[Cost of Shares]]/HistoricalStockProgress[[#This Row],[No. of Shares]],0)</f>
        <v>43.81230182268817</v>
      </c>
      <c r="K1962" s="17">
        <f>IF(HistoricalStockProgress[[#This Row],[Total Price of Shares]]&lt;&gt;0,HistoricalStockProgress[[#This Row],[Total Price of Shares]]-HistoricalStockProgress[[#This Row],[Cost of Shares]],0)</f>
        <v>8105.2758371973141</v>
      </c>
      <c r="L1962" s="34" t="b" cm="1">
        <f t="array" ref="L1962">IFERROR(IF(HistoricalStockProgress[[#This Row],[Price of Shares]]="",_xlfn.STOCKHISTORY(HistoricalStockProgress[[#This Row],[Full Company Name]],HistoricalStockProgress[[#This Row],[Date]],,2,0,1)),0)</f>
        <v>0</v>
      </c>
      <c r="M1962" s="34">
        <f>YEAR(HistoricalStockProgress[[#This Row],[Date]])</f>
        <v>2025</v>
      </c>
      <c r="N1962" s="34">
        <f>MONTH(HistoricalStockProgress[[#This Row],[Date]])</f>
        <v>3</v>
      </c>
    </row>
    <row r="1963" spans="2:14">
      <c r="B1963" s="15">
        <v>45747</v>
      </c>
      <c r="C1963" s="34" t="s">
        <v>95</v>
      </c>
      <c r="D1963" s="34" t="e" vm="13">
        <f>_xlfn.XLOOKUP(HistoricalStockProgress[[#This Row],[Company Ticker]],CompanyDetailsList[Company Ticker],CompanyDetailsList[Official Name],,0)</f>
        <v>#VALUE!</v>
      </c>
      <c r="E19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172</v>
      </c>
      <c r="F19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47379.162890220832</v>
      </c>
      <c r="G1963" s="17">
        <f>IFERROR(HistoricalStockProgress[[#This Row],[Cost of Shares]]/HistoricalStockProgress[[#This Row],[No. of Shares]],0)</f>
        <v>275.46024936174905</v>
      </c>
      <c r="H1963" s="16" vm="2428">
        <v>366.49</v>
      </c>
      <c r="I1963" s="16">
        <f>IF(HistoricalStockProgress[[#This Row],[No. of Shares]]&lt;&gt;0,HistoricalStockProgress[[#This Row],[Price of Shares]]*HistoricalStockProgress[[#This Row],[No. of Shares]],0)</f>
        <v>63036.28</v>
      </c>
      <c r="J1963" s="16">
        <f>IF(HistoricalStockProgress[[#This Row],[No. of Shares]]&lt;&gt;0,HistoricalStockProgress[[#This Row],[Price of Shares]]-HistoricalStockProgress[[#This Row],[Cost of Shares]]/HistoricalStockProgress[[#This Row],[No. of Shares]],0)</f>
        <v>91.02975063825096</v>
      </c>
      <c r="K1963" s="17">
        <f>IF(HistoricalStockProgress[[#This Row],[Total Price of Shares]]&lt;&gt;0,HistoricalStockProgress[[#This Row],[Total Price of Shares]]-HistoricalStockProgress[[#This Row],[Cost of Shares]],0)</f>
        <v>15657.117109779167</v>
      </c>
      <c r="L1963" s="34" t="b" cm="1">
        <f t="array" ref="L1963">IFERROR(IF(HistoricalStockProgress[[#This Row],[Price of Shares]]="",_xlfn.STOCKHISTORY(HistoricalStockProgress[[#This Row],[Full Company Name]],HistoricalStockProgress[[#This Row],[Date]],,2,0,1)),0)</f>
        <v>0</v>
      </c>
      <c r="M1963" s="34">
        <f>YEAR(HistoricalStockProgress[[#This Row],[Date]])</f>
        <v>2025</v>
      </c>
      <c r="N1963" s="34">
        <f>MONTH(HistoricalStockProgress[[#This Row],[Date]])</f>
        <v>3</v>
      </c>
    </row>
    <row r="1964" spans="2:14">
      <c r="B1964" s="15">
        <v>45747</v>
      </c>
      <c r="C1964" s="34" t="s">
        <v>17</v>
      </c>
      <c r="D1964" s="34" t="e" vm="14">
        <f>_xlfn.XLOOKUP(HistoricalStockProgress[[#This Row],[Company Ticker]],CompanyDetailsList[Company Ticker],CompanyDetailsList[Official Name],,0)</f>
        <v>#VALUE!</v>
      </c>
      <c r="E19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19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1964" s="17">
        <f>IFERROR(HistoricalStockProgress[[#This Row],[Cost of Shares]]/HistoricalStockProgress[[#This Row],[No. of Shares]],0)</f>
        <v>143.37791217450521</v>
      </c>
      <c r="H1964" s="16" vm="2429">
        <v>248.66</v>
      </c>
      <c r="I1964" s="16">
        <f>IF(HistoricalStockProgress[[#This Row],[No. of Shares]]&lt;&gt;0,HistoricalStockProgress[[#This Row],[Price of Shares]]*HistoricalStockProgress[[#This Row],[No. of Shares]],0)</f>
        <v>57440.46</v>
      </c>
      <c r="J1964" s="16">
        <f>IF(HistoricalStockProgress[[#This Row],[No. of Shares]]&lt;&gt;0,HistoricalStockProgress[[#This Row],[Price of Shares]]-HistoricalStockProgress[[#This Row],[Cost of Shares]]/HistoricalStockProgress[[#This Row],[No. of Shares]],0)</f>
        <v>105.28208782549478</v>
      </c>
      <c r="K1964" s="17">
        <f>IF(HistoricalStockProgress[[#This Row],[Total Price of Shares]]&lt;&gt;0,HistoricalStockProgress[[#This Row],[Total Price of Shares]]-HistoricalStockProgress[[#This Row],[Cost of Shares]],0)</f>
        <v>24320.162287689294</v>
      </c>
      <c r="L1964" s="34" t="b" cm="1">
        <f t="array" ref="L1964">IFERROR(IF(HistoricalStockProgress[[#This Row],[Price of Shares]]="",_xlfn.STOCKHISTORY(HistoricalStockProgress[[#This Row],[Full Company Name]],HistoricalStockProgress[[#This Row],[Date]],,2,0,1)),0)</f>
        <v>0</v>
      </c>
      <c r="M1964" s="34">
        <f>YEAR(HistoricalStockProgress[[#This Row],[Date]])</f>
        <v>2025</v>
      </c>
      <c r="N1964" s="34">
        <f>MONTH(HistoricalStockProgress[[#This Row],[Date]])</f>
        <v>3</v>
      </c>
    </row>
    <row r="1965" spans="2:14">
      <c r="B1965" s="15">
        <v>45747</v>
      </c>
      <c r="C1965" s="34" t="s">
        <v>98</v>
      </c>
      <c r="D1965" s="34" t="e" vm="15">
        <f>_xlfn.XLOOKUP(HistoricalStockProgress[[#This Row],[Company Ticker]],CompanyDetailsList[Company Ticker],CompanyDetailsList[Official Name],,0)</f>
        <v>#VALUE!</v>
      </c>
      <c r="E19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169</v>
      </c>
      <c r="F19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9805.5515776785378</v>
      </c>
      <c r="G1965" s="17">
        <f>IFERROR(HistoricalStockProgress[[#This Row],[Cost of Shares]]/HistoricalStockProgress[[#This Row],[No. of Shares]],0)</f>
        <v>58.021015252535726</v>
      </c>
      <c r="H1965" s="16" vm="2430">
        <v>70.89</v>
      </c>
      <c r="I1965" s="16">
        <f>IF(HistoricalStockProgress[[#This Row],[No. of Shares]]&lt;&gt;0,HistoricalStockProgress[[#This Row],[Price of Shares]]*HistoricalStockProgress[[#This Row],[No. of Shares]],0)</f>
        <v>11980.41</v>
      </c>
      <c r="J1965" s="16">
        <f>IF(HistoricalStockProgress[[#This Row],[No. of Shares]]&lt;&gt;0,HistoricalStockProgress[[#This Row],[Price of Shares]]-HistoricalStockProgress[[#This Row],[Cost of Shares]]/HistoricalStockProgress[[#This Row],[No. of Shares]],0)</f>
        <v>12.868984747464275</v>
      </c>
      <c r="K1965" s="17">
        <f>IF(HistoricalStockProgress[[#This Row],[Total Price of Shares]]&lt;&gt;0,HistoricalStockProgress[[#This Row],[Total Price of Shares]]-HistoricalStockProgress[[#This Row],[Cost of Shares]],0)</f>
        <v>2174.8584223214621</v>
      </c>
      <c r="L1965" s="34" t="b" cm="1">
        <f t="array" ref="L1965">IFERROR(IF(HistoricalStockProgress[[#This Row],[Price of Shares]]="",_xlfn.STOCKHISTORY(HistoricalStockProgress[[#This Row],[Full Company Name]],HistoricalStockProgress[[#This Row],[Date]],,2,0,1)),0)</f>
        <v>0</v>
      </c>
      <c r="M1965" s="34">
        <f>YEAR(HistoricalStockProgress[[#This Row],[Date]])</f>
        <v>2025</v>
      </c>
      <c r="N1965" s="34">
        <f>MONTH(HistoricalStockProgress[[#This Row],[Date]])</f>
        <v>3</v>
      </c>
    </row>
    <row r="1966" spans="2:14">
      <c r="B1966" s="15">
        <v>45747</v>
      </c>
      <c r="C1966" s="34" t="s">
        <v>100</v>
      </c>
      <c r="D1966" s="34" t="e" vm="16">
        <f>_xlfn.XLOOKUP(HistoricalStockProgress[[#This Row],[Company Ticker]],CompanyDetailsList[Company Ticker],CompanyDetailsList[Official Name],,0)</f>
        <v>#VALUE!</v>
      </c>
      <c r="E19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19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1966" s="17">
        <f>IFERROR(HistoricalStockProgress[[#This Row],[Cost of Shares]]/HistoricalStockProgress[[#This Row],[No. of Shares]],0)</f>
        <v>92.156351168716071</v>
      </c>
      <c r="H1966" s="16" vm="2431">
        <v>121.97</v>
      </c>
      <c r="I1966" s="16">
        <f>IF(HistoricalStockProgress[[#This Row],[No. of Shares]]&lt;&gt;0,HistoricalStockProgress[[#This Row],[Price of Shares]]*HistoricalStockProgress[[#This Row],[No. of Shares]],0)</f>
        <v>30492.5</v>
      </c>
      <c r="J1966" s="16">
        <f>IF(HistoricalStockProgress[[#This Row],[No. of Shares]]&lt;&gt;0,HistoricalStockProgress[[#This Row],[Price of Shares]]-HistoricalStockProgress[[#This Row],[Cost of Shares]]/HistoricalStockProgress[[#This Row],[No. of Shares]],0)</f>
        <v>29.813648831283928</v>
      </c>
      <c r="K1966" s="17">
        <f>IF(HistoricalStockProgress[[#This Row],[Total Price of Shares]]&lt;&gt;0,HistoricalStockProgress[[#This Row],[Total Price of Shares]]-HistoricalStockProgress[[#This Row],[Cost of Shares]],0)</f>
        <v>7453.4122078209839</v>
      </c>
      <c r="L1966" s="34" t="b" cm="1">
        <f t="array" ref="L1966">IFERROR(IF(HistoricalStockProgress[[#This Row],[Price of Shares]]="",_xlfn.STOCKHISTORY(HistoricalStockProgress[[#This Row],[Full Company Name]],HistoricalStockProgress[[#This Row],[Date]],,2,0,1)),0)</f>
        <v>0</v>
      </c>
      <c r="M1966" s="34">
        <f>YEAR(HistoricalStockProgress[[#This Row],[Date]])</f>
        <v>2025</v>
      </c>
      <c r="N1966" s="34">
        <f>MONTH(HistoricalStockProgress[[#This Row],[Date]])</f>
        <v>3</v>
      </c>
    </row>
    <row r="1967" spans="2:14">
      <c r="B1967" s="15">
        <v>45747</v>
      </c>
      <c r="C1967" s="34" t="s">
        <v>15</v>
      </c>
      <c r="D1967" s="34" t="e" vm="17">
        <f>_xlfn.XLOOKUP(HistoricalStockProgress[[#This Row],[Company Ticker]],CompanyDetailsList[Company Ticker],CompanyDetailsList[Official Name],,0)</f>
        <v>#VALUE!</v>
      </c>
      <c r="E19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19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3628.1478386140398</v>
      </c>
      <c r="G1967" s="17">
        <f>IFERROR(HistoricalStockProgress[[#This Row],[Cost of Shares]]/HistoricalStockProgress[[#This Row],[No. of Shares]],0)</f>
        <v>24.85032766174</v>
      </c>
      <c r="H1967" s="16" vm="2432">
        <v>28.28</v>
      </c>
      <c r="I1967" s="16">
        <f>IF(HistoricalStockProgress[[#This Row],[No. of Shares]]&lt;&gt;0,HistoricalStockProgress[[#This Row],[Price of Shares]]*HistoricalStockProgress[[#This Row],[No. of Shares]],0)</f>
        <v>4128.88</v>
      </c>
      <c r="J1967" s="16">
        <f>IF(HistoricalStockProgress[[#This Row],[No. of Shares]]&lt;&gt;0,HistoricalStockProgress[[#This Row],[Price of Shares]]-HistoricalStockProgress[[#This Row],[Cost of Shares]]/HistoricalStockProgress[[#This Row],[No. of Shares]],0)</f>
        <v>3.4296723382600014</v>
      </c>
      <c r="K1967" s="17">
        <f>IF(HistoricalStockProgress[[#This Row],[Total Price of Shares]]&lt;&gt;0,HistoricalStockProgress[[#This Row],[Total Price of Shares]]-HistoricalStockProgress[[#This Row],[Cost of Shares]],0)</f>
        <v>500.73216138596035</v>
      </c>
      <c r="L1967" s="34" t="b" cm="1">
        <f t="array" ref="L1967">IFERROR(IF(HistoricalStockProgress[[#This Row],[Price of Shares]]="",_xlfn.STOCKHISTORY(HistoricalStockProgress[[#This Row],[Full Company Name]],HistoricalStockProgress[[#This Row],[Date]],,2,0,1)),0)</f>
        <v>0</v>
      </c>
      <c r="M1967" s="34">
        <f>YEAR(HistoricalStockProgress[[#This Row],[Date]])</f>
        <v>2025</v>
      </c>
      <c r="N1967" s="34">
        <f>MONTH(HistoricalStockProgress[[#This Row],[Date]])</f>
        <v>3</v>
      </c>
    </row>
    <row r="1968" spans="2:14">
      <c r="B1968" s="15">
        <v>45747</v>
      </c>
      <c r="C1968" s="34" t="s">
        <v>13</v>
      </c>
      <c r="D1968" s="34" t="e" vm="18">
        <f>_xlfn.XLOOKUP(HistoricalStockProgress[[#This Row],[Company Ticker]],CompanyDetailsList[Company Ticker],CompanyDetailsList[Official Name],,0)</f>
        <v>#VALUE!</v>
      </c>
      <c r="E19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115</v>
      </c>
      <c r="F19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3682.4466352500076</v>
      </c>
      <c r="G1968" s="17">
        <f>IFERROR(HistoricalStockProgress[[#This Row],[Cost of Shares]]/HistoricalStockProgress[[#This Row],[No. of Shares]],0)</f>
        <v>32.021275089130498</v>
      </c>
      <c r="H1968" s="16" vm="2433">
        <v>25.34</v>
      </c>
      <c r="I1968" s="16">
        <f>IF(HistoricalStockProgress[[#This Row],[No. of Shares]]&lt;&gt;0,HistoricalStockProgress[[#This Row],[Price of Shares]]*HistoricalStockProgress[[#This Row],[No. of Shares]],0)</f>
        <v>2914.1</v>
      </c>
      <c r="J1968" s="16">
        <f>IF(HistoricalStockProgress[[#This Row],[No. of Shares]]&lt;&gt;0,HistoricalStockProgress[[#This Row],[Price of Shares]]-HistoricalStockProgress[[#This Row],[Cost of Shares]]/HistoricalStockProgress[[#This Row],[No. of Shares]],0)</f>
        <v>-6.6812750891304979</v>
      </c>
      <c r="K1968" s="17">
        <f>IF(HistoricalStockProgress[[#This Row],[Total Price of Shares]]&lt;&gt;0,HistoricalStockProgress[[#This Row],[Total Price of Shares]]-HistoricalStockProgress[[#This Row],[Cost of Shares]],0)</f>
        <v>-768.34663525000769</v>
      </c>
      <c r="L1968" s="34" t="b" cm="1">
        <f t="array" ref="L1968">IFERROR(IF(HistoricalStockProgress[[#This Row],[Price of Shares]]="",_xlfn.STOCKHISTORY(HistoricalStockProgress[[#This Row],[Full Company Name]],HistoricalStockProgress[[#This Row],[Date]],,2,0,1)),0)</f>
        <v>0</v>
      </c>
      <c r="M1968" s="34">
        <f>YEAR(HistoricalStockProgress[[#This Row],[Date]])</f>
        <v>2025</v>
      </c>
      <c r="N1968" s="34">
        <f>MONTH(HistoricalStockProgress[[#This Row],[Date]])</f>
        <v>3</v>
      </c>
    </row>
    <row r="1969" spans="2:14">
      <c r="B1969" s="15">
        <v>45747</v>
      </c>
      <c r="C1969" s="34" t="s">
        <v>20</v>
      </c>
      <c r="D1969" s="34" t="e" vm="19">
        <f>_xlfn.XLOOKUP(HistoricalStockProgress[[#This Row],[Company Ticker]],CompanyDetailsList[Company Ticker],CompanyDetailsList[Official Name],,0)</f>
        <v>#VALUE!</v>
      </c>
      <c r="E19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9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969" s="17">
        <f>IFERROR(HistoricalStockProgress[[#This Row],[Cost of Shares]]/HistoricalStockProgress[[#This Row],[No. of Shares]],0)</f>
        <v>108.1760767450256</v>
      </c>
      <c r="H1969" s="16" vm="2434">
        <v>245.3</v>
      </c>
      <c r="I1969" s="16">
        <f>IF(HistoricalStockProgress[[#This Row],[No. of Shares]]&lt;&gt;0,HistoricalStockProgress[[#This Row],[Price of Shares]]*HistoricalStockProgress[[#This Row],[No. of Shares]],0)</f>
        <v>28454.800000000003</v>
      </c>
      <c r="J1969" s="16">
        <f>IF(HistoricalStockProgress[[#This Row],[No. of Shares]]&lt;&gt;0,HistoricalStockProgress[[#This Row],[Price of Shares]]-HistoricalStockProgress[[#This Row],[Cost of Shares]]/HistoricalStockProgress[[#This Row],[No. of Shares]],0)</f>
        <v>137.12392325497441</v>
      </c>
      <c r="K1969" s="17">
        <f>IF(HistoricalStockProgress[[#This Row],[Total Price of Shares]]&lt;&gt;0,HistoricalStockProgress[[#This Row],[Total Price of Shares]]-HistoricalStockProgress[[#This Row],[Cost of Shares]],0)</f>
        <v>15906.375097577034</v>
      </c>
      <c r="L1969" s="34" t="b" cm="1">
        <f t="array" ref="L1969">IFERROR(IF(HistoricalStockProgress[[#This Row],[Price of Shares]]="",_xlfn.STOCKHISTORY(HistoricalStockProgress[[#This Row],[Full Company Name]],HistoricalStockProgress[[#This Row],[Date]],,2,0,1)),0)</f>
        <v>0</v>
      </c>
      <c r="M1969" s="34">
        <f>YEAR(HistoricalStockProgress[[#This Row],[Date]])</f>
        <v>2025</v>
      </c>
      <c r="N1969" s="34">
        <f>MONTH(HistoricalStockProgress[[#This Row],[Date]])</f>
        <v>3</v>
      </c>
    </row>
    <row r="1970" spans="2:14">
      <c r="B1970" s="15">
        <v>45747</v>
      </c>
      <c r="C1970" s="34" t="s">
        <v>106</v>
      </c>
      <c r="D1970" s="34" t="e" vm="20">
        <f>_xlfn.XLOOKUP(HistoricalStockProgress[[#This Row],[Company Ticker]],CompanyDetailsList[Company Ticker],CompanyDetailsList[Official Name],,0)</f>
        <v>#VALUE!</v>
      </c>
      <c r="E19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9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970" s="17">
        <f>IFERROR(HistoricalStockProgress[[#This Row],[Cost of Shares]]/HistoricalStockProgress[[#This Row],[No. of Shares]],0)</f>
        <v>108.54870748680406</v>
      </c>
      <c r="H1970" s="16" vm="2435">
        <v>109.35</v>
      </c>
      <c r="I1970" s="16">
        <f>IF(HistoricalStockProgress[[#This Row],[No. of Shares]]&lt;&gt;0,HistoricalStockProgress[[#This Row],[Price of Shares]]*HistoricalStockProgress[[#This Row],[No. of Shares]],0)</f>
        <v>9622.7999999999993</v>
      </c>
      <c r="J1970" s="16">
        <f>IF(HistoricalStockProgress[[#This Row],[No. of Shares]]&lt;&gt;0,HistoricalStockProgress[[#This Row],[Price of Shares]]-HistoricalStockProgress[[#This Row],[Cost of Shares]]/HistoricalStockProgress[[#This Row],[No. of Shares]],0)</f>
        <v>0.80129251319593209</v>
      </c>
      <c r="K1970" s="17">
        <f>IF(HistoricalStockProgress[[#This Row],[Total Price of Shares]]&lt;&gt;0,HistoricalStockProgress[[#This Row],[Total Price of Shares]]-HistoricalStockProgress[[#This Row],[Cost of Shares]],0)</f>
        <v>70.513741161241342</v>
      </c>
      <c r="L1970" s="34" t="b" cm="1">
        <f t="array" ref="L1970">IFERROR(IF(HistoricalStockProgress[[#This Row],[Price of Shares]]="",_xlfn.STOCKHISTORY(HistoricalStockProgress[[#This Row],[Full Company Name]],HistoricalStockProgress[[#This Row],[Date]],,2,0,1)),0)</f>
        <v>0</v>
      </c>
      <c r="M1970" s="34">
        <f>YEAR(HistoricalStockProgress[[#This Row],[Date]])</f>
        <v>2025</v>
      </c>
      <c r="N1970" s="34">
        <f>MONTH(HistoricalStockProgress[[#This Row],[Date]])</f>
        <v>3</v>
      </c>
    </row>
    <row r="1971" spans="2:14">
      <c r="B1971" s="15">
        <v>45777</v>
      </c>
      <c r="C1971" s="34" t="s">
        <v>12</v>
      </c>
      <c r="D1971" s="34" t="e" vm="1">
        <f>_xlfn.XLOOKUP(HistoricalStockProgress[[#This Row],[Company Ticker]],CompanyDetailsList[Company Ticker],CompanyDetailsList[Official Name],,0)</f>
        <v>#VALUE!</v>
      </c>
      <c r="E19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9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971" s="17">
        <f>IFERROR(HistoricalStockProgress[[#This Row],[Cost of Shares]]/HistoricalStockProgress[[#This Row],[No. of Shares]],0)</f>
        <v>64.573985995316889</v>
      </c>
      <c r="H1971" s="16" vm="1417">
        <v>57.86</v>
      </c>
      <c r="I1971" s="16">
        <f>IF(HistoricalStockProgress[[#This Row],[No. of Shares]]&lt;&gt;0,HistoricalStockProgress[[#This Row],[Price of Shares]]*HistoricalStockProgress[[#This Row],[No. of Shares]],0)</f>
        <v>5612.42</v>
      </c>
      <c r="J1971" s="16">
        <f>IF(HistoricalStockProgress[[#This Row],[No. of Shares]]&lt;&gt;0,HistoricalStockProgress[[#This Row],[Price of Shares]]-HistoricalStockProgress[[#This Row],[Cost of Shares]]/HistoricalStockProgress[[#This Row],[No. of Shares]],0)</f>
        <v>-6.7139859953168894</v>
      </c>
      <c r="K1971" s="17">
        <f>IF(HistoricalStockProgress[[#This Row],[Total Price of Shares]]&lt;&gt;0,HistoricalStockProgress[[#This Row],[Total Price of Shares]]-HistoricalStockProgress[[#This Row],[Cost of Shares]],0)</f>
        <v>-651.25664154573769</v>
      </c>
      <c r="L1971" s="34" t="b" cm="1">
        <f t="array" ref="L1971">IFERROR(IF(HistoricalStockProgress[[#This Row],[Price of Shares]]="",_xlfn.STOCKHISTORY(HistoricalStockProgress[[#This Row],[Full Company Name]],HistoricalStockProgress[[#This Row],[Date]],,2,0,1)),0)</f>
        <v>0</v>
      </c>
      <c r="M1971" s="34">
        <f>YEAR(HistoricalStockProgress[[#This Row],[Date]])</f>
        <v>2025</v>
      </c>
      <c r="N1971" s="34">
        <f>MONTH(HistoricalStockProgress[[#This Row],[Date]])</f>
        <v>4</v>
      </c>
    </row>
    <row r="1972" spans="2:14">
      <c r="B1972" s="15">
        <v>45777</v>
      </c>
      <c r="C1972" s="34" t="s">
        <v>14</v>
      </c>
      <c r="D1972" s="34" t="e" vm="2">
        <f>_xlfn.XLOOKUP(HistoricalStockProgress[[#This Row],[Company Ticker]],CompanyDetailsList[Company Ticker],CompanyDetailsList[Official Name],,0)</f>
        <v>#VALUE!</v>
      </c>
      <c r="E19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19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1972" s="17">
        <f>IFERROR(HistoricalStockProgress[[#This Row],[Cost of Shares]]/HistoricalStockProgress[[#This Row],[No. of Shares]],0)</f>
        <v>26.819337355148658</v>
      </c>
      <c r="H1972" s="16" vm="2436">
        <v>29.34</v>
      </c>
      <c r="I1972" s="16">
        <f>IF(HistoricalStockProgress[[#This Row],[No. of Shares]]&lt;&gt;0,HistoricalStockProgress[[#This Row],[Price of Shares]]*HistoricalStockProgress[[#This Row],[No. of Shares]],0)</f>
        <v>1848.42</v>
      </c>
      <c r="J1972" s="16">
        <f>IF(HistoricalStockProgress[[#This Row],[No. of Shares]]&lt;&gt;0,HistoricalStockProgress[[#This Row],[Price of Shares]]-HistoricalStockProgress[[#This Row],[Cost of Shares]]/HistoricalStockProgress[[#This Row],[No. of Shares]],0)</f>
        <v>2.5206626448513418</v>
      </c>
      <c r="K1972" s="17">
        <f>IF(HistoricalStockProgress[[#This Row],[Total Price of Shares]]&lt;&gt;0,HistoricalStockProgress[[#This Row],[Total Price of Shares]]-HistoricalStockProgress[[#This Row],[Cost of Shares]],0)</f>
        <v>158.80174662563468</v>
      </c>
      <c r="L1972" s="34" t="b" cm="1">
        <f t="array" ref="L1972">IFERROR(IF(HistoricalStockProgress[[#This Row],[Price of Shares]]="",_xlfn.STOCKHISTORY(HistoricalStockProgress[[#This Row],[Full Company Name]],HistoricalStockProgress[[#This Row],[Date]],,2,0,1)),0)</f>
        <v>0</v>
      </c>
      <c r="M1972" s="34">
        <f>YEAR(HistoricalStockProgress[[#This Row],[Date]])</f>
        <v>2025</v>
      </c>
      <c r="N1972" s="34">
        <f>MONTH(HistoricalStockProgress[[#This Row],[Date]])</f>
        <v>4</v>
      </c>
    </row>
    <row r="1973" spans="2:14">
      <c r="B1973" s="15">
        <v>45777</v>
      </c>
      <c r="C1973" s="34" t="s">
        <v>19</v>
      </c>
      <c r="D1973" s="34" t="e" vm="3">
        <f>_xlfn.XLOOKUP(HistoricalStockProgress[[#This Row],[Company Ticker]],CompanyDetailsList[Company Ticker],CompanyDetailsList[Official Name],,0)</f>
        <v>#VALUE!</v>
      </c>
      <c r="E19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19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1973" s="17">
        <f>IFERROR(HistoricalStockProgress[[#This Row],[Cost of Shares]]/HistoricalStockProgress[[#This Row],[No. of Shares]],0)</f>
        <v>160.12652821044301</v>
      </c>
      <c r="H1973" s="16" vm="2437">
        <v>142.30000000000001</v>
      </c>
      <c r="I1973" s="16">
        <f>IF(HistoricalStockProgress[[#This Row],[No. of Shares]]&lt;&gt;0,HistoricalStockProgress[[#This Row],[Price of Shares]]*HistoricalStockProgress[[#This Row],[No. of Shares]],0)</f>
        <v>12237.800000000001</v>
      </c>
      <c r="J1973" s="16">
        <f>IF(HistoricalStockProgress[[#This Row],[No. of Shares]]&lt;&gt;0,HistoricalStockProgress[[#This Row],[Price of Shares]]-HistoricalStockProgress[[#This Row],[Cost of Shares]]/HistoricalStockProgress[[#This Row],[No. of Shares]],0)</f>
        <v>-17.826528210443001</v>
      </c>
      <c r="K1973" s="17">
        <f>IF(HistoricalStockProgress[[#This Row],[Total Price of Shares]]&lt;&gt;0,HistoricalStockProgress[[#This Row],[Total Price of Shares]]-HistoricalStockProgress[[#This Row],[Cost of Shares]],0)</f>
        <v>-1533.0814260980969</v>
      </c>
      <c r="L1973" s="34" t="b" cm="1">
        <f t="array" ref="L1973">IFERROR(IF(HistoricalStockProgress[[#This Row],[Price of Shares]]="",_xlfn.STOCKHISTORY(HistoricalStockProgress[[#This Row],[Full Company Name]],HistoricalStockProgress[[#This Row],[Date]],,2,0,1)),0)</f>
        <v>0</v>
      </c>
      <c r="M1973" s="34">
        <f>YEAR(HistoricalStockProgress[[#This Row],[Date]])</f>
        <v>2025</v>
      </c>
      <c r="N1973" s="34">
        <f>MONTH(HistoricalStockProgress[[#This Row],[Date]])</f>
        <v>4</v>
      </c>
    </row>
    <row r="1974" spans="2:14">
      <c r="B1974" s="15">
        <v>45777</v>
      </c>
      <c r="C1974" s="34" t="s">
        <v>23</v>
      </c>
      <c r="D1974" s="34" t="e" vm="4">
        <f>_xlfn.XLOOKUP(HistoricalStockProgress[[#This Row],[Company Ticker]],CompanyDetailsList[Company Ticker],CompanyDetailsList[Official Name],,0)</f>
        <v>#VALUE!</v>
      </c>
      <c r="E19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19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1974" s="17">
        <f>IFERROR(HistoricalStockProgress[[#This Row],[Cost of Shares]]/HistoricalStockProgress[[#This Row],[No. of Shares]],0)</f>
        <v>50.781277236510277</v>
      </c>
      <c r="H1974" s="16" vm="2438">
        <v>72.55</v>
      </c>
      <c r="I1974" s="16">
        <f>IF(HistoricalStockProgress[[#This Row],[No. of Shares]]&lt;&gt;0,HistoricalStockProgress[[#This Row],[Price of Shares]]*HistoricalStockProgress[[#This Row],[No. of Shares]],0)</f>
        <v>8488.35</v>
      </c>
      <c r="J1974" s="16">
        <f>IF(HistoricalStockProgress[[#This Row],[No. of Shares]]&lt;&gt;0,HistoricalStockProgress[[#This Row],[Price of Shares]]-HistoricalStockProgress[[#This Row],[Cost of Shares]]/HistoricalStockProgress[[#This Row],[No. of Shares]],0)</f>
        <v>21.76872276348972</v>
      </c>
      <c r="K1974" s="17">
        <f>IF(HistoricalStockProgress[[#This Row],[Total Price of Shares]]&lt;&gt;0,HistoricalStockProgress[[#This Row],[Total Price of Shares]]-HistoricalStockProgress[[#This Row],[Cost of Shares]],0)</f>
        <v>2546.9405633282977</v>
      </c>
      <c r="L1974" s="34" t="b" cm="1">
        <f t="array" ref="L1974">IFERROR(IF(HistoricalStockProgress[[#This Row],[Price of Shares]]="",_xlfn.STOCKHISTORY(HistoricalStockProgress[[#This Row],[Full Company Name]],HistoricalStockProgress[[#This Row],[Date]],,2,0,1)),0)</f>
        <v>0</v>
      </c>
      <c r="M1974" s="34">
        <f>YEAR(HistoricalStockProgress[[#This Row],[Date]])</f>
        <v>2025</v>
      </c>
      <c r="N1974" s="34">
        <f>MONTH(HistoricalStockProgress[[#This Row],[Date]])</f>
        <v>4</v>
      </c>
    </row>
    <row r="1975" spans="2:14">
      <c r="B1975" s="15">
        <v>45777</v>
      </c>
      <c r="C1975" s="34" t="s">
        <v>18</v>
      </c>
      <c r="D1975" s="34" t="e" vm="5">
        <f>_xlfn.XLOOKUP(HistoricalStockProgress[[#This Row],[Company Ticker]],CompanyDetailsList[Company Ticker],CompanyDetailsList[Official Name],,0)</f>
        <v>#VALUE!</v>
      </c>
      <c r="E19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9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975" s="17">
        <f>IFERROR(HistoricalStockProgress[[#This Row],[Cost of Shares]]/HistoricalStockProgress[[#This Row],[No. of Shares]],0)</f>
        <v>160.8859607546234</v>
      </c>
      <c r="H1975" s="16" vm="2439">
        <v>135.58000000000001</v>
      </c>
      <c r="I1975" s="16">
        <f>IF(HistoricalStockProgress[[#This Row],[No. of Shares]]&lt;&gt;0,HistoricalStockProgress[[#This Row],[Price of Shares]]*HistoricalStockProgress[[#This Row],[No. of Shares]],0)</f>
        <v>5829.9400000000005</v>
      </c>
      <c r="J1975" s="16">
        <f>IF(HistoricalStockProgress[[#This Row],[No. of Shares]]&lt;&gt;0,HistoricalStockProgress[[#This Row],[Price of Shares]]-HistoricalStockProgress[[#This Row],[Cost of Shares]]/HistoricalStockProgress[[#This Row],[No. of Shares]],0)</f>
        <v>-25.305960754623385</v>
      </c>
      <c r="K1975" s="17">
        <f>IF(HistoricalStockProgress[[#This Row],[Total Price of Shares]]&lt;&gt;0,HistoricalStockProgress[[#This Row],[Total Price of Shares]]-HistoricalStockProgress[[#This Row],[Cost of Shares]],0)</f>
        <v>-1088.1563124488057</v>
      </c>
      <c r="L1975" s="34" t="b" cm="1">
        <f t="array" ref="L1975">IFERROR(IF(HistoricalStockProgress[[#This Row],[Price of Shares]]="",_xlfn.STOCKHISTORY(HistoricalStockProgress[[#This Row],[Full Company Name]],HistoricalStockProgress[[#This Row],[Date]],,2,0,1)),0)</f>
        <v>0</v>
      </c>
      <c r="M1975" s="34">
        <f>YEAR(HistoricalStockProgress[[#This Row],[Date]])</f>
        <v>2025</v>
      </c>
      <c r="N1975" s="34">
        <f>MONTH(HistoricalStockProgress[[#This Row],[Date]])</f>
        <v>4</v>
      </c>
    </row>
    <row r="1976" spans="2:14">
      <c r="B1976" s="15">
        <v>45777</v>
      </c>
      <c r="C1976" s="34" t="s">
        <v>21</v>
      </c>
      <c r="D1976" s="34" t="e" vm="6">
        <f>_xlfn.XLOOKUP(HistoricalStockProgress[[#This Row],[Company Ticker]],CompanyDetailsList[Company Ticker],CompanyDetailsList[Official Name],,0)</f>
        <v>#VALUE!</v>
      </c>
      <c r="E19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49</v>
      </c>
      <c r="F19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7099.5799078510599</v>
      </c>
      <c r="G1976" s="17">
        <f>IFERROR(HistoricalStockProgress[[#This Row],[Cost of Shares]]/HistoricalStockProgress[[#This Row],[No. of Shares]],0)</f>
        <v>144.88938587451142</v>
      </c>
      <c r="H1976" s="16" vm="2440">
        <v>162.57</v>
      </c>
      <c r="I1976" s="16">
        <f>IF(HistoricalStockProgress[[#This Row],[No. of Shares]]&lt;&gt;0,HistoricalStockProgress[[#This Row],[Price of Shares]]*HistoricalStockProgress[[#This Row],[No. of Shares]],0)</f>
        <v>7965.9299999999994</v>
      </c>
      <c r="J1976" s="16">
        <f>IF(HistoricalStockProgress[[#This Row],[No. of Shares]]&lt;&gt;0,HistoricalStockProgress[[#This Row],[Price of Shares]]-HistoricalStockProgress[[#This Row],[Cost of Shares]]/HistoricalStockProgress[[#This Row],[No. of Shares]],0)</f>
        <v>17.680614125488574</v>
      </c>
      <c r="K1976" s="17">
        <f>IF(HistoricalStockProgress[[#This Row],[Total Price of Shares]]&lt;&gt;0,HistoricalStockProgress[[#This Row],[Total Price of Shares]]-HistoricalStockProgress[[#This Row],[Cost of Shares]],0)</f>
        <v>866.35009214893944</v>
      </c>
      <c r="L1976" s="34" t="b" cm="1">
        <f t="array" ref="L1976">IFERROR(IF(HistoricalStockProgress[[#This Row],[Price of Shares]]="",_xlfn.STOCKHISTORY(HistoricalStockProgress[[#This Row],[Full Company Name]],HistoricalStockProgress[[#This Row],[Date]],,2,0,1)),0)</f>
        <v>0</v>
      </c>
      <c r="M1976" s="34">
        <f>YEAR(HistoricalStockProgress[[#This Row],[Date]])</f>
        <v>2025</v>
      </c>
      <c r="N1976" s="34">
        <f>MONTH(HistoricalStockProgress[[#This Row],[Date]])</f>
        <v>4</v>
      </c>
    </row>
    <row r="1977" spans="2:14">
      <c r="B1977" s="15">
        <v>45777</v>
      </c>
      <c r="C1977" s="34" t="s">
        <v>84</v>
      </c>
      <c r="D1977" s="34" t="e" vm="7">
        <f>_xlfn.XLOOKUP(HistoricalStockProgress[[#This Row],[Company Ticker]],CompanyDetailsList[Company Ticker],CompanyDetailsList[Official Name],,0)</f>
        <v>#VALUE!</v>
      </c>
      <c r="E19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9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977" s="17">
        <f>IFERROR(HistoricalStockProgress[[#This Row],[Cost of Shares]]/HistoricalStockProgress[[#This Row],[No. of Shares]],0)</f>
        <v>104.18087504950869</v>
      </c>
      <c r="H1977" s="16" vm="2441">
        <v>156.31</v>
      </c>
      <c r="I1977" s="16">
        <f>IF(HistoricalStockProgress[[#This Row],[No. of Shares]]&lt;&gt;0,HistoricalStockProgress[[#This Row],[Price of Shares]]*HistoricalStockProgress[[#This Row],[No. of Shares]],0)</f>
        <v>7971.81</v>
      </c>
      <c r="J1977" s="16">
        <f>IF(HistoricalStockProgress[[#This Row],[No. of Shares]]&lt;&gt;0,HistoricalStockProgress[[#This Row],[Price of Shares]]-HistoricalStockProgress[[#This Row],[Cost of Shares]]/HistoricalStockProgress[[#This Row],[No. of Shares]],0)</f>
        <v>52.129124950491317</v>
      </c>
      <c r="K1977" s="17">
        <f>IF(HistoricalStockProgress[[#This Row],[Total Price of Shares]]&lt;&gt;0,HistoricalStockProgress[[#This Row],[Total Price of Shares]]-HistoricalStockProgress[[#This Row],[Cost of Shares]],0)</f>
        <v>2658.5853724750577</v>
      </c>
      <c r="L1977" s="34" t="b" cm="1">
        <f t="array" ref="L1977">IFERROR(IF(HistoricalStockProgress[[#This Row],[Price of Shares]]="",_xlfn.STOCKHISTORY(HistoricalStockProgress[[#This Row],[Full Company Name]],HistoricalStockProgress[[#This Row],[Date]],,2,0,1)),0)</f>
        <v>0</v>
      </c>
      <c r="M1977" s="34">
        <f>YEAR(HistoricalStockProgress[[#This Row],[Date]])</f>
        <v>2025</v>
      </c>
      <c r="N1977" s="34">
        <f>MONTH(HistoricalStockProgress[[#This Row],[Date]])</f>
        <v>4</v>
      </c>
    </row>
    <row r="1978" spans="2:14">
      <c r="B1978" s="15">
        <v>45777</v>
      </c>
      <c r="C1978" s="34" t="s">
        <v>86</v>
      </c>
      <c r="D1978" s="34" t="e" vm="8">
        <f>_xlfn.XLOOKUP(HistoricalStockProgress[[#This Row],[Company Ticker]],CompanyDetailsList[Company Ticker],CompanyDetailsList[Official Name],,0)</f>
        <v>#VALUE!</v>
      </c>
      <c r="E19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19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1978" s="17">
        <f>IFERROR(HistoricalStockProgress[[#This Row],[Cost of Shares]]/HistoricalStockProgress[[#This Row],[No. of Shares]],0)</f>
        <v>115.48970647877745</v>
      </c>
      <c r="H1978" s="16" vm="973">
        <v>195.1</v>
      </c>
      <c r="I1978" s="16">
        <f>IF(HistoricalStockProgress[[#This Row],[No. of Shares]]&lt;&gt;0,HistoricalStockProgress[[#This Row],[Price of Shares]]*HistoricalStockProgress[[#This Row],[No. of Shares]],0)</f>
        <v>29655.200000000001</v>
      </c>
      <c r="J1978" s="16">
        <f>IF(HistoricalStockProgress[[#This Row],[No. of Shares]]&lt;&gt;0,HistoricalStockProgress[[#This Row],[Price of Shares]]-HistoricalStockProgress[[#This Row],[Cost of Shares]]/HistoricalStockProgress[[#This Row],[No. of Shares]],0)</f>
        <v>79.610293521222545</v>
      </c>
      <c r="K1978" s="17">
        <f>IF(HistoricalStockProgress[[#This Row],[Total Price of Shares]]&lt;&gt;0,HistoricalStockProgress[[#This Row],[Total Price of Shares]]-HistoricalStockProgress[[#This Row],[Cost of Shares]],0)</f>
        <v>12100.764615225828</v>
      </c>
      <c r="L1978" s="34" t="b" cm="1">
        <f t="array" ref="L1978">IFERROR(IF(HistoricalStockProgress[[#This Row],[Price of Shares]]="",_xlfn.STOCKHISTORY(HistoricalStockProgress[[#This Row],[Full Company Name]],HistoricalStockProgress[[#This Row],[Date]],,2,0,1)),0)</f>
        <v>0</v>
      </c>
      <c r="M1978" s="34">
        <f>YEAR(HistoricalStockProgress[[#This Row],[Date]])</f>
        <v>2025</v>
      </c>
      <c r="N1978" s="34">
        <f>MONTH(HistoricalStockProgress[[#This Row],[Date]])</f>
        <v>4</v>
      </c>
    </row>
    <row r="1979" spans="2:14">
      <c r="B1979" s="15">
        <v>45777</v>
      </c>
      <c r="C1979" s="34" t="s">
        <v>88</v>
      </c>
      <c r="D1979" s="34" t="e" vm="9">
        <f>_xlfn.XLOOKUP(HistoricalStockProgress[[#This Row],[Company Ticker]],CompanyDetailsList[Company Ticker],CompanyDetailsList[Official Name],,0)</f>
        <v>#VALUE!</v>
      </c>
      <c r="E19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19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1979" s="17">
        <f>IFERROR(HistoricalStockProgress[[#This Row],[Cost of Shares]]/HistoricalStockProgress[[#This Row],[No. of Shares]],0)</f>
        <v>224.7272684493652</v>
      </c>
      <c r="H1979" s="16" vm="2442">
        <v>319.64999999999998</v>
      </c>
      <c r="I1979" s="16">
        <f>IF(HistoricalStockProgress[[#This Row],[No. of Shares]]&lt;&gt;0,HistoricalStockProgress[[#This Row],[Price of Shares]]*HistoricalStockProgress[[#This Row],[No. of Shares]],0)</f>
        <v>30366.749999999996</v>
      </c>
      <c r="J1979" s="16">
        <f>IF(HistoricalStockProgress[[#This Row],[No. of Shares]]&lt;&gt;0,HistoricalStockProgress[[#This Row],[Price of Shares]]-HistoricalStockProgress[[#This Row],[Cost of Shares]]/HistoricalStockProgress[[#This Row],[No. of Shares]],0)</f>
        <v>94.922731550634779</v>
      </c>
      <c r="K1979" s="17">
        <f>IF(HistoricalStockProgress[[#This Row],[Total Price of Shares]]&lt;&gt;0,HistoricalStockProgress[[#This Row],[Total Price of Shares]]-HistoricalStockProgress[[#This Row],[Cost of Shares]],0)</f>
        <v>9017.659497310302</v>
      </c>
      <c r="L1979" s="34" t="b" cm="1">
        <f t="array" ref="L1979">IFERROR(IF(HistoricalStockProgress[[#This Row],[Price of Shares]]="",_xlfn.STOCKHISTORY(HistoricalStockProgress[[#This Row],[Full Company Name]],HistoricalStockProgress[[#This Row],[Date]],,2,0,1)),0)</f>
        <v>0</v>
      </c>
      <c r="M1979" s="34">
        <f>YEAR(HistoricalStockProgress[[#This Row],[Date]])</f>
        <v>2025</v>
      </c>
      <c r="N1979" s="34">
        <f>MONTH(HistoricalStockProgress[[#This Row],[Date]])</f>
        <v>4</v>
      </c>
    </row>
    <row r="1980" spans="2:14">
      <c r="B1980" s="15">
        <v>45777</v>
      </c>
      <c r="C1980" s="34" t="s">
        <v>22</v>
      </c>
      <c r="D1980" s="34" t="e" vm="10">
        <f>_xlfn.XLOOKUP(HistoricalStockProgress[[#This Row],[Company Ticker]],CompanyDetailsList[Company Ticker],CompanyDetailsList[Official Name],,0)</f>
        <v>#VALUE!</v>
      </c>
      <c r="E19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19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1980" s="17">
        <f>IFERROR(HistoricalStockProgress[[#This Row],[Cost of Shares]]/HistoricalStockProgress[[#This Row],[No. of Shares]],0)</f>
        <v>130.19784136724968</v>
      </c>
      <c r="H1980" s="16" vm="2443">
        <v>309.27</v>
      </c>
      <c r="I1980" s="16">
        <f>IF(HistoricalStockProgress[[#This Row],[No. of Shares]]&lt;&gt;0,HistoricalStockProgress[[#This Row],[Price of Shares]]*HistoricalStockProgress[[#This Row],[No. of Shares]],0)</f>
        <v>36803.129999999997</v>
      </c>
      <c r="J1980" s="16">
        <f>IF(HistoricalStockProgress[[#This Row],[No. of Shares]]&lt;&gt;0,HistoricalStockProgress[[#This Row],[Price of Shares]]-HistoricalStockProgress[[#This Row],[Cost of Shares]]/HistoricalStockProgress[[#This Row],[No. of Shares]],0)</f>
        <v>179.0721586327503</v>
      </c>
      <c r="K1980" s="17">
        <f>IF(HistoricalStockProgress[[#This Row],[Total Price of Shares]]&lt;&gt;0,HistoricalStockProgress[[#This Row],[Total Price of Shares]]-HistoricalStockProgress[[#This Row],[Cost of Shares]],0)</f>
        <v>21309.586877297283</v>
      </c>
      <c r="L1980" s="34" t="b" cm="1">
        <f t="array" ref="L1980">IFERROR(IF(HistoricalStockProgress[[#This Row],[Price of Shares]]="",_xlfn.STOCKHISTORY(HistoricalStockProgress[[#This Row],[Full Company Name]],HistoricalStockProgress[[#This Row],[Date]],,2,0,1)),0)</f>
        <v>0</v>
      </c>
      <c r="M1980" s="34">
        <f>YEAR(HistoricalStockProgress[[#This Row],[Date]])</f>
        <v>2025</v>
      </c>
      <c r="N1980" s="34">
        <f>MONTH(HistoricalStockProgress[[#This Row],[Date]])</f>
        <v>4</v>
      </c>
    </row>
    <row r="1981" spans="2:14">
      <c r="B1981" s="15">
        <v>45777</v>
      </c>
      <c r="C1981" s="34" t="s">
        <v>91</v>
      </c>
      <c r="D1981" s="34" t="e" vm="11">
        <f>_xlfn.XLOOKUP(HistoricalStockProgress[[#This Row],[Company Ticker]],CompanyDetailsList[Company Ticker],CompanyDetailsList[Official Name],,0)</f>
        <v>#VALUE!</v>
      </c>
      <c r="E19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206</v>
      </c>
      <c r="F19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33500.246609033078</v>
      </c>
      <c r="G1981" s="17">
        <f>IFERROR(HistoricalStockProgress[[#This Row],[Cost of Shares]]/HistoricalStockProgress[[#This Row],[No. of Shares]],0)</f>
        <v>162.62255635452951</v>
      </c>
      <c r="H1981" s="16" vm="2444">
        <v>395.26</v>
      </c>
      <c r="I1981" s="16">
        <f>IF(HistoricalStockProgress[[#This Row],[No. of Shares]]&lt;&gt;0,HistoricalStockProgress[[#This Row],[Price of Shares]]*HistoricalStockProgress[[#This Row],[No. of Shares]],0)</f>
        <v>81423.56</v>
      </c>
      <c r="J1981" s="16">
        <f>IF(HistoricalStockProgress[[#This Row],[No. of Shares]]&lt;&gt;0,HistoricalStockProgress[[#This Row],[Price of Shares]]-HistoricalStockProgress[[#This Row],[Cost of Shares]]/HistoricalStockProgress[[#This Row],[No. of Shares]],0)</f>
        <v>232.63744364547048</v>
      </c>
      <c r="K1981" s="17">
        <f>IF(HistoricalStockProgress[[#This Row],[Total Price of Shares]]&lt;&gt;0,HistoricalStockProgress[[#This Row],[Total Price of Shares]]-HistoricalStockProgress[[#This Row],[Cost of Shares]],0)</f>
        <v>47923.31339096692</v>
      </c>
      <c r="L1981" s="34" t="b" cm="1">
        <f t="array" ref="L1981">IFERROR(IF(HistoricalStockProgress[[#This Row],[Price of Shares]]="",_xlfn.STOCKHISTORY(HistoricalStockProgress[[#This Row],[Full Company Name]],HistoricalStockProgress[[#This Row],[Date]],,2,0,1)),0)</f>
        <v>0</v>
      </c>
      <c r="M1981" s="34">
        <f>YEAR(HistoricalStockProgress[[#This Row],[Date]])</f>
        <v>2025</v>
      </c>
      <c r="N1981" s="34">
        <f>MONTH(HistoricalStockProgress[[#This Row],[Date]])</f>
        <v>4</v>
      </c>
    </row>
    <row r="1982" spans="2:14">
      <c r="B1982" s="15">
        <v>45777</v>
      </c>
      <c r="C1982" s="34" t="s">
        <v>16</v>
      </c>
      <c r="D1982" s="34" t="e" vm="12">
        <f>_xlfn.XLOOKUP(HistoricalStockProgress[[#This Row],[Company Ticker]],CompanyDetailsList[Company Ticker],CompanyDetailsList[Official Name],,0)</f>
        <v>#VALUE!</v>
      </c>
      <c r="E19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19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1982" s="17">
        <f>IFERROR(HistoricalStockProgress[[#This Row],[Cost of Shares]]/HistoricalStockProgress[[#This Row],[No. of Shares]],0)</f>
        <v>75.117698177311837</v>
      </c>
      <c r="H1982" s="16" vm="2445">
        <v>105.63</v>
      </c>
      <c r="I1982" s="16">
        <f>IF(HistoricalStockProgress[[#This Row],[No. of Shares]]&lt;&gt;0,HistoricalStockProgress[[#This Row],[Price of Shares]]*HistoricalStockProgress[[#This Row],[No. of Shares]],0)</f>
        <v>19541.55</v>
      </c>
      <c r="J1982" s="16">
        <f>IF(HistoricalStockProgress[[#This Row],[No. of Shares]]&lt;&gt;0,HistoricalStockProgress[[#This Row],[Price of Shares]]-HistoricalStockProgress[[#This Row],[Cost of Shares]]/HistoricalStockProgress[[#This Row],[No. of Shares]],0)</f>
        <v>30.512301822688158</v>
      </c>
      <c r="K1982" s="17">
        <f>IF(HistoricalStockProgress[[#This Row],[Total Price of Shares]]&lt;&gt;0,HistoricalStockProgress[[#This Row],[Total Price of Shares]]-HistoricalStockProgress[[#This Row],[Cost of Shares]],0)</f>
        <v>5644.7758371973105</v>
      </c>
      <c r="L1982" s="34" t="b" cm="1">
        <f t="array" ref="L1982">IFERROR(IF(HistoricalStockProgress[[#This Row],[Price of Shares]]="",_xlfn.STOCKHISTORY(HistoricalStockProgress[[#This Row],[Full Company Name]],HistoricalStockProgress[[#This Row],[Date]],,2,0,1)),0)</f>
        <v>0</v>
      </c>
      <c r="M1982" s="34">
        <f>YEAR(HistoricalStockProgress[[#This Row],[Date]])</f>
        <v>2025</v>
      </c>
      <c r="N1982" s="34">
        <f>MONTH(HistoricalStockProgress[[#This Row],[Date]])</f>
        <v>4</v>
      </c>
    </row>
    <row r="1983" spans="2:14">
      <c r="B1983" s="15">
        <v>45777</v>
      </c>
      <c r="C1983" s="34" t="s">
        <v>95</v>
      </c>
      <c r="D1983" s="34" t="e" vm="13">
        <f>_xlfn.XLOOKUP(HistoricalStockProgress[[#This Row],[Company Ticker]],CompanyDetailsList[Company Ticker],CompanyDetailsList[Official Name],,0)</f>
        <v>#VALUE!</v>
      </c>
      <c r="E19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172</v>
      </c>
      <c r="F19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47379.162890220832</v>
      </c>
      <c r="G1983" s="17">
        <f>IFERROR(HistoricalStockProgress[[#This Row],[Cost of Shares]]/HistoricalStockProgress[[#This Row],[No. of Shares]],0)</f>
        <v>275.46024936174905</v>
      </c>
      <c r="H1983" s="16" vm="2446">
        <v>360.49</v>
      </c>
      <c r="I1983" s="16">
        <f>IF(HistoricalStockProgress[[#This Row],[No. of Shares]]&lt;&gt;0,HistoricalStockProgress[[#This Row],[Price of Shares]]*HistoricalStockProgress[[#This Row],[No. of Shares]],0)</f>
        <v>62004.28</v>
      </c>
      <c r="J1983" s="16">
        <f>IF(HistoricalStockProgress[[#This Row],[No. of Shares]]&lt;&gt;0,HistoricalStockProgress[[#This Row],[Price of Shares]]-HistoricalStockProgress[[#This Row],[Cost of Shares]]/HistoricalStockProgress[[#This Row],[No. of Shares]],0)</f>
        <v>85.02975063825096</v>
      </c>
      <c r="K1983" s="17">
        <f>IF(HistoricalStockProgress[[#This Row],[Total Price of Shares]]&lt;&gt;0,HistoricalStockProgress[[#This Row],[Total Price of Shares]]-HistoricalStockProgress[[#This Row],[Cost of Shares]],0)</f>
        <v>14625.117109779167</v>
      </c>
      <c r="L1983" s="34" t="b" cm="1">
        <f t="array" ref="L1983">IFERROR(IF(HistoricalStockProgress[[#This Row],[Price of Shares]]="",_xlfn.STOCKHISTORY(HistoricalStockProgress[[#This Row],[Full Company Name]],HistoricalStockProgress[[#This Row],[Date]],,2,0,1)),0)</f>
        <v>0</v>
      </c>
      <c r="M1983" s="34">
        <f>YEAR(HistoricalStockProgress[[#This Row],[Date]])</f>
        <v>2025</v>
      </c>
      <c r="N1983" s="34">
        <f>MONTH(HistoricalStockProgress[[#This Row],[Date]])</f>
        <v>4</v>
      </c>
    </row>
    <row r="1984" spans="2:14">
      <c r="B1984" s="15">
        <v>45777</v>
      </c>
      <c r="C1984" s="34" t="s">
        <v>17</v>
      </c>
      <c r="D1984" s="34" t="e" vm="14">
        <f>_xlfn.XLOOKUP(HistoricalStockProgress[[#This Row],[Company Ticker]],CompanyDetailsList[Company Ticker],CompanyDetailsList[Official Name],,0)</f>
        <v>#VALUE!</v>
      </c>
      <c r="E19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19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1984" s="17">
        <f>IFERROR(HistoricalStockProgress[[#This Row],[Cost of Shares]]/HistoricalStockProgress[[#This Row],[No. of Shares]],0)</f>
        <v>143.37791217450521</v>
      </c>
      <c r="H1984" s="16" vm="2447">
        <v>241.82</v>
      </c>
      <c r="I1984" s="16">
        <f>IF(HistoricalStockProgress[[#This Row],[No. of Shares]]&lt;&gt;0,HistoricalStockProgress[[#This Row],[Price of Shares]]*HistoricalStockProgress[[#This Row],[No. of Shares]],0)</f>
        <v>55860.42</v>
      </c>
      <c r="J1984" s="16">
        <f>IF(HistoricalStockProgress[[#This Row],[No. of Shares]]&lt;&gt;0,HistoricalStockProgress[[#This Row],[Price of Shares]]-HistoricalStockProgress[[#This Row],[Cost of Shares]]/HistoricalStockProgress[[#This Row],[No. of Shares]],0)</f>
        <v>98.442087825494781</v>
      </c>
      <c r="K1984" s="17">
        <f>IF(HistoricalStockProgress[[#This Row],[Total Price of Shares]]&lt;&gt;0,HistoricalStockProgress[[#This Row],[Total Price of Shares]]-HistoricalStockProgress[[#This Row],[Cost of Shares]],0)</f>
        <v>22740.122287689293</v>
      </c>
      <c r="L1984" s="34" t="b" cm="1">
        <f t="array" ref="L1984">IFERROR(IF(HistoricalStockProgress[[#This Row],[Price of Shares]]="",_xlfn.STOCKHISTORY(HistoricalStockProgress[[#This Row],[Full Company Name]],HistoricalStockProgress[[#This Row],[Date]],,2,0,1)),0)</f>
        <v>0</v>
      </c>
      <c r="M1984" s="34">
        <f>YEAR(HistoricalStockProgress[[#This Row],[Date]])</f>
        <v>2025</v>
      </c>
      <c r="N1984" s="34">
        <f>MONTH(HistoricalStockProgress[[#This Row],[Date]])</f>
        <v>4</v>
      </c>
    </row>
    <row r="1985" spans="2:14">
      <c r="B1985" s="15">
        <v>45777</v>
      </c>
      <c r="C1985" s="34" t="s">
        <v>98</v>
      </c>
      <c r="D1985" s="34" t="e" vm="15">
        <f>_xlfn.XLOOKUP(HistoricalStockProgress[[#This Row],[Company Ticker]],CompanyDetailsList[Company Ticker],CompanyDetailsList[Official Name],,0)</f>
        <v>#VALUE!</v>
      </c>
      <c r="E19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193</v>
      </c>
      <c r="F19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11397.772474019517</v>
      </c>
      <c r="G1985" s="17">
        <f>IFERROR(HistoricalStockProgress[[#This Row],[Cost of Shares]]/HistoricalStockProgress[[#This Row],[No. of Shares]],0)</f>
        <v>59.055815927562264</v>
      </c>
      <c r="H1985" s="16" vm="2448">
        <v>66.88</v>
      </c>
      <c r="I1985" s="16">
        <f>IF(HistoricalStockProgress[[#This Row],[No. of Shares]]&lt;&gt;0,HistoricalStockProgress[[#This Row],[Price of Shares]]*HistoricalStockProgress[[#This Row],[No. of Shares]],0)</f>
        <v>12907.839999999998</v>
      </c>
      <c r="J1985" s="16">
        <f>IF(HistoricalStockProgress[[#This Row],[No. of Shares]]&lt;&gt;0,HistoricalStockProgress[[#This Row],[Price of Shares]]-HistoricalStockProgress[[#This Row],[Cost of Shares]]/HistoricalStockProgress[[#This Row],[No. of Shares]],0)</f>
        <v>7.8241840724377312</v>
      </c>
      <c r="K1985" s="17">
        <f>IF(HistoricalStockProgress[[#This Row],[Total Price of Shares]]&lt;&gt;0,HistoricalStockProgress[[#This Row],[Total Price of Shares]]-HistoricalStockProgress[[#This Row],[Cost of Shares]],0)</f>
        <v>1510.0675259804812</v>
      </c>
      <c r="L1985" s="34" t="b" cm="1">
        <f t="array" ref="L1985">IFERROR(IF(HistoricalStockProgress[[#This Row],[Price of Shares]]="",_xlfn.STOCKHISTORY(HistoricalStockProgress[[#This Row],[Full Company Name]],HistoricalStockProgress[[#This Row],[Date]],,2,0,1)),0)</f>
        <v>0</v>
      </c>
      <c r="M1985" s="34">
        <f>YEAR(HistoricalStockProgress[[#This Row],[Date]])</f>
        <v>2025</v>
      </c>
      <c r="N1985" s="34">
        <f>MONTH(HistoricalStockProgress[[#This Row],[Date]])</f>
        <v>4</v>
      </c>
    </row>
    <row r="1986" spans="2:14">
      <c r="B1986" s="15">
        <v>45777</v>
      </c>
      <c r="C1986" s="34" t="s">
        <v>100</v>
      </c>
      <c r="D1986" s="34" t="e" vm="16">
        <f>_xlfn.XLOOKUP(HistoricalStockProgress[[#This Row],[Company Ticker]],CompanyDetailsList[Company Ticker],CompanyDetailsList[Official Name],,0)</f>
        <v>#VALUE!</v>
      </c>
      <c r="E19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19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1986" s="17">
        <f>IFERROR(HistoricalStockProgress[[#This Row],[Cost of Shares]]/HistoricalStockProgress[[#This Row],[No. of Shares]],0)</f>
        <v>92.156351168716071</v>
      </c>
      <c r="H1986" s="16" vm="2449">
        <v>122.02</v>
      </c>
      <c r="I1986" s="16">
        <f>IF(HistoricalStockProgress[[#This Row],[No. of Shares]]&lt;&gt;0,HistoricalStockProgress[[#This Row],[Price of Shares]]*HistoricalStockProgress[[#This Row],[No. of Shares]],0)</f>
        <v>30505</v>
      </c>
      <c r="J1986" s="16">
        <f>IF(HistoricalStockProgress[[#This Row],[No. of Shares]]&lt;&gt;0,HistoricalStockProgress[[#This Row],[Price of Shares]]-HistoricalStockProgress[[#This Row],[Cost of Shares]]/HistoricalStockProgress[[#This Row],[No. of Shares]],0)</f>
        <v>29.863648831283925</v>
      </c>
      <c r="K1986" s="17">
        <f>IF(HistoricalStockProgress[[#This Row],[Total Price of Shares]]&lt;&gt;0,HistoricalStockProgress[[#This Row],[Total Price of Shares]]-HistoricalStockProgress[[#This Row],[Cost of Shares]],0)</f>
        <v>7465.9122078209839</v>
      </c>
      <c r="L1986" s="34" t="b" cm="1">
        <f t="array" ref="L1986">IFERROR(IF(HistoricalStockProgress[[#This Row],[Price of Shares]]="",_xlfn.STOCKHISTORY(HistoricalStockProgress[[#This Row],[Full Company Name]],HistoricalStockProgress[[#This Row],[Date]],,2,0,1)),0)</f>
        <v>0</v>
      </c>
      <c r="M1986" s="34">
        <f>YEAR(HistoricalStockProgress[[#This Row],[Date]])</f>
        <v>2025</v>
      </c>
      <c r="N1986" s="34">
        <f>MONTH(HistoricalStockProgress[[#This Row],[Date]])</f>
        <v>4</v>
      </c>
    </row>
    <row r="1987" spans="2:14">
      <c r="B1987" s="15">
        <v>45777</v>
      </c>
      <c r="C1987" s="34" t="s">
        <v>15</v>
      </c>
      <c r="D1987" s="34" t="e" vm="17">
        <f>_xlfn.XLOOKUP(HistoricalStockProgress[[#This Row],[Company Ticker]],CompanyDetailsList[Company Ticker],CompanyDetailsList[Official Name],,0)</f>
        <v>#VALUE!</v>
      </c>
      <c r="E19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19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3628.1478386140398</v>
      </c>
      <c r="G1987" s="17">
        <f>IFERROR(HistoricalStockProgress[[#This Row],[Cost of Shares]]/HistoricalStockProgress[[#This Row],[No. of Shares]],0)</f>
        <v>24.85032766174</v>
      </c>
      <c r="H1987" s="16" vm="2450">
        <v>27.7</v>
      </c>
      <c r="I1987" s="16">
        <f>IF(HistoricalStockProgress[[#This Row],[No. of Shares]]&lt;&gt;0,HistoricalStockProgress[[#This Row],[Price of Shares]]*HistoricalStockProgress[[#This Row],[No. of Shares]],0)</f>
        <v>4044.2</v>
      </c>
      <c r="J1987" s="16">
        <f>IF(HistoricalStockProgress[[#This Row],[No. of Shares]]&lt;&gt;0,HistoricalStockProgress[[#This Row],[Price of Shares]]-HistoricalStockProgress[[#This Row],[Cost of Shares]]/HistoricalStockProgress[[#This Row],[No. of Shares]],0)</f>
        <v>2.8496723382599995</v>
      </c>
      <c r="K1987" s="17">
        <f>IF(HistoricalStockProgress[[#This Row],[Total Price of Shares]]&lt;&gt;0,HistoricalStockProgress[[#This Row],[Total Price of Shares]]-HistoricalStockProgress[[#This Row],[Cost of Shares]],0)</f>
        <v>416.05216138596006</v>
      </c>
      <c r="L1987" s="34" t="b" cm="1">
        <f t="array" ref="L1987">IFERROR(IF(HistoricalStockProgress[[#This Row],[Price of Shares]]="",_xlfn.STOCKHISTORY(HistoricalStockProgress[[#This Row],[Full Company Name]],HistoricalStockProgress[[#This Row],[Date]],,2,0,1)),0)</f>
        <v>0</v>
      </c>
      <c r="M1987" s="34">
        <f>YEAR(HistoricalStockProgress[[#This Row],[Date]])</f>
        <v>2025</v>
      </c>
      <c r="N1987" s="34">
        <f>MONTH(HistoricalStockProgress[[#This Row],[Date]])</f>
        <v>4</v>
      </c>
    </row>
    <row r="1988" spans="2:14">
      <c r="B1988" s="15">
        <v>45777</v>
      </c>
      <c r="C1988" s="34" t="s">
        <v>13</v>
      </c>
      <c r="D1988" s="34" t="e" vm="18">
        <f>_xlfn.XLOOKUP(HistoricalStockProgress[[#This Row],[Company Ticker]],CompanyDetailsList[Company Ticker],CompanyDetailsList[Official Name],,0)</f>
        <v>#VALUE!</v>
      </c>
      <c r="E19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115</v>
      </c>
      <c r="F19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3682.4466352500076</v>
      </c>
      <c r="G1988" s="17">
        <f>IFERROR(HistoricalStockProgress[[#This Row],[Cost of Shares]]/HistoricalStockProgress[[#This Row],[No. of Shares]],0)</f>
        <v>32.021275089130498</v>
      </c>
      <c r="H1988" s="16" vm="2451">
        <v>24.41</v>
      </c>
      <c r="I1988" s="16">
        <f>IF(HistoricalStockProgress[[#This Row],[No. of Shares]]&lt;&gt;0,HistoricalStockProgress[[#This Row],[Price of Shares]]*HistoricalStockProgress[[#This Row],[No. of Shares]],0)</f>
        <v>2807.15</v>
      </c>
      <c r="J1988" s="16">
        <f>IF(HistoricalStockProgress[[#This Row],[No. of Shares]]&lt;&gt;0,HistoricalStockProgress[[#This Row],[Price of Shares]]-HistoricalStockProgress[[#This Row],[Cost of Shares]]/HistoricalStockProgress[[#This Row],[No. of Shares]],0)</f>
        <v>-7.6112750891304977</v>
      </c>
      <c r="K1988" s="17">
        <f>IF(HistoricalStockProgress[[#This Row],[Total Price of Shares]]&lt;&gt;0,HistoricalStockProgress[[#This Row],[Total Price of Shares]]-HistoricalStockProgress[[#This Row],[Cost of Shares]],0)</f>
        <v>-875.29663525000751</v>
      </c>
      <c r="L1988" s="34" t="b" cm="1">
        <f t="array" ref="L1988">IFERROR(IF(HistoricalStockProgress[[#This Row],[Price of Shares]]="",_xlfn.STOCKHISTORY(HistoricalStockProgress[[#This Row],[Full Company Name]],HistoricalStockProgress[[#This Row],[Date]],,2,0,1)),0)</f>
        <v>0</v>
      </c>
      <c r="M1988" s="34">
        <f>YEAR(HistoricalStockProgress[[#This Row],[Date]])</f>
        <v>2025</v>
      </c>
      <c r="N1988" s="34">
        <f>MONTH(HistoricalStockProgress[[#This Row],[Date]])</f>
        <v>4</v>
      </c>
    </row>
    <row r="1989" spans="2:14">
      <c r="B1989" s="15">
        <v>45777</v>
      </c>
      <c r="C1989" s="34" t="s">
        <v>20</v>
      </c>
      <c r="D1989" s="34" t="e" vm="19">
        <f>_xlfn.XLOOKUP(HistoricalStockProgress[[#This Row],[Company Ticker]],CompanyDetailsList[Company Ticker],CompanyDetailsList[Official Name],,0)</f>
        <v>#VALUE!</v>
      </c>
      <c r="E19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19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1989" s="17">
        <f>IFERROR(HistoricalStockProgress[[#This Row],[Cost of Shares]]/HistoricalStockProgress[[#This Row],[No. of Shares]],0)</f>
        <v>108.1760767450256</v>
      </c>
      <c r="H1989" s="16" vm="2452">
        <v>244.62</v>
      </c>
      <c r="I1989" s="16">
        <f>IF(HistoricalStockProgress[[#This Row],[No. of Shares]]&lt;&gt;0,HistoricalStockProgress[[#This Row],[Price of Shares]]*HistoricalStockProgress[[#This Row],[No. of Shares]],0)</f>
        <v>28375.920000000002</v>
      </c>
      <c r="J1989" s="16">
        <f>IF(HistoricalStockProgress[[#This Row],[No. of Shares]]&lt;&gt;0,HistoricalStockProgress[[#This Row],[Price of Shares]]-HistoricalStockProgress[[#This Row],[Cost of Shares]]/HistoricalStockProgress[[#This Row],[No. of Shares]],0)</f>
        <v>136.44392325497441</v>
      </c>
      <c r="K1989" s="17">
        <f>IF(HistoricalStockProgress[[#This Row],[Total Price of Shares]]&lt;&gt;0,HistoricalStockProgress[[#This Row],[Total Price of Shares]]-HistoricalStockProgress[[#This Row],[Cost of Shares]],0)</f>
        <v>15827.495097577033</v>
      </c>
      <c r="L1989" s="34" t="b" cm="1">
        <f t="array" ref="L1989">IFERROR(IF(HistoricalStockProgress[[#This Row],[Price of Shares]]="",_xlfn.STOCKHISTORY(HistoricalStockProgress[[#This Row],[Full Company Name]],HistoricalStockProgress[[#This Row],[Date]],,2,0,1)),0)</f>
        <v>0</v>
      </c>
      <c r="M1989" s="34">
        <f>YEAR(HistoricalStockProgress[[#This Row],[Date]])</f>
        <v>2025</v>
      </c>
      <c r="N1989" s="34">
        <f>MONTH(HistoricalStockProgress[[#This Row],[Date]])</f>
        <v>4</v>
      </c>
    </row>
    <row r="1990" spans="2:14">
      <c r="B1990" s="15">
        <v>45777</v>
      </c>
      <c r="C1990" s="34" t="s">
        <v>106</v>
      </c>
      <c r="D1990" s="34" t="e" vm="20">
        <f>_xlfn.XLOOKUP(HistoricalStockProgress[[#This Row],[Company Ticker]],CompanyDetailsList[Company Ticker],CompanyDetailsList[Official Name],,0)</f>
        <v>#VALUE!</v>
      </c>
      <c r="E19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19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1990" s="17">
        <f>IFERROR(HistoricalStockProgress[[#This Row],[Cost of Shares]]/HistoricalStockProgress[[#This Row],[No. of Shares]],0)</f>
        <v>108.54870748680406</v>
      </c>
      <c r="H1990" s="16" vm="2453">
        <v>108.86</v>
      </c>
      <c r="I1990" s="16">
        <f>IF(HistoricalStockProgress[[#This Row],[No. of Shares]]&lt;&gt;0,HistoricalStockProgress[[#This Row],[Price of Shares]]*HistoricalStockProgress[[#This Row],[No. of Shares]],0)</f>
        <v>9579.68</v>
      </c>
      <c r="J1990" s="16">
        <f>IF(HistoricalStockProgress[[#This Row],[No. of Shares]]&lt;&gt;0,HistoricalStockProgress[[#This Row],[Price of Shares]]-HistoricalStockProgress[[#This Row],[Cost of Shares]]/HistoricalStockProgress[[#This Row],[No. of Shares]],0)</f>
        <v>0.3112925131959372</v>
      </c>
      <c r="K1990" s="17">
        <f>IF(HistoricalStockProgress[[#This Row],[Total Price of Shares]]&lt;&gt;0,HistoricalStockProgress[[#This Row],[Total Price of Shares]]-HistoricalStockProgress[[#This Row],[Cost of Shares]],0)</f>
        <v>27.39374116124236</v>
      </c>
      <c r="L1990" s="34" t="b" cm="1">
        <f t="array" ref="L1990">IFERROR(IF(HistoricalStockProgress[[#This Row],[Price of Shares]]="",_xlfn.STOCKHISTORY(HistoricalStockProgress[[#This Row],[Full Company Name]],HistoricalStockProgress[[#This Row],[Date]],,2,0,1)),0)</f>
        <v>0</v>
      </c>
      <c r="M1990" s="34">
        <f>YEAR(HistoricalStockProgress[[#This Row],[Date]])</f>
        <v>2025</v>
      </c>
      <c r="N1990" s="34">
        <f>MONTH(HistoricalStockProgress[[#This Row],[Date]])</f>
        <v>4</v>
      </c>
    </row>
    <row r="1991" spans="2:14">
      <c r="B1991" s="15">
        <v>45808</v>
      </c>
      <c r="C1991" s="34" t="s">
        <v>12</v>
      </c>
      <c r="D1991" s="34" t="e" vm="1">
        <f>_xlfn.XLOOKUP(HistoricalStockProgress[[#This Row],[Company Ticker]],CompanyDetailsList[Company Ticker],CompanyDetailsList[Official Name],,0)</f>
        <v>#VALUE!</v>
      </c>
      <c r="E19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19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1991" s="17">
        <f>IFERROR(HistoricalStockProgress[[#This Row],[Cost of Shares]]/HistoricalStockProgress[[#This Row],[No. of Shares]],0)</f>
        <v>64.573985995316889</v>
      </c>
      <c r="H1991" s="16" vm="2454">
        <v>56.62</v>
      </c>
      <c r="I1991" s="16">
        <f>IF(HistoricalStockProgress[[#This Row],[No. of Shares]]&lt;&gt;0,HistoricalStockProgress[[#This Row],[Price of Shares]]*HistoricalStockProgress[[#This Row],[No. of Shares]],0)</f>
        <v>5492.1399999999994</v>
      </c>
      <c r="J1991" s="16">
        <f>IF(HistoricalStockProgress[[#This Row],[No. of Shares]]&lt;&gt;0,HistoricalStockProgress[[#This Row],[Price of Shares]]-HistoricalStockProgress[[#This Row],[Cost of Shares]]/HistoricalStockProgress[[#This Row],[No. of Shares]],0)</f>
        <v>-7.9539859953168914</v>
      </c>
      <c r="K1991" s="17">
        <f>IF(HistoricalStockProgress[[#This Row],[Total Price of Shares]]&lt;&gt;0,HistoricalStockProgress[[#This Row],[Total Price of Shares]]-HistoricalStockProgress[[#This Row],[Cost of Shares]],0)</f>
        <v>-771.53664154573835</v>
      </c>
      <c r="L1991" s="34" t="b" cm="1">
        <f t="array" ref="L1991">IFERROR(IF(HistoricalStockProgress[[#This Row],[Price of Shares]]="",_xlfn.STOCKHISTORY(HistoricalStockProgress[[#This Row],[Full Company Name]],HistoricalStockProgress[[#This Row],[Date]],,2,0,1)),0)</f>
        <v>0</v>
      </c>
      <c r="M1991" s="34">
        <f>YEAR(HistoricalStockProgress[[#This Row],[Date]])</f>
        <v>2025</v>
      </c>
      <c r="N1991" s="34">
        <f>MONTH(HistoricalStockProgress[[#This Row],[Date]])</f>
        <v>5</v>
      </c>
    </row>
    <row r="1992" spans="2:14">
      <c r="B1992" s="15">
        <v>45808</v>
      </c>
      <c r="C1992" s="34" t="s">
        <v>14</v>
      </c>
      <c r="D1992" s="34" t="e" vm="2">
        <f>_xlfn.XLOOKUP(HistoricalStockProgress[[#This Row],[Company Ticker]],CompanyDetailsList[Company Ticker],CompanyDetailsList[Official Name],,0)</f>
        <v>#VALUE!</v>
      </c>
      <c r="E19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19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1992" s="17">
        <f>IFERROR(HistoricalStockProgress[[#This Row],[Cost of Shares]]/HistoricalStockProgress[[#This Row],[No. of Shares]],0)</f>
        <v>26.819337355148658</v>
      </c>
      <c r="H1992" s="16" vm="2455">
        <v>30.77</v>
      </c>
      <c r="I1992" s="16">
        <f>IF(HistoricalStockProgress[[#This Row],[No. of Shares]]&lt;&gt;0,HistoricalStockProgress[[#This Row],[Price of Shares]]*HistoricalStockProgress[[#This Row],[No. of Shares]],0)</f>
        <v>1938.51</v>
      </c>
      <c r="J1992" s="16">
        <f>IF(HistoricalStockProgress[[#This Row],[No. of Shares]]&lt;&gt;0,HistoricalStockProgress[[#This Row],[Price of Shares]]-HistoricalStockProgress[[#This Row],[Cost of Shares]]/HistoricalStockProgress[[#This Row],[No. of Shares]],0)</f>
        <v>3.9506626448513416</v>
      </c>
      <c r="K1992" s="17">
        <f>IF(HistoricalStockProgress[[#This Row],[Total Price of Shares]]&lt;&gt;0,HistoricalStockProgress[[#This Row],[Total Price of Shares]]-HistoricalStockProgress[[#This Row],[Cost of Shares]],0)</f>
        <v>248.8917466256346</v>
      </c>
      <c r="L1992" s="34" t="b" cm="1">
        <f t="array" ref="L1992">IFERROR(IF(HistoricalStockProgress[[#This Row],[Price of Shares]]="",_xlfn.STOCKHISTORY(HistoricalStockProgress[[#This Row],[Full Company Name]],HistoricalStockProgress[[#This Row],[Date]],,2,0,1)),0)</f>
        <v>0</v>
      </c>
      <c r="M1992" s="34">
        <f>YEAR(HistoricalStockProgress[[#This Row],[Date]])</f>
        <v>2025</v>
      </c>
      <c r="N1992" s="34">
        <f>MONTH(HistoricalStockProgress[[#This Row],[Date]])</f>
        <v>5</v>
      </c>
    </row>
    <row r="1993" spans="2:14">
      <c r="B1993" s="15">
        <v>45808</v>
      </c>
      <c r="C1993" s="34" t="s">
        <v>19</v>
      </c>
      <c r="D1993" s="34" t="e" vm="3">
        <f>_xlfn.XLOOKUP(HistoricalStockProgress[[#This Row],[Company Ticker]],CompanyDetailsList[Company Ticker],CompanyDetailsList[Official Name],,0)</f>
        <v>#VALUE!</v>
      </c>
      <c r="E19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19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1993" s="17">
        <f>IFERROR(HistoricalStockProgress[[#This Row],[Cost of Shares]]/HistoricalStockProgress[[#This Row],[No. of Shares]],0)</f>
        <v>160.12652821044301</v>
      </c>
      <c r="H1993" s="16" vm="2456">
        <v>131.88</v>
      </c>
      <c r="I1993" s="16">
        <f>IF(HistoricalStockProgress[[#This Row],[No. of Shares]]&lt;&gt;0,HistoricalStockProgress[[#This Row],[Price of Shares]]*HistoricalStockProgress[[#This Row],[No. of Shares]],0)</f>
        <v>11341.68</v>
      </c>
      <c r="J1993" s="16">
        <f>IF(HistoricalStockProgress[[#This Row],[No. of Shares]]&lt;&gt;0,HistoricalStockProgress[[#This Row],[Price of Shares]]-HistoricalStockProgress[[#This Row],[Cost of Shares]]/HistoricalStockProgress[[#This Row],[No. of Shares]],0)</f>
        <v>-28.246528210443017</v>
      </c>
      <c r="K1993" s="17">
        <f>IF(HistoricalStockProgress[[#This Row],[Total Price of Shares]]&lt;&gt;0,HistoricalStockProgress[[#This Row],[Total Price of Shares]]-HistoricalStockProgress[[#This Row],[Cost of Shares]],0)</f>
        <v>-2429.2014260980977</v>
      </c>
      <c r="L1993" s="34" t="b" cm="1">
        <f t="array" ref="L1993">IFERROR(IF(HistoricalStockProgress[[#This Row],[Price of Shares]]="",_xlfn.STOCKHISTORY(HistoricalStockProgress[[#This Row],[Full Company Name]],HistoricalStockProgress[[#This Row],[Date]],,2,0,1)),0)</f>
        <v>0</v>
      </c>
      <c r="M1993" s="34">
        <f>YEAR(HistoricalStockProgress[[#This Row],[Date]])</f>
        <v>2025</v>
      </c>
      <c r="N1993" s="34">
        <f>MONTH(HistoricalStockProgress[[#This Row],[Date]])</f>
        <v>5</v>
      </c>
    </row>
    <row r="1994" spans="2:14">
      <c r="B1994" s="15">
        <v>45808</v>
      </c>
      <c r="C1994" s="34" t="s">
        <v>23</v>
      </c>
      <c r="D1994" s="34" t="e" vm="4">
        <f>_xlfn.XLOOKUP(HistoricalStockProgress[[#This Row],[Company Ticker]],CompanyDetailsList[Company Ticker],CompanyDetailsList[Official Name],,0)</f>
        <v>#VALUE!</v>
      </c>
      <c r="E19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19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1994" s="17">
        <f>IFERROR(HistoricalStockProgress[[#This Row],[Cost of Shares]]/HistoricalStockProgress[[#This Row],[No. of Shares]],0)</f>
        <v>50.781277236510277</v>
      </c>
      <c r="H1994" s="16" vm="2457">
        <v>72.099999999999994</v>
      </c>
      <c r="I1994" s="16">
        <f>IF(HistoricalStockProgress[[#This Row],[No. of Shares]]&lt;&gt;0,HistoricalStockProgress[[#This Row],[Price of Shares]]*HistoricalStockProgress[[#This Row],[No. of Shares]],0)</f>
        <v>8435.6999999999989</v>
      </c>
      <c r="J1994" s="16">
        <f>IF(HistoricalStockProgress[[#This Row],[No. of Shares]]&lt;&gt;0,HistoricalStockProgress[[#This Row],[Price of Shares]]-HistoricalStockProgress[[#This Row],[Cost of Shares]]/HistoricalStockProgress[[#This Row],[No. of Shares]],0)</f>
        <v>21.318722763489717</v>
      </c>
      <c r="K1994" s="17">
        <f>IF(HistoricalStockProgress[[#This Row],[Total Price of Shares]]&lt;&gt;0,HistoricalStockProgress[[#This Row],[Total Price of Shares]]-HistoricalStockProgress[[#This Row],[Cost of Shares]],0)</f>
        <v>2494.2905633282962</v>
      </c>
      <c r="L1994" s="34" t="b" cm="1">
        <f t="array" ref="L1994">IFERROR(IF(HistoricalStockProgress[[#This Row],[Price of Shares]]="",_xlfn.STOCKHISTORY(HistoricalStockProgress[[#This Row],[Full Company Name]],HistoricalStockProgress[[#This Row],[Date]],,2,0,1)),0)</f>
        <v>0</v>
      </c>
      <c r="M1994" s="34">
        <f>YEAR(HistoricalStockProgress[[#This Row],[Date]])</f>
        <v>2025</v>
      </c>
      <c r="N1994" s="34">
        <f>MONTH(HistoricalStockProgress[[#This Row],[Date]])</f>
        <v>5</v>
      </c>
    </row>
    <row r="1995" spans="2:14">
      <c r="B1995" s="15">
        <v>45808</v>
      </c>
      <c r="C1995" s="34" t="s">
        <v>18</v>
      </c>
      <c r="D1995" s="34" t="e" vm="5">
        <f>_xlfn.XLOOKUP(HistoricalStockProgress[[#This Row],[Company Ticker]],CompanyDetailsList[Company Ticker],CompanyDetailsList[Official Name],,0)</f>
        <v>#VALUE!</v>
      </c>
      <c r="E19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19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1995" s="17">
        <f>IFERROR(HistoricalStockProgress[[#This Row],[Cost of Shares]]/HistoricalStockProgress[[#This Row],[No. of Shares]],0)</f>
        <v>160.8859607546234</v>
      </c>
      <c r="H1995" s="16" vm="2458">
        <v>131.44999999999999</v>
      </c>
      <c r="I1995" s="16">
        <f>IF(HistoricalStockProgress[[#This Row],[No. of Shares]]&lt;&gt;0,HistoricalStockProgress[[#This Row],[Price of Shares]]*HistoricalStockProgress[[#This Row],[No. of Shares]],0)</f>
        <v>5652.3499999999995</v>
      </c>
      <c r="J1995" s="16">
        <f>IF(HistoricalStockProgress[[#This Row],[No. of Shares]]&lt;&gt;0,HistoricalStockProgress[[#This Row],[Price of Shares]]-HistoricalStockProgress[[#This Row],[Cost of Shares]]/HistoricalStockProgress[[#This Row],[No. of Shares]],0)</f>
        <v>-29.435960754623409</v>
      </c>
      <c r="K1995" s="17">
        <f>IF(HistoricalStockProgress[[#This Row],[Total Price of Shares]]&lt;&gt;0,HistoricalStockProgress[[#This Row],[Total Price of Shares]]-HistoricalStockProgress[[#This Row],[Cost of Shares]],0)</f>
        <v>-1265.7463124488067</v>
      </c>
      <c r="L1995" s="34" t="b" cm="1">
        <f t="array" ref="L1995">IFERROR(IF(HistoricalStockProgress[[#This Row],[Price of Shares]]="",_xlfn.STOCKHISTORY(HistoricalStockProgress[[#This Row],[Full Company Name]],HistoricalStockProgress[[#This Row],[Date]],,2,0,1)),0)</f>
        <v>0</v>
      </c>
      <c r="M1995" s="34">
        <f>YEAR(HistoricalStockProgress[[#This Row],[Date]])</f>
        <v>2025</v>
      </c>
      <c r="N1995" s="34">
        <f>MONTH(HistoricalStockProgress[[#This Row],[Date]])</f>
        <v>5</v>
      </c>
    </row>
    <row r="1996" spans="2:14">
      <c r="B1996" s="15">
        <v>45808</v>
      </c>
      <c r="C1996" s="34" t="s">
        <v>21</v>
      </c>
      <c r="D1996" s="34" t="e" vm="6">
        <f>_xlfn.XLOOKUP(HistoricalStockProgress[[#This Row],[Company Ticker]],CompanyDetailsList[Company Ticker],CompanyDetailsList[Official Name],,0)</f>
        <v>#VALUE!</v>
      </c>
      <c r="E19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49</v>
      </c>
      <c r="F19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7099.5799078510599</v>
      </c>
      <c r="G1996" s="17">
        <f>IFERROR(HistoricalStockProgress[[#This Row],[Cost of Shares]]/HistoricalStockProgress[[#This Row],[No. of Shares]],0)</f>
        <v>144.88938587451142</v>
      </c>
      <c r="H1996" s="16" vm="1668">
        <v>169.89</v>
      </c>
      <c r="I1996" s="16">
        <f>IF(HistoricalStockProgress[[#This Row],[No. of Shares]]&lt;&gt;0,HistoricalStockProgress[[#This Row],[Price of Shares]]*HistoricalStockProgress[[#This Row],[No. of Shares]],0)</f>
        <v>8324.6099999999988</v>
      </c>
      <c r="J1996" s="16">
        <f>IF(HistoricalStockProgress[[#This Row],[No. of Shares]]&lt;&gt;0,HistoricalStockProgress[[#This Row],[Price of Shares]]-HistoricalStockProgress[[#This Row],[Cost of Shares]]/HistoricalStockProgress[[#This Row],[No. of Shares]],0)</f>
        <v>25.000614125488568</v>
      </c>
      <c r="K1996" s="17">
        <f>IF(HistoricalStockProgress[[#This Row],[Total Price of Shares]]&lt;&gt;0,HistoricalStockProgress[[#This Row],[Total Price of Shares]]-HistoricalStockProgress[[#This Row],[Cost of Shares]],0)</f>
        <v>1225.0300921489388</v>
      </c>
      <c r="L1996" s="34" t="b" cm="1">
        <f t="array" ref="L1996">IFERROR(IF(HistoricalStockProgress[[#This Row],[Price of Shares]]="",_xlfn.STOCKHISTORY(HistoricalStockProgress[[#This Row],[Full Company Name]],HistoricalStockProgress[[#This Row],[Date]],,2,0,1)),0)</f>
        <v>0</v>
      </c>
      <c r="M1996" s="34">
        <f>YEAR(HistoricalStockProgress[[#This Row],[Date]])</f>
        <v>2025</v>
      </c>
      <c r="N1996" s="34">
        <f>MONTH(HistoricalStockProgress[[#This Row],[Date]])</f>
        <v>5</v>
      </c>
    </row>
    <row r="1997" spans="2:14">
      <c r="B1997" s="15">
        <v>45808</v>
      </c>
      <c r="C1997" s="34" t="s">
        <v>84</v>
      </c>
      <c r="D1997" s="34" t="e" vm="7">
        <f>_xlfn.XLOOKUP(HistoricalStockProgress[[#This Row],[Company Ticker]],CompanyDetailsList[Company Ticker],CompanyDetailsList[Official Name],,0)</f>
        <v>#VALUE!</v>
      </c>
      <c r="E19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19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1997" s="17">
        <f>IFERROR(HistoricalStockProgress[[#This Row],[Cost of Shares]]/HistoricalStockProgress[[#This Row],[No. of Shares]],0)</f>
        <v>104.18087504950869</v>
      </c>
      <c r="H1997" s="16" vm="2459">
        <v>155.21</v>
      </c>
      <c r="I1997" s="16">
        <f>IF(HistoricalStockProgress[[#This Row],[No. of Shares]]&lt;&gt;0,HistoricalStockProgress[[#This Row],[Price of Shares]]*HistoricalStockProgress[[#This Row],[No. of Shares]],0)</f>
        <v>7915.71</v>
      </c>
      <c r="J1997" s="16">
        <f>IF(HistoricalStockProgress[[#This Row],[No. of Shares]]&lt;&gt;0,HistoricalStockProgress[[#This Row],[Price of Shares]]-HistoricalStockProgress[[#This Row],[Cost of Shares]]/HistoricalStockProgress[[#This Row],[No. of Shares]],0)</f>
        <v>51.029124950491322</v>
      </c>
      <c r="K1997" s="17">
        <f>IF(HistoricalStockProgress[[#This Row],[Total Price of Shares]]&lt;&gt;0,HistoricalStockProgress[[#This Row],[Total Price of Shares]]-HistoricalStockProgress[[#This Row],[Cost of Shares]],0)</f>
        <v>2602.4853724750574</v>
      </c>
      <c r="L1997" s="34" t="b" cm="1">
        <f t="array" ref="L1997">IFERROR(IF(HistoricalStockProgress[[#This Row],[Price of Shares]]="",_xlfn.STOCKHISTORY(HistoricalStockProgress[[#This Row],[Full Company Name]],HistoricalStockProgress[[#This Row],[Date]],,2,0,1)),0)</f>
        <v>0</v>
      </c>
      <c r="M1997" s="34">
        <f>YEAR(HistoricalStockProgress[[#This Row],[Date]])</f>
        <v>2025</v>
      </c>
      <c r="N1997" s="34">
        <f>MONTH(HistoricalStockProgress[[#This Row],[Date]])</f>
        <v>5</v>
      </c>
    </row>
    <row r="1998" spans="2:14">
      <c r="B1998" s="15">
        <v>45808</v>
      </c>
      <c r="C1998" s="34" t="s">
        <v>86</v>
      </c>
      <c r="D1998" s="34" t="e" vm="8">
        <f>_xlfn.XLOOKUP(HistoricalStockProgress[[#This Row],[Company Ticker]],CompanyDetailsList[Company Ticker],CompanyDetailsList[Official Name],,0)</f>
        <v>#VALUE!</v>
      </c>
      <c r="E19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19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1998" s="17">
        <f>IFERROR(HistoricalStockProgress[[#This Row],[Cost of Shares]]/HistoricalStockProgress[[#This Row],[No. of Shares]],0)</f>
        <v>115.48970647877745</v>
      </c>
      <c r="H1998" s="16" vm="2460">
        <v>186.11</v>
      </c>
      <c r="I1998" s="16">
        <f>IF(HistoricalStockProgress[[#This Row],[No. of Shares]]&lt;&gt;0,HistoricalStockProgress[[#This Row],[Price of Shares]]*HistoricalStockProgress[[#This Row],[No. of Shares]],0)</f>
        <v>28288.720000000001</v>
      </c>
      <c r="J1998" s="16">
        <f>IF(HistoricalStockProgress[[#This Row],[No. of Shares]]&lt;&gt;0,HistoricalStockProgress[[#This Row],[Price of Shares]]-HistoricalStockProgress[[#This Row],[Cost of Shares]]/HistoricalStockProgress[[#This Row],[No. of Shares]],0)</f>
        <v>70.620293521222564</v>
      </c>
      <c r="K1998" s="17">
        <f>IF(HistoricalStockProgress[[#This Row],[Total Price of Shares]]&lt;&gt;0,HistoricalStockProgress[[#This Row],[Total Price of Shares]]-HistoricalStockProgress[[#This Row],[Cost of Shares]],0)</f>
        <v>10734.284615225828</v>
      </c>
      <c r="L1998" s="34" t="b" cm="1">
        <f t="array" ref="L1998">IFERROR(IF(HistoricalStockProgress[[#This Row],[Price of Shares]]="",_xlfn.STOCKHISTORY(HistoricalStockProgress[[#This Row],[Full Company Name]],HistoricalStockProgress[[#This Row],[Date]],,2,0,1)),0)</f>
        <v>0</v>
      </c>
      <c r="M1998" s="34">
        <f>YEAR(HistoricalStockProgress[[#This Row],[Date]])</f>
        <v>2025</v>
      </c>
      <c r="N1998" s="34">
        <f>MONTH(HistoricalStockProgress[[#This Row],[Date]])</f>
        <v>5</v>
      </c>
    </row>
    <row r="1999" spans="2:14">
      <c r="B1999" s="15">
        <v>45808</v>
      </c>
      <c r="C1999" s="34" t="s">
        <v>88</v>
      </c>
      <c r="D1999" s="34" t="e" vm="9">
        <f>_xlfn.XLOOKUP(HistoricalStockProgress[[#This Row],[Company Ticker]],CompanyDetailsList[Company Ticker],CompanyDetailsList[Official Name],,0)</f>
        <v>#VALUE!</v>
      </c>
      <c r="E19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19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1999" s="17">
        <f>IFERROR(HistoricalStockProgress[[#This Row],[Cost of Shares]]/HistoricalStockProgress[[#This Row],[No. of Shares]],0)</f>
        <v>224.7272684493652</v>
      </c>
      <c r="H1999" s="16" vm="2461">
        <v>313.85000000000002</v>
      </c>
      <c r="I1999" s="16">
        <f>IF(HistoricalStockProgress[[#This Row],[No. of Shares]]&lt;&gt;0,HistoricalStockProgress[[#This Row],[Price of Shares]]*HistoricalStockProgress[[#This Row],[No. of Shares]],0)</f>
        <v>29815.750000000004</v>
      </c>
      <c r="J1999" s="16">
        <f>IF(HistoricalStockProgress[[#This Row],[No. of Shares]]&lt;&gt;0,HistoricalStockProgress[[#This Row],[Price of Shares]]-HistoricalStockProgress[[#This Row],[Cost of Shares]]/HistoricalStockProgress[[#This Row],[No. of Shares]],0)</f>
        <v>89.122731550634825</v>
      </c>
      <c r="K1999" s="17">
        <f>IF(HistoricalStockProgress[[#This Row],[Total Price of Shares]]&lt;&gt;0,HistoricalStockProgress[[#This Row],[Total Price of Shares]]-HistoricalStockProgress[[#This Row],[Cost of Shares]],0)</f>
        <v>8466.6594973103092</v>
      </c>
      <c r="L1999" s="34" t="b" cm="1">
        <f t="array" ref="L1999">IFERROR(IF(HistoricalStockProgress[[#This Row],[Price of Shares]]="",_xlfn.STOCKHISTORY(HistoricalStockProgress[[#This Row],[Full Company Name]],HistoricalStockProgress[[#This Row],[Date]],,2,0,1)),0)</f>
        <v>0</v>
      </c>
      <c r="M1999" s="34">
        <f>YEAR(HistoricalStockProgress[[#This Row],[Date]])</f>
        <v>2025</v>
      </c>
      <c r="N1999" s="34">
        <f>MONTH(HistoricalStockProgress[[#This Row],[Date]])</f>
        <v>5</v>
      </c>
    </row>
    <row r="2000" spans="2:14">
      <c r="B2000" s="15">
        <v>45808</v>
      </c>
      <c r="C2000" s="34" t="s">
        <v>22</v>
      </c>
      <c r="D2000" s="34" t="e" vm="10">
        <f>_xlfn.XLOOKUP(HistoricalStockProgress[[#This Row],[Company Ticker]],CompanyDetailsList[Company Ticker],CompanyDetailsList[Official Name],,0)</f>
        <v>#VALUE!</v>
      </c>
      <c r="E20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20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2000" s="17">
        <f>IFERROR(HistoricalStockProgress[[#This Row],[Cost of Shares]]/HistoricalStockProgress[[#This Row],[No. of Shares]],0)</f>
        <v>130.19784136724968</v>
      </c>
      <c r="H2000" s="16" vm="2462">
        <v>348.03</v>
      </c>
      <c r="I2000" s="16">
        <f>IF(HistoricalStockProgress[[#This Row],[No. of Shares]]&lt;&gt;0,HistoricalStockProgress[[#This Row],[Price of Shares]]*HistoricalStockProgress[[#This Row],[No. of Shares]],0)</f>
        <v>41415.57</v>
      </c>
      <c r="J2000" s="16">
        <f>IF(HistoricalStockProgress[[#This Row],[No. of Shares]]&lt;&gt;0,HistoricalStockProgress[[#This Row],[Price of Shares]]-HistoricalStockProgress[[#This Row],[Cost of Shares]]/HistoricalStockProgress[[#This Row],[No. of Shares]],0)</f>
        <v>217.83215863275029</v>
      </c>
      <c r="K2000" s="17">
        <f>IF(HistoricalStockProgress[[#This Row],[Total Price of Shares]]&lt;&gt;0,HistoricalStockProgress[[#This Row],[Total Price of Shares]]-HistoricalStockProgress[[#This Row],[Cost of Shares]],0)</f>
        <v>25922.026877297285</v>
      </c>
      <c r="L2000" s="34" t="b" cm="1">
        <f t="array" ref="L2000">IFERROR(IF(HistoricalStockProgress[[#This Row],[Price of Shares]]="",_xlfn.STOCKHISTORY(HistoricalStockProgress[[#This Row],[Full Company Name]],HistoricalStockProgress[[#This Row],[Date]],,2,0,1)),0)</f>
        <v>0</v>
      </c>
      <c r="M2000" s="34">
        <f>YEAR(HistoricalStockProgress[[#This Row],[Date]])</f>
        <v>2025</v>
      </c>
      <c r="N2000" s="34">
        <f>MONTH(HistoricalStockProgress[[#This Row],[Date]])</f>
        <v>5</v>
      </c>
    </row>
    <row r="2001" spans="2:14">
      <c r="B2001" s="15">
        <v>45808</v>
      </c>
      <c r="C2001" s="34" t="s">
        <v>91</v>
      </c>
      <c r="D2001" s="34" t="e" vm="11">
        <f>_xlfn.XLOOKUP(HistoricalStockProgress[[#This Row],[Company Ticker]],CompanyDetailsList[Company Ticker],CompanyDetailsList[Official Name],,0)</f>
        <v>#VALUE!</v>
      </c>
      <c r="E20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222</v>
      </c>
      <c r="F20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40750.761910577297</v>
      </c>
      <c r="G2001" s="17">
        <f>IFERROR(HistoricalStockProgress[[#This Row],[Cost of Shares]]/HistoricalStockProgress[[#This Row],[No. of Shares]],0)</f>
        <v>183.56199058818603</v>
      </c>
      <c r="H2001" s="16" vm="2463">
        <v>460.36</v>
      </c>
      <c r="I2001" s="16">
        <f>IF(HistoricalStockProgress[[#This Row],[No. of Shares]]&lt;&gt;0,HistoricalStockProgress[[#This Row],[Price of Shares]]*HistoricalStockProgress[[#This Row],[No. of Shares]],0)</f>
        <v>102199.92</v>
      </c>
      <c r="J2001" s="16">
        <f>IF(HistoricalStockProgress[[#This Row],[No. of Shares]]&lt;&gt;0,HistoricalStockProgress[[#This Row],[Price of Shares]]-HistoricalStockProgress[[#This Row],[Cost of Shares]]/HistoricalStockProgress[[#This Row],[No. of Shares]],0)</f>
        <v>276.79800941181395</v>
      </c>
      <c r="K2001" s="17">
        <f>IF(HistoricalStockProgress[[#This Row],[Total Price of Shares]]&lt;&gt;0,HistoricalStockProgress[[#This Row],[Total Price of Shares]]-HistoricalStockProgress[[#This Row],[Cost of Shares]],0)</f>
        <v>61449.158089422701</v>
      </c>
      <c r="L2001" s="34" t="b" cm="1">
        <f t="array" ref="L2001">IFERROR(IF(HistoricalStockProgress[[#This Row],[Price of Shares]]="",_xlfn.STOCKHISTORY(HistoricalStockProgress[[#This Row],[Full Company Name]],HistoricalStockProgress[[#This Row],[Date]],,2,0,1)),0)</f>
        <v>0</v>
      </c>
      <c r="M2001" s="34">
        <f>YEAR(HistoricalStockProgress[[#This Row],[Date]])</f>
        <v>2025</v>
      </c>
      <c r="N2001" s="34">
        <f>MONTH(HistoricalStockProgress[[#This Row],[Date]])</f>
        <v>5</v>
      </c>
    </row>
    <row r="2002" spans="2:14">
      <c r="B2002" s="15">
        <v>45808</v>
      </c>
      <c r="C2002" s="34" t="s">
        <v>16</v>
      </c>
      <c r="D2002" s="34" t="e" vm="12">
        <f>_xlfn.XLOOKUP(HistoricalStockProgress[[#This Row],[Company Ticker]],CompanyDetailsList[Company Ticker],CompanyDetailsList[Official Name],,0)</f>
        <v>#VALUE!</v>
      </c>
      <c r="E20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20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2002" s="17">
        <f>IFERROR(HistoricalStockProgress[[#This Row],[Cost of Shares]]/HistoricalStockProgress[[#This Row],[No. of Shares]],0)</f>
        <v>75.117698177311837</v>
      </c>
      <c r="H2002" s="16" vm="2464">
        <v>102.3</v>
      </c>
      <c r="I2002" s="16">
        <f>IF(HistoricalStockProgress[[#This Row],[No. of Shares]]&lt;&gt;0,HistoricalStockProgress[[#This Row],[Price of Shares]]*HistoricalStockProgress[[#This Row],[No. of Shares]],0)</f>
        <v>18925.5</v>
      </c>
      <c r="J2002" s="16">
        <f>IF(HistoricalStockProgress[[#This Row],[No. of Shares]]&lt;&gt;0,HistoricalStockProgress[[#This Row],[Price of Shares]]-HistoricalStockProgress[[#This Row],[Cost of Shares]]/HistoricalStockProgress[[#This Row],[No. of Shares]],0)</f>
        <v>27.18230182268816</v>
      </c>
      <c r="K2002" s="17">
        <f>IF(HistoricalStockProgress[[#This Row],[Total Price of Shares]]&lt;&gt;0,HistoricalStockProgress[[#This Row],[Total Price of Shares]]-HistoricalStockProgress[[#This Row],[Cost of Shares]],0)</f>
        <v>5028.7258371973112</v>
      </c>
      <c r="L2002" s="34" t="b" cm="1">
        <f t="array" ref="L2002">IFERROR(IF(HistoricalStockProgress[[#This Row],[Price of Shares]]="",_xlfn.STOCKHISTORY(HistoricalStockProgress[[#This Row],[Full Company Name]],HistoricalStockProgress[[#This Row],[Date]],,2,0,1)),0)</f>
        <v>0</v>
      </c>
      <c r="M2002" s="34">
        <f>YEAR(HistoricalStockProgress[[#This Row],[Date]])</f>
        <v>2025</v>
      </c>
      <c r="N2002" s="34">
        <f>MONTH(HistoricalStockProgress[[#This Row],[Date]])</f>
        <v>5</v>
      </c>
    </row>
    <row r="2003" spans="2:14">
      <c r="B2003" s="15">
        <v>45808</v>
      </c>
      <c r="C2003" s="34" t="s">
        <v>95</v>
      </c>
      <c r="D2003" s="34" t="e" vm="13">
        <f>_xlfn.XLOOKUP(HistoricalStockProgress[[#This Row],[Company Ticker]],CompanyDetailsList[Company Ticker],CompanyDetailsList[Official Name],,0)</f>
        <v>#VALUE!</v>
      </c>
      <c r="E20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172</v>
      </c>
      <c r="F20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47379.162890220832</v>
      </c>
      <c r="G2003" s="17">
        <f>IFERROR(HistoricalStockProgress[[#This Row],[Cost of Shares]]/HistoricalStockProgress[[#This Row],[No. of Shares]],0)</f>
        <v>275.46024936174905</v>
      </c>
      <c r="H2003" s="16" vm="2465">
        <v>368.29</v>
      </c>
      <c r="I2003" s="16">
        <f>IF(HistoricalStockProgress[[#This Row],[No. of Shares]]&lt;&gt;0,HistoricalStockProgress[[#This Row],[Price of Shares]]*HistoricalStockProgress[[#This Row],[No. of Shares]],0)</f>
        <v>63345.880000000005</v>
      </c>
      <c r="J2003" s="16">
        <f>IF(HistoricalStockProgress[[#This Row],[No. of Shares]]&lt;&gt;0,HistoricalStockProgress[[#This Row],[Price of Shares]]-HistoricalStockProgress[[#This Row],[Cost of Shares]]/HistoricalStockProgress[[#This Row],[No. of Shares]],0)</f>
        <v>92.829750638250971</v>
      </c>
      <c r="K2003" s="17">
        <f>IF(HistoricalStockProgress[[#This Row],[Total Price of Shares]]&lt;&gt;0,HistoricalStockProgress[[#This Row],[Total Price of Shares]]-HistoricalStockProgress[[#This Row],[Cost of Shares]],0)</f>
        <v>15966.717109779172</v>
      </c>
      <c r="L2003" s="34" t="b" cm="1">
        <f t="array" ref="L2003">IFERROR(IF(HistoricalStockProgress[[#This Row],[Price of Shares]]="",_xlfn.STOCKHISTORY(HistoricalStockProgress[[#This Row],[Full Company Name]],HistoricalStockProgress[[#This Row],[Date]],,2,0,1)),0)</f>
        <v>0</v>
      </c>
      <c r="M2003" s="34">
        <f>YEAR(HistoricalStockProgress[[#This Row],[Date]])</f>
        <v>2025</v>
      </c>
      <c r="N2003" s="34">
        <f>MONTH(HistoricalStockProgress[[#This Row],[Date]])</f>
        <v>5</v>
      </c>
    </row>
    <row r="2004" spans="2:14">
      <c r="B2004" s="15">
        <v>45808</v>
      </c>
      <c r="C2004" s="34" t="s">
        <v>17</v>
      </c>
      <c r="D2004" s="34" t="e" vm="14">
        <f>_xlfn.XLOOKUP(HistoricalStockProgress[[#This Row],[Company Ticker]],CompanyDetailsList[Company Ticker],CompanyDetailsList[Official Name],,0)</f>
        <v>#VALUE!</v>
      </c>
      <c r="E20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20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2004" s="17">
        <f>IFERROR(HistoricalStockProgress[[#This Row],[Cost of Shares]]/HistoricalStockProgress[[#This Row],[No. of Shares]],0)</f>
        <v>143.37791217450521</v>
      </c>
      <c r="H2004" s="16" vm="2466">
        <v>259.06</v>
      </c>
      <c r="I2004" s="16">
        <f>IF(HistoricalStockProgress[[#This Row],[No. of Shares]]&lt;&gt;0,HistoricalStockProgress[[#This Row],[Price of Shares]]*HistoricalStockProgress[[#This Row],[No. of Shares]],0)</f>
        <v>59842.86</v>
      </c>
      <c r="J2004" s="16">
        <f>IF(HistoricalStockProgress[[#This Row],[No. of Shares]]&lt;&gt;0,HistoricalStockProgress[[#This Row],[Price of Shares]]-HistoricalStockProgress[[#This Row],[Cost of Shares]]/HistoricalStockProgress[[#This Row],[No. of Shares]],0)</f>
        <v>115.68208782549479</v>
      </c>
      <c r="K2004" s="17">
        <f>IF(HistoricalStockProgress[[#This Row],[Total Price of Shares]]&lt;&gt;0,HistoricalStockProgress[[#This Row],[Total Price of Shares]]-HistoricalStockProgress[[#This Row],[Cost of Shares]],0)</f>
        <v>26722.562287689296</v>
      </c>
      <c r="L2004" s="34" t="b" cm="1">
        <f t="array" ref="L2004">IFERROR(IF(HistoricalStockProgress[[#This Row],[Price of Shares]]="",_xlfn.STOCKHISTORY(HistoricalStockProgress[[#This Row],[Full Company Name]],HistoricalStockProgress[[#This Row],[Date]],,2,0,1)),0)</f>
        <v>0</v>
      </c>
      <c r="M2004" s="34">
        <f>YEAR(HistoricalStockProgress[[#This Row],[Date]])</f>
        <v>2025</v>
      </c>
      <c r="N2004" s="34">
        <f>MONTH(HistoricalStockProgress[[#This Row],[Date]])</f>
        <v>5</v>
      </c>
    </row>
    <row r="2005" spans="2:14">
      <c r="B2005" s="15">
        <v>45808</v>
      </c>
      <c r="C2005" s="34" t="s">
        <v>98</v>
      </c>
      <c r="D2005" s="34" t="e" vm="15">
        <f>_xlfn.XLOOKUP(HistoricalStockProgress[[#This Row],[Company Ticker]],CompanyDetailsList[Company Ticker],CompanyDetailsList[Official Name],,0)</f>
        <v>#VALUE!</v>
      </c>
      <c r="E20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193</v>
      </c>
      <c r="F20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11397.772474019517</v>
      </c>
      <c r="G2005" s="17">
        <f>IFERROR(HistoricalStockProgress[[#This Row],[Cost of Shares]]/HistoricalStockProgress[[#This Row],[No. of Shares]],0)</f>
        <v>59.055815927562264</v>
      </c>
      <c r="H2005" s="16" vm="2467">
        <v>70.64</v>
      </c>
      <c r="I2005" s="16">
        <f>IF(HistoricalStockProgress[[#This Row],[No. of Shares]]&lt;&gt;0,HistoricalStockProgress[[#This Row],[Price of Shares]]*HistoricalStockProgress[[#This Row],[No. of Shares]],0)</f>
        <v>13633.52</v>
      </c>
      <c r="J2005" s="16">
        <f>IF(HistoricalStockProgress[[#This Row],[No. of Shares]]&lt;&gt;0,HistoricalStockProgress[[#This Row],[Price of Shares]]-HistoricalStockProgress[[#This Row],[Cost of Shares]]/HistoricalStockProgress[[#This Row],[No. of Shares]],0)</f>
        <v>11.584184072437736</v>
      </c>
      <c r="K2005" s="17">
        <f>IF(HistoricalStockProgress[[#This Row],[Total Price of Shares]]&lt;&gt;0,HistoricalStockProgress[[#This Row],[Total Price of Shares]]-HistoricalStockProgress[[#This Row],[Cost of Shares]],0)</f>
        <v>2235.7475259804833</v>
      </c>
      <c r="L2005" s="34" t="b" cm="1">
        <f t="array" ref="L2005">IFERROR(IF(HistoricalStockProgress[[#This Row],[Price of Shares]]="",_xlfn.STOCKHISTORY(HistoricalStockProgress[[#This Row],[Full Company Name]],HistoricalStockProgress[[#This Row],[Date]],,2,0,1)),0)</f>
        <v>0</v>
      </c>
      <c r="M2005" s="34">
        <f>YEAR(HistoricalStockProgress[[#This Row],[Date]])</f>
        <v>2025</v>
      </c>
      <c r="N2005" s="34">
        <f>MONTH(HistoricalStockProgress[[#This Row],[Date]])</f>
        <v>5</v>
      </c>
    </row>
    <row r="2006" spans="2:14">
      <c r="B2006" s="15">
        <v>45808</v>
      </c>
      <c r="C2006" s="34" t="s">
        <v>100</v>
      </c>
      <c r="D2006" s="34" t="e" vm="16">
        <f>_xlfn.XLOOKUP(HistoricalStockProgress[[#This Row],[Company Ticker]],CompanyDetailsList[Company Ticker],CompanyDetailsList[Official Name],,0)</f>
        <v>#VALUE!</v>
      </c>
      <c r="E20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20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2006" s="17">
        <f>IFERROR(HistoricalStockProgress[[#This Row],[Cost of Shares]]/HistoricalStockProgress[[#This Row],[No. of Shares]],0)</f>
        <v>92.156351168716071</v>
      </c>
      <c r="H2006" s="16" vm="2468">
        <v>117.72</v>
      </c>
      <c r="I2006" s="16">
        <f>IF(HistoricalStockProgress[[#This Row],[No. of Shares]]&lt;&gt;0,HistoricalStockProgress[[#This Row],[Price of Shares]]*HistoricalStockProgress[[#This Row],[No. of Shares]],0)</f>
        <v>29430</v>
      </c>
      <c r="J2006" s="16">
        <f>IF(HistoricalStockProgress[[#This Row],[No. of Shares]]&lt;&gt;0,HistoricalStockProgress[[#This Row],[Price of Shares]]-HistoricalStockProgress[[#This Row],[Cost of Shares]]/HistoricalStockProgress[[#This Row],[No. of Shares]],0)</f>
        <v>25.563648831283928</v>
      </c>
      <c r="K2006" s="17">
        <f>IF(HistoricalStockProgress[[#This Row],[Total Price of Shares]]&lt;&gt;0,HistoricalStockProgress[[#This Row],[Total Price of Shares]]-HistoricalStockProgress[[#This Row],[Cost of Shares]],0)</f>
        <v>6390.9122078209839</v>
      </c>
      <c r="L2006" s="34" t="b" cm="1">
        <f t="array" ref="L2006">IFERROR(IF(HistoricalStockProgress[[#This Row],[Price of Shares]]="",_xlfn.STOCKHISTORY(HistoricalStockProgress[[#This Row],[Full Company Name]],HistoricalStockProgress[[#This Row],[Date]],,2,0,1)),0)</f>
        <v>0</v>
      </c>
      <c r="M2006" s="34">
        <f>YEAR(HistoricalStockProgress[[#This Row],[Date]])</f>
        <v>2025</v>
      </c>
      <c r="N2006" s="34">
        <f>MONTH(HistoricalStockProgress[[#This Row],[Date]])</f>
        <v>5</v>
      </c>
    </row>
    <row r="2007" spans="2:14">
      <c r="B2007" s="15">
        <v>45808</v>
      </c>
      <c r="C2007" s="34" t="s">
        <v>15</v>
      </c>
      <c r="D2007" s="34" t="e" vm="17">
        <f>_xlfn.XLOOKUP(HistoricalStockProgress[[#This Row],[Company Ticker]],CompanyDetailsList[Company Ticker],CompanyDetailsList[Official Name],,0)</f>
        <v>#VALUE!</v>
      </c>
      <c r="E20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20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3628.1478386140398</v>
      </c>
      <c r="G2007" s="17">
        <f>IFERROR(HistoricalStockProgress[[#This Row],[Cost of Shares]]/HistoricalStockProgress[[#This Row],[No. of Shares]],0)</f>
        <v>24.85032766174</v>
      </c>
      <c r="H2007" s="16" vm="2469">
        <v>27.8</v>
      </c>
      <c r="I2007" s="16">
        <f>IF(HistoricalStockProgress[[#This Row],[No. of Shares]]&lt;&gt;0,HistoricalStockProgress[[#This Row],[Price of Shares]]*HistoricalStockProgress[[#This Row],[No. of Shares]],0)</f>
        <v>4058.8</v>
      </c>
      <c r="J2007" s="16">
        <f>IF(HistoricalStockProgress[[#This Row],[No. of Shares]]&lt;&gt;0,HistoricalStockProgress[[#This Row],[Price of Shares]]-HistoricalStockProgress[[#This Row],[Cost of Shares]]/HistoricalStockProgress[[#This Row],[No. of Shares]],0)</f>
        <v>2.949672338260001</v>
      </c>
      <c r="K2007" s="17">
        <f>IF(HistoricalStockProgress[[#This Row],[Total Price of Shares]]&lt;&gt;0,HistoricalStockProgress[[#This Row],[Total Price of Shares]]-HistoricalStockProgress[[#This Row],[Cost of Shares]],0)</f>
        <v>430.65216138596043</v>
      </c>
      <c r="L2007" s="34" t="b" cm="1">
        <f t="array" ref="L2007">IFERROR(IF(HistoricalStockProgress[[#This Row],[Price of Shares]]="",_xlfn.STOCKHISTORY(HistoricalStockProgress[[#This Row],[Full Company Name]],HistoricalStockProgress[[#This Row],[Date]],,2,0,1)),0)</f>
        <v>0</v>
      </c>
      <c r="M2007" s="34">
        <f>YEAR(HistoricalStockProgress[[#This Row],[Date]])</f>
        <v>2025</v>
      </c>
      <c r="N2007" s="34">
        <f>MONTH(HistoricalStockProgress[[#This Row],[Date]])</f>
        <v>5</v>
      </c>
    </row>
    <row r="2008" spans="2:14">
      <c r="B2008" s="15">
        <v>45808</v>
      </c>
      <c r="C2008" s="34" t="s">
        <v>13</v>
      </c>
      <c r="D2008" s="34" t="e" vm="18">
        <f>_xlfn.XLOOKUP(HistoricalStockProgress[[#This Row],[Company Ticker]],CompanyDetailsList[Company Ticker],CompanyDetailsList[Official Name],,0)</f>
        <v>#VALUE!</v>
      </c>
      <c r="E20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115</v>
      </c>
      <c r="F20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3682.4466352500076</v>
      </c>
      <c r="G2008" s="17">
        <f>IFERROR(HistoricalStockProgress[[#This Row],[Cost of Shares]]/HistoricalStockProgress[[#This Row],[No. of Shares]],0)</f>
        <v>32.021275089130498</v>
      </c>
      <c r="H2008" s="16" vm="2470">
        <v>23.49</v>
      </c>
      <c r="I2008" s="16">
        <f>IF(HistoricalStockProgress[[#This Row],[No. of Shares]]&lt;&gt;0,HistoricalStockProgress[[#This Row],[Price of Shares]]*HistoricalStockProgress[[#This Row],[No. of Shares]],0)</f>
        <v>2701.35</v>
      </c>
      <c r="J2008" s="16">
        <f>IF(HistoricalStockProgress[[#This Row],[No. of Shares]]&lt;&gt;0,HistoricalStockProgress[[#This Row],[Price of Shares]]-HistoricalStockProgress[[#This Row],[Cost of Shares]]/HistoricalStockProgress[[#This Row],[No. of Shares]],0)</f>
        <v>-8.5312750891304994</v>
      </c>
      <c r="K2008" s="17">
        <f>IF(HistoricalStockProgress[[#This Row],[Total Price of Shares]]&lt;&gt;0,HistoricalStockProgress[[#This Row],[Total Price of Shares]]-HistoricalStockProgress[[#This Row],[Cost of Shares]],0)</f>
        <v>-981.09663525000769</v>
      </c>
      <c r="L2008" s="34" t="b" cm="1">
        <f t="array" ref="L2008">IFERROR(IF(HistoricalStockProgress[[#This Row],[Price of Shares]]="",_xlfn.STOCKHISTORY(HistoricalStockProgress[[#This Row],[Full Company Name]],HistoricalStockProgress[[#This Row],[Date]],,2,0,1)),0)</f>
        <v>0</v>
      </c>
      <c r="M2008" s="34">
        <f>YEAR(HistoricalStockProgress[[#This Row],[Date]])</f>
        <v>2025</v>
      </c>
      <c r="N2008" s="34">
        <f>MONTH(HistoricalStockProgress[[#This Row],[Date]])</f>
        <v>5</v>
      </c>
    </row>
    <row r="2009" spans="2:14">
      <c r="B2009" s="15">
        <v>45808</v>
      </c>
      <c r="C2009" s="34" t="s">
        <v>20</v>
      </c>
      <c r="D2009" s="34" t="e" vm="19">
        <f>_xlfn.XLOOKUP(HistoricalStockProgress[[#This Row],[Company Ticker]],CompanyDetailsList[Company Ticker],CompanyDetailsList[Official Name],,0)</f>
        <v>#VALUE!</v>
      </c>
      <c r="E20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20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2009" s="17">
        <f>IFERROR(HistoricalStockProgress[[#This Row],[Cost of Shares]]/HistoricalStockProgress[[#This Row],[No. of Shares]],0)</f>
        <v>108.1760767450256</v>
      </c>
      <c r="H2009" s="16" vm="2471">
        <v>264</v>
      </c>
      <c r="I2009" s="16">
        <f>IF(HistoricalStockProgress[[#This Row],[No. of Shares]]&lt;&gt;0,HistoricalStockProgress[[#This Row],[Price of Shares]]*HistoricalStockProgress[[#This Row],[No. of Shares]],0)</f>
        <v>30624</v>
      </c>
      <c r="J2009" s="16">
        <f>IF(HistoricalStockProgress[[#This Row],[No. of Shares]]&lt;&gt;0,HistoricalStockProgress[[#This Row],[Price of Shares]]-HistoricalStockProgress[[#This Row],[Cost of Shares]]/HistoricalStockProgress[[#This Row],[No. of Shares]],0)</f>
        <v>155.8239232549744</v>
      </c>
      <c r="K2009" s="17">
        <f>IF(HistoricalStockProgress[[#This Row],[Total Price of Shares]]&lt;&gt;0,HistoricalStockProgress[[#This Row],[Total Price of Shares]]-HistoricalStockProgress[[#This Row],[Cost of Shares]],0)</f>
        <v>18075.575097577032</v>
      </c>
      <c r="L2009" s="34" t="b" cm="1">
        <f t="array" ref="L2009">IFERROR(IF(HistoricalStockProgress[[#This Row],[Price of Shares]]="",_xlfn.STOCKHISTORY(HistoricalStockProgress[[#This Row],[Full Company Name]],HistoricalStockProgress[[#This Row],[Date]],,2,0,1)),0)</f>
        <v>0</v>
      </c>
      <c r="M2009" s="34">
        <f>YEAR(HistoricalStockProgress[[#This Row],[Date]])</f>
        <v>2025</v>
      </c>
      <c r="N2009" s="34">
        <f>MONTH(HistoricalStockProgress[[#This Row],[Date]])</f>
        <v>5</v>
      </c>
    </row>
    <row r="2010" spans="2:14">
      <c r="B2010" s="15">
        <v>45808</v>
      </c>
      <c r="C2010" s="34" t="s">
        <v>106</v>
      </c>
      <c r="D2010" s="34" t="e" vm="20">
        <f>_xlfn.XLOOKUP(HistoricalStockProgress[[#This Row],[Company Ticker]],CompanyDetailsList[Company Ticker],CompanyDetailsList[Official Name],,0)</f>
        <v>#VALUE!</v>
      </c>
      <c r="E20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20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2010" s="17">
        <f>IFERROR(HistoricalStockProgress[[#This Row],[Cost of Shares]]/HistoricalStockProgress[[#This Row],[No. of Shares]],0)</f>
        <v>108.54870748680406</v>
      </c>
      <c r="H2010" s="16" vm="2472">
        <v>110.8</v>
      </c>
      <c r="I2010" s="16">
        <f>IF(HistoricalStockProgress[[#This Row],[No. of Shares]]&lt;&gt;0,HistoricalStockProgress[[#This Row],[Price of Shares]]*HistoricalStockProgress[[#This Row],[No. of Shares]],0)</f>
        <v>9750.4</v>
      </c>
      <c r="J2010" s="16">
        <f>IF(HistoricalStockProgress[[#This Row],[No. of Shares]]&lt;&gt;0,HistoricalStockProgress[[#This Row],[Price of Shares]]-HistoricalStockProgress[[#This Row],[Cost of Shares]]/HistoricalStockProgress[[#This Row],[No. of Shares]],0)</f>
        <v>2.2512925131959349</v>
      </c>
      <c r="K2010" s="17">
        <f>IF(HistoricalStockProgress[[#This Row],[Total Price of Shares]]&lt;&gt;0,HistoricalStockProgress[[#This Row],[Total Price of Shares]]-HistoricalStockProgress[[#This Row],[Cost of Shares]],0)</f>
        <v>198.11374116124171</v>
      </c>
      <c r="L2010" s="34" t="b" cm="1">
        <f t="array" ref="L2010">IFERROR(IF(HistoricalStockProgress[[#This Row],[Price of Shares]]="",_xlfn.STOCKHISTORY(HistoricalStockProgress[[#This Row],[Full Company Name]],HistoricalStockProgress[[#This Row],[Date]],,2,0,1)),0)</f>
        <v>0</v>
      </c>
      <c r="M2010" s="34">
        <f>YEAR(HistoricalStockProgress[[#This Row],[Date]])</f>
        <v>2025</v>
      </c>
      <c r="N2010" s="34">
        <f>MONTH(HistoricalStockProgress[[#This Row],[Date]])</f>
        <v>5</v>
      </c>
    </row>
    <row r="2011" spans="2:14">
      <c r="B2011" s="15">
        <v>45838</v>
      </c>
      <c r="C2011" s="34" t="s">
        <v>12</v>
      </c>
      <c r="D2011" s="34" t="e" vm="1">
        <f>_xlfn.XLOOKUP(HistoricalStockProgress[[#This Row],[Company Ticker]],CompanyDetailsList[Company Ticker],CompanyDetailsList[Official Name],,0)</f>
        <v>#VALUE!</v>
      </c>
      <c r="E20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20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2011" s="17">
        <f>IFERROR(HistoricalStockProgress[[#This Row],[Cost of Shares]]/HistoricalStockProgress[[#This Row],[No. of Shares]],0)</f>
        <v>64.573985995316889</v>
      </c>
      <c r="H2011" s="16" vm="2473">
        <v>57.61</v>
      </c>
      <c r="I2011" s="16">
        <f>IF(HistoricalStockProgress[[#This Row],[No. of Shares]]&lt;&gt;0,HistoricalStockProgress[[#This Row],[Price of Shares]]*HistoricalStockProgress[[#This Row],[No. of Shares]],0)</f>
        <v>5588.17</v>
      </c>
      <c r="J2011" s="16">
        <f>IF(HistoricalStockProgress[[#This Row],[No. of Shares]]&lt;&gt;0,HistoricalStockProgress[[#This Row],[Price of Shares]]-HistoricalStockProgress[[#This Row],[Cost of Shares]]/HistoricalStockProgress[[#This Row],[No. of Shares]],0)</f>
        <v>-6.9639859953168894</v>
      </c>
      <c r="K2011" s="17">
        <f>IF(HistoricalStockProgress[[#This Row],[Total Price of Shares]]&lt;&gt;0,HistoricalStockProgress[[#This Row],[Total Price of Shares]]-HistoricalStockProgress[[#This Row],[Cost of Shares]],0)</f>
        <v>-675.50664154573769</v>
      </c>
      <c r="L2011" s="34" t="b" cm="1">
        <f t="array" ref="L2011">IFERROR(IF(HistoricalStockProgress[[#This Row],[Price of Shares]]="",_xlfn.STOCKHISTORY(HistoricalStockProgress[[#This Row],[Full Company Name]],HistoricalStockProgress[[#This Row],[Date]],,2,0,1)),0)</f>
        <v>0</v>
      </c>
      <c r="M2011" s="34">
        <f>YEAR(HistoricalStockProgress[[#This Row],[Date]])</f>
        <v>2025</v>
      </c>
      <c r="N2011" s="34">
        <f>MONTH(HistoricalStockProgress[[#This Row],[Date]])</f>
        <v>6</v>
      </c>
    </row>
    <row r="2012" spans="2:14">
      <c r="B2012" s="15">
        <v>45838</v>
      </c>
      <c r="C2012" s="34" t="s">
        <v>14</v>
      </c>
      <c r="D2012" s="34" t="e" vm="2">
        <f>_xlfn.XLOOKUP(HistoricalStockProgress[[#This Row],[Company Ticker]],CompanyDetailsList[Company Ticker],CompanyDetailsList[Official Name],,0)</f>
        <v>#VALUE!</v>
      </c>
      <c r="E20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20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2012" s="17">
        <f>IFERROR(HistoricalStockProgress[[#This Row],[Cost of Shares]]/HistoricalStockProgress[[#This Row],[No. of Shares]],0)</f>
        <v>26.819337355148658</v>
      </c>
      <c r="H2012" s="16" vm="2474">
        <v>32</v>
      </c>
      <c r="I2012" s="16">
        <f>IF(HistoricalStockProgress[[#This Row],[No. of Shares]]&lt;&gt;0,HistoricalStockProgress[[#This Row],[Price of Shares]]*HistoricalStockProgress[[#This Row],[No. of Shares]],0)</f>
        <v>2016</v>
      </c>
      <c r="J2012" s="16">
        <f>IF(HistoricalStockProgress[[#This Row],[No. of Shares]]&lt;&gt;0,HistoricalStockProgress[[#This Row],[Price of Shares]]-HistoricalStockProgress[[#This Row],[Cost of Shares]]/HistoricalStockProgress[[#This Row],[No. of Shares]],0)</f>
        <v>5.180662644851342</v>
      </c>
      <c r="K2012" s="17">
        <f>IF(HistoricalStockProgress[[#This Row],[Total Price of Shares]]&lt;&gt;0,HistoricalStockProgress[[#This Row],[Total Price of Shares]]-HistoricalStockProgress[[#This Row],[Cost of Shares]],0)</f>
        <v>326.38174662563461</v>
      </c>
      <c r="L2012" s="34" t="b" cm="1">
        <f t="array" ref="L2012">IFERROR(IF(HistoricalStockProgress[[#This Row],[Price of Shares]]="",_xlfn.STOCKHISTORY(HistoricalStockProgress[[#This Row],[Full Company Name]],HistoricalStockProgress[[#This Row],[Date]],,2,0,1)),0)</f>
        <v>0</v>
      </c>
      <c r="M2012" s="34">
        <f>YEAR(HistoricalStockProgress[[#This Row],[Date]])</f>
        <v>2025</v>
      </c>
      <c r="N2012" s="34">
        <f>MONTH(HistoricalStockProgress[[#This Row],[Date]])</f>
        <v>6</v>
      </c>
    </row>
    <row r="2013" spans="2:14">
      <c r="B2013" s="15">
        <v>45838</v>
      </c>
      <c r="C2013" s="34" t="s">
        <v>19</v>
      </c>
      <c r="D2013" s="34" t="e" vm="3">
        <f>_xlfn.XLOOKUP(HistoricalStockProgress[[#This Row],[Company Ticker]],CompanyDetailsList[Company Ticker],CompanyDetailsList[Official Name],,0)</f>
        <v>#VALUE!</v>
      </c>
      <c r="E20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20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2013" s="17">
        <f>IFERROR(HistoricalStockProgress[[#This Row],[Cost of Shares]]/HistoricalStockProgress[[#This Row],[No. of Shares]],0)</f>
        <v>160.12652821044301</v>
      </c>
      <c r="H2013" s="16" vm="2475">
        <v>120.07</v>
      </c>
      <c r="I2013" s="16">
        <f>IF(HistoricalStockProgress[[#This Row],[No. of Shares]]&lt;&gt;0,HistoricalStockProgress[[#This Row],[Price of Shares]]*HistoricalStockProgress[[#This Row],[No. of Shares]],0)</f>
        <v>10326.019999999999</v>
      </c>
      <c r="J2013" s="16">
        <f>IF(HistoricalStockProgress[[#This Row],[No. of Shares]]&lt;&gt;0,HistoricalStockProgress[[#This Row],[Price of Shares]]-HistoricalStockProgress[[#This Row],[Cost of Shares]]/HistoricalStockProgress[[#This Row],[No. of Shares]],0)</f>
        <v>-40.05652821044302</v>
      </c>
      <c r="K2013" s="17">
        <f>IF(HistoricalStockProgress[[#This Row],[Total Price of Shares]]&lt;&gt;0,HistoricalStockProgress[[#This Row],[Total Price of Shares]]-HistoricalStockProgress[[#This Row],[Cost of Shares]],0)</f>
        <v>-3444.8614260980994</v>
      </c>
      <c r="L2013" s="34" t="b" cm="1">
        <f t="array" ref="L2013">IFERROR(IF(HistoricalStockProgress[[#This Row],[Price of Shares]]="",_xlfn.STOCKHISTORY(HistoricalStockProgress[[#This Row],[Full Company Name]],HistoricalStockProgress[[#This Row],[Date]],,2,0,1)),0)</f>
        <v>0</v>
      </c>
      <c r="M2013" s="34">
        <f>YEAR(HistoricalStockProgress[[#This Row],[Date]])</f>
        <v>2025</v>
      </c>
      <c r="N2013" s="34">
        <f>MONTH(HistoricalStockProgress[[#This Row],[Date]])</f>
        <v>6</v>
      </c>
    </row>
    <row r="2014" spans="2:14">
      <c r="B2014" s="15">
        <v>45838</v>
      </c>
      <c r="C2014" s="34" t="s">
        <v>23</v>
      </c>
      <c r="D2014" s="34" t="e" vm="4">
        <f>_xlfn.XLOOKUP(HistoricalStockProgress[[#This Row],[Company Ticker]],CompanyDetailsList[Company Ticker],CompanyDetailsList[Official Name],,0)</f>
        <v>#VALUE!</v>
      </c>
      <c r="E20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20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2014" s="17">
        <f>IFERROR(HistoricalStockProgress[[#This Row],[Cost of Shares]]/HistoricalStockProgress[[#This Row],[No. of Shares]],0)</f>
        <v>50.781277236510277</v>
      </c>
      <c r="H2014" s="16" vm="2476">
        <v>70.75</v>
      </c>
      <c r="I2014" s="16">
        <f>IF(HistoricalStockProgress[[#This Row],[No. of Shares]]&lt;&gt;0,HistoricalStockProgress[[#This Row],[Price of Shares]]*HistoricalStockProgress[[#This Row],[No. of Shares]],0)</f>
        <v>8277.75</v>
      </c>
      <c r="J2014" s="16">
        <f>IF(HistoricalStockProgress[[#This Row],[No. of Shares]]&lt;&gt;0,HistoricalStockProgress[[#This Row],[Price of Shares]]-HistoricalStockProgress[[#This Row],[Cost of Shares]]/HistoricalStockProgress[[#This Row],[No. of Shares]],0)</f>
        <v>19.968722763489723</v>
      </c>
      <c r="K2014" s="17">
        <f>IF(HistoricalStockProgress[[#This Row],[Total Price of Shares]]&lt;&gt;0,HistoricalStockProgress[[#This Row],[Total Price of Shares]]-HistoricalStockProgress[[#This Row],[Cost of Shares]],0)</f>
        <v>2336.3405633282973</v>
      </c>
      <c r="L2014" s="34" t="b" cm="1">
        <f t="array" ref="L2014">IFERROR(IF(HistoricalStockProgress[[#This Row],[Price of Shares]]="",_xlfn.STOCKHISTORY(HistoricalStockProgress[[#This Row],[Full Company Name]],HistoricalStockProgress[[#This Row],[Date]],,2,0,1)),0)</f>
        <v>0</v>
      </c>
      <c r="M2014" s="34">
        <f>YEAR(HistoricalStockProgress[[#This Row],[Date]])</f>
        <v>2025</v>
      </c>
      <c r="N2014" s="34">
        <f>MONTH(HistoricalStockProgress[[#This Row],[Date]])</f>
        <v>6</v>
      </c>
    </row>
    <row r="2015" spans="2:14">
      <c r="B2015" s="15">
        <v>45838</v>
      </c>
      <c r="C2015" s="34" t="s">
        <v>18</v>
      </c>
      <c r="D2015" s="34" t="e" vm="5">
        <f>_xlfn.XLOOKUP(HistoricalStockProgress[[#This Row],[Company Ticker]],CompanyDetailsList[Company Ticker],CompanyDetailsList[Official Name],,0)</f>
        <v>#VALUE!</v>
      </c>
      <c r="E20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20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2015" s="17">
        <f>IFERROR(HistoricalStockProgress[[#This Row],[Cost of Shares]]/HistoricalStockProgress[[#This Row],[No. of Shares]],0)</f>
        <v>160.8859607546234</v>
      </c>
      <c r="H2015" s="16" vm="1207">
        <v>132.04</v>
      </c>
      <c r="I2015" s="16">
        <f>IF(HistoricalStockProgress[[#This Row],[No. of Shares]]&lt;&gt;0,HistoricalStockProgress[[#This Row],[Price of Shares]]*HistoricalStockProgress[[#This Row],[No. of Shares]],0)</f>
        <v>5677.7199999999993</v>
      </c>
      <c r="J2015" s="16">
        <f>IF(HistoricalStockProgress[[#This Row],[No. of Shares]]&lt;&gt;0,HistoricalStockProgress[[#This Row],[Price of Shares]]-HistoricalStockProgress[[#This Row],[Cost of Shares]]/HistoricalStockProgress[[#This Row],[No. of Shares]],0)</f>
        <v>-28.845960754623405</v>
      </c>
      <c r="K2015" s="17">
        <f>IF(HistoricalStockProgress[[#This Row],[Total Price of Shares]]&lt;&gt;0,HistoricalStockProgress[[#This Row],[Total Price of Shares]]-HistoricalStockProgress[[#This Row],[Cost of Shares]],0)</f>
        <v>-1240.3763124488069</v>
      </c>
      <c r="L2015" s="34" t="b" cm="1">
        <f t="array" ref="L2015">IFERROR(IF(HistoricalStockProgress[[#This Row],[Price of Shares]]="",_xlfn.STOCKHISTORY(HistoricalStockProgress[[#This Row],[Full Company Name]],HistoricalStockProgress[[#This Row],[Date]],,2,0,1)),0)</f>
        <v>0</v>
      </c>
      <c r="M2015" s="34">
        <f>YEAR(HistoricalStockProgress[[#This Row],[Date]])</f>
        <v>2025</v>
      </c>
      <c r="N2015" s="34">
        <f>MONTH(HistoricalStockProgress[[#This Row],[Date]])</f>
        <v>6</v>
      </c>
    </row>
    <row r="2016" spans="2:14">
      <c r="B2016" s="15">
        <v>45838</v>
      </c>
      <c r="C2016" s="34" t="s">
        <v>21</v>
      </c>
      <c r="D2016" s="34" t="e" vm="6">
        <f>_xlfn.XLOOKUP(HistoricalStockProgress[[#This Row],[Company Ticker]],CompanyDetailsList[Company Ticker],CompanyDetailsList[Official Name],,0)</f>
        <v>#VALUE!</v>
      </c>
      <c r="E20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84</v>
      </c>
      <c r="F20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12738.215402497406</v>
      </c>
      <c r="G2016" s="17">
        <f>IFERROR(HistoricalStockProgress[[#This Row],[Cost of Shares]]/HistoricalStockProgress[[#This Row],[No. of Shares]],0)</f>
        <v>151.64542145830245</v>
      </c>
      <c r="H2016" s="16" vm="2477">
        <v>159.32</v>
      </c>
      <c r="I2016" s="16">
        <f>IF(HistoricalStockProgress[[#This Row],[No. of Shares]]&lt;&gt;0,HistoricalStockProgress[[#This Row],[Price of Shares]]*HistoricalStockProgress[[#This Row],[No. of Shares]],0)</f>
        <v>13382.88</v>
      </c>
      <c r="J2016" s="16">
        <f>IF(HistoricalStockProgress[[#This Row],[No. of Shares]]&lt;&gt;0,HistoricalStockProgress[[#This Row],[Price of Shares]]-HistoricalStockProgress[[#This Row],[Cost of Shares]]/HistoricalStockProgress[[#This Row],[No. of Shares]],0)</f>
        <v>7.6745785416975423</v>
      </c>
      <c r="K2016" s="17">
        <f>IF(HistoricalStockProgress[[#This Row],[Total Price of Shares]]&lt;&gt;0,HistoricalStockProgress[[#This Row],[Total Price of Shares]]-HistoricalStockProgress[[#This Row],[Cost of Shares]],0)</f>
        <v>644.6645975025931</v>
      </c>
      <c r="L2016" s="34" t="b" cm="1">
        <f t="array" ref="L2016">IFERROR(IF(HistoricalStockProgress[[#This Row],[Price of Shares]]="",_xlfn.STOCKHISTORY(HistoricalStockProgress[[#This Row],[Full Company Name]],HistoricalStockProgress[[#This Row],[Date]],,2,0,1)),0)</f>
        <v>0</v>
      </c>
      <c r="M2016" s="34">
        <f>YEAR(HistoricalStockProgress[[#This Row],[Date]])</f>
        <v>2025</v>
      </c>
      <c r="N2016" s="34">
        <f>MONTH(HistoricalStockProgress[[#This Row],[Date]])</f>
        <v>6</v>
      </c>
    </row>
    <row r="2017" spans="2:14">
      <c r="B2017" s="15">
        <v>45838</v>
      </c>
      <c r="C2017" s="34" t="s">
        <v>84</v>
      </c>
      <c r="D2017" s="34" t="e" vm="7">
        <f>_xlfn.XLOOKUP(HistoricalStockProgress[[#This Row],[Company Ticker]],CompanyDetailsList[Company Ticker],CompanyDetailsList[Official Name],,0)</f>
        <v>#VALUE!</v>
      </c>
      <c r="E20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20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2017" s="17">
        <f>IFERROR(HistoricalStockProgress[[#This Row],[Cost of Shares]]/HistoricalStockProgress[[#This Row],[No. of Shares]],0)</f>
        <v>104.18087504950869</v>
      </c>
      <c r="H2017" s="16" vm="2478">
        <v>152.75</v>
      </c>
      <c r="I2017" s="16">
        <f>IF(HistoricalStockProgress[[#This Row],[No. of Shares]]&lt;&gt;0,HistoricalStockProgress[[#This Row],[Price of Shares]]*HistoricalStockProgress[[#This Row],[No. of Shares]],0)</f>
        <v>7790.25</v>
      </c>
      <c r="J2017" s="16">
        <f>IF(HistoricalStockProgress[[#This Row],[No. of Shares]]&lt;&gt;0,HistoricalStockProgress[[#This Row],[Price of Shares]]-HistoricalStockProgress[[#This Row],[Cost of Shares]]/HistoricalStockProgress[[#This Row],[No. of Shares]],0)</f>
        <v>48.569124950491315</v>
      </c>
      <c r="K2017" s="17">
        <f>IF(HistoricalStockProgress[[#This Row],[Total Price of Shares]]&lt;&gt;0,HistoricalStockProgress[[#This Row],[Total Price of Shares]]-HistoricalStockProgress[[#This Row],[Cost of Shares]],0)</f>
        <v>2477.0253724750573</v>
      </c>
      <c r="L2017" s="34" t="b" cm="1">
        <f t="array" ref="L2017">IFERROR(IF(HistoricalStockProgress[[#This Row],[Price of Shares]]="",_xlfn.STOCKHISTORY(HistoricalStockProgress[[#This Row],[Full Company Name]],HistoricalStockProgress[[#This Row],[Date]],,2,0,1)),0)</f>
        <v>0</v>
      </c>
      <c r="M2017" s="34">
        <f>YEAR(HistoricalStockProgress[[#This Row],[Date]])</f>
        <v>2025</v>
      </c>
      <c r="N2017" s="34">
        <f>MONTH(HistoricalStockProgress[[#This Row],[Date]])</f>
        <v>6</v>
      </c>
    </row>
    <row r="2018" spans="2:14">
      <c r="B2018" s="15">
        <v>45838</v>
      </c>
      <c r="C2018" s="34" t="s">
        <v>86</v>
      </c>
      <c r="D2018" s="34" t="e" vm="8">
        <f>_xlfn.XLOOKUP(HistoricalStockProgress[[#This Row],[Company Ticker]],CompanyDetailsList[Company Ticker],CompanyDetailsList[Official Name],,0)</f>
        <v>#VALUE!</v>
      </c>
      <c r="E20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20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2018" s="17">
        <f>IFERROR(HistoricalStockProgress[[#This Row],[Cost of Shares]]/HistoricalStockProgress[[#This Row],[No. of Shares]],0)</f>
        <v>115.48970647877745</v>
      </c>
      <c r="H2018" s="16" vm="2479">
        <v>185.62</v>
      </c>
      <c r="I2018" s="16">
        <f>IF(HistoricalStockProgress[[#This Row],[No. of Shares]]&lt;&gt;0,HistoricalStockProgress[[#This Row],[Price of Shares]]*HistoricalStockProgress[[#This Row],[No. of Shares]],0)</f>
        <v>28214.240000000002</v>
      </c>
      <c r="J2018" s="16">
        <f>IF(HistoricalStockProgress[[#This Row],[No. of Shares]]&lt;&gt;0,HistoricalStockProgress[[#This Row],[Price of Shares]]-HistoricalStockProgress[[#This Row],[Cost of Shares]]/HistoricalStockProgress[[#This Row],[No. of Shares]],0)</f>
        <v>70.130293521222555</v>
      </c>
      <c r="K2018" s="17">
        <f>IF(HistoricalStockProgress[[#This Row],[Total Price of Shares]]&lt;&gt;0,HistoricalStockProgress[[#This Row],[Total Price of Shares]]-HistoricalStockProgress[[#This Row],[Cost of Shares]],0)</f>
        <v>10659.804615225828</v>
      </c>
      <c r="L2018" s="34" t="b" cm="1">
        <f t="array" ref="L2018">IFERROR(IF(HistoricalStockProgress[[#This Row],[Price of Shares]]="",_xlfn.STOCKHISTORY(HistoricalStockProgress[[#This Row],[Full Company Name]],HistoricalStockProgress[[#This Row],[Date]],,2,0,1)),0)</f>
        <v>0</v>
      </c>
      <c r="M2018" s="34">
        <f>YEAR(HistoricalStockProgress[[#This Row],[Date]])</f>
        <v>2025</v>
      </c>
      <c r="N2018" s="34">
        <f>MONTH(HistoricalStockProgress[[#This Row],[Date]])</f>
        <v>6</v>
      </c>
    </row>
    <row r="2019" spans="2:14">
      <c r="B2019" s="15">
        <v>45838</v>
      </c>
      <c r="C2019" s="34" t="s">
        <v>88</v>
      </c>
      <c r="D2019" s="34" t="e" vm="9">
        <f>_xlfn.XLOOKUP(HistoricalStockProgress[[#This Row],[Company Ticker]],CompanyDetailsList[Company Ticker],CompanyDetailsList[Official Name],,0)</f>
        <v>#VALUE!</v>
      </c>
      <c r="E20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20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2019" s="17">
        <f>IFERROR(HistoricalStockProgress[[#This Row],[Cost of Shares]]/HistoricalStockProgress[[#This Row],[No. of Shares]],0)</f>
        <v>224.7272684493652</v>
      </c>
      <c r="H2019" s="16" vm="2480">
        <v>292.17</v>
      </c>
      <c r="I2019" s="16">
        <f>IF(HistoricalStockProgress[[#This Row],[No. of Shares]]&lt;&gt;0,HistoricalStockProgress[[#This Row],[Price of Shares]]*HistoricalStockProgress[[#This Row],[No. of Shares]],0)</f>
        <v>27756.15</v>
      </c>
      <c r="J2019" s="16">
        <f>IF(HistoricalStockProgress[[#This Row],[No. of Shares]]&lt;&gt;0,HistoricalStockProgress[[#This Row],[Price of Shares]]-HistoricalStockProgress[[#This Row],[Cost of Shares]]/HistoricalStockProgress[[#This Row],[No. of Shares]],0)</f>
        <v>67.442731550634818</v>
      </c>
      <c r="K2019" s="17">
        <f>IF(HistoricalStockProgress[[#This Row],[Total Price of Shares]]&lt;&gt;0,HistoricalStockProgress[[#This Row],[Total Price of Shares]]-HistoricalStockProgress[[#This Row],[Cost of Shares]],0)</f>
        <v>6407.0594973103071</v>
      </c>
      <c r="L2019" s="34" t="b" cm="1">
        <f t="array" ref="L2019">IFERROR(IF(HistoricalStockProgress[[#This Row],[Price of Shares]]="",_xlfn.STOCKHISTORY(HistoricalStockProgress[[#This Row],[Full Company Name]],HistoricalStockProgress[[#This Row],[Date]],,2,0,1)),0)</f>
        <v>0</v>
      </c>
      <c r="M2019" s="34">
        <f>YEAR(HistoricalStockProgress[[#This Row],[Date]])</f>
        <v>2025</v>
      </c>
      <c r="N2019" s="34">
        <f>MONTH(HistoricalStockProgress[[#This Row],[Date]])</f>
        <v>6</v>
      </c>
    </row>
    <row r="2020" spans="2:14">
      <c r="B2020" s="15">
        <v>45838</v>
      </c>
      <c r="C2020" s="34" t="s">
        <v>22</v>
      </c>
      <c r="D2020" s="34" t="e" vm="10">
        <f>_xlfn.XLOOKUP(HistoricalStockProgress[[#This Row],[Company Ticker]],CompanyDetailsList[Company Ticker],CompanyDetailsList[Official Name],,0)</f>
        <v>#VALUE!</v>
      </c>
      <c r="E20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20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2020" s="17">
        <f>IFERROR(HistoricalStockProgress[[#This Row],[Cost of Shares]]/HistoricalStockProgress[[#This Row],[No. of Shares]],0)</f>
        <v>130.19784136724968</v>
      </c>
      <c r="H2020" s="16" vm="2481">
        <v>388.21</v>
      </c>
      <c r="I2020" s="16">
        <f>IF(HistoricalStockProgress[[#This Row],[No. of Shares]]&lt;&gt;0,HistoricalStockProgress[[#This Row],[Price of Shares]]*HistoricalStockProgress[[#This Row],[No. of Shares]],0)</f>
        <v>46196.99</v>
      </c>
      <c r="J2020" s="16">
        <f>IF(HistoricalStockProgress[[#This Row],[No. of Shares]]&lt;&gt;0,HistoricalStockProgress[[#This Row],[Price of Shares]]-HistoricalStockProgress[[#This Row],[Cost of Shares]]/HistoricalStockProgress[[#This Row],[No. of Shares]],0)</f>
        <v>258.0121586327503</v>
      </c>
      <c r="K2020" s="17">
        <f>IF(HistoricalStockProgress[[#This Row],[Total Price of Shares]]&lt;&gt;0,HistoricalStockProgress[[#This Row],[Total Price of Shares]]-HistoricalStockProgress[[#This Row],[Cost of Shares]],0)</f>
        <v>30703.446877297283</v>
      </c>
      <c r="L2020" s="34" t="b" cm="1">
        <f t="array" ref="L2020">IFERROR(IF(HistoricalStockProgress[[#This Row],[Price of Shares]]="",_xlfn.STOCKHISTORY(HistoricalStockProgress[[#This Row],[Full Company Name]],HistoricalStockProgress[[#This Row],[Date]],,2,0,1)),0)</f>
        <v>0</v>
      </c>
      <c r="M2020" s="34">
        <f>YEAR(HistoricalStockProgress[[#This Row],[Date]])</f>
        <v>2025</v>
      </c>
      <c r="N2020" s="34">
        <f>MONTH(HistoricalStockProgress[[#This Row],[Date]])</f>
        <v>6</v>
      </c>
    </row>
    <row r="2021" spans="2:14">
      <c r="B2021" s="15">
        <v>45838</v>
      </c>
      <c r="C2021" s="34" t="s">
        <v>91</v>
      </c>
      <c r="D2021" s="34" t="e" vm="11">
        <f>_xlfn.XLOOKUP(HistoricalStockProgress[[#This Row],[Company Ticker]],CompanyDetailsList[Company Ticker],CompanyDetailsList[Official Name],,0)</f>
        <v>#VALUE!</v>
      </c>
      <c r="E20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222</v>
      </c>
      <c r="F20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40750.761910577297</v>
      </c>
      <c r="G2021" s="17">
        <f>IFERROR(HistoricalStockProgress[[#This Row],[Cost of Shares]]/HistoricalStockProgress[[#This Row],[No. of Shares]],0)</f>
        <v>183.56199058818603</v>
      </c>
      <c r="H2021" s="16" vm="2482">
        <v>497.41</v>
      </c>
      <c r="I2021" s="16">
        <f>IF(HistoricalStockProgress[[#This Row],[No. of Shares]]&lt;&gt;0,HistoricalStockProgress[[#This Row],[Price of Shares]]*HistoricalStockProgress[[#This Row],[No. of Shares]],0)</f>
        <v>110425.02</v>
      </c>
      <c r="J2021" s="16">
        <f>IF(HistoricalStockProgress[[#This Row],[No. of Shares]]&lt;&gt;0,HistoricalStockProgress[[#This Row],[Price of Shares]]-HistoricalStockProgress[[#This Row],[Cost of Shares]]/HistoricalStockProgress[[#This Row],[No. of Shares]],0)</f>
        <v>313.84800941181402</v>
      </c>
      <c r="K2021" s="17">
        <f>IF(HistoricalStockProgress[[#This Row],[Total Price of Shares]]&lt;&gt;0,HistoricalStockProgress[[#This Row],[Total Price of Shares]]-HistoricalStockProgress[[#This Row],[Cost of Shares]],0)</f>
        <v>69674.258089422714</v>
      </c>
      <c r="L2021" s="34" t="b" cm="1">
        <f t="array" ref="L2021">IFERROR(IF(HistoricalStockProgress[[#This Row],[Price of Shares]]="",_xlfn.STOCKHISTORY(HistoricalStockProgress[[#This Row],[Full Company Name]],HistoricalStockProgress[[#This Row],[Date]],,2,0,1)),0)</f>
        <v>0</v>
      </c>
      <c r="M2021" s="34">
        <f>YEAR(HistoricalStockProgress[[#This Row],[Date]])</f>
        <v>2025</v>
      </c>
      <c r="N2021" s="34">
        <f>MONTH(HistoricalStockProgress[[#This Row],[Date]])</f>
        <v>6</v>
      </c>
    </row>
    <row r="2022" spans="2:14">
      <c r="B2022" s="15">
        <v>45838</v>
      </c>
      <c r="C2022" s="34" t="s">
        <v>16</v>
      </c>
      <c r="D2022" s="34" t="e" vm="12">
        <f>_xlfn.XLOOKUP(HistoricalStockProgress[[#This Row],[Company Ticker]],CompanyDetailsList[Company Ticker],CompanyDetailsList[Official Name],,0)</f>
        <v>#VALUE!</v>
      </c>
      <c r="E20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20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2022" s="17">
        <f>IFERROR(HistoricalStockProgress[[#This Row],[Cost of Shares]]/HistoricalStockProgress[[#This Row],[No. of Shares]],0)</f>
        <v>75.117698177311837</v>
      </c>
      <c r="H2022" s="16" vm="2483">
        <v>107.8</v>
      </c>
      <c r="I2022" s="16">
        <f>IF(HistoricalStockProgress[[#This Row],[No. of Shares]]&lt;&gt;0,HistoricalStockProgress[[#This Row],[Price of Shares]]*HistoricalStockProgress[[#This Row],[No. of Shares]],0)</f>
        <v>19943</v>
      </c>
      <c r="J2022" s="16">
        <f>IF(HistoricalStockProgress[[#This Row],[No. of Shares]]&lt;&gt;0,HistoricalStockProgress[[#This Row],[Price of Shares]]-HistoricalStockProgress[[#This Row],[Cost of Shares]]/HistoricalStockProgress[[#This Row],[No. of Shares]],0)</f>
        <v>32.68230182268816</v>
      </c>
      <c r="K2022" s="17">
        <f>IF(HistoricalStockProgress[[#This Row],[Total Price of Shares]]&lt;&gt;0,HistoricalStockProgress[[#This Row],[Total Price of Shares]]-HistoricalStockProgress[[#This Row],[Cost of Shares]],0)</f>
        <v>6046.2258371973112</v>
      </c>
      <c r="L2022" s="34" t="b" cm="1">
        <f t="array" ref="L2022">IFERROR(IF(HistoricalStockProgress[[#This Row],[Price of Shares]]="",_xlfn.STOCKHISTORY(HistoricalStockProgress[[#This Row],[Full Company Name]],HistoricalStockProgress[[#This Row],[Date]],,2,0,1)),0)</f>
        <v>0</v>
      </c>
      <c r="M2022" s="34">
        <f>YEAR(HistoricalStockProgress[[#This Row],[Date]])</f>
        <v>2025</v>
      </c>
      <c r="N2022" s="34">
        <f>MONTH(HistoricalStockProgress[[#This Row],[Date]])</f>
        <v>6</v>
      </c>
    </row>
    <row r="2023" spans="2:14">
      <c r="B2023" s="15">
        <v>45838</v>
      </c>
      <c r="C2023" s="34" t="s">
        <v>95</v>
      </c>
      <c r="D2023" s="34" t="e" vm="13">
        <f>_xlfn.XLOOKUP(HistoricalStockProgress[[#This Row],[Company Ticker]],CompanyDetailsList[Company Ticker],CompanyDetailsList[Official Name],,0)</f>
        <v>#VALUE!</v>
      </c>
      <c r="E20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172</v>
      </c>
      <c r="F20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47379.162890220832</v>
      </c>
      <c r="G2023" s="17">
        <f>IFERROR(HistoricalStockProgress[[#This Row],[Cost of Shares]]/HistoricalStockProgress[[#This Row],[No. of Shares]],0)</f>
        <v>275.46024936174905</v>
      </c>
      <c r="H2023" s="16" vm="2484">
        <v>366.64</v>
      </c>
      <c r="I2023" s="16">
        <f>IF(HistoricalStockProgress[[#This Row],[No. of Shares]]&lt;&gt;0,HistoricalStockProgress[[#This Row],[Price of Shares]]*HistoricalStockProgress[[#This Row],[No. of Shares]],0)</f>
        <v>63062.079999999994</v>
      </c>
      <c r="J2023" s="16">
        <f>IF(HistoricalStockProgress[[#This Row],[No. of Shares]]&lt;&gt;0,HistoricalStockProgress[[#This Row],[Price of Shares]]-HistoricalStockProgress[[#This Row],[Cost of Shares]]/HistoricalStockProgress[[#This Row],[No. of Shares]],0)</f>
        <v>91.179750638250937</v>
      </c>
      <c r="K2023" s="17">
        <f>IF(HistoricalStockProgress[[#This Row],[Total Price of Shares]]&lt;&gt;0,HistoricalStockProgress[[#This Row],[Total Price of Shares]]-HistoricalStockProgress[[#This Row],[Cost of Shares]],0)</f>
        <v>15682.917109779162</v>
      </c>
      <c r="L2023" s="34" t="b" cm="1">
        <f t="array" ref="L2023">IFERROR(IF(HistoricalStockProgress[[#This Row],[Price of Shares]]="",_xlfn.STOCKHISTORY(HistoricalStockProgress[[#This Row],[Full Company Name]],HistoricalStockProgress[[#This Row],[Date]],,2,0,1)),0)</f>
        <v>0</v>
      </c>
      <c r="M2023" s="34">
        <f>YEAR(HistoricalStockProgress[[#This Row],[Date]])</f>
        <v>2025</v>
      </c>
      <c r="N2023" s="34">
        <f>MONTH(HistoricalStockProgress[[#This Row],[Date]])</f>
        <v>6</v>
      </c>
    </row>
    <row r="2024" spans="2:14">
      <c r="B2024" s="15">
        <v>45838</v>
      </c>
      <c r="C2024" s="34" t="s">
        <v>17</v>
      </c>
      <c r="D2024" s="34" t="e" vm="14">
        <f>_xlfn.XLOOKUP(HistoricalStockProgress[[#This Row],[Company Ticker]],CompanyDetailsList[Company Ticker],CompanyDetailsList[Official Name],,0)</f>
        <v>#VALUE!</v>
      </c>
      <c r="E20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20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2024" s="17">
        <f>IFERROR(HistoricalStockProgress[[#This Row],[Cost of Shares]]/HistoricalStockProgress[[#This Row],[No. of Shares]],0)</f>
        <v>143.37791217450521</v>
      </c>
      <c r="H2024" s="16" vm="2485">
        <v>294.77999999999997</v>
      </c>
      <c r="I2024" s="16">
        <f>IF(HistoricalStockProgress[[#This Row],[No. of Shares]]&lt;&gt;0,HistoricalStockProgress[[#This Row],[Price of Shares]]*HistoricalStockProgress[[#This Row],[No. of Shares]],0)</f>
        <v>68094.179999999993</v>
      </c>
      <c r="J2024" s="16">
        <f>IF(HistoricalStockProgress[[#This Row],[No. of Shares]]&lt;&gt;0,HistoricalStockProgress[[#This Row],[Price of Shares]]-HistoricalStockProgress[[#This Row],[Cost of Shares]]/HistoricalStockProgress[[#This Row],[No. of Shares]],0)</f>
        <v>151.40208782549476</v>
      </c>
      <c r="K2024" s="17">
        <f>IF(HistoricalStockProgress[[#This Row],[Total Price of Shares]]&lt;&gt;0,HistoricalStockProgress[[#This Row],[Total Price of Shares]]-HistoricalStockProgress[[#This Row],[Cost of Shares]],0)</f>
        <v>34973.882287689288</v>
      </c>
      <c r="L2024" s="34" t="b" cm="1">
        <f t="array" ref="L2024">IFERROR(IF(HistoricalStockProgress[[#This Row],[Price of Shares]]="",_xlfn.STOCKHISTORY(HistoricalStockProgress[[#This Row],[Full Company Name]],HistoricalStockProgress[[#This Row],[Date]],,2,0,1)),0)</f>
        <v>0</v>
      </c>
      <c r="M2024" s="34">
        <f>YEAR(HistoricalStockProgress[[#This Row],[Date]])</f>
        <v>2025</v>
      </c>
      <c r="N2024" s="34">
        <f>MONTH(HistoricalStockProgress[[#This Row],[Date]])</f>
        <v>6</v>
      </c>
    </row>
    <row r="2025" spans="2:14">
      <c r="B2025" s="15">
        <v>45838</v>
      </c>
      <c r="C2025" s="34" t="s">
        <v>98</v>
      </c>
      <c r="D2025" s="34" t="e" vm="15">
        <f>_xlfn.XLOOKUP(HistoricalStockProgress[[#This Row],[Company Ticker]],CompanyDetailsList[Company Ticker],CompanyDetailsList[Official Name],,0)</f>
        <v>#VALUE!</v>
      </c>
      <c r="E20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193</v>
      </c>
      <c r="F20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11397.772474019517</v>
      </c>
      <c r="G2025" s="17">
        <f>IFERROR(HistoricalStockProgress[[#This Row],[Cost of Shares]]/HistoricalStockProgress[[#This Row],[No. of Shares]],0)</f>
        <v>59.055815927562264</v>
      </c>
      <c r="H2025" s="16" vm="2486">
        <v>69.42</v>
      </c>
      <c r="I2025" s="16">
        <f>IF(HistoricalStockProgress[[#This Row],[No. of Shares]]&lt;&gt;0,HistoricalStockProgress[[#This Row],[Price of Shares]]*HistoricalStockProgress[[#This Row],[No. of Shares]],0)</f>
        <v>13398.06</v>
      </c>
      <c r="J2025" s="16">
        <f>IF(HistoricalStockProgress[[#This Row],[No. of Shares]]&lt;&gt;0,HistoricalStockProgress[[#This Row],[Price of Shares]]-HistoricalStockProgress[[#This Row],[Cost of Shares]]/HistoricalStockProgress[[#This Row],[No. of Shares]],0)</f>
        <v>10.364184072437737</v>
      </c>
      <c r="K2025" s="17">
        <f>IF(HistoricalStockProgress[[#This Row],[Total Price of Shares]]&lt;&gt;0,HistoricalStockProgress[[#This Row],[Total Price of Shares]]-HistoricalStockProgress[[#This Row],[Cost of Shares]],0)</f>
        <v>2000.2875259804823</v>
      </c>
      <c r="L2025" s="34" t="b" cm="1">
        <f t="array" ref="L2025">IFERROR(IF(HistoricalStockProgress[[#This Row],[Price of Shares]]="",_xlfn.STOCKHISTORY(HistoricalStockProgress[[#This Row],[Full Company Name]],HistoricalStockProgress[[#This Row],[Date]],,2,0,1)),0)</f>
        <v>0</v>
      </c>
      <c r="M2025" s="34">
        <f>YEAR(HistoricalStockProgress[[#This Row],[Date]])</f>
        <v>2025</v>
      </c>
      <c r="N2025" s="34">
        <f>MONTH(HistoricalStockProgress[[#This Row],[Date]])</f>
        <v>6</v>
      </c>
    </row>
    <row r="2026" spans="2:14">
      <c r="B2026" s="15">
        <v>45838</v>
      </c>
      <c r="C2026" s="34" t="s">
        <v>100</v>
      </c>
      <c r="D2026" s="34" t="e" vm="16">
        <f>_xlfn.XLOOKUP(HistoricalStockProgress[[#This Row],[Company Ticker]],CompanyDetailsList[Company Ticker],CompanyDetailsList[Official Name],,0)</f>
        <v>#VALUE!</v>
      </c>
      <c r="E20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20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2026" s="17">
        <f>IFERROR(HistoricalStockProgress[[#This Row],[Cost of Shares]]/HistoricalStockProgress[[#This Row],[No. of Shares]],0)</f>
        <v>92.156351168716071</v>
      </c>
      <c r="H2026" s="16" vm="2487">
        <v>118</v>
      </c>
      <c r="I2026" s="16">
        <f>IF(HistoricalStockProgress[[#This Row],[No. of Shares]]&lt;&gt;0,HistoricalStockProgress[[#This Row],[Price of Shares]]*HistoricalStockProgress[[#This Row],[No. of Shares]],0)</f>
        <v>29500</v>
      </c>
      <c r="J2026" s="16">
        <f>IF(HistoricalStockProgress[[#This Row],[No. of Shares]]&lt;&gt;0,HistoricalStockProgress[[#This Row],[Price of Shares]]-HistoricalStockProgress[[#This Row],[Cost of Shares]]/HistoricalStockProgress[[#This Row],[No. of Shares]],0)</f>
        <v>25.843648831283929</v>
      </c>
      <c r="K2026" s="17">
        <f>IF(HistoricalStockProgress[[#This Row],[Total Price of Shares]]&lt;&gt;0,HistoricalStockProgress[[#This Row],[Total Price of Shares]]-HistoricalStockProgress[[#This Row],[Cost of Shares]],0)</f>
        <v>6460.9122078209839</v>
      </c>
      <c r="L2026" s="34" t="b" cm="1">
        <f t="array" ref="L2026">IFERROR(IF(HistoricalStockProgress[[#This Row],[Price of Shares]]="",_xlfn.STOCKHISTORY(HistoricalStockProgress[[#This Row],[Full Company Name]],HistoricalStockProgress[[#This Row],[Date]],,2,0,1)),0)</f>
        <v>0</v>
      </c>
      <c r="M2026" s="34">
        <f>YEAR(HistoricalStockProgress[[#This Row],[Date]])</f>
        <v>2025</v>
      </c>
      <c r="N2026" s="34">
        <f>MONTH(HistoricalStockProgress[[#This Row],[Date]])</f>
        <v>6</v>
      </c>
    </row>
    <row r="2027" spans="2:14">
      <c r="B2027" s="15">
        <v>45838</v>
      </c>
      <c r="C2027" s="34" t="s">
        <v>15</v>
      </c>
      <c r="D2027" s="34" t="e" vm="17">
        <f>_xlfn.XLOOKUP(HistoricalStockProgress[[#This Row],[Company Ticker]],CompanyDetailsList[Company Ticker],CompanyDetailsList[Official Name],,0)</f>
        <v>#VALUE!</v>
      </c>
      <c r="E20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20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3628.1478386140398</v>
      </c>
      <c r="G2027" s="17">
        <f>IFERROR(HistoricalStockProgress[[#This Row],[Cost of Shares]]/HistoricalStockProgress[[#This Row],[No. of Shares]],0)</f>
        <v>24.85032766174</v>
      </c>
      <c r="H2027" s="16" vm="2322">
        <v>28.94</v>
      </c>
      <c r="I2027" s="16">
        <f>IF(HistoricalStockProgress[[#This Row],[No. of Shares]]&lt;&gt;0,HistoricalStockProgress[[#This Row],[Price of Shares]]*HistoricalStockProgress[[#This Row],[No. of Shares]],0)</f>
        <v>4225.24</v>
      </c>
      <c r="J2027" s="16">
        <f>IF(HistoricalStockProgress[[#This Row],[No. of Shares]]&lt;&gt;0,HistoricalStockProgress[[#This Row],[Price of Shares]]-HistoricalStockProgress[[#This Row],[Cost of Shares]]/HistoricalStockProgress[[#This Row],[No. of Shares]],0)</f>
        <v>4.0896723382600015</v>
      </c>
      <c r="K2027" s="17">
        <f>IF(HistoricalStockProgress[[#This Row],[Total Price of Shares]]&lt;&gt;0,HistoricalStockProgress[[#This Row],[Total Price of Shares]]-HistoricalStockProgress[[#This Row],[Cost of Shares]],0)</f>
        <v>597.09216138596003</v>
      </c>
      <c r="L2027" s="34" t="b" cm="1">
        <f t="array" ref="L2027">IFERROR(IF(HistoricalStockProgress[[#This Row],[Price of Shares]]="",_xlfn.STOCKHISTORY(HistoricalStockProgress[[#This Row],[Full Company Name]],HistoricalStockProgress[[#This Row],[Date]],,2,0,1)),0)</f>
        <v>0</v>
      </c>
      <c r="M2027" s="34">
        <f>YEAR(HistoricalStockProgress[[#This Row],[Date]])</f>
        <v>2025</v>
      </c>
      <c r="N2027" s="34">
        <f>MONTH(HistoricalStockProgress[[#This Row],[Date]])</f>
        <v>6</v>
      </c>
    </row>
    <row r="2028" spans="2:14">
      <c r="B2028" s="15">
        <v>45838</v>
      </c>
      <c r="C2028" s="34" t="s">
        <v>13</v>
      </c>
      <c r="D2028" s="34" t="e" vm="18">
        <f>_xlfn.XLOOKUP(HistoricalStockProgress[[#This Row],[Company Ticker]],CompanyDetailsList[Company Ticker],CompanyDetailsList[Official Name],,0)</f>
        <v>#VALUE!</v>
      </c>
      <c r="E20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115</v>
      </c>
      <c r="F20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3682.4466352500076</v>
      </c>
      <c r="G2028" s="17">
        <f>IFERROR(HistoricalStockProgress[[#This Row],[Cost of Shares]]/HistoricalStockProgress[[#This Row],[No. of Shares]],0)</f>
        <v>32.021275089130498</v>
      </c>
      <c r="H2028" s="16" vm="2158">
        <v>24.24</v>
      </c>
      <c r="I2028" s="16">
        <f>IF(HistoricalStockProgress[[#This Row],[No. of Shares]]&lt;&gt;0,HistoricalStockProgress[[#This Row],[Price of Shares]]*HistoricalStockProgress[[#This Row],[No. of Shares]],0)</f>
        <v>2787.6</v>
      </c>
      <c r="J2028" s="16">
        <f>IF(HistoricalStockProgress[[#This Row],[No. of Shares]]&lt;&gt;0,HistoricalStockProgress[[#This Row],[Price of Shares]]-HistoricalStockProgress[[#This Row],[Cost of Shares]]/HistoricalStockProgress[[#This Row],[No. of Shares]],0)</f>
        <v>-7.7812750891304994</v>
      </c>
      <c r="K2028" s="17">
        <f>IF(HistoricalStockProgress[[#This Row],[Total Price of Shares]]&lt;&gt;0,HistoricalStockProgress[[#This Row],[Total Price of Shares]]-HistoricalStockProgress[[#This Row],[Cost of Shares]],0)</f>
        <v>-894.84663525000769</v>
      </c>
      <c r="L2028" s="34" t="b" cm="1">
        <f t="array" ref="L2028">IFERROR(IF(HistoricalStockProgress[[#This Row],[Price of Shares]]="",_xlfn.STOCKHISTORY(HistoricalStockProgress[[#This Row],[Full Company Name]],HistoricalStockProgress[[#This Row],[Date]],,2,0,1)),0)</f>
        <v>0</v>
      </c>
      <c r="M2028" s="34">
        <f>YEAR(HistoricalStockProgress[[#This Row],[Date]])</f>
        <v>2025</v>
      </c>
      <c r="N2028" s="34">
        <f>MONTH(HistoricalStockProgress[[#This Row],[Date]])</f>
        <v>6</v>
      </c>
    </row>
    <row r="2029" spans="2:14">
      <c r="B2029" s="15">
        <v>45838</v>
      </c>
      <c r="C2029" s="34" t="s">
        <v>20</v>
      </c>
      <c r="D2029" s="34" t="e" vm="19">
        <f>_xlfn.XLOOKUP(HistoricalStockProgress[[#This Row],[Company Ticker]],CompanyDetailsList[Company Ticker],CompanyDetailsList[Official Name],,0)</f>
        <v>#VALUE!</v>
      </c>
      <c r="E20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20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2029" s="17">
        <f>IFERROR(HistoricalStockProgress[[#This Row],[Cost of Shares]]/HistoricalStockProgress[[#This Row],[No. of Shares]],0)</f>
        <v>108.1760767450256</v>
      </c>
      <c r="H2029" s="16" vm="2488">
        <v>289.91000000000003</v>
      </c>
      <c r="I2029" s="16">
        <f>IF(HistoricalStockProgress[[#This Row],[No. of Shares]]&lt;&gt;0,HistoricalStockProgress[[#This Row],[Price of Shares]]*HistoricalStockProgress[[#This Row],[No. of Shares]],0)</f>
        <v>33629.560000000005</v>
      </c>
      <c r="J2029" s="16">
        <f>IF(HistoricalStockProgress[[#This Row],[No. of Shares]]&lt;&gt;0,HistoricalStockProgress[[#This Row],[Price of Shares]]-HistoricalStockProgress[[#This Row],[Cost of Shares]]/HistoricalStockProgress[[#This Row],[No. of Shares]],0)</f>
        <v>181.73392325497443</v>
      </c>
      <c r="K2029" s="17">
        <f>IF(HistoricalStockProgress[[#This Row],[Total Price of Shares]]&lt;&gt;0,HistoricalStockProgress[[#This Row],[Total Price of Shares]]-HistoricalStockProgress[[#This Row],[Cost of Shares]],0)</f>
        <v>21081.135097577037</v>
      </c>
      <c r="L2029" s="34" t="b" cm="1">
        <f t="array" ref="L2029">IFERROR(IF(HistoricalStockProgress[[#This Row],[Price of Shares]]="",_xlfn.STOCKHISTORY(HistoricalStockProgress[[#This Row],[Full Company Name]],HistoricalStockProgress[[#This Row],[Date]],,2,0,1)),0)</f>
        <v>0</v>
      </c>
      <c r="M2029" s="34">
        <f>YEAR(HistoricalStockProgress[[#This Row],[Date]])</f>
        <v>2025</v>
      </c>
      <c r="N2029" s="34">
        <f>MONTH(HistoricalStockProgress[[#This Row],[Date]])</f>
        <v>6</v>
      </c>
    </row>
    <row r="2030" spans="2:14">
      <c r="B2030" s="15">
        <v>45838</v>
      </c>
      <c r="C2030" s="34" t="s">
        <v>106</v>
      </c>
      <c r="D2030" s="34" t="e" vm="20">
        <f>_xlfn.XLOOKUP(HistoricalStockProgress[[#This Row],[Company Ticker]],CompanyDetailsList[Company Ticker],CompanyDetailsList[Official Name],,0)</f>
        <v>#VALUE!</v>
      </c>
      <c r="E20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20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2030" s="17">
        <f>IFERROR(HistoricalStockProgress[[#This Row],[Cost of Shares]]/HistoricalStockProgress[[#This Row],[No. of Shares]],0)</f>
        <v>108.54870748680406</v>
      </c>
      <c r="H2030" s="16" vm="2489">
        <v>113.75</v>
      </c>
      <c r="I2030" s="16">
        <f>IF(HistoricalStockProgress[[#This Row],[No. of Shares]]&lt;&gt;0,HistoricalStockProgress[[#This Row],[Price of Shares]]*HistoricalStockProgress[[#This Row],[No. of Shares]],0)</f>
        <v>10010</v>
      </c>
      <c r="J2030" s="16">
        <f>IF(HistoricalStockProgress[[#This Row],[No. of Shares]]&lt;&gt;0,HistoricalStockProgress[[#This Row],[Price of Shares]]-HistoricalStockProgress[[#This Row],[Cost of Shares]]/HistoricalStockProgress[[#This Row],[No. of Shares]],0)</f>
        <v>5.2012925131959378</v>
      </c>
      <c r="K2030" s="17">
        <f>IF(HistoricalStockProgress[[#This Row],[Total Price of Shares]]&lt;&gt;0,HistoricalStockProgress[[#This Row],[Total Price of Shares]]-HistoricalStockProgress[[#This Row],[Cost of Shares]],0)</f>
        <v>457.71374116124207</v>
      </c>
      <c r="L2030" s="34" t="b" cm="1">
        <f t="array" ref="L2030">IFERROR(IF(HistoricalStockProgress[[#This Row],[Price of Shares]]="",_xlfn.STOCKHISTORY(HistoricalStockProgress[[#This Row],[Full Company Name]],HistoricalStockProgress[[#This Row],[Date]],,2,0,1)),0)</f>
        <v>0</v>
      </c>
      <c r="M2030" s="34">
        <f>YEAR(HistoricalStockProgress[[#This Row],[Date]])</f>
        <v>2025</v>
      </c>
      <c r="N2030" s="34">
        <f>MONTH(HistoricalStockProgress[[#This Row],[Date]])</f>
        <v>6</v>
      </c>
    </row>
    <row r="2031" spans="2:14">
      <c r="B2031" s="15">
        <v>45869</v>
      </c>
      <c r="C2031" s="34" t="s">
        <v>12</v>
      </c>
      <c r="D2031" s="34" t="e" vm="1">
        <f>_xlfn.XLOOKUP(HistoricalStockProgress[[#This Row],[Company Ticker]],CompanyDetailsList[Company Ticker],CompanyDetailsList[Official Name],,0)</f>
        <v>#VALUE!</v>
      </c>
      <c r="E20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20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2031" s="17">
        <f>IFERROR(HistoricalStockProgress[[#This Row],[Cost of Shares]]/HistoricalStockProgress[[#This Row],[No. of Shares]],0)</f>
        <v>64.573985995316889</v>
      </c>
      <c r="H2031" s="16" vm="2490">
        <v>56.13</v>
      </c>
      <c r="I2031" s="16">
        <f>IF(HistoricalStockProgress[[#This Row],[No. of Shares]]&lt;&gt;0,HistoricalStockProgress[[#This Row],[Price of Shares]]*HistoricalStockProgress[[#This Row],[No. of Shares]],0)</f>
        <v>5444.6100000000006</v>
      </c>
      <c r="J2031" s="16">
        <f>IF(HistoricalStockProgress[[#This Row],[No. of Shares]]&lt;&gt;0,HistoricalStockProgress[[#This Row],[Price of Shares]]-HistoricalStockProgress[[#This Row],[Cost of Shares]]/HistoricalStockProgress[[#This Row],[No. of Shares]],0)</f>
        <v>-8.4439859953168863</v>
      </c>
      <c r="K2031" s="17">
        <f>IF(HistoricalStockProgress[[#This Row],[Total Price of Shares]]&lt;&gt;0,HistoricalStockProgress[[#This Row],[Total Price of Shares]]-HistoricalStockProgress[[#This Row],[Cost of Shares]],0)</f>
        <v>-819.06664154573718</v>
      </c>
      <c r="L2031" s="34" t="b" cm="1">
        <f t="array" ref="L2031">IFERROR(IF(HistoricalStockProgress[[#This Row],[Price of Shares]]="",_xlfn.STOCKHISTORY(HistoricalStockProgress[[#This Row],[Full Company Name]],HistoricalStockProgress[[#This Row],[Date]],,2,0,1)),0)</f>
        <v>0</v>
      </c>
      <c r="M2031" s="34">
        <f>YEAR(HistoricalStockProgress[[#This Row],[Date]])</f>
        <v>2025</v>
      </c>
      <c r="N2031" s="34">
        <f>MONTH(HistoricalStockProgress[[#This Row],[Date]])</f>
        <v>7</v>
      </c>
    </row>
    <row r="2032" spans="2:14">
      <c r="B2032" s="15">
        <v>45869</v>
      </c>
      <c r="C2032" s="34" t="s">
        <v>14</v>
      </c>
      <c r="D2032" s="34" t="e" vm="2">
        <f>_xlfn.XLOOKUP(HistoricalStockProgress[[#This Row],[Company Ticker]],CompanyDetailsList[Company Ticker],CompanyDetailsList[Official Name],,0)</f>
        <v>#VALUE!</v>
      </c>
      <c r="E20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20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2032" s="17">
        <f>IFERROR(HistoricalStockProgress[[#This Row],[Cost of Shares]]/HistoricalStockProgress[[#This Row],[No. of Shares]],0)</f>
        <v>26.819337355148658</v>
      </c>
      <c r="H2032" s="16" vm="2491">
        <v>32.630000000000003</v>
      </c>
      <c r="I2032" s="16">
        <f>IF(HistoricalStockProgress[[#This Row],[No. of Shares]]&lt;&gt;0,HistoricalStockProgress[[#This Row],[Price of Shares]]*HistoricalStockProgress[[#This Row],[No. of Shares]],0)</f>
        <v>2055.69</v>
      </c>
      <c r="J2032" s="16">
        <f>IF(HistoricalStockProgress[[#This Row],[No. of Shares]]&lt;&gt;0,HistoricalStockProgress[[#This Row],[Price of Shares]]-HistoricalStockProgress[[#This Row],[Cost of Shares]]/HistoricalStockProgress[[#This Row],[No. of Shares]],0)</f>
        <v>5.8106626448513445</v>
      </c>
      <c r="K2032" s="17">
        <f>IF(HistoricalStockProgress[[#This Row],[Total Price of Shares]]&lt;&gt;0,HistoricalStockProgress[[#This Row],[Total Price of Shares]]-HistoricalStockProgress[[#This Row],[Cost of Shares]],0)</f>
        <v>366.07174662563466</v>
      </c>
      <c r="L2032" s="34" t="b" cm="1">
        <f t="array" ref="L2032">IFERROR(IF(HistoricalStockProgress[[#This Row],[Price of Shares]]="",_xlfn.STOCKHISTORY(HistoricalStockProgress[[#This Row],[Full Company Name]],HistoricalStockProgress[[#This Row],[Date]],,2,0,1)),0)</f>
        <v>0</v>
      </c>
      <c r="M2032" s="34">
        <f>YEAR(HistoricalStockProgress[[#This Row],[Date]])</f>
        <v>2025</v>
      </c>
      <c r="N2032" s="34">
        <f>MONTH(HistoricalStockProgress[[#This Row],[Date]])</f>
        <v>7</v>
      </c>
    </row>
    <row r="2033" spans="2:14">
      <c r="B2033" s="15">
        <v>45869</v>
      </c>
      <c r="C2033" s="34" t="s">
        <v>19</v>
      </c>
      <c r="D2033" s="34" t="e" vm="3">
        <f>_xlfn.XLOOKUP(HistoricalStockProgress[[#This Row],[Company Ticker]],CompanyDetailsList[Company Ticker],CompanyDetailsList[Official Name],,0)</f>
        <v>#VALUE!</v>
      </c>
      <c r="E20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20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2033" s="17">
        <f>IFERROR(HistoricalStockProgress[[#This Row],[Cost of Shares]]/HistoricalStockProgress[[#This Row],[No. of Shares]],0)</f>
        <v>160.12652821044301</v>
      </c>
      <c r="H2033" s="16" vm="1321">
        <v>125.56</v>
      </c>
      <c r="I2033" s="16">
        <f>IF(HistoricalStockProgress[[#This Row],[No. of Shares]]&lt;&gt;0,HistoricalStockProgress[[#This Row],[Price of Shares]]*HistoricalStockProgress[[#This Row],[No. of Shares]],0)</f>
        <v>10798.16</v>
      </c>
      <c r="J2033" s="16">
        <f>IF(HistoricalStockProgress[[#This Row],[No. of Shares]]&lt;&gt;0,HistoricalStockProgress[[#This Row],[Price of Shares]]-HistoricalStockProgress[[#This Row],[Cost of Shares]]/HistoricalStockProgress[[#This Row],[No. of Shares]],0)</f>
        <v>-34.56652821044301</v>
      </c>
      <c r="K2033" s="17">
        <f>IF(HistoricalStockProgress[[#This Row],[Total Price of Shares]]&lt;&gt;0,HistoricalStockProgress[[#This Row],[Total Price of Shares]]-HistoricalStockProgress[[#This Row],[Cost of Shares]],0)</f>
        <v>-2972.7214260980982</v>
      </c>
      <c r="L2033" s="34" t="b" cm="1">
        <f t="array" ref="L2033">IFERROR(IF(HistoricalStockProgress[[#This Row],[Price of Shares]]="",_xlfn.STOCKHISTORY(HistoricalStockProgress[[#This Row],[Full Company Name]],HistoricalStockProgress[[#This Row],[Date]],,2,0,1)),0)</f>
        <v>0</v>
      </c>
      <c r="M2033" s="34">
        <f>YEAR(HistoricalStockProgress[[#This Row],[Date]])</f>
        <v>2025</v>
      </c>
      <c r="N2033" s="34">
        <f>MONTH(HistoricalStockProgress[[#This Row],[Date]])</f>
        <v>7</v>
      </c>
    </row>
    <row r="2034" spans="2:14">
      <c r="B2034" s="15">
        <v>45869</v>
      </c>
      <c r="C2034" s="34" t="s">
        <v>23</v>
      </c>
      <c r="D2034" s="34" t="e" vm="4">
        <f>_xlfn.XLOOKUP(HistoricalStockProgress[[#This Row],[Company Ticker]],CompanyDetailsList[Company Ticker],CompanyDetailsList[Official Name],,0)</f>
        <v>#VALUE!</v>
      </c>
      <c r="E20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117</v>
      </c>
      <c r="F20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5941.4094366717027</v>
      </c>
      <c r="G2034" s="17">
        <f>IFERROR(HistoricalStockProgress[[#This Row],[Cost of Shares]]/HistoricalStockProgress[[#This Row],[No. of Shares]],0)</f>
        <v>50.781277236510277</v>
      </c>
      <c r="H2034" s="16" vm="2492">
        <v>67.89</v>
      </c>
      <c r="I2034" s="16">
        <f>IF(HistoricalStockProgress[[#This Row],[No. of Shares]]&lt;&gt;0,HistoricalStockProgress[[#This Row],[Price of Shares]]*HistoricalStockProgress[[#This Row],[No. of Shares]],0)</f>
        <v>7943.13</v>
      </c>
      <c r="J2034" s="16">
        <f>IF(HistoricalStockProgress[[#This Row],[No. of Shares]]&lt;&gt;0,HistoricalStockProgress[[#This Row],[Price of Shares]]-HistoricalStockProgress[[#This Row],[Cost of Shares]]/HistoricalStockProgress[[#This Row],[No. of Shares]],0)</f>
        <v>17.108722763489723</v>
      </c>
      <c r="K2034" s="17">
        <f>IF(HistoricalStockProgress[[#This Row],[Total Price of Shares]]&lt;&gt;0,HistoricalStockProgress[[#This Row],[Total Price of Shares]]-HistoricalStockProgress[[#This Row],[Cost of Shares]],0)</f>
        <v>2001.7205633282974</v>
      </c>
      <c r="L2034" s="34" t="b" cm="1">
        <f t="array" ref="L2034">IFERROR(IF(HistoricalStockProgress[[#This Row],[Price of Shares]]="",_xlfn.STOCKHISTORY(HistoricalStockProgress[[#This Row],[Full Company Name]],HistoricalStockProgress[[#This Row],[Date]],,2,0,1)),0)</f>
        <v>0</v>
      </c>
      <c r="M2034" s="34">
        <f>YEAR(HistoricalStockProgress[[#This Row],[Date]])</f>
        <v>2025</v>
      </c>
      <c r="N2034" s="34">
        <f>MONTH(HistoricalStockProgress[[#This Row],[Date]])</f>
        <v>7</v>
      </c>
    </row>
    <row r="2035" spans="2:14">
      <c r="B2035" s="15">
        <v>45869</v>
      </c>
      <c r="C2035" s="34" t="s">
        <v>18</v>
      </c>
      <c r="D2035" s="34" t="e" vm="5">
        <f>_xlfn.XLOOKUP(HistoricalStockProgress[[#This Row],[Company Ticker]],CompanyDetailsList[Company Ticker],CompanyDetailsList[Official Name],,0)</f>
        <v>#VALUE!</v>
      </c>
      <c r="E20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20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2035" s="17">
        <f>IFERROR(HistoricalStockProgress[[#This Row],[Cost of Shares]]/HistoricalStockProgress[[#This Row],[No. of Shares]],0)</f>
        <v>160.8859607546234</v>
      </c>
      <c r="H2035" s="16" vm="2493">
        <v>137.91999999999999</v>
      </c>
      <c r="I2035" s="16">
        <f>IF(HistoricalStockProgress[[#This Row],[No. of Shares]]&lt;&gt;0,HistoricalStockProgress[[#This Row],[Price of Shares]]*HistoricalStockProgress[[#This Row],[No. of Shares]],0)</f>
        <v>5930.5599999999995</v>
      </c>
      <c r="J2035" s="16">
        <f>IF(HistoricalStockProgress[[#This Row],[No. of Shares]]&lt;&gt;0,HistoricalStockProgress[[#This Row],[Price of Shares]]-HistoricalStockProgress[[#This Row],[Cost of Shares]]/HistoricalStockProgress[[#This Row],[No. of Shares]],0)</f>
        <v>-22.96596075462341</v>
      </c>
      <c r="K2035" s="17">
        <f>IF(HistoricalStockProgress[[#This Row],[Total Price of Shares]]&lt;&gt;0,HistoricalStockProgress[[#This Row],[Total Price of Shares]]-HistoricalStockProgress[[#This Row],[Cost of Shares]],0)</f>
        <v>-987.53631244880671</v>
      </c>
      <c r="L2035" s="34" t="b" cm="1">
        <f t="array" ref="L2035">IFERROR(IF(HistoricalStockProgress[[#This Row],[Price of Shares]]="",_xlfn.STOCKHISTORY(HistoricalStockProgress[[#This Row],[Full Company Name]],HistoricalStockProgress[[#This Row],[Date]],,2,0,1)),0)</f>
        <v>0</v>
      </c>
      <c r="M2035" s="34">
        <f>YEAR(HistoricalStockProgress[[#This Row],[Date]])</f>
        <v>2025</v>
      </c>
      <c r="N2035" s="34">
        <f>MONTH(HistoricalStockProgress[[#This Row],[Date]])</f>
        <v>7</v>
      </c>
    </row>
    <row r="2036" spans="2:14">
      <c r="B2036" s="15">
        <v>45869</v>
      </c>
      <c r="C2036" s="34" t="s">
        <v>21</v>
      </c>
      <c r="D2036" s="34" t="e" vm="6">
        <f>_xlfn.XLOOKUP(HistoricalStockProgress[[#This Row],[Company Ticker]],CompanyDetailsList[Company Ticker],CompanyDetailsList[Official Name],,0)</f>
        <v>#VALUE!</v>
      </c>
      <c r="E20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84</v>
      </c>
      <c r="F20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12738.215402497406</v>
      </c>
      <c r="G2036" s="17">
        <f>IFERROR(HistoricalStockProgress[[#This Row],[Cost of Shares]]/HistoricalStockProgress[[#This Row],[No. of Shares]],0)</f>
        <v>151.64542145830245</v>
      </c>
      <c r="H2036" s="16" vm="2494">
        <v>150.47</v>
      </c>
      <c r="I2036" s="16">
        <f>IF(HistoricalStockProgress[[#This Row],[No. of Shares]]&lt;&gt;0,HistoricalStockProgress[[#This Row],[Price of Shares]]*HistoricalStockProgress[[#This Row],[No. of Shares]],0)</f>
        <v>12639.48</v>
      </c>
      <c r="J2036" s="16">
        <f>IF(HistoricalStockProgress[[#This Row],[No. of Shares]]&lt;&gt;0,HistoricalStockProgress[[#This Row],[Price of Shares]]-HistoricalStockProgress[[#This Row],[Cost of Shares]]/HistoricalStockProgress[[#This Row],[No. of Shares]],0)</f>
        <v>-1.175421458302452</v>
      </c>
      <c r="K2036" s="17">
        <f>IF(HistoricalStockProgress[[#This Row],[Total Price of Shares]]&lt;&gt;0,HistoricalStockProgress[[#This Row],[Total Price of Shares]]-HistoricalStockProgress[[#This Row],[Cost of Shares]],0)</f>
        <v>-98.73540249740654</v>
      </c>
      <c r="L2036" s="34" t="b" cm="1">
        <f t="array" ref="L2036">IFERROR(IF(HistoricalStockProgress[[#This Row],[Price of Shares]]="",_xlfn.STOCKHISTORY(HistoricalStockProgress[[#This Row],[Full Company Name]],HistoricalStockProgress[[#This Row],[Date]],,2,0,1)),0)</f>
        <v>0</v>
      </c>
      <c r="M2036" s="34">
        <f>YEAR(HistoricalStockProgress[[#This Row],[Date]])</f>
        <v>2025</v>
      </c>
      <c r="N2036" s="34">
        <f>MONTH(HistoricalStockProgress[[#This Row],[Date]])</f>
        <v>7</v>
      </c>
    </row>
    <row r="2037" spans="2:14">
      <c r="B2037" s="15">
        <v>45869</v>
      </c>
      <c r="C2037" s="34" t="s">
        <v>84</v>
      </c>
      <c r="D2037" s="34" t="e" vm="7">
        <f>_xlfn.XLOOKUP(HistoricalStockProgress[[#This Row],[Company Ticker]],CompanyDetailsList[Company Ticker],CompanyDetailsList[Official Name],,0)</f>
        <v>#VALUE!</v>
      </c>
      <c r="E20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51</v>
      </c>
      <c r="F20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5313.2246275249427</v>
      </c>
      <c r="G2037" s="17">
        <f>IFERROR(HistoricalStockProgress[[#This Row],[Cost of Shares]]/HistoricalStockProgress[[#This Row],[No. of Shares]],0)</f>
        <v>104.18087504950869</v>
      </c>
      <c r="H2037" s="16" vm="1577">
        <v>164.74</v>
      </c>
      <c r="I2037" s="16">
        <f>IF(HistoricalStockProgress[[#This Row],[No. of Shares]]&lt;&gt;0,HistoricalStockProgress[[#This Row],[Price of Shares]]*HistoricalStockProgress[[#This Row],[No. of Shares]],0)</f>
        <v>8401.74</v>
      </c>
      <c r="J2037" s="16">
        <f>IF(HistoricalStockProgress[[#This Row],[No. of Shares]]&lt;&gt;0,HistoricalStockProgress[[#This Row],[Price of Shares]]-HistoricalStockProgress[[#This Row],[Cost of Shares]]/HistoricalStockProgress[[#This Row],[No. of Shares]],0)</f>
        <v>60.559124950491324</v>
      </c>
      <c r="K2037" s="17">
        <f>IF(HistoricalStockProgress[[#This Row],[Total Price of Shares]]&lt;&gt;0,HistoricalStockProgress[[#This Row],[Total Price of Shares]]-HistoricalStockProgress[[#This Row],[Cost of Shares]],0)</f>
        <v>3088.5153724750571</v>
      </c>
      <c r="L2037" s="34" t="b" cm="1">
        <f t="array" ref="L2037">IFERROR(IF(HistoricalStockProgress[[#This Row],[Price of Shares]]="",_xlfn.STOCKHISTORY(HistoricalStockProgress[[#This Row],[Full Company Name]],HistoricalStockProgress[[#This Row],[Date]],,2,0,1)),0)</f>
        <v>0</v>
      </c>
      <c r="M2037" s="34">
        <f>YEAR(HistoricalStockProgress[[#This Row],[Date]])</f>
        <v>2025</v>
      </c>
      <c r="N2037" s="34">
        <f>MONTH(HistoricalStockProgress[[#This Row],[Date]])</f>
        <v>7</v>
      </c>
    </row>
    <row r="2038" spans="2:14">
      <c r="B2038" s="15">
        <v>45869</v>
      </c>
      <c r="C2038" s="34" t="s">
        <v>86</v>
      </c>
      <c r="D2038" s="34" t="e" vm="8">
        <f>_xlfn.XLOOKUP(HistoricalStockProgress[[#This Row],[Company Ticker]],CompanyDetailsList[Company Ticker],CompanyDetailsList[Official Name],,0)</f>
        <v>#VALUE!</v>
      </c>
      <c r="E20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20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2038" s="17">
        <f>IFERROR(HistoricalStockProgress[[#This Row],[Cost of Shares]]/HistoricalStockProgress[[#This Row],[No. of Shares]],0)</f>
        <v>115.48970647877745</v>
      </c>
      <c r="H2038" s="16" vm="2495">
        <v>189.02</v>
      </c>
      <c r="I2038" s="16">
        <f>IF(HistoricalStockProgress[[#This Row],[No. of Shares]]&lt;&gt;0,HistoricalStockProgress[[#This Row],[Price of Shares]]*HistoricalStockProgress[[#This Row],[No. of Shares]],0)</f>
        <v>28731.040000000001</v>
      </c>
      <c r="J2038" s="16">
        <f>IF(HistoricalStockProgress[[#This Row],[No. of Shares]]&lt;&gt;0,HistoricalStockProgress[[#This Row],[Price of Shares]]-HistoricalStockProgress[[#This Row],[Cost of Shares]]/HistoricalStockProgress[[#This Row],[No. of Shares]],0)</f>
        <v>73.530293521222561</v>
      </c>
      <c r="K2038" s="17">
        <f>IF(HistoricalStockProgress[[#This Row],[Total Price of Shares]]&lt;&gt;0,HistoricalStockProgress[[#This Row],[Total Price of Shares]]-HistoricalStockProgress[[#This Row],[Cost of Shares]],0)</f>
        <v>11176.604615225828</v>
      </c>
      <c r="L2038" s="34" t="b" cm="1">
        <f t="array" ref="L2038">IFERROR(IF(HistoricalStockProgress[[#This Row],[Price of Shares]]="",_xlfn.STOCKHISTORY(HistoricalStockProgress[[#This Row],[Full Company Name]],HistoricalStockProgress[[#This Row],[Date]],,2,0,1)),0)</f>
        <v>0</v>
      </c>
      <c r="M2038" s="34">
        <f>YEAR(HistoricalStockProgress[[#This Row],[Date]])</f>
        <v>2025</v>
      </c>
      <c r="N2038" s="34">
        <f>MONTH(HistoricalStockProgress[[#This Row],[Date]])</f>
        <v>7</v>
      </c>
    </row>
    <row r="2039" spans="2:14">
      <c r="B2039" s="15">
        <v>45869</v>
      </c>
      <c r="C2039" s="34" t="s">
        <v>88</v>
      </c>
      <c r="D2039" s="34" t="e" vm="9">
        <f>_xlfn.XLOOKUP(HistoricalStockProgress[[#This Row],[Company Ticker]],CompanyDetailsList[Company Ticker],CompanyDetailsList[Official Name],,0)</f>
        <v>#VALUE!</v>
      </c>
      <c r="E20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20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2039" s="17">
        <f>IFERROR(HistoricalStockProgress[[#This Row],[Cost of Shares]]/HistoricalStockProgress[[#This Row],[No. of Shares]],0)</f>
        <v>224.7272684493652</v>
      </c>
      <c r="H2039" s="16" vm="2496">
        <v>300.07</v>
      </c>
      <c r="I2039" s="16">
        <f>IF(HistoricalStockProgress[[#This Row],[No. of Shares]]&lt;&gt;0,HistoricalStockProgress[[#This Row],[Price of Shares]]*HistoricalStockProgress[[#This Row],[No. of Shares]],0)</f>
        <v>28506.649999999998</v>
      </c>
      <c r="J2039" s="16">
        <f>IF(HistoricalStockProgress[[#This Row],[No. of Shares]]&lt;&gt;0,HistoricalStockProgress[[#This Row],[Price of Shares]]-HistoricalStockProgress[[#This Row],[Cost of Shares]]/HistoricalStockProgress[[#This Row],[No. of Shares]],0)</f>
        <v>75.342731550634795</v>
      </c>
      <c r="K2039" s="17">
        <f>IF(HistoricalStockProgress[[#This Row],[Total Price of Shares]]&lt;&gt;0,HistoricalStockProgress[[#This Row],[Total Price of Shares]]-HistoricalStockProgress[[#This Row],[Cost of Shares]],0)</f>
        <v>7157.5594973103034</v>
      </c>
      <c r="L2039" s="34" t="b" cm="1">
        <f t="array" ref="L2039">IFERROR(IF(HistoricalStockProgress[[#This Row],[Price of Shares]]="",_xlfn.STOCKHISTORY(HistoricalStockProgress[[#This Row],[Full Company Name]],HistoricalStockProgress[[#This Row],[Date]],,2,0,1)),0)</f>
        <v>0</v>
      </c>
      <c r="M2039" s="34">
        <f>YEAR(HistoricalStockProgress[[#This Row],[Date]])</f>
        <v>2025</v>
      </c>
      <c r="N2039" s="34">
        <f>MONTH(HistoricalStockProgress[[#This Row],[Date]])</f>
        <v>7</v>
      </c>
    </row>
    <row r="2040" spans="2:14">
      <c r="B2040" s="15">
        <v>45869</v>
      </c>
      <c r="C2040" s="34" t="s">
        <v>22</v>
      </c>
      <c r="D2040" s="34" t="e" vm="10">
        <f>_xlfn.XLOOKUP(HistoricalStockProgress[[#This Row],[Company Ticker]],CompanyDetailsList[Company Ticker],CompanyDetailsList[Official Name],,0)</f>
        <v>#VALUE!</v>
      </c>
      <c r="E20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20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2040" s="17">
        <f>IFERROR(HistoricalStockProgress[[#This Row],[Cost of Shares]]/HistoricalStockProgress[[#This Row],[No. of Shares]],0)</f>
        <v>130.19784136724968</v>
      </c>
      <c r="H2040" s="16" vm="2497">
        <v>438.02</v>
      </c>
      <c r="I2040" s="16">
        <f>IF(HistoricalStockProgress[[#This Row],[No. of Shares]]&lt;&gt;0,HistoricalStockProgress[[#This Row],[Price of Shares]]*HistoricalStockProgress[[#This Row],[No. of Shares]],0)</f>
        <v>52124.38</v>
      </c>
      <c r="J2040" s="16">
        <f>IF(HistoricalStockProgress[[#This Row],[No. of Shares]]&lt;&gt;0,HistoricalStockProgress[[#This Row],[Price of Shares]]-HistoricalStockProgress[[#This Row],[Cost of Shares]]/HistoricalStockProgress[[#This Row],[No. of Shares]],0)</f>
        <v>307.8221586327503</v>
      </c>
      <c r="K2040" s="17">
        <f>IF(HistoricalStockProgress[[#This Row],[Total Price of Shares]]&lt;&gt;0,HistoricalStockProgress[[#This Row],[Total Price of Shares]]-HistoricalStockProgress[[#This Row],[Cost of Shares]],0)</f>
        <v>36630.836877297283</v>
      </c>
      <c r="L2040" s="34" t="b" cm="1">
        <f t="array" ref="L2040">IFERROR(IF(HistoricalStockProgress[[#This Row],[Price of Shares]]="",_xlfn.STOCKHISTORY(HistoricalStockProgress[[#This Row],[Full Company Name]],HistoricalStockProgress[[#This Row],[Date]],,2,0,1)),0)</f>
        <v>0</v>
      </c>
      <c r="M2040" s="34">
        <f>YEAR(HistoricalStockProgress[[#This Row],[Date]])</f>
        <v>2025</v>
      </c>
      <c r="N2040" s="34">
        <f>MONTH(HistoricalStockProgress[[#This Row],[Date]])</f>
        <v>7</v>
      </c>
    </row>
    <row r="2041" spans="2:14">
      <c r="B2041" s="15">
        <v>45869</v>
      </c>
      <c r="C2041" s="34" t="s">
        <v>91</v>
      </c>
      <c r="D2041" s="34" t="e" vm="11">
        <f>_xlfn.XLOOKUP(HistoricalStockProgress[[#This Row],[Company Ticker]],CompanyDetailsList[Company Ticker],CompanyDetailsList[Official Name],,0)</f>
        <v>#VALUE!</v>
      </c>
      <c r="E20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212</v>
      </c>
      <c r="F20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38915.142004695437</v>
      </c>
      <c r="G2041" s="17">
        <f>IFERROR(HistoricalStockProgress[[#This Row],[Cost of Shares]]/HistoricalStockProgress[[#This Row],[No. of Shares]],0)</f>
        <v>183.56199058818603</v>
      </c>
      <c r="H2041" s="16" vm="2498">
        <v>533.5</v>
      </c>
      <c r="I2041" s="16">
        <f>IF(HistoricalStockProgress[[#This Row],[No. of Shares]]&lt;&gt;0,HistoricalStockProgress[[#This Row],[Price of Shares]]*HistoricalStockProgress[[#This Row],[No. of Shares]],0)</f>
        <v>113102</v>
      </c>
      <c r="J2041" s="16">
        <f>IF(HistoricalStockProgress[[#This Row],[No. of Shares]]&lt;&gt;0,HistoricalStockProgress[[#This Row],[Price of Shares]]-HistoricalStockProgress[[#This Row],[Cost of Shares]]/HistoricalStockProgress[[#This Row],[No. of Shares]],0)</f>
        <v>349.93800941181394</v>
      </c>
      <c r="K2041" s="17">
        <f>IF(HistoricalStockProgress[[#This Row],[Total Price of Shares]]&lt;&gt;0,HistoricalStockProgress[[#This Row],[Total Price of Shares]]-HistoricalStockProgress[[#This Row],[Cost of Shares]],0)</f>
        <v>74186.85799530457</v>
      </c>
      <c r="L2041" s="34" t="b" cm="1">
        <f t="array" ref="L2041">IFERROR(IF(HistoricalStockProgress[[#This Row],[Price of Shares]]="",_xlfn.STOCKHISTORY(HistoricalStockProgress[[#This Row],[Full Company Name]],HistoricalStockProgress[[#This Row],[Date]],,2,0,1)),0)</f>
        <v>0</v>
      </c>
      <c r="M2041" s="34">
        <f>YEAR(HistoricalStockProgress[[#This Row],[Date]])</f>
        <v>2025</v>
      </c>
      <c r="N2041" s="34">
        <f>MONTH(HistoricalStockProgress[[#This Row],[Date]])</f>
        <v>7</v>
      </c>
    </row>
    <row r="2042" spans="2:14">
      <c r="B2042" s="15">
        <v>45869</v>
      </c>
      <c r="C2042" s="34" t="s">
        <v>16</v>
      </c>
      <c r="D2042" s="34" t="e" vm="12">
        <f>_xlfn.XLOOKUP(HistoricalStockProgress[[#This Row],[Company Ticker]],CompanyDetailsList[Company Ticker],CompanyDetailsList[Official Name],,0)</f>
        <v>#VALUE!</v>
      </c>
      <c r="E20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20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2042" s="17">
        <f>IFERROR(HistoricalStockProgress[[#This Row],[Cost of Shares]]/HistoricalStockProgress[[#This Row],[No. of Shares]],0)</f>
        <v>75.117698177311837</v>
      </c>
      <c r="H2042" s="16" vm="2499">
        <v>111.64</v>
      </c>
      <c r="I2042" s="16">
        <f>IF(HistoricalStockProgress[[#This Row],[No. of Shares]]&lt;&gt;0,HistoricalStockProgress[[#This Row],[Price of Shares]]*HistoricalStockProgress[[#This Row],[No. of Shares]],0)</f>
        <v>20653.400000000001</v>
      </c>
      <c r="J2042" s="16">
        <f>IF(HistoricalStockProgress[[#This Row],[No. of Shares]]&lt;&gt;0,HistoricalStockProgress[[#This Row],[Price of Shares]]-HistoricalStockProgress[[#This Row],[Cost of Shares]]/HistoricalStockProgress[[#This Row],[No. of Shares]],0)</f>
        <v>36.522301822688163</v>
      </c>
      <c r="K2042" s="17">
        <f>IF(HistoricalStockProgress[[#This Row],[Total Price of Shares]]&lt;&gt;0,HistoricalStockProgress[[#This Row],[Total Price of Shares]]-HistoricalStockProgress[[#This Row],[Cost of Shares]],0)</f>
        <v>6756.6258371973126</v>
      </c>
      <c r="L2042" s="34" t="b" cm="1">
        <f t="array" ref="L2042">IFERROR(IF(HistoricalStockProgress[[#This Row],[Price of Shares]]="",_xlfn.STOCKHISTORY(HistoricalStockProgress[[#This Row],[Full Company Name]],HistoricalStockProgress[[#This Row],[Date]],,2,0,1)),0)</f>
        <v>0</v>
      </c>
      <c r="M2042" s="34">
        <f>YEAR(HistoricalStockProgress[[#This Row],[Date]])</f>
        <v>2025</v>
      </c>
      <c r="N2042" s="34">
        <f>MONTH(HistoricalStockProgress[[#This Row],[Date]])</f>
        <v>7</v>
      </c>
    </row>
    <row r="2043" spans="2:14">
      <c r="B2043" s="15">
        <v>45869</v>
      </c>
      <c r="C2043" s="34" t="s">
        <v>95</v>
      </c>
      <c r="D2043" s="34" t="e" vm="13">
        <f>_xlfn.XLOOKUP(HistoricalStockProgress[[#This Row],[Company Ticker]],CompanyDetailsList[Company Ticker],CompanyDetailsList[Official Name],,0)</f>
        <v>#VALUE!</v>
      </c>
      <c r="E20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172</v>
      </c>
      <c r="F20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47379.162890220832</v>
      </c>
      <c r="G2043" s="17">
        <f>IFERROR(HistoricalStockProgress[[#This Row],[Cost of Shares]]/HistoricalStockProgress[[#This Row],[No. of Shares]],0)</f>
        <v>275.46024936174905</v>
      </c>
      <c r="H2043" s="16" vm="2500">
        <v>367.51</v>
      </c>
      <c r="I2043" s="16">
        <f>IF(HistoricalStockProgress[[#This Row],[No. of Shares]]&lt;&gt;0,HistoricalStockProgress[[#This Row],[Price of Shares]]*HistoricalStockProgress[[#This Row],[No. of Shares]],0)</f>
        <v>63211.72</v>
      </c>
      <c r="J2043" s="16">
        <f>IF(HistoricalStockProgress[[#This Row],[No. of Shares]]&lt;&gt;0,HistoricalStockProgress[[#This Row],[Price of Shares]]-HistoricalStockProgress[[#This Row],[Cost of Shares]]/HistoricalStockProgress[[#This Row],[No. of Shares]],0)</f>
        <v>92.049750638250941</v>
      </c>
      <c r="K2043" s="17">
        <f>IF(HistoricalStockProgress[[#This Row],[Total Price of Shares]]&lt;&gt;0,HistoricalStockProgress[[#This Row],[Total Price of Shares]]-HistoricalStockProgress[[#This Row],[Cost of Shares]],0)</f>
        <v>15832.557109779169</v>
      </c>
      <c r="L2043" s="34" t="b" cm="1">
        <f t="array" ref="L2043">IFERROR(IF(HistoricalStockProgress[[#This Row],[Price of Shares]]="",_xlfn.STOCKHISTORY(HistoricalStockProgress[[#This Row],[Full Company Name]],HistoricalStockProgress[[#This Row],[Date]],,2,0,1)),0)</f>
        <v>0</v>
      </c>
      <c r="M2043" s="34">
        <f>YEAR(HistoricalStockProgress[[#This Row],[Date]])</f>
        <v>2025</v>
      </c>
      <c r="N2043" s="34">
        <f>MONTH(HistoricalStockProgress[[#This Row],[Date]])</f>
        <v>7</v>
      </c>
    </row>
    <row r="2044" spans="2:14">
      <c r="B2044" s="15">
        <v>45869</v>
      </c>
      <c r="C2044" s="34" t="s">
        <v>17</v>
      </c>
      <c r="D2044" s="34" t="e" vm="14">
        <f>_xlfn.XLOOKUP(HistoricalStockProgress[[#This Row],[Company Ticker]],CompanyDetailsList[Company Ticker],CompanyDetailsList[Official Name],,0)</f>
        <v>#VALUE!</v>
      </c>
      <c r="E20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20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2044" s="17">
        <f>IFERROR(HistoricalStockProgress[[#This Row],[Cost of Shares]]/HistoricalStockProgress[[#This Row],[No. of Shares]],0)</f>
        <v>143.37791217450521</v>
      </c>
      <c r="H2044" s="16" vm="2501">
        <v>253.15</v>
      </c>
      <c r="I2044" s="16">
        <f>IF(HistoricalStockProgress[[#This Row],[No. of Shares]]&lt;&gt;0,HistoricalStockProgress[[#This Row],[Price of Shares]]*HistoricalStockProgress[[#This Row],[No. of Shares]],0)</f>
        <v>58477.65</v>
      </c>
      <c r="J2044" s="16">
        <f>IF(HistoricalStockProgress[[#This Row],[No. of Shares]]&lt;&gt;0,HistoricalStockProgress[[#This Row],[Price of Shares]]-HistoricalStockProgress[[#This Row],[Cost of Shares]]/HistoricalStockProgress[[#This Row],[No. of Shares]],0)</f>
        <v>109.77208782549479</v>
      </c>
      <c r="K2044" s="17">
        <f>IF(HistoricalStockProgress[[#This Row],[Total Price of Shares]]&lt;&gt;0,HistoricalStockProgress[[#This Row],[Total Price of Shares]]-HistoricalStockProgress[[#This Row],[Cost of Shares]],0)</f>
        <v>25357.352287689297</v>
      </c>
      <c r="L2044" s="34" t="b" cm="1">
        <f t="array" ref="L2044">IFERROR(IF(HistoricalStockProgress[[#This Row],[Price of Shares]]="",_xlfn.STOCKHISTORY(HistoricalStockProgress[[#This Row],[Full Company Name]],HistoricalStockProgress[[#This Row],[Date]],,2,0,1)),0)</f>
        <v>0</v>
      </c>
      <c r="M2044" s="34">
        <f>YEAR(HistoricalStockProgress[[#This Row],[Date]])</f>
        <v>2025</v>
      </c>
      <c r="N2044" s="34">
        <f>MONTH(HistoricalStockProgress[[#This Row],[Date]])</f>
        <v>7</v>
      </c>
    </row>
    <row r="2045" spans="2:14">
      <c r="B2045" s="15">
        <v>45869</v>
      </c>
      <c r="C2045" s="34" t="s">
        <v>98</v>
      </c>
      <c r="D2045" s="34" t="e" vm="15">
        <f>_xlfn.XLOOKUP(HistoricalStockProgress[[#This Row],[Company Ticker]],CompanyDetailsList[Company Ticker],CompanyDetailsList[Official Name],,0)</f>
        <v>#VALUE!</v>
      </c>
      <c r="E20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193</v>
      </c>
      <c r="F20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11397.772474019517</v>
      </c>
      <c r="G2045" s="17">
        <f>IFERROR(HistoricalStockProgress[[#This Row],[Cost of Shares]]/HistoricalStockProgress[[#This Row],[No. of Shares]],0)</f>
        <v>59.055815927562264</v>
      </c>
      <c r="H2045" s="16" vm="2502">
        <v>71.06</v>
      </c>
      <c r="I2045" s="16">
        <f>IF(HistoricalStockProgress[[#This Row],[No. of Shares]]&lt;&gt;0,HistoricalStockProgress[[#This Row],[Price of Shares]]*HistoricalStockProgress[[#This Row],[No. of Shares]],0)</f>
        <v>13714.58</v>
      </c>
      <c r="J2045" s="16">
        <f>IF(HistoricalStockProgress[[#This Row],[No. of Shares]]&lt;&gt;0,HistoricalStockProgress[[#This Row],[Price of Shares]]-HistoricalStockProgress[[#This Row],[Cost of Shares]]/HistoricalStockProgress[[#This Row],[No. of Shares]],0)</f>
        <v>12.004184072437738</v>
      </c>
      <c r="K2045" s="17">
        <f>IF(HistoricalStockProgress[[#This Row],[Total Price of Shares]]&lt;&gt;0,HistoricalStockProgress[[#This Row],[Total Price of Shares]]-HistoricalStockProgress[[#This Row],[Cost of Shares]],0)</f>
        <v>2316.8075259804828</v>
      </c>
      <c r="L2045" s="34" t="b" cm="1">
        <f t="array" ref="L2045">IFERROR(IF(HistoricalStockProgress[[#This Row],[Price of Shares]]="",_xlfn.STOCKHISTORY(HistoricalStockProgress[[#This Row],[Full Company Name]],HistoricalStockProgress[[#This Row],[Date]],,2,0,1)),0)</f>
        <v>0</v>
      </c>
      <c r="M2045" s="34">
        <f>YEAR(HistoricalStockProgress[[#This Row],[Date]])</f>
        <v>2025</v>
      </c>
      <c r="N2045" s="34">
        <f>MONTH(HistoricalStockProgress[[#This Row],[Date]])</f>
        <v>7</v>
      </c>
    </row>
    <row r="2046" spans="2:14">
      <c r="B2046" s="15">
        <v>45869</v>
      </c>
      <c r="C2046" s="34" t="s">
        <v>100</v>
      </c>
      <c r="D2046" s="34" t="e" vm="16">
        <f>_xlfn.XLOOKUP(HistoricalStockProgress[[#This Row],[Company Ticker]],CompanyDetailsList[Company Ticker],CompanyDetailsList[Official Name],,0)</f>
        <v>#VALUE!</v>
      </c>
      <c r="E20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20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2046" s="17">
        <f>IFERROR(HistoricalStockProgress[[#This Row],[Cost of Shares]]/HistoricalStockProgress[[#This Row],[No. of Shares]],0)</f>
        <v>92.156351168716071</v>
      </c>
      <c r="H2046" s="16" vm="2503">
        <v>121.64</v>
      </c>
      <c r="I2046" s="16">
        <f>IF(HistoricalStockProgress[[#This Row],[No. of Shares]]&lt;&gt;0,HistoricalStockProgress[[#This Row],[Price of Shares]]*HistoricalStockProgress[[#This Row],[No. of Shares]],0)</f>
        <v>30410</v>
      </c>
      <c r="J2046" s="16">
        <f>IF(HistoricalStockProgress[[#This Row],[No. of Shares]]&lt;&gt;0,HistoricalStockProgress[[#This Row],[Price of Shares]]-HistoricalStockProgress[[#This Row],[Cost of Shares]]/HistoricalStockProgress[[#This Row],[No. of Shares]],0)</f>
        <v>29.483648831283929</v>
      </c>
      <c r="K2046" s="17">
        <f>IF(HistoricalStockProgress[[#This Row],[Total Price of Shares]]&lt;&gt;0,HistoricalStockProgress[[#This Row],[Total Price of Shares]]-HistoricalStockProgress[[#This Row],[Cost of Shares]],0)</f>
        <v>7370.9122078209839</v>
      </c>
      <c r="L2046" s="34" t="b" cm="1">
        <f t="array" ref="L2046">IFERROR(IF(HistoricalStockProgress[[#This Row],[Price of Shares]]="",_xlfn.STOCKHISTORY(HistoricalStockProgress[[#This Row],[Full Company Name]],HistoricalStockProgress[[#This Row],[Date]],,2,0,1)),0)</f>
        <v>0</v>
      </c>
      <c r="M2046" s="34">
        <f>YEAR(HistoricalStockProgress[[#This Row],[Date]])</f>
        <v>2025</v>
      </c>
      <c r="N2046" s="34">
        <f>MONTH(HistoricalStockProgress[[#This Row],[Date]])</f>
        <v>7</v>
      </c>
    </row>
    <row r="2047" spans="2:14">
      <c r="B2047" s="15">
        <v>45869</v>
      </c>
      <c r="C2047" s="34" t="s">
        <v>15</v>
      </c>
      <c r="D2047" s="34" t="e" vm="17">
        <f>_xlfn.XLOOKUP(HistoricalStockProgress[[#This Row],[Company Ticker]],CompanyDetailsList[Company Ticker],CompanyDetailsList[Official Name],,0)</f>
        <v>#VALUE!</v>
      </c>
      <c r="E20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20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3628.1478386140398</v>
      </c>
      <c r="G2047" s="17">
        <f>IFERROR(HistoricalStockProgress[[#This Row],[Cost of Shares]]/HistoricalStockProgress[[#This Row],[No. of Shares]],0)</f>
        <v>24.85032766174</v>
      </c>
      <c r="H2047" s="16" vm="2414">
        <v>27.41</v>
      </c>
      <c r="I2047" s="16">
        <f>IF(HistoricalStockProgress[[#This Row],[No. of Shares]]&lt;&gt;0,HistoricalStockProgress[[#This Row],[Price of Shares]]*HistoricalStockProgress[[#This Row],[No. of Shares]],0)</f>
        <v>4001.86</v>
      </c>
      <c r="J2047" s="16">
        <f>IF(HistoricalStockProgress[[#This Row],[No. of Shares]]&lt;&gt;0,HistoricalStockProgress[[#This Row],[Price of Shares]]-HistoricalStockProgress[[#This Row],[Cost of Shares]]/HistoricalStockProgress[[#This Row],[No. of Shares]],0)</f>
        <v>2.5596723382600004</v>
      </c>
      <c r="K2047" s="17">
        <f>IF(HistoricalStockProgress[[#This Row],[Total Price of Shares]]&lt;&gt;0,HistoricalStockProgress[[#This Row],[Total Price of Shares]]-HistoricalStockProgress[[#This Row],[Cost of Shares]],0)</f>
        <v>373.71216138596037</v>
      </c>
      <c r="L2047" s="34" t="b" cm="1">
        <f t="array" ref="L2047">IFERROR(IF(HistoricalStockProgress[[#This Row],[Price of Shares]]="",_xlfn.STOCKHISTORY(HistoricalStockProgress[[#This Row],[Full Company Name]],HistoricalStockProgress[[#This Row],[Date]],,2,0,1)),0)</f>
        <v>0</v>
      </c>
      <c r="M2047" s="34">
        <f>YEAR(HistoricalStockProgress[[#This Row],[Date]])</f>
        <v>2025</v>
      </c>
      <c r="N2047" s="34">
        <f>MONTH(HistoricalStockProgress[[#This Row],[Date]])</f>
        <v>7</v>
      </c>
    </row>
    <row r="2048" spans="2:14">
      <c r="B2048" s="15">
        <v>45869</v>
      </c>
      <c r="C2048" s="34" t="s">
        <v>13</v>
      </c>
      <c r="D2048" s="34" t="e" vm="18">
        <f>_xlfn.XLOOKUP(HistoricalStockProgress[[#This Row],[Company Ticker]],CompanyDetailsList[Company Ticker],CompanyDetailsList[Official Name],,0)</f>
        <v>#VALUE!</v>
      </c>
      <c r="E20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115</v>
      </c>
      <c r="F20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3682.4466352500076</v>
      </c>
      <c r="G2048" s="17">
        <f>IFERROR(HistoricalStockProgress[[#This Row],[Cost of Shares]]/HistoricalStockProgress[[#This Row],[No. of Shares]],0)</f>
        <v>32.021275089130498</v>
      </c>
      <c r="H2048" s="16" vm="2504">
        <v>23.29</v>
      </c>
      <c r="I2048" s="16">
        <f>IF(HistoricalStockProgress[[#This Row],[No. of Shares]]&lt;&gt;0,HistoricalStockProgress[[#This Row],[Price of Shares]]*HistoricalStockProgress[[#This Row],[No. of Shares]],0)</f>
        <v>2678.35</v>
      </c>
      <c r="J2048" s="16">
        <f>IF(HistoricalStockProgress[[#This Row],[No. of Shares]]&lt;&gt;0,HistoricalStockProgress[[#This Row],[Price of Shares]]-HistoricalStockProgress[[#This Row],[Cost of Shares]]/HistoricalStockProgress[[#This Row],[No. of Shares]],0)</f>
        <v>-8.7312750891304987</v>
      </c>
      <c r="K2048" s="17">
        <f>IF(HistoricalStockProgress[[#This Row],[Total Price of Shares]]&lt;&gt;0,HistoricalStockProgress[[#This Row],[Total Price of Shares]]-HistoricalStockProgress[[#This Row],[Cost of Shares]],0)</f>
        <v>-1004.0966352500077</v>
      </c>
      <c r="L2048" s="34" t="b" cm="1">
        <f t="array" ref="L2048">IFERROR(IF(HistoricalStockProgress[[#This Row],[Price of Shares]]="",_xlfn.STOCKHISTORY(HistoricalStockProgress[[#This Row],[Full Company Name]],HistoricalStockProgress[[#This Row],[Date]],,2,0,1)),0)</f>
        <v>0</v>
      </c>
      <c r="M2048" s="34">
        <f>YEAR(HistoricalStockProgress[[#This Row],[Date]])</f>
        <v>2025</v>
      </c>
      <c r="N2048" s="34">
        <f>MONTH(HistoricalStockProgress[[#This Row],[Date]])</f>
        <v>7</v>
      </c>
    </row>
    <row r="2049" spans="2:14">
      <c r="B2049" s="15">
        <v>45869</v>
      </c>
      <c r="C2049" s="34" t="s">
        <v>20</v>
      </c>
      <c r="D2049" s="34" t="e" vm="19">
        <f>_xlfn.XLOOKUP(HistoricalStockProgress[[#This Row],[Company Ticker]],CompanyDetailsList[Company Ticker],CompanyDetailsList[Official Name],,0)</f>
        <v>#VALUE!</v>
      </c>
      <c r="E20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20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2049" s="17">
        <f>IFERROR(HistoricalStockProgress[[#This Row],[Cost of Shares]]/HistoricalStockProgress[[#This Row],[No. of Shares]],0)</f>
        <v>108.1760767450256</v>
      </c>
      <c r="H2049" s="16" vm="2505">
        <v>296.24</v>
      </c>
      <c r="I2049" s="16">
        <f>IF(HistoricalStockProgress[[#This Row],[No. of Shares]]&lt;&gt;0,HistoricalStockProgress[[#This Row],[Price of Shares]]*HistoricalStockProgress[[#This Row],[No. of Shares]],0)</f>
        <v>34363.840000000004</v>
      </c>
      <c r="J2049" s="16">
        <f>IF(HistoricalStockProgress[[#This Row],[No. of Shares]]&lt;&gt;0,HistoricalStockProgress[[#This Row],[Price of Shares]]-HistoricalStockProgress[[#This Row],[Cost of Shares]]/HistoricalStockProgress[[#This Row],[No. of Shares]],0)</f>
        <v>188.06392325497441</v>
      </c>
      <c r="K2049" s="17">
        <f>IF(HistoricalStockProgress[[#This Row],[Total Price of Shares]]&lt;&gt;0,HistoricalStockProgress[[#This Row],[Total Price of Shares]]-HistoricalStockProgress[[#This Row],[Cost of Shares]],0)</f>
        <v>21815.415097577035</v>
      </c>
      <c r="L2049" s="34" t="b" cm="1">
        <f t="array" ref="L2049">IFERROR(IF(HistoricalStockProgress[[#This Row],[Price of Shares]]="",_xlfn.STOCKHISTORY(HistoricalStockProgress[[#This Row],[Full Company Name]],HistoricalStockProgress[[#This Row],[Date]],,2,0,1)),0)</f>
        <v>0</v>
      </c>
      <c r="M2049" s="34">
        <f>YEAR(HistoricalStockProgress[[#This Row],[Date]])</f>
        <v>2025</v>
      </c>
      <c r="N2049" s="34">
        <f>MONTH(HistoricalStockProgress[[#This Row],[Date]])</f>
        <v>7</v>
      </c>
    </row>
    <row r="2050" spans="2:14">
      <c r="B2050" s="15">
        <v>45869</v>
      </c>
      <c r="C2050" s="34" t="s">
        <v>106</v>
      </c>
      <c r="D2050" s="34" t="e" vm="20">
        <f>_xlfn.XLOOKUP(HistoricalStockProgress[[#This Row],[Company Ticker]],CompanyDetailsList[Company Ticker],CompanyDetailsList[Official Name],,0)</f>
        <v>#VALUE!</v>
      </c>
      <c r="E20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20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2050" s="17">
        <f>IFERROR(HistoricalStockProgress[[#This Row],[Cost of Shares]]/HistoricalStockProgress[[#This Row],[No. of Shares]],0)</f>
        <v>108.54870748680406</v>
      </c>
      <c r="H2050" s="16" vm="2506">
        <v>105.5</v>
      </c>
      <c r="I2050" s="16">
        <f>IF(HistoricalStockProgress[[#This Row],[No. of Shares]]&lt;&gt;0,HistoricalStockProgress[[#This Row],[Price of Shares]]*HistoricalStockProgress[[#This Row],[No. of Shares]],0)</f>
        <v>9284</v>
      </c>
      <c r="J2050" s="16">
        <f>IF(HistoricalStockProgress[[#This Row],[No. of Shares]]&lt;&gt;0,HistoricalStockProgress[[#This Row],[Price of Shares]]-HistoricalStockProgress[[#This Row],[Cost of Shares]]/HistoricalStockProgress[[#This Row],[No. of Shares]],0)</f>
        <v>-3.0487074868040622</v>
      </c>
      <c r="K2050" s="17">
        <f>IF(HistoricalStockProgress[[#This Row],[Total Price of Shares]]&lt;&gt;0,HistoricalStockProgress[[#This Row],[Total Price of Shares]]-HistoricalStockProgress[[#This Row],[Cost of Shares]],0)</f>
        <v>-268.28625883875793</v>
      </c>
      <c r="L2050" s="34" t="b" cm="1">
        <f t="array" ref="L2050">IFERROR(IF(HistoricalStockProgress[[#This Row],[Price of Shares]]="",_xlfn.STOCKHISTORY(HistoricalStockProgress[[#This Row],[Full Company Name]],HistoricalStockProgress[[#This Row],[Date]],,2,0,1)),0)</f>
        <v>0</v>
      </c>
      <c r="M2050" s="34">
        <f>YEAR(HistoricalStockProgress[[#This Row],[Date]])</f>
        <v>2025</v>
      </c>
      <c r="N2050" s="34">
        <f>MONTH(HistoricalStockProgress[[#This Row],[Date]])</f>
        <v>7</v>
      </c>
    </row>
    <row r="2051" spans="2:14">
      <c r="B2051" s="15">
        <v>45900</v>
      </c>
      <c r="C2051" s="34" t="s">
        <v>12</v>
      </c>
      <c r="D2051" s="34" t="e" vm="1">
        <f>_xlfn.XLOOKUP(HistoricalStockProgress[[#This Row],[Company Ticker]],CompanyDetailsList[Company Ticker],CompanyDetailsList[Official Name],,0)</f>
        <v>#VALUE!</v>
      </c>
      <c r="E20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20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2051" s="17">
        <f>IFERROR(HistoricalStockProgress[[#This Row],[Cost of Shares]]/HistoricalStockProgress[[#This Row],[No. of Shares]],0)</f>
        <v>64.573985995316889</v>
      </c>
      <c r="H2051" s="16" vm="2507">
        <v>58.76</v>
      </c>
      <c r="I2051" s="16">
        <f>IF(HistoricalStockProgress[[#This Row],[No. of Shares]]&lt;&gt;0,HistoricalStockProgress[[#This Row],[Price of Shares]]*HistoricalStockProgress[[#This Row],[No. of Shares]],0)</f>
        <v>5699.72</v>
      </c>
      <c r="J2051" s="16">
        <f>IF(HistoricalStockProgress[[#This Row],[No. of Shares]]&lt;&gt;0,HistoricalStockProgress[[#This Row],[Price of Shares]]-HistoricalStockProgress[[#This Row],[Cost of Shares]]/HistoricalStockProgress[[#This Row],[No. of Shares]],0)</f>
        <v>-5.8139859953168909</v>
      </c>
      <c r="K2051" s="17">
        <f>IF(HistoricalStockProgress[[#This Row],[Total Price of Shares]]&lt;&gt;0,HistoricalStockProgress[[#This Row],[Total Price of Shares]]-HistoricalStockProgress[[#This Row],[Cost of Shares]],0)</f>
        <v>-563.95664154573751</v>
      </c>
      <c r="L2051" s="34" t="b" cm="1">
        <f t="array" ref="L2051">IFERROR(IF(HistoricalStockProgress[[#This Row],[Price of Shares]]="",_xlfn.STOCKHISTORY(HistoricalStockProgress[[#This Row],[Full Company Name]],HistoricalStockProgress[[#This Row],[Date]],,2,0,1)),0)</f>
        <v>0</v>
      </c>
      <c r="M2051" s="34">
        <f>YEAR(HistoricalStockProgress[[#This Row],[Date]])</f>
        <v>2025</v>
      </c>
      <c r="N2051" s="34">
        <f>MONTH(HistoricalStockProgress[[#This Row],[Date]])</f>
        <v>8</v>
      </c>
    </row>
    <row r="2052" spans="2:14">
      <c r="B2052" s="15">
        <v>45900</v>
      </c>
      <c r="C2052" s="34" t="s">
        <v>14</v>
      </c>
      <c r="D2052" s="34" t="e" vm="2">
        <f>_xlfn.XLOOKUP(HistoricalStockProgress[[#This Row],[Company Ticker]],CompanyDetailsList[Company Ticker],CompanyDetailsList[Official Name],,0)</f>
        <v>#VALUE!</v>
      </c>
      <c r="E20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20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2052" s="17">
        <f>IFERROR(HistoricalStockProgress[[#This Row],[Cost of Shares]]/HistoricalStockProgress[[#This Row],[No. of Shares]],0)</f>
        <v>26.819337355148658</v>
      </c>
      <c r="H2052" s="16" vm="2508">
        <v>29.81</v>
      </c>
      <c r="I2052" s="16">
        <f>IF(HistoricalStockProgress[[#This Row],[No. of Shares]]&lt;&gt;0,HistoricalStockProgress[[#This Row],[Price of Shares]]*HistoricalStockProgress[[#This Row],[No. of Shares]],0)</f>
        <v>1878.03</v>
      </c>
      <c r="J2052" s="16">
        <f>IF(HistoricalStockProgress[[#This Row],[No. of Shares]]&lt;&gt;0,HistoricalStockProgress[[#This Row],[Price of Shares]]-HistoricalStockProgress[[#This Row],[Cost of Shares]]/HistoricalStockProgress[[#This Row],[No. of Shares]],0)</f>
        <v>2.9906626448513407</v>
      </c>
      <c r="K2052" s="17">
        <f>IF(HistoricalStockProgress[[#This Row],[Total Price of Shares]]&lt;&gt;0,HistoricalStockProgress[[#This Row],[Total Price of Shares]]-HistoricalStockProgress[[#This Row],[Cost of Shares]],0)</f>
        <v>188.41174662563458</v>
      </c>
      <c r="L2052" s="34" t="b" cm="1">
        <f t="array" ref="L2052">IFERROR(IF(HistoricalStockProgress[[#This Row],[Price of Shares]]="",_xlfn.STOCKHISTORY(HistoricalStockProgress[[#This Row],[Full Company Name]],HistoricalStockProgress[[#This Row],[Date]],,2,0,1)),0)</f>
        <v>0</v>
      </c>
      <c r="M2052" s="34">
        <f>YEAR(HistoricalStockProgress[[#This Row],[Date]])</f>
        <v>2025</v>
      </c>
      <c r="N2052" s="34">
        <f>MONTH(HistoricalStockProgress[[#This Row],[Date]])</f>
        <v>8</v>
      </c>
    </row>
    <row r="2053" spans="2:14">
      <c r="B2053" s="15">
        <v>45900</v>
      </c>
      <c r="C2053" s="34" t="s">
        <v>19</v>
      </c>
      <c r="D2053" s="34" t="e" vm="3">
        <f>_xlfn.XLOOKUP(HistoricalStockProgress[[#This Row],[Company Ticker]],CompanyDetailsList[Company Ticker],CompanyDetailsList[Official Name],,0)</f>
        <v>#VALUE!</v>
      </c>
      <c r="E20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20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2053" s="17">
        <f>IFERROR(HistoricalStockProgress[[#This Row],[Cost of Shares]]/HistoricalStockProgress[[#This Row],[No. of Shares]],0)</f>
        <v>160.12652821044301</v>
      </c>
      <c r="H2053" s="16" vm="2509">
        <v>118.2</v>
      </c>
      <c r="I2053" s="16">
        <f>IF(HistoricalStockProgress[[#This Row],[No. of Shares]]&lt;&gt;0,HistoricalStockProgress[[#This Row],[Price of Shares]]*HistoricalStockProgress[[#This Row],[No. of Shares]],0)</f>
        <v>10165.200000000001</v>
      </c>
      <c r="J2053" s="16">
        <f>IF(HistoricalStockProgress[[#This Row],[No. of Shares]]&lt;&gt;0,HistoricalStockProgress[[#This Row],[Price of Shares]]-HistoricalStockProgress[[#This Row],[Cost of Shares]]/HistoricalStockProgress[[#This Row],[No. of Shares]],0)</f>
        <v>-41.92652821044301</v>
      </c>
      <c r="K2053" s="17">
        <f>IF(HistoricalStockProgress[[#This Row],[Total Price of Shares]]&lt;&gt;0,HistoricalStockProgress[[#This Row],[Total Price of Shares]]-HistoricalStockProgress[[#This Row],[Cost of Shares]],0)</f>
        <v>-3605.6814260980973</v>
      </c>
      <c r="L2053" s="34" t="b" cm="1">
        <f t="array" ref="L2053">IFERROR(IF(HistoricalStockProgress[[#This Row],[Price of Shares]]="",_xlfn.STOCKHISTORY(HistoricalStockProgress[[#This Row],[Full Company Name]],HistoricalStockProgress[[#This Row],[Date]],,2,0,1)),0)</f>
        <v>0</v>
      </c>
      <c r="M2053" s="34">
        <f>YEAR(HistoricalStockProgress[[#This Row],[Date]])</f>
        <v>2025</v>
      </c>
      <c r="N2053" s="34">
        <f>MONTH(HistoricalStockProgress[[#This Row],[Date]])</f>
        <v>8</v>
      </c>
    </row>
    <row r="2054" spans="2:14">
      <c r="B2054" s="15">
        <v>45900</v>
      </c>
      <c r="C2054" s="34" t="s">
        <v>23</v>
      </c>
      <c r="D2054" s="34" t="e" vm="4">
        <f>_xlfn.XLOOKUP(HistoricalStockProgress[[#This Row],[Company Ticker]],CompanyDetailsList[Company Ticker],CompanyDetailsList[Official Name],,0)</f>
        <v>#VALUE!</v>
      </c>
      <c r="E20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20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5636.7217732526415</v>
      </c>
      <c r="G2054" s="17">
        <f>IFERROR(HistoricalStockProgress[[#This Row],[Cost of Shares]]/HistoricalStockProgress[[#This Row],[No. of Shares]],0)</f>
        <v>50.781277236510284</v>
      </c>
      <c r="H2054" s="16" vm="2510">
        <v>68.989999999999995</v>
      </c>
      <c r="I2054" s="16">
        <f>IF(HistoricalStockProgress[[#This Row],[No. of Shares]]&lt;&gt;0,HistoricalStockProgress[[#This Row],[Price of Shares]]*HistoricalStockProgress[[#This Row],[No. of Shares]],0)</f>
        <v>7657.8899999999994</v>
      </c>
      <c r="J2054" s="16">
        <f>IF(HistoricalStockProgress[[#This Row],[No. of Shares]]&lt;&gt;0,HistoricalStockProgress[[#This Row],[Price of Shares]]-HistoricalStockProgress[[#This Row],[Cost of Shares]]/HistoricalStockProgress[[#This Row],[No. of Shares]],0)</f>
        <v>18.20872276348971</v>
      </c>
      <c r="K2054" s="17">
        <f>IF(HistoricalStockProgress[[#This Row],[Total Price of Shares]]&lt;&gt;0,HistoricalStockProgress[[#This Row],[Total Price of Shares]]-HistoricalStockProgress[[#This Row],[Cost of Shares]],0)</f>
        <v>2021.1682267473579</v>
      </c>
      <c r="L2054" s="34" t="b" cm="1">
        <f t="array" ref="L2054">IFERROR(IF(HistoricalStockProgress[[#This Row],[Price of Shares]]="",_xlfn.STOCKHISTORY(HistoricalStockProgress[[#This Row],[Full Company Name]],HistoricalStockProgress[[#This Row],[Date]],,2,0,1)),0)</f>
        <v>0</v>
      </c>
      <c r="M2054" s="34">
        <f>YEAR(HistoricalStockProgress[[#This Row],[Date]])</f>
        <v>2025</v>
      </c>
      <c r="N2054" s="34">
        <f>MONTH(HistoricalStockProgress[[#This Row],[Date]])</f>
        <v>8</v>
      </c>
    </row>
    <row r="2055" spans="2:14">
      <c r="B2055" s="15">
        <v>45900</v>
      </c>
      <c r="C2055" s="34" t="s">
        <v>18</v>
      </c>
      <c r="D2055" s="34" t="e" vm="5">
        <f>_xlfn.XLOOKUP(HistoricalStockProgress[[#This Row],[Company Ticker]],CompanyDetailsList[Company Ticker],CompanyDetailsList[Official Name],,0)</f>
        <v>#VALUE!</v>
      </c>
      <c r="E20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20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2055" s="17">
        <f>IFERROR(HistoricalStockProgress[[#This Row],[Cost of Shares]]/HistoricalStockProgress[[#This Row],[No. of Shares]],0)</f>
        <v>160.8859607546234</v>
      </c>
      <c r="H2055" s="16" vm="1901">
        <v>148.65</v>
      </c>
      <c r="I2055" s="16">
        <f>IF(HistoricalStockProgress[[#This Row],[No. of Shares]]&lt;&gt;0,HistoricalStockProgress[[#This Row],[Price of Shares]]*HistoricalStockProgress[[#This Row],[No. of Shares]],0)</f>
        <v>6391.95</v>
      </c>
      <c r="J2055" s="16">
        <f>IF(HistoricalStockProgress[[#This Row],[No. of Shares]]&lt;&gt;0,HistoricalStockProgress[[#This Row],[Price of Shares]]-HistoricalStockProgress[[#This Row],[Cost of Shares]]/HistoricalStockProgress[[#This Row],[No. of Shares]],0)</f>
        <v>-12.235960754623392</v>
      </c>
      <c r="K2055" s="17">
        <f>IF(HistoricalStockProgress[[#This Row],[Total Price of Shares]]&lt;&gt;0,HistoricalStockProgress[[#This Row],[Total Price of Shares]]-HistoricalStockProgress[[#This Row],[Cost of Shares]],0)</f>
        <v>-526.14631244880638</v>
      </c>
      <c r="L2055" s="34" t="b" cm="1">
        <f t="array" ref="L2055">IFERROR(IF(HistoricalStockProgress[[#This Row],[Price of Shares]]="",_xlfn.STOCKHISTORY(HistoricalStockProgress[[#This Row],[Full Company Name]],HistoricalStockProgress[[#This Row],[Date]],,2,0,1)),0)</f>
        <v>0</v>
      </c>
      <c r="M2055" s="34">
        <f>YEAR(HistoricalStockProgress[[#This Row],[Date]])</f>
        <v>2025</v>
      </c>
      <c r="N2055" s="34">
        <f>MONTH(HistoricalStockProgress[[#This Row],[Date]])</f>
        <v>8</v>
      </c>
    </row>
    <row r="2056" spans="2:14">
      <c r="B2056" s="15">
        <v>45900</v>
      </c>
      <c r="C2056" s="34" t="s">
        <v>21</v>
      </c>
      <c r="D2056" s="34" t="e" vm="6">
        <f>_xlfn.XLOOKUP(HistoricalStockProgress[[#This Row],[Company Ticker]],CompanyDetailsList[Company Ticker],CompanyDetailsList[Official Name],,0)</f>
        <v>#VALUE!</v>
      </c>
      <c r="E20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84</v>
      </c>
      <c r="F20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12738.215402497406</v>
      </c>
      <c r="G2056" s="17">
        <f>IFERROR(HistoricalStockProgress[[#This Row],[Cost of Shares]]/HistoricalStockProgress[[#This Row],[No. of Shares]],0)</f>
        <v>151.64542145830245</v>
      </c>
      <c r="H2056" s="16" vm="2511">
        <v>157.04</v>
      </c>
      <c r="I2056" s="16">
        <f>IF(HistoricalStockProgress[[#This Row],[No. of Shares]]&lt;&gt;0,HistoricalStockProgress[[#This Row],[Price of Shares]]*HistoricalStockProgress[[#This Row],[No. of Shares]],0)</f>
        <v>13191.359999999999</v>
      </c>
      <c r="J2056" s="16">
        <f>IF(HistoricalStockProgress[[#This Row],[No. of Shares]]&lt;&gt;0,HistoricalStockProgress[[#This Row],[Price of Shares]]-HistoricalStockProgress[[#This Row],[Cost of Shares]]/HistoricalStockProgress[[#This Row],[No. of Shares]],0)</f>
        <v>5.3945785416975411</v>
      </c>
      <c r="K2056" s="17">
        <f>IF(HistoricalStockProgress[[#This Row],[Total Price of Shares]]&lt;&gt;0,HistoricalStockProgress[[#This Row],[Total Price of Shares]]-HistoricalStockProgress[[#This Row],[Cost of Shares]],0)</f>
        <v>453.14459750259266</v>
      </c>
      <c r="L2056" s="34" t="b" cm="1">
        <f t="array" ref="L2056">IFERROR(IF(HistoricalStockProgress[[#This Row],[Price of Shares]]="",_xlfn.STOCKHISTORY(HistoricalStockProgress[[#This Row],[Full Company Name]],HistoricalStockProgress[[#This Row],[Date]],,2,0,1)),0)</f>
        <v>0</v>
      </c>
      <c r="M2056" s="34">
        <f>YEAR(HistoricalStockProgress[[#This Row],[Date]])</f>
        <v>2025</v>
      </c>
      <c r="N2056" s="34">
        <f>MONTH(HistoricalStockProgress[[#This Row],[Date]])</f>
        <v>8</v>
      </c>
    </row>
    <row r="2057" spans="2:14">
      <c r="B2057" s="15">
        <v>45900</v>
      </c>
      <c r="C2057" s="34" t="s">
        <v>84</v>
      </c>
      <c r="D2057" s="34" t="e" vm="7">
        <f>_xlfn.XLOOKUP(HistoricalStockProgress[[#This Row],[Company Ticker]],CompanyDetailsList[Company Ticker],CompanyDetailsList[Official Name],,0)</f>
        <v>#VALUE!</v>
      </c>
      <c r="E20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46</v>
      </c>
      <c r="F20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4792.320252277399</v>
      </c>
      <c r="G2057" s="17">
        <f>IFERROR(HistoricalStockProgress[[#This Row],[Cost of Shares]]/HistoricalStockProgress[[#This Row],[No. of Shares]],0)</f>
        <v>104.18087504950867</v>
      </c>
      <c r="H2057" s="16" vm="2512">
        <v>177.17</v>
      </c>
      <c r="I2057" s="16">
        <f>IF(HistoricalStockProgress[[#This Row],[No. of Shares]]&lt;&gt;0,HistoricalStockProgress[[#This Row],[Price of Shares]]*HistoricalStockProgress[[#This Row],[No. of Shares]],0)</f>
        <v>8149.82</v>
      </c>
      <c r="J2057" s="16">
        <f>IF(HistoricalStockProgress[[#This Row],[No. of Shares]]&lt;&gt;0,HistoricalStockProgress[[#This Row],[Price of Shares]]-HistoricalStockProgress[[#This Row],[Cost of Shares]]/HistoricalStockProgress[[#This Row],[No. of Shares]],0)</f>
        <v>72.989124950491316</v>
      </c>
      <c r="K2057" s="17">
        <f>IF(HistoricalStockProgress[[#This Row],[Total Price of Shares]]&lt;&gt;0,HistoricalStockProgress[[#This Row],[Total Price of Shares]]-HistoricalStockProgress[[#This Row],[Cost of Shares]],0)</f>
        <v>3357.4997477226007</v>
      </c>
      <c r="L2057" s="34" t="b" cm="1">
        <f t="array" ref="L2057">IFERROR(IF(HistoricalStockProgress[[#This Row],[Price of Shares]]="",_xlfn.STOCKHISTORY(HistoricalStockProgress[[#This Row],[Full Company Name]],HistoricalStockProgress[[#This Row],[Date]],,2,0,1)),0)</f>
        <v>0</v>
      </c>
      <c r="M2057" s="34">
        <f>YEAR(HistoricalStockProgress[[#This Row],[Date]])</f>
        <v>2025</v>
      </c>
      <c r="N2057" s="34">
        <f>MONTH(HistoricalStockProgress[[#This Row],[Date]])</f>
        <v>8</v>
      </c>
    </row>
    <row r="2058" spans="2:14">
      <c r="B2058" s="15">
        <v>45900</v>
      </c>
      <c r="C2058" s="34" t="s">
        <v>86</v>
      </c>
      <c r="D2058" s="34" t="e" vm="8">
        <f>_xlfn.XLOOKUP(HistoricalStockProgress[[#This Row],[Company Ticker]],CompanyDetailsList[Company Ticker],CompanyDetailsList[Official Name],,0)</f>
        <v>#VALUE!</v>
      </c>
      <c r="E20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20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2058" s="17">
        <f>IFERROR(HistoricalStockProgress[[#This Row],[Cost of Shares]]/HistoricalStockProgress[[#This Row],[No. of Shares]],0)</f>
        <v>115.48970647877745</v>
      </c>
      <c r="H2058" s="16" vm="2513">
        <v>210.4</v>
      </c>
      <c r="I2058" s="16">
        <f>IF(HistoricalStockProgress[[#This Row],[No. of Shares]]&lt;&gt;0,HistoricalStockProgress[[#This Row],[Price of Shares]]*HistoricalStockProgress[[#This Row],[No. of Shares]],0)</f>
        <v>31980.799999999999</v>
      </c>
      <c r="J2058" s="16">
        <f>IF(HistoricalStockProgress[[#This Row],[No. of Shares]]&lt;&gt;0,HistoricalStockProgress[[#This Row],[Price of Shares]]-HistoricalStockProgress[[#This Row],[Cost of Shares]]/HistoricalStockProgress[[#This Row],[No. of Shares]],0)</f>
        <v>94.910293521222556</v>
      </c>
      <c r="K2058" s="17">
        <f>IF(HistoricalStockProgress[[#This Row],[Total Price of Shares]]&lt;&gt;0,HistoricalStockProgress[[#This Row],[Total Price of Shares]]-HistoricalStockProgress[[#This Row],[Cost of Shares]],0)</f>
        <v>14426.364615225826</v>
      </c>
      <c r="L2058" s="34" t="b" cm="1">
        <f t="array" ref="L2058">IFERROR(IF(HistoricalStockProgress[[#This Row],[Price of Shares]]="",_xlfn.STOCKHISTORY(HistoricalStockProgress[[#This Row],[Full Company Name]],HistoricalStockProgress[[#This Row],[Date]],,2,0,1)),0)</f>
        <v>0</v>
      </c>
      <c r="M2058" s="34">
        <f>YEAR(HistoricalStockProgress[[#This Row],[Date]])</f>
        <v>2025</v>
      </c>
      <c r="N2058" s="34">
        <f>MONTH(HistoricalStockProgress[[#This Row],[Date]])</f>
        <v>8</v>
      </c>
    </row>
    <row r="2059" spans="2:14">
      <c r="B2059" s="15">
        <v>45900</v>
      </c>
      <c r="C2059" s="34" t="s">
        <v>88</v>
      </c>
      <c r="D2059" s="34" t="e" vm="9">
        <f>_xlfn.XLOOKUP(HistoricalStockProgress[[#This Row],[Company Ticker]],CompanyDetailsList[Company Ticker],CompanyDetailsList[Official Name],,0)</f>
        <v>#VALUE!</v>
      </c>
      <c r="E20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20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2059" s="17">
        <f>IFERROR(HistoricalStockProgress[[#This Row],[Cost of Shares]]/HistoricalStockProgress[[#This Row],[No. of Shares]],0)</f>
        <v>224.7272684493652</v>
      </c>
      <c r="H2059" s="16" vm="2514">
        <v>313.54000000000002</v>
      </c>
      <c r="I2059" s="16">
        <f>IF(HistoricalStockProgress[[#This Row],[No. of Shares]]&lt;&gt;0,HistoricalStockProgress[[#This Row],[Price of Shares]]*HistoricalStockProgress[[#This Row],[No. of Shares]],0)</f>
        <v>29786.300000000003</v>
      </c>
      <c r="J2059" s="16">
        <f>IF(HistoricalStockProgress[[#This Row],[No. of Shares]]&lt;&gt;0,HistoricalStockProgress[[#This Row],[Price of Shares]]-HistoricalStockProgress[[#This Row],[Cost of Shares]]/HistoricalStockProgress[[#This Row],[No. of Shares]],0)</f>
        <v>88.812731550634822</v>
      </c>
      <c r="K2059" s="17">
        <f>IF(HistoricalStockProgress[[#This Row],[Total Price of Shares]]&lt;&gt;0,HistoricalStockProgress[[#This Row],[Total Price of Shares]]-HistoricalStockProgress[[#This Row],[Cost of Shares]],0)</f>
        <v>8437.2094973103085</v>
      </c>
      <c r="L2059" s="34" t="b" cm="1">
        <f t="array" ref="L2059">IFERROR(IF(HistoricalStockProgress[[#This Row],[Price of Shares]]="",_xlfn.STOCKHISTORY(HistoricalStockProgress[[#This Row],[Full Company Name]],HistoricalStockProgress[[#This Row],[Date]],,2,0,1)),0)</f>
        <v>0</v>
      </c>
      <c r="M2059" s="34">
        <f>YEAR(HistoricalStockProgress[[#This Row],[Date]])</f>
        <v>2025</v>
      </c>
      <c r="N2059" s="34">
        <f>MONTH(HistoricalStockProgress[[#This Row],[Date]])</f>
        <v>8</v>
      </c>
    </row>
    <row r="2060" spans="2:14">
      <c r="B2060" s="15">
        <v>45900</v>
      </c>
      <c r="C2060" s="34" t="s">
        <v>22</v>
      </c>
      <c r="D2060" s="34" t="e" vm="10">
        <f>_xlfn.XLOOKUP(HistoricalStockProgress[[#This Row],[Company Ticker]],CompanyDetailsList[Company Ticker],CompanyDetailsList[Official Name],,0)</f>
        <v>#VALUE!</v>
      </c>
      <c r="E20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20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2060" s="17">
        <f>IFERROR(HistoricalStockProgress[[#This Row],[Cost of Shares]]/HistoricalStockProgress[[#This Row],[No. of Shares]],0)</f>
        <v>130.19784136724968</v>
      </c>
      <c r="H2060" s="16" vm="2515">
        <v>419.04</v>
      </c>
      <c r="I2060" s="16">
        <f>IF(HistoricalStockProgress[[#This Row],[No. of Shares]]&lt;&gt;0,HistoricalStockProgress[[#This Row],[Price of Shares]]*HistoricalStockProgress[[#This Row],[No. of Shares]],0)</f>
        <v>49865.760000000002</v>
      </c>
      <c r="J2060" s="16">
        <f>IF(HistoricalStockProgress[[#This Row],[No. of Shares]]&lt;&gt;0,HistoricalStockProgress[[#This Row],[Price of Shares]]-HistoricalStockProgress[[#This Row],[Cost of Shares]]/HistoricalStockProgress[[#This Row],[No. of Shares]],0)</f>
        <v>288.84215863275034</v>
      </c>
      <c r="K2060" s="17">
        <f>IF(HistoricalStockProgress[[#This Row],[Total Price of Shares]]&lt;&gt;0,HistoricalStockProgress[[#This Row],[Total Price of Shares]]-HistoricalStockProgress[[#This Row],[Cost of Shares]],0)</f>
        <v>34372.216877297287</v>
      </c>
      <c r="L2060" s="34" t="b" cm="1">
        <f t="array" ref="L2060">IFERROR(IF(HistoricalStockProgress[[#This Row],[Price of Shares]]="",_xlfn.STOCKHISTORY(HistoricalStockProgress[[#This Row],[Full Company Name]],HistoricalStockProgress[[#This Row],[Date]],,2,0,1)),0)</f>
        <v>0</v>
      </c>
      <c r="M2060" s="34">
        <f>YEAR(HistoricalStockProgress[[#This Row],[Date]])</f>
        <v>2025</v>
      </c>
      <c r="N2060" s="34">
        <f>MONTH(HistoricalStockProgress[[#This Row],[Date]])</f>
        <v>8</v>
      </c>
    </row>
    <row r="2061" spans="2:14">
      <c r="B2061" s="15">
        <v>45900</v>
      </c>
      <c r="C2061" s="34" t="s">
        <v>91</v>
      </c>
      <c r="D2061" s="34" t="e" vm="11">
        <f>_xlfn.XLOOKUP(HistoricalStockProgress[[#This Row],[Company Ticker]],CompanyDetailsList[Company Ticker],CompanyDetailsList[Official Name],,0)</f>
        <v>#VALUE!</v>
      </c>
      <c r="E20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212</v>
      </c>
      <c r="F20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38915.142004695437</v>
      </c>
      <c r="G2061" s="17">
        <f>IFERROR(HistoricalStockProgress[[#This Row],[Cost of Shares]]/HistoricalStockProgress[[#This Row],[No. of Shares]],0)</f>
        <v>183.56199058818603</v>
      </c>
      <c r="H2061" s="16" vm="2516">
        <v>506.69</v>
      </c>
      <c r="I2061" s="16">
        <f>IF(HistoricalStockProgress[[#This Row],[No. of Shares]]&lt;&gt;0,HistoricalStockProgress[[#This Row],[Price of Shares]]*HistoricalStockProgress[[#This Row],[No. of Shares]],0)</f>
        <v>107418.28</v>
      </c>
      <c r="J2061" s="16">
        <f>IF(HistoricalStockProgress[[#This Row],[No. of Shares]]&lt;&gt;0,HistoricalStockProgress[[#This Row],[Price of Shares]]-HistoricalStockProgress[[#This Row],[Cost of Shares]]/HistoricalStockProgress[[#This Row],[No. of Shares]],0)</f>
        <v>323.12800941181399</v>
      </c>
      <c r="K2061" s="17">
        <f>IF(HistoricalStockProgress[[#This Row],[Total Price of Shares]]&lt;&gt;0,HistoricalStockProgress[[#This Row],[Total Price of Shares]]-HistoricalStockProgress[[#This Row],[Cost of Shares]],0)</f>
        <v>68503.137995304569</v>
      </c>
      <c r="L2061" s="34" t="b" cm="1">
        <f t="array" ref="L2061">IFERROR(IF(HistoricalStockProgress[[#This Row],[Price of Shares]]="",_xlfn.STOCKHISTORY(HistoricalStockProgress[[#This Row],[Full Company Name]],HistoricalStockProgress[[#This Row],[Date]],,2,0,1)),0)</f>
        <v>0</v>
      </c>
      <c r="M2061" s="34">
        <f>YEAR(HistoricalStockProgress[[#This Row],[Date]])</f>
        <v>2025</v>
      </c>
      <c r="N2061" s="34">
        <f>MONTH(HistoricalStockProgress[[#This Row],[Date]])</f>
        <v>8</v>
      </c>
    </row>
    <row r="2062" spans="2:14">
      <c r="B2062" s="15">
        <v>45900</v>
      </c>
      <c r="C2062" s="34" t="s">
        <v>16</v>
      </c>
      <c r="D2062" s="34" t="e" vm="12">
        <f>_xlfn.XLOOKUP(HistoricalStockProgress[[#This Row],[Company Ticker]],CompanyDetailsList[Company Ticker],CompanyDetailsList[Official Name],,0)</f>
        <v>#VALUE!</v>
      </c>
      <c r="E20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20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2062" s="17">
        <f>IFERROR(HistoricalStockProgress[[#This Row],[Cost of Shares]]/HistoricalStockProgress[[#This Row],[No. of Shares]],0)</f>
        <v>75.117698177311837</v>
      </c>
      <c r="H2062" s="16" vm="2517">
        <v>114.29</v>
      </c>
      <c r="I2062" s="16">
        <f>IF(HistoricalStockProgress[[#This Row],[No. of Shares]]&lt;&gt;0,HistoricalStockProgress[[#This Row],[Price of Shares]]*HistoricalStockProgress[[#This Row],[No. of Shares]],0)</f>
        <v>21143.65</v>
      </c>
      <c r="J2062" s="16">
        <f>IF(HistoricalStockProgress[[#This Row],[No. of Shares]]&lt;&gt;0,HistoricalStockProgress[[#This Row],[Price of Shares]]-HistoricalStockProgress[[#This Row],[Cost of Shares]]/HistoricalStockProgress[[#This Row],[No. of Shares]],0)</f>
        <v>39.172301822688169</v>
      </c>
      <c r="K2062" s="17">
        <f>IF(HistoricalStockProgress[[#This Row],[Total Price of Shares]]&lt;&gt;0,HistoricalStockProgress[[#This Row],[Total Price of Shares]]-HistoricalStockProgress[[#This Row],[Cost of Shares]],0)</f>
        <v>7246.8758371973126</v>
      </c>
      <c r="L2062" s="34" t="b" cm="1">
        <f t="array" ref="L2062">IFERROR(IF(HistoricalStockProgress[[#This Row],[Price of Shares]]="",_xlfn.STOCKHISTORY(HistoricalStockProgress[[#This Row],[Full Company Name]],HistoricalStockProgress[[#This Row],[Date]],,2,0,1)),0)</f>
        <v>0</v>
      </c>
      <c r="M2062" s="34">
        <f>YEAR(HistoricalStockProgress[[#This Row],[Date]])</f>
        <v>2025</v>
      </c>
      <c r="N2062" s="34">
        <f>MONTH(HistoricalStockProgress[[#This Row],[Date]])</f>
        <v>8</v>
      </c>
    </row>
    <row r="2063" spans="2:14">
      <c r="B2063" s="15">
        <v>45900</v>
      </c>
      <c r="C2063" s="34" t="s">
        <v>95</v>
      </c>
      <c r="D2063" s="34" t="e" vm="13">
        <f>_xlfn.XLOOKUP(HistoricalStockProgress[[#This Row],[Company Ticker]],CompanyDetailsList[Company Ticker],CompanyDetailsList[Official Name],,0)</f>
        <v>#VALUE!</v>
      </c>
      <c r="E20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172</v>
      </c>
      <c r="F20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47379.162890220832</v>
      </c>
      <c r="G2063" s="17">
        <f>IFERROR(HistoricalStockProgress[[#This Row],[Cost of Shares]]/HistoricalStockProgress[[#This Row],[No. of Shares]],0)</f>
        <v>275.46024936174905</v>
      </c>
      <c r="H2063" s="16" vm="2518">
        <v>406.77</v>
      </c>
      <c r="I2063" s="16">
        <f>IF(HistoricalStockProgress[[#This Row],[No. of Shares]]&lt;&gt;0,HistoricalStockProgress[[#This Row],[Price of Shares]]*HistoricalStockProgress[[#This Row],[No. of Shares]],0)</f>
        <v>69964.44</v>
      </c>
      <c r="J2063" s="16">
        <f>IF(HistoricalStockProgress[[#This Row],[No. of Shares]]&lt;&gt;0,HistoricalStockProgress[[#This Row],[Price of Shares]]-HistoricalStockProgress[[#This Row],[Cost of Shares]]/HistoricalStockProgress[[#This Row],[No. of Shares]],0)</f>
        <v>131.30975063825093</v>
      </c>
      <c r="K2063" s="17">
        <f>IF(HistoricalStockProgress[[#This Row],[Total Price of Shares]]&lt;&gt;0,HistoricalStockProgress[[#This Row],[Total Price of Shares]]-HistoricalStockProgress[[#This Row],[Cost of Shares]],0)</f>
        <v>22585.27710977917</v>
      </c>
      <c r="L2063" s="34" t="b" cm="1">
        <f t="array" ref="L2063">IFERROR(IF(HistoricalStockProgress[[#This Row],[Price of Shares]]="",_xlfn.STOCKHISTORY(HistoricalStockProgress[[#This Row],[Full Company Name]],HistoricalStockProgress[[#This Row],[Date]],,2,0,1)),0)</f>
        <v>0</v>
      </c>
      <c r="M2063" s="34">
        <f>YEAR(HistoricalStockProgress[[#This Row],[Date]])</f>
        <v>2025</v>
      </c>
      <c r="N2063" s="34">
        <f>MONTH(HistoricalStockProgress[[#This Row],[Date]])</f>
        <v>8</v>
      </c>
    </row>
    <row r="2064" spans="2:14">
      <c r="B2064" s="15">
        <v>45900</v>
      </c>
      <c r="C2064" s="34" t="s">
        <v>17</v>
      </c>
      <c r="D2064" s="34" t="e" vm="14">
        <f>_xlfn.XLOOKUP(HistoricalStockProgress[[#This Row],[Company Ticker]],CompanyDetailsList[Company Ticker],CompanyDetailsList[Official Name],,0)</f>
        <v>#VALUE!</v>
      </c>
      <c r="E20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20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2064" s="17">
        <f>IFERROR(HistoricalStockProgress[[#This Row],[Cost of Shares]]/HistoricalStockProgress[[#This Row],[No. of Shares]],0)</f>
        <v>143.37791217450521</v>
      </c>
      <c r="H2064" s="16" vm="2519">
        <v>243.49</v>
      </c>
      <c r="I2064" s="16">
        <f>IF(HistoricalStockProgress[[#This Row],[No. of Shares]]&lt;&gt;0,HistoricalStockProgress[[#This Row],[Price of Shares]]*HistoricalStockProgress[[#This Row],[No. of Shares]],0)</f>
        <v>56246.19</v>
      </c>
      <c r="J2064" s="16">
        <f>IF(HistoricalStockProgress[[#This Row],[No. of Shares]]&lt;&gt;0,HistoricalStockProgress[[#This Row],[Price of Shares]]-HistoricalStockProgress[[#This Row],[Cost of Shares]]/HistoricalStockProgress[[#This Row],[No. of Shares]],0)</f>
        <v>100.1120878254948</v>
      </c>
      <c r="K2064" s="17">
        <f>IF(HistoricalStockProgress[[#This Row],[Total Price of Shares]]&lt;&gt;0,HistoricalStockProgress[[#This Row],[Total Price of Shares]]-HistoricalStockProgress[[#This Row],[Cost of Shares]],0)</f>
        <v>23125.892287689298</v>
      </c>
      <c r="L2064" s="34" t="b" cm="1">
        <f t="array" ref="L2064">IFERROR(IF(HistoricalStockProgress[[#This Row],[Price of Shares]]="",_xlfn.STOCKHISTORY(HistoricalStockProgress[[#This Row],[Full Company Name]],HistoricalStockProgress[[#This Row],[Date]],,2,0,1)),0)</f>
        <v>0</v>
      </c>
      <c r="M2064" s="34">
        <f>YEAR(HistoricalStockProgress[[#This Row],[Date]])</f>
        <v>2025</v>
      </c>
      <c r="N2064" s="34">
        <f>MONTH(HistoricalStockProgress[[#This Row],[Date]])</f>
        <v>8</v>
      </c>
    </row>
    <row r="2065" spans="2:14">
      <c r="B2065" s="15">
        <v>45900</v>
      </c>
      <c r="C2065" s="34" t="s">
        <v>98</v>
      </c>
      <c r="D2065" s="34" t="e" vm="15">
        <f>_xlfn.XLOOKUP(HistoricalStockProgress[[#This Row],[Company Ticker]],CompanyDetailsList[Company Ticker],CompanyDetailsList[Official Name],,0)</f>
        <v>#VALUE!</v>
      </c>
      <c r="E20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193</v>
      </c>
      <c r="F20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11397.772474019517</v>
      </c>
      <c r="G2065" s="17">
        <f>IFERROR(HistoricalStockProgress[[#This Row],[Cost of Shares]]/HistoricalStockProgress[[#This Row],[No. of Shares]],0)</f>
        <v>59.055815927562264</v>
      </c>
      <c r="H2065" s="16" vm="2520">
        <v>72.05</v>
      </c>
      <c r="I2065" s="16">
        <f>IF(HistoricalStockProgress[[#This Row],[No. of Shares]]&lt;&gt;0,HistoricalStockProgress[[#This Row],[Price of Shares]]*HistoricalStockProgress[[#This Row],[No. of Shares]],0)</f>
        <v>13905.65</v>
      </c>
      <c r="J2065" s="16">
        <f>IF(HistoricalStockProgress[[#This Row],[No. of Shares]]&lt;&gt;0,HistoricalStockProgress[[#This Row],[Price of Shares]]-HistoricalStockProgress[[#This Row],[Cost of Shares]]/HistoricalStockProgress[[#This Row],[No. of Shares]],0)</f>
        <v>12.994184072437733</v>
      </c>
      <c r="K2065" s="17">
        <f>IF(HistoricalStockProgress[[#This Row],[Total Price of Shares]]&lt;&gt;0,HistoricalStockProgress[[#This Row],[Total Price of Shares]]-HistoricalStockProgress[[#This Row],[Cost of Shares]],0)</f>
        <v>2507.8775259804825</v>
      </c>
      <c r="L2065" s="34" t="b" cm="1">
        <f t="array" ref="L2065">IFERROR(IF(HistoricalStockProgress[[#This Row],[Price of Shares]]="",_xlfn.STOCKHISTORY(HistoricalStockProgress[[#This Row],[Full Company Name]],HistoricalStockProgress[[#This Row],[Date]],,2,0,1)),0)</f>
        <v>0</v>
      </c>
      <c r="M2065" s="34">
        <f>YEAR(HistoricalStockProgress[[#This Row],[Date]])</f>
        <v>2025</v>
      </c>
      <c r="N2065" s="34">
        <f>MONTH(HistoricalStockProgress[[#This Row],[Date]])</f>
        <v>8</v>
      </c>
    </row>
    <row r="2066" spans="2:14">
      <c r="B2066" s="15">
        <v>45900</v>
      </c>
      <c r="C2066" s="34" t="s">
        <v>100</v>
      </c>
      <c r="D2066" s="34" t="e" vm="16">
        <f>_xlfn.XLOOKUP(HistoricalStockProgress[[#This Row],[Company Ticker]],CompanyDetailsList[Company Ticker],CompanyDetailsList[Official Name],,0)</f>
        <v>#VALUE!</v>
      </c>
      <c r="E20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20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2066" s="17">
        <f>IFERROR(HistoricalStockProgress[[#This Row],[Cost of Shares]]/HistoricalStockProgress[[#This Row],[No. of Shares]],0)</f>
        <v>92.156351168716071</v>
      </c>
      <c r="H2066" s="16" vm="490">
        <v>122.49</v>
      </c>
      <c r="I2066" s="16">
        <f>IF(HistoricalStockProgress[[#This Row],[No. of Shares]]&lt;&gt;0,HistoricalStockProgress[[#This Row],[Price of Shares]]*HistoricalStockProgress[[#This Row],[No. of Shares]],0)</f>
        <v>30622.5</v>
      </c>
      <c r="J2066" s="16">
        <f>IF(HistoricalStockProgress[[#This Row],[No. of Shares]]&lt;&gt;0,HistoricalStockProgress[[#This Row],[Price of Shares]]-HistoricalStockProgress[[#This Row],[Cost of Shares]]/HistoricalStockProgress[[#This Row],[No. of Shares]],0)</f>
        <v>30.333648831283924</v>
      </c>
      <c r="K2066" s="17">
        <f>IF(HistoricalStockProgress[[#This Row],[Total Price of Shares]]&lt;&gt;0,HistoricalStockProgress[[#This Row],[Total Price of Shares]]-HistoricalStockProgress[[#This Row],[Cost of Shares]],0)</f>
        <v>7583.4122078209839</v>
      </c>
      <c r="L2066" s="34" t="b" cm="1">
        <f t="array" ref="L2066">IFERROR(IF(HistoricalStockProgress[[#This Row],[Price of Shares]]="",_xlfn.STOCKHISTORY(HistoricalStockProgress[[#This Row],[Full Company Name]],HistoricalStockProgress[[#This Row],[Date]],,2,0,1)),0)</f>
        <v>0</v>
      </c>
      <c r="M2066" s="34">
        <f>YEAR(HistoricalStockProgress[[#This Row],[Date]])</f>
        <v>2025</v>
      </c>
      <c r="N2066" s="34">
        <f>MONTH(HistoricalStockProgress[[#This Row],[Date]])</f>
        <v>8</v>
      </c>
    </row>
    <row r="2067" spans="2:14">
      <c r="B2067" s="15">
        <v>45900</v>
      </c>
      <c r="C2067" s="34" t="s">
        <v>15</v>
      </c>
      <c r="D2067" s="34" t="e" vm="17">
        <f>_xlfn.XLOOKUP(HistoricalStockProgress[[#This Row],[Company Ticker]],CompanyDetailsList[Company Ticker],CompanyDetailsList[Official Name],,0)</f>
        <v>#VALUE!</v>
      </c>
      <c r="E20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20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3628.1478386140398</v>
      </c>
      <c r="G2067" s="17">
        <f>IFERROR(HistoricalStockProgress[[#This Row],[Cost of Shares]]/HistoricalStockProgress[[#This Row],[No. of Shares]],0)</f>
        <v>24.85032766174</v>
      </c>
      <c r="H2067" s="16" vm="2521">
        <v>29.29</v>
      </c>
      <c r="I2067" s="16">
        <f>IF(HistoricalStockProgress[[#This Row],[No. of Shares]]&lt;&gt;0,HistoricalStockProgress[[#This Row],[Price of Shares]]*HistoricalStockProgress[[#This Row],[No. of Shares]],0)</f>
        <v>4276.34</v>
      </c>
      <c r="J2067" s="16">
        <f>IF(HistoricalStockProgress[[#This Row],[No. of Shares]]&lt;&gt;0,HistoricalStockProgress[[#This Row],[Price of Shares]]-HistoricalStockProgress[[#This Row],[Cost of Shares]]/HistoricalStockProgress[[#This Row],[No. of Shares]],0)</f>
        <v>4.4396723382599994</v>
      </c>
      <c r="K2067" s="17">
        <f>IF(HistoricalStockProgress[[#This Row],[Total Price of Shares]]&lt;&gt;0,HistoricalStockProgress[[#This Row],[Total Price of Shares]]-HistoricalStockProgress[[#This Row],[Cost of Shares]],0)</f>
        <v>648.19216138596039</v>
      </c>
      <c r="L2067" s="34" t="b" cm="1">
        <f t="array" ref="L2067">IFERROR(IF(HistoricalStockProgress[[#This Row],[Price of Shares]]="",_xlfn.STOCKHISTORY(HistoricalStockProgress[[#This Row],[Full Company Name]],HistoricalStockProgress[[#This Row],[Date]],,2,0,1)),0)</f>
        <v>0</v>
      </c>
      <c r="M2067" s="34">
        <f>YEAR(HistoricalStockProgress[[#This Row],[Date]])</f>
        <v>2025</v>
      </c>
      <c r="N2067" s="34">
        <f>MONTH(HistoricalStockProgress[[#This Row],[Date]])</f>
        <v>8</v>
      </c>
    </row>
    <row r="2068" spans="2:14">
      <c r="B2068" s="15">
        <v>45900</v>
      </c>
      <c r="C2068" s="34" t="s">
        <v>13</v>
      </c>
      <c r="D2068" s="34" t="e" vm="18">
        <f>_xlfn.XLOOKUP(HistoricalStockProgress[[#This Row],[Company Ticker]],CompanyDetailsList[Company Ticker],CompanyDetailsList[Official Name],,0)</f>
        <v>#VALUE!</v>
      </c>
      <c r="E20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115</v>
      </c>
      <c r="F20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3682.4466352500076</v>
      </c>
      <c r="G2068" s="17">
        <f>IFERROR(HistoricalStockProgress[[#This Row],[Cost of Shares]]/HistoricalStockProgress[[#This Row],[No. of Shares]],0)</f>
        <v>32.021275089130498</v>
      </c>
      <c r="H2068" s="16" vm="2522">
        <v>24.76</v>
      </c>
      <c r="I2068" s="16">
        <f>IF(HistoricalStockProgress[[#This Row],[No. of Shares]]&lt;&gt;0,HistoricalStockProgress[[#This Row],[Price of Shares]]*HistoricalStockProgress[[#This Row],[No. of Shares]],0)</f>
        <v>2847.4</v>
      </c>
      <c r="J2068" s="16">
        <f>IF(HistoricalStockProgress[[#This Row],[No. of Shares]]&lt;&gt;0,HistoricalStockProgress[[#This Row],[Price of Shares]]-HistoricalStockProgress[[#This Row],[Cost of Shares]]/HistoricalStockProgress[[#This Row],[No. of Shares]],0)</f>
        <v>-7.2612750891304962</v>
      </c>
      <c r="K2068" s="17">
        <f>IF(HistoricalStockProgress[[#This Row],[Total Price of Shares]]&lt;&gt;0,HistoricalStockProgress[[#This Row],[Total Price of Shares]]-HistoricalStockProgress[[#This Row],[Cost of Shares]],0)</f>
        <v>-835.04663525000751</v>
      </c>
      <c r="L2068" s="34" t="b" cm="1">
        <f t="array" ref="L2068">IFERROR(IF(HistoricalStockProgress[[#This Row],[Price of Shares]]="",_xlfn.STOCKHISTORY(HistoricalStockProgress[[#This Row],[Full Company Name]],HistoricalStockProgress[[#This Row],[Date]],,2,0,1)),0)</f>
        <v>0</v>
      </c>
      <c r="M2068" s="34">
        <f>YEAR(HistoricalStockProgress[[#This Row],[Date]])</f>
        <v>2025</v>
      </c>
      <c r="N2068" s="34">
        <f>MONTH(HistoricalStockProgress[[#This Row],[Date]])</f>
        <v>8</v>
      </c>
    </row>
    <row r="2069" spans="2:14">
      <c r="B2069" s="15">
        <v>45900</v>
      </c>
      <c r="C2069" s="34" t="s">
        <v>20</v>
      </c>
      <c r="D2069" s="34" t="e" vm="19">
        <f>_xlfn.XLOOKUP(HistoricalStockProgress[[#This Row],[Company Ticker]],CompanyDetailsList[Company Ticker],CompanyDetailsList[Official Name],,0)</f>
        <v>#VALUE!</v>
      </c>
      <c r="E20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20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2069" s="17">
        <f>IFERROR(HistoricalStockProgress[[#This Row],[Cost of Shares]]/HistoricalStockProgress[[#This Row],[No. of Shares]],0)</f>
        <v>108.1760767450256</v>
      </c>
      <c r="H2069" s="16" vm="2523">
        <v>301.42</v>
      </c>
      <c r="I2069" s="16">
        <f>IF(HistoricalStockProgress[[#This Row],[No. of Shares]]&lt;&gt;0,HistoricalStockProgress[[#This Row],[Price of Shares]]*HistoricalStockProgress[[#This Row],[No. of Shares]],0)</f>
        <v>34964.720000000001</v>
      </c>
      <c r="J2069" s="16">
        <f>IF(HistoricalStockProgress[[#This Row],[No. of Shares]]&lt;&gt;0,HistoricalStockProgress[[#This Row],[Price of Shares]]-HistoricalStockProgress[[#This Row],[Cost of Shares]]/HistoricalStockProgress[[#This Row],[No. of Shares]],0)</f>
        <v>193.24392325497442</v>
      </c>
      <c r="K2069" s="17">
        <f>IF(HistoricalStockProgress[[#This Row],[Total Price of Shares]]&lt;&gt;0,HistoricalStockProgress[[#This Row],[Total Price of Shares]]-HistoricalStockProgress[[#This Row],[Cost of Shares]],0)</f>
        <v>22416.295097577033</v>
      </c>
      <c r="L2069" s="34" t="b" cm="1">
        <f t="array" ref="L2069">IFERROR(IF(HistoricalStockProgress[[#This Row],[Price of Shares]]="",_xlfn.STOCKHISTORY(HistoricalStockProgress[[#This Row],[Full Company Name]],HistoricalStockProgress[[#This Row],[Date]],,2,0,1)),0)</f>
        <v>0</v>
      </c>
      <c r="M2069" s="34">
        <f>YEAR(HistoricalStockProgress[[#This Row],[Date]])</f>
        <v>2025</v>
      </c>
      <c r="N2069" s="34">
        <f>MONTH(HistoricalStockProgress[[#This Row],[Date]])</f>
        <v>8</v>
      </c>
    </row>
    <row r="2070" spans="2:14">
      <c r="B2070" s="15">
        <v>45900</v>
      </c>
      <c r="C2070" s="34" t="s">
        <v>106</v>
      </c>
      <c r="D2070" s="34" t="e" vm="20">
        <f>_xlfn.XLOOKUP(HistoricalStockProgress[[#This Row],[Company Ticker]],CompanyDetailsList[Company Ticker],CompanyDetailsList[Official Name],,0)</f>
        <v>#VALUE!</v>
      </c>
      <c r="E20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20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2070" s="17">
        <f>IFERROR(HistoricalStockProgress[[#This Row],[Cost of Shares]]/HistoricalStockProgress[[#This Row],[No. of Shares]],0)</f>
        <v>108.54870748680406</v>
      </c>
      <c r="H2070" s="16" vm="2524">
        <v>111.23</v>
      </c>
      <c r="I2070" s="16">
        <f>IF(HistoricalStockProgress[[#This Row],[No. of Shares]]&lt;&gt;0,HistoricalStockProgress[[#This Row],[Price of Shares]]*HistoricalStockProgress[[#This Row],[No. of Shares]],0)</f>
        <v>9788.24</v>
      </c>
      <c r="J2070" s="16">
        <f>IF(HistoricalStockProgress[[#This Row],[No. of Shares]]&lt;&gt;0,HistoricalStockProgress[[#This Row],[Price of Shares]]-HistoricalStockProgress[[#This Row],[Cost of Shares]]/HistoricalStockProgress[[#This Row],[No. of Shares]],0)</f>
        <v>2.6812925131959418</v>
      </c>
      <c r="K2070" s="17">
        <f>IF(HistoricalStockProgress[[#This Row],[Total Price of Shares]]&lt;&gt;0,HistoricalStockProgress[[#This Row],[Total Price of Shares]]-HistoricalStockProgress[[#This Row],[Cost of Shares]],0)</f>
        <v>235.95374116124185</v>
      </c>
      <c r="L2070" s="34" t="b" cm="1">
        <f t="array" ref="L2070">IFERROR(IF(HistoricalStockProgress[[#This Row],[Price of Shares]]="",_xlfn.STOCKHISTORY(HistoricalStockProgress[[#This Row],[Full Company Name]],HistoricalStockProgress[[#This Row],[Date]],,2,0,1)),0)</f>
        <v>0</v>
      </c>
      <c r="M2070" s="34">
        <f>YEAR(HistoricalStockProgress[[#This Row],[Date]])</f>
        <v>2025</v>
      </c>
      <c r="N2070" s="34">
        <f>MONTH(HistoricalStockProgress[[#This Row],[Date]])</f>
        <v>8</v>
      </c>
    </row>
    <row r="2071" spans="2:14">
      <c r="B2071" s="15">
        <v>45930</v>
      </c>
      <c r="C2071" s="34" t="s">
        <v>12</v>
      </c>
      <c r="D2071" s="34" t="e" vm="1">
        <f>_xlfn.XLOOKUP(HistoricalStockProgress[[#This Row],[Company Ticker]],CompanyDetailsList[Company Ticker],CompanyDetailsList[Official Name],,0)</f>
        <v>#VALUE!</v>
      </c>
      <c r="E20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20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2071" s="17">
        <f>IFERROR(HistoricalStockProgress[[#This Row],[Cost of Shares]]/HistoricalStockProgress[[#This Row],[No. of Shares]],0)</f>
        <v>64.573985995316889</v>
      </c>
      <c r="H2071" s="16" vm="2525">
        <v>60.79</v>
      </c>
      <c r="I2071" s="16">
        <f>IF(HistoricalStockProgress[[#This Row],[No. of Shares]]&lt;&gt;0,HistoricalStockProgress[[#This Row],[Price of Shares]]*HistoricalStockProgress[[#This Row],[No. of Shares]],0)</f>
        <v>5896.63</v>
      </c>
      <c r="J2071" s="16">
        <f>IF(HistoricalStockProgress[[#This Row],[No. of Shares]]&lt;&gt;0,HistoricalStockProgress[[#This Row],[Price of Shares]]-HistoricalStockProgress[[#This Row],[Cost of Shares]]/HistoricalStockProgress[[#This Row],[No. of Shares]],0)</f>
        <v>-3.7839859953168897</v>
      </c>
      <c r="K2071" s="17">
        <f>IF(HistoricalStockProgress[[#This Row],[Total Price of Shares]]&lt;&gt;0,HistoricalStockProgress[[#This Row],[Total Price of Shares]]-HistoricalStockProgress[[#This Row],[Cost of Shares]],0)</f>
        <v>-367.04664154573766</v>
      </c>
      <c r="L2071" s="34" t="b" cm="1">
        <f t="array" ref="L2071">IFERROR(IF(HistoricalStockProgress[[#This Row],[Price of Shares]]="",_xlfn.STOCKHISTORY(HistoricalStockProgress[[#This Row],[Full Company Name]],HistoricalStockProgress[[#This Row],[Date]],,2,0,1)),0)</f>
        <v>0</v>
      </c>
      <c r="M2071" s="34">
        <f>YEAR(HistoricalStockProgress[[#This Row],[Date]])</f>
        <v>2025</v>
      </c>
      <c r="N2071" s="34">
        <f>MONTH(HistoricalStockProgress[[#This Row],[Date]])</f>
        <v>9</v>
      </c>
    </row>
    <row r="2072" spans="2:14">
      <c r="B2072" s="15">
        <v>45930</v>
      </c>
      <c r="C2072" s="34" t="s">
        <v>14</v>
      </c>
      <c r="D2072" s="34" t="e" vm="2">
        <f>_xlfn.XLOOKUP(HistoricalStockProgress[[#This Row],[Company Ticker]],CompanyDetailsList[Company Ticker],CompanyDetailsList[Official Name],,0)</f>
        <v>#VALUE!</v>
      </c>
      <c r="E20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20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2072" s="17">
        <f>IFERROR(HistoricalStockProgress[[#This Row],[Cost of Shares]]/HistoricalStockProgress[[#This Row],[No. of Shares]],0)</f>
        <v>26.819337355148658</v>
      </c>
      <c r="H2072" s="16" vm="2526">
        <v>28.25</v>
      </c>
      <c r="I2072" s="16">
        <f>IF(HistoricalStockProgress[[#This Row],[No. of Shares]]&lt;&gt;0,HistoricalStockProgress[[#This Row],[Price of Shares]]*HistoricalStockProgress[[#This Row],[No. of Shares]],0)</f>
        <v>1779.75</v>
      </c>
      <c r="J2072" s="16">
        <f>IF(HistoricalStockProgress[[#This Row],[No. of Shares]]&lt;&gt;0,HistoricalStockProgress[[#This Row],[Price of Shares]]-HistoricalStockProgress[[#This Row],[Cost of Shares]]/HistoricalStockProgress[[#This Row],[No. of Shares]],0)</f>
        <v>1.430662644851342</v>
      </c>
      <c r="K2072" s="17">
        <f>IF(HistoricalStockProgress[[#This Row],[Total Price of Shares]]&lt;&gt;0,HistoricalStockProgress[[#This Row],[Total Price of Shares]]-HistoricalStockProgress[[#This Row],[Cost of Shares]],0)</f>
        <v>90.131746625634605</v>
      </c>
      <c r="L2072" s="34" t="b" cm="1">
        <f t="array" ref="L2072">IFERROR(IF(HistoricalStockProgress[[#This Row],[Price of Shares]]="",_xlfn.STOCKHISTORY(HistoricalStockProgress[[#This Row],[Full Company Name]],HistoricalStockProgress[[#This Row],[Date]],,2,0,1)),0)</f>
        <v>0</v>
      </c>
      <c r="M2072" s="34">
        <f>YEAR(HistoricalStockProgress[[#This Row],[Date]])</f>
        <v>2025</v>
      </c>
      <c r="N2072" s="34">
        <f>MONTH(HistoricalStockProgress[[#This Row],[Date]])</f>
        <v>9</v>
      </c>
    </row>
    <row r="2073" spans="2:14">
      <c r="B2073" s="15">
        <v>45930</v>
      </c>
      <c r="C2073" s="34" t="s">
        <v>19</v>
      </c>
      <c r="D2073" s="34" t="e" vm="3">
        <f>_xlfn.XLOOKUP(HistoricalStockProgress[[#This Row],[Company Ticker]],CompanyDetailsList[Company Ticker],CompanyDetailsList[Official Name],,0)</f>
        <v>#VALUE!</v>
      </c>
      <c r="E20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20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2073" s="17">
        <f>IFERROR(HistoricalStockProgress[[#This Row],[Cost of Shares]]/HistoricalStockProgress[[#This Row],[No. of Shares]],0)</f>
        <v>160.12652821044301</v>
      </c>
      <c r="H2073" s="16" vm="2527">
        <v>123.3</v>
      </c>
      <c r="I2073" s="16">
        <f>IF(HistoricalStockProgress[[#This Row],[No. of Shares]]&lt;&gt;0,HistoricalStockProgress[[#This Row],[Price of Shares]]*HistoricalStockProgress[[#This Row],[No. of Shares]],0)</f>
        <v>10603.8</v>
      </c>
      <c r="J2073" s="16">
        <f>IF(HistoricalStockProgress[[#This Row],[No. of Shares]]&lt;&gt;0,HistoricalStockProgress[[#This Row],[Price of Shares]]-HistoricalStockProgress[[#This Row],[Cost of Shares]]/HistoricalStockProgress[[#This Row],[No. of Shares]],0)</f>
        <v>-36.826528210443016</v>
      </c>
      <c r="K2073" s="17">
        <f>IF(HistoricalStockProgress[[#This Row],[Total Price of Shares]]&lt;&gt;0,HistoricalStockProgress[[#This Row],[Total Price of Shares]]-HistoricalStockProgress[[#This Row],[Cost of Shares]],0)</f>
        <v>-3167.0814260980987</v>
      </c>
      <c r="L2073" s="34" t="b" cm="1">
        <f t="array" ref="L2073">IFERROR(IF(HistoricalStockProgress[[#This Row],[Price of Shares]]="",_xlfn.STOCKHISTORY(HistoricalStockProgress[[#This Row],[Full Company Name]],HistoricalStockProgress[[#This Row],[Date]],,2,0,1)),0)</f>
        <v>0</v>
      </c>
      <c r="M2073" s="34">
        <f>YEAR(HistoricalStockProgress[[#This Row],[Date]])</f>
        <v>2025</v>
      </c>
      <c r="N2073" s="34">
        <f>MONTH(HistoricalStockProgress[[#This Row],[Date]])</f>
        <v>9</v>
      </c>
    </row>
    <row r="2074" spans="2:14">
      <c r="B2074" s="15">
        <v>45930</v>
      </c>
      <c r="C2074" s="34" t="s">
        <v>23</v>
      </c>
      <c r="D2074" s="34" t="e" vm="4">
        <f>_xlfn.XLOOKUP(HistoricalStockProgress[[#This Row],[Company Ticker]],CompanyDetailsList[Company Ticker],CompanyDetailsList[Official Name],,0)</f>
        <v>#VALUE!</v>
      </c>
      <c r="E20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20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5636.7217732526415</v>
      </c>
      <c r="G2074" s="17">
        <f>IFERROR(HistoricalStockProgress[[#This Row],[Cost of Shares]]/HistoricalStockProgress[[#This Row],[No. of Shares]],0)</f>
        <v>50.781277236510284</v>
      </c>
      <c r="H2074" s="16" vm="2528">
        <v>66.319999999999993</v>
      </c>
      <c r="I2074" s="16">
        <f>IF(HistoricalStockProgress[[#This Row],[No. of Shares]]&lt;&gt;0,HistoricalStockProgress[[#This Row],[Price of Shares]]*HistoricalStockProgress[[#This Row],[No. of Shares]],0)</f>
        <v>7361.5199999999995</v>
      </c>
      <c r="J2074" s="16">
        <f>IF(HistoricalStockProgress[[#This Row],[No. of Shares]]&lt;&gt;0,HistoricalStockProgress[[#This Row],[Price of Shares]]-HistoricalStockProgress[[#This Row],[Cost of Shares]]/HistoricalStockProgress[[#This Row],[No. of Shares]],0)</f>
        <v>15.538722763489709</v>
      </c>
      <c r="K2074" s="17">
        <f>IF(HistoricalStockProgress[[#This Row],[Total Price of Shares]]&lt;&gt;0,HistoricalStockProgress[[#This Row],[Total Price of Shares]]-HistoricalStockProgress[[#This Row],[Cost of Shares]],0)</f>
        <v>1724.7982267473581</v>
      </c>
      <c r="L2074" s="34" t="b" cm="1">
        <f t="array" ref="L2074">IFERROR(IF(HistoricalStockProgress[[#This Row],[Price of Shares]]="",_xlfn.STOCKHISTORY(HistoricalStockProgress[[#This Row],[Full Company Name]],HistoricalStockProgress[[#This Row],[Date]],,2,0,1)),0)</f>
        <v>0</v>
      </c>
      <c r="M2074" s="34">
        <f>YEAR(HistoricalStockProgress[[#This Row],[Date]])</f>
        <v>2025</v>
      </c>
      <c r="N2074" s="34">
        <f>MONTH(HistoricalStockProgress[[#This Row],[Date]])</f>
        <v>9</v>
      </c>
    </row>
    <row r="2075" spans="2:14">
      <c r="B2075" s="15">
        <v>45930</v>
      </c>
      <c r="C2075" s="34" t="s">
        <v>18</v>
      </c>
      <c r="D2075" s="34" t="e" vm="5">
        <f>_xlfn.XLOOKUP(HistoricalStockProgress[[#This Row],[Company Ticker]],CompanyDetailsList[Company Ticker],CompanyDetailsList[Official Name],,0)</f>
        <v>#VALUE!</v>
      </c>
      <c r="E20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20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2075" s="17">
        <f>IFERROR(HistoricalStockProgress[[#This Row],[Cost of Shares]]/HistoricalStockProgress[[#This Row],[No. of Shares]],0)</f>
        <v>160.8859607546234</v>
      </c>
      <c r="H2075" s="16" vm="2529">
        <v>140.44</v>
      </c>
      <c r="I2075" s="16">
        <f>IF(HistoricalStockProgress[[#This Row],[No. of Shares]]&lt;&gt;0,HistoricalStockProgress[[#This Row],[Price of Shares]]*HistoricalStockProgress[[#This Row],[No. of Shares]],0)</f>
        <v>6038.92</v>
      </c>
      <c r="J2075" s="16">
        <f>IF(HistoricalStockProgress[[#This Row],[No. of Shares]]&lt;&gt;0,HistoricalStockProgress[[#This Row],[Price of Shares]]-HistoricalStockProgress[[#This Row],[Cost of Shares]]/HistoricalStockProgress[[#This Row],[No. of Shares]],0)</f>
        <v>-20.4459607546234</v>
      </c>
      <c r="K2075" s="17">
        <f>IF(HistoricalStockProgress[[#This Row],[Total Price of Shares]]&lt;&gt;0,HistoricalStockProgress[[#This Row],[Total Price of Shares]]-HistoricalStockProgress[[#This Row],[Cost of Shares]],0)</f>
        <v>-879.17631244880613</v>
      </c>
      <c r="L2075" s="34" t="b" cm="1">
        <f t="array" ref="L2075">IFERROR(IF(HistoricalStockProgress[[#This Row],[Price of Shares]]="",_xlfn.STOCKHISTORY(HistoricalStockProgress[[#This Row],[Full Company Name]],HistoricalStockProgress[[#This Row],[Date]],,2,0,1)),0)</f>
        <v>0</v>
      </c>
      <c r="M2075" s="34">
        <f>YEAR(HistoricalStockProgress[[#This Row],[Date]])</f>
        <v>2025</v>
      </c>
      <c r="N2075" s="34">
        <f>MONTH(HistoricalStockProgress[[#This Row],[Date]])</f>
        <v>9</v>
      </c>
    </row>
    <row r="2076" spans="2:14">
      <c r="B2076" s="15">
        <v>45930</v>
      </c>
      <c r="C2076" s="34" t="s">
        <v>21</v>
      </c>
      <c r="D2076" s="34" t="e" vm="6">
        <f>_xlfn.XLOOKUP(HistoricalStockProgress[[#This Row],[Company Ticker]],CompanyDetailsList[Company Ticker],CompanyDetailsList[Official Name],,0)</f>
        <v>#VALUE!</v>
      </c>
      <c r="E20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84</v>
      </c>
      <c r="F20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12738.215402497406</v>
      </c>
      <c r="G2076" s="17">
        <f>IFERROR(HistoricalStockProgress[[#This Row],[Cost of Shares]]/HistoricalStockProgress[[#This Row],[No. of Shares]],0)</f>
        <v>151.64542145830245</v>
      </c>
      <c r="H2076" s="16" vm="2530">
        <v>153.65</v>
      </c>
      <c r="I2076" s="16">
        <f>IF(HistoricalStockProgress[[#This Row],[No. of Shares]]&lt;&gt;0,HistoricalStockProgress[[#This Row],[Price of Shares]]*HistoricalStockProgress[[#This Row],[No. of Shares]],0)</f>
        <v>12906.6</v>
      </c>
      <c r="J2076" s="16">
        <f>IF(HistoricalStockProgress[[#This Row],[No. of Shares]]&lt;&gt;0,HistoricalStockProgress[[#This Row],[Price of Shares]]-HistoricalStockProgress[[#This Row],[Cost of Shares]]/HistoricalStockProgress[[#This Row],[No. of Shares]],0)</f>
        <v>2.0045785416975548</v>
      </c>
      <c r="K2076" s="17">
        <f>IF(HistoricalStockProgress[[#This Row],[Total Price of Shares]]&lt;&gt;0,HistoricalStockProgress[[#This Row],[Total Price of Shares]]-HistoricalStockProgress[[#This Row],[Cost of Shares]],0)</f>
        <v>168.38459750259426</v>
      </c>
      <c r="L2076" s="34" t="b" cm="1">
        <f t="array" ref="L2076">IFERROR(IF(HistoricalStockProgress[[#This Row],[Price of Shares]]="",_xlfn.STOCKHISTORY(HistoricalStockProgress[[#This Row],[Full Company Name]],HistoricalStockProgress[[#This Row],[Date]],,2,0,1)),0)</f>
        <v>0</v>
      </c>
      <c r="M2076" s="34">
        <f>YEAR(HistoricalStockProgress[[#This Row],[Date]])</f>
        <v>2025</v>
      </c>
      <c r="N2076" s="34">
        <f>MONTH(HistoricalStockProgress[[#This Row],[Date]])</f>
        <v>9</v>
      </c>
    </row>
    <row r="2077" spans="2:14">
      <c r="B2077" s="15">
        <v>45930</v>
      </c>
      <c r="C2077" s="34" t="s">
        <v>84</v>
      </c>
      <c r="D2077" s="34" t="e" vm="7">
        <f>_xlfn.XLOOKUP(HistoricalStockProgress[[#This Row],[Company Ticker]],CompanyDetailsList[Company Ticker],CompanyDetailsList[Official Name],,0)</f>
        <v>#VALUE!</v>
      </c>
      <c r="E20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46</v>
      </c>
      <c r="F20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4792.320252277399</v>
      </c>
      <c r="G2077" s="17">
        <f>IFERROR(HistoricalStockProgress[[#This Row],[Cost of Shares]]/HistoricalStockProgress[[#This Row],[No. of Shares]],0)</f>
        <v>104.18087504950867</v>
      </c>
      <c r="H2077" s="16" vm="2531">
        <v>185.42</v>
      </c>
      <c r="I2077" s="16">
        <f>IF(HistoricalStockProgress[[#This Row],[No. of Shares]]&lt;&gt;0,HistoricalStockProgress[[#This Row],[Price of Shares]]*HistoricalStockProgress[[#This Row],[No. of Shares]],0)</f>
        <v>8529.32</v>
      </c>
      <c r="J2077" s="16">
        <f>IF(HistoricalStockProgress[[#This Row],[No. of Shares]]&lt;&gt;0,HistoricalStockProgress[[#This Row],[Price of Shares]]-HistoricalStockProgress[[#This Row],[Cost of Shares]]/HistoricalStockProgress[[#This Row],[No. of Shares]],0)</f>
        <v>81.239124950491316</v>
      </c>
      <c r="K2077" s="17">
        <f>IF(HistoricalStockProgress[[#This Row],[Total Price of Shares]]&lt;&gt;0,HistoricalStockProgress[[#This Row],[Total Price of Shares]]-HistoricalStockProgress[[#This Row],[Cost of Shares]],0)</f>
        <v>3736.9997477226007</v>
      </c>
      <c r="L2077" s="34" t="b" cm="1">
        <f t="array" ref="L2077">IFERROR(IF(HistoricalStockProgress[[#This Row],[Price of Shares]]="",_xlfn.STOCKHISTORY(HistoricalStockProgress[[#This Row],[Full Company Name]],HistoricalStockProgress[[#This Row],[Date]],,2,0,1)),0)</f>
        <v>0</v>
      </c>
      <c r="M2077" s="34">
        <f>YEAR(HistoricalStockProgress[[#This Row],[Date]])</f>
        <v>2025</v>
      </c>
      <c r="N2077" s="34">
        <f>MONTH(HistoricalStockProgress[[#This Row],[Date]])</f>
        <v>9</v>
      </c>
    </row>
    <row r="2078" spans="2:14">
      <c r="B2078" s="15">
        <v>45930</v>
      </c>
      <c r="C2078" s="34" t="s">
        <v>86</v>
      </c>
      <c r="D2078" s="34" t="e" vm="8">
        <f>_xlfn.XLOOKUP(HistoricalStockProgress[[#This Row],[Company Ticker]],CompanyDetailsList[Company Ticker],CompanyDetailsList[Official Name],,0)</f>
        <v>#VALUE!</v>
      </c>
      <c r="E20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20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2078" s="17">
        <f>IFERROR(HistoricalStockProgress[[#This Row],[Cost of Shares]]/HistoricalStockProgress[[#This Row],[No. of Shares]],0)</f>
        <v>115.48970647877745</v>
      </c>
      <c r="H2078" s="16" vm="2532">
        <v>231.54</v>
      </c>
      <c r="I2078" s="16">
        <f>IF(HistoricalStockProgress[[#This Row],[No. of Shares]]&lt;&gt;0,HistoricalStockProgress[[#This Row],[Price of Shares]]*HistoricalStockProgress[[#This Row],[No. of Shares]],0)</f>
        <v>35194.080000000002</v>
      </c>
      <c r="J2078" s="16">
        <f>IF(HistoricalStockProgress[[#This Row],[No. of Shares]]&lt;&gt;0,HistoricalStockProgress[[#This Row],[Price of Shares]]-HistoricalStockProgress[[#This Row],[Cost of Shares]]/HistoricalStockProgress[[#This Row],[No. of Shares]],0)</f>
        <v>116.05029352122254</v>
      </c>
      <c r="K2078" s="17">
        <f>IF(HistoricalStockProgress[[#This Row],[Total Price of Shares]]&lt;&gt;0,HistoricalStockProgress[[#This Row],[Total Price of Shares]]-HistoricalStockProgress[[#This Row],[Cost of Shares]],0)</f>
        <v>17639.644615225829</v>
      </c>
      <c r="L2078" s="34" t="b" cm="1">
        <f t="array" ref="L2078">IFERROR(IF(HistoricalStockProgress[[#This Row],[Price of Shares]]="",_xlfn.STOCKHISTORY(HistoricalStockProgress[[#This Row],[Full Company Name]],HistoricalStockProgress[[#This Row],[Date]],,2,0,1)),0)</f>
        <v>0</v>
      </c>
      <c r="M2078" s="34">
        <f>YEAR(HistoricalStockProgress[[#This Row],[Date]])</f>
        <v>2025</v>
      </c>
      <c r="N2078" s="34">
        <f>MONTH(HistoricalStockProgress[[#This Row],[Date]])</f>
        <v>9</v>
      </c>
    </row>
    <row r="2079" spans="2:14">
      <c r="B2079" s="15">
        <v>45930</v>
      </c>
      <c r="C2079" s="34" t="s">
        <v>88</v>
      </c>
      <c r="D2079" s="34" t="e" vm="9">
        <f>_xlfn.XLOOKUP(HistoricalStockProgress[[#This Row],[Company Ticker]],CompanyDetailsList[Company Ticker],CompanyDetailsList[Official Name],,0)</f>
        <v>#VALUE!</v>
      </c>
      <c r="E20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20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2079" s="17">
        <f>IFERROR(HistoricalStockProgress[[#This Row],[Cost of Shares]]/HistoricalStockProgress[[#This Row],[No. of Shares]],0)</f>
        <v>224.7272684493652</v>
      </c>
      <c r="H2079" s="16" vm="2533">
        <v>303.89</v>
      </c>
      <c r="I2079" s="16">
        <f>IF(HistoricalStockProgress[[#This Row],[No. of Shares]]&lt;&gt;0,HistoricalStockProgress[[#This Row],[Price of Shares]]*HistoricalStockProgress[[#This Row],[No. of Shares]],0)</f>
        <v>28869.55</v>
      </c>
      <c r="J2079" s="16">
        <f>IF(HistoricalStockProgress[[#This Row],[No. of Shares]]&lt;&gt;0,HistoricalStockProgress[[#This Row],[Price of Shares]]-HistoricalStockProgress[[#This Row],[Cost of Shares]]/HistoricalStockProgress[[#This Row],[No. of Shares]],0)</f>
        <v>79.162731550634788</v>
      </c>
      <c r="K2079" s="17">
        <f>IF(HistoricalStockProgress[[#This Row],[Total Price of Shares]]&lt;&gt;0,HistoricalStockProgress[[#This Row],[Total Price of Shares]]-HistoricalStockProgress[[#This Row],[Cost of Shares]],0)</f>
        <v>7520.4594973103049</v>
      </c>
      <c r="L2079" s="34" t="b" cm="1">
        <f t="array" ref="L2079">IFERROR(IF(HistoricalStockProgress[[#This Row],[Price of Shares]]="",_xlfn.STOCKHISTORY(HistoricalStockProgress[[#This Row],[Full Company Name]],HistoricalStockProgress[[#This Row],[Date]],,2,0,1)),0)</f>
        <v>0</v>
      </c>
      <c r="M2079" s="34">
        <f>YEAR(HistoricalStockProgress[[#This Row],[Date]])</f>
        <v>2025</v>
      </c>
      <c r="N2079" s="34">
        <f>MONTH(HistoricalStockProgress[[#This Row],[Date]])</f>
        <v>9</v>
      </c>
    </row>
    <row r="2080" spans="2:14">
      <c r="B2080" s="15">
        <v>45930</v>
      </c>
      <c r="C2080" s="34" t="s">
        <v>22</v>
      </c>
      <c r="D2080" s="34" t="e" vm="10">
        <f>_xlfn.XLOOKUP(HistoricalStockProgress[[#This Row],[Company Ticker]],CompanyDetailsList[Company Ticker],CompanyDetailsList[Official Name],,0)</f>
        <v>#VALUE!</v>
      </c>
      <c r="E20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20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2080" s="17">
        <f>IFERROR(HistoricalStockProgress[[#This Row],[Cost of Shares]]/HistoricalStockProgress[[#This Row],[No. of Shares]],0)</f>
        <v>130.19784136724968</v>
      </c>
      <c r="H2080" s="16" vm="2534">
        <v>477.15</v>
      </c>
      <c r="I2080" s="16">
        <f>IF(HistoricalStockProgress[[#This Row],[No. of Shares]]&lt;&gt;0,HistoricalStockProgress[[#This Row],[Price of Shares]]*HistoricalStockProgress[[#This Row],[No. of Shares]],0)</f>
        <v>56780.85</v>
      </c>
      <c r="J2080" s="16">
        <f>IF(HistoricalStockProgress[[#This Row],[No. of Shares]]&lt;&gt;0,HistoricalStockProgress[[#This Row],[Price of Shares]]-HistoricalStockProgress[[#This Row],[Cost of Shares]]/HistoricalStockProgress[[#This Row],[No. of Shares]],0)</f>
        <v>346.9521586327503</v>
      </c>
      <c r="K2080" s="17">
        <f>IF(HistoricalStockProgress[[#This Row],[Total Price of Shares]]&lt;&gt;0,HistoricalStockProgress[[#This Row],[Total Price of Shares]]-HistoricalStockProgress[[#This Row],[Cost of Shares]],0)</f>
        <v>41287.306877297284</v>
      </c>
      <c r="L2080" s="34" t="b" cm="1">
        <f t="array" ref="L2080">IFERROR(IF(HistoricalStockProgress[[#This Row],[Price of Shares]]="",_xlfn.STOCKHISTORY(HistoricalStockProgress[[#This Row],[Full Company Name]],HistoricalStockProgress[[#This Row],[Date]],,2,0,1)),0)</f>
        <v>0</v>
      </c>
      <c r="M2080" s="34">
        <f>YEAR(HistoricalStockProgress[[#This Row],[Date]])</f>
        <v>2025</v>
      </c>
      <c r="N2080" s="34">
        <f>MONTH(HistoricalStockProgress[[#This Row],[Date]])</f>
        <v>9</v>
      </c>
    </row>
    <row r="2081" spans="2:14">
      <c r="B2081" s="15">
        <v>45930</v>
      </c>
      <c r="C2081" s="34" t="s">
        <v>91</v>
      </c>
      <c r="D2081" s="34" t="e" vm="11">
        <f>_xlfn.XLOOKUP(HistoricalStockProgress[[#This Row],[Company Ticker]],CompanyDetailsList[Company Ticker],CompanyDetailsList[Official Name],,0)</f>
        <v>#VALUE!</v>
      </c>
      <c r="E20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212</v>
      </c>
      <c r="F20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38915.142004695437</v>
      </c>
      <c r="G2081" s="17">
        <f>IFERROR(HistoricalStockProgress[[#This Row],[Cost of Shares]]/HistoricalStockProgress[[#This Row],[No. of Shares]],0)</f>
        <v>183.56199058818603</v>
      </c>
      <c r="H2081" s="16" vm="2535">
        <v>517.95000000000005</v>
      </c>
      <c r="I2081" s="16">
        <f>IF(HistoricalStockProgress[[#This Row],[No. of Shares]]&lt;&gt;0,HistoricalStockProgress[[#This Row],[Price of Shares]]*HistoricalStockProgress[[#This Row],[No. of Shares]],0)</f>
        <v>109805.40000000001</v>
      </c>
      <c r="J2081" s="16">
        <f>IF(HistoricalStockProgress[[#This Row],[No. of Shares]]&lt;&gt;0,HistoricalStockProgress[[#This Row],[Price of Shares]]-HistoricalStockProgress[[#This Row],[Cost of Shares]]/HistoricalStockProgress[[#This Row],[No. of Shares]],0)</f>
        <v>334.38800941181398</v>
      </c>
      <c r="K2081" s="17">
        <f>IF(HistoricalStockProgress[[#This Row],[Total Price of Shares]]&lt;&gt;0,HistoricalStockProgress[[#This Row],[Total Price of Shares]]-HistoricalStockProgress[[#This Row],[Cost of Shares]],0)</f>
        <v>70890.257995304564</v>
      </c>
      <c r="L2081" s="34" t="b" cm="1">
        <f t="array" ref="L2081">IFERROR(IF(HistoricalStockProgress[[#This Row],[Price of Shares]]="",_xlfn.STOCKHISTORY(HistoricalStockProgress[[#This Row],[Full Company Name]],HistoricalStockProgress[[#This Row],[Date]],,2,0,1)),0)</f>
        <v>0</v>
      </c>
      <c r="M2081" s="34">
        <f>YEAR(HistoricalStockProgress[[#This Row],[Date]])</f>
        <v>2025</v>
      </c>
      <c r="N2081" s="34">
        <f>MONTH(HistoricalStockProgress[[#This Row],[Date]])</f>
        <v>9</v>
      </c>
    </row>
    <row r="2082" spans="2:14">
      <c r="B2082" s="15">
        <v>45930</v>
      </c>
      <c r="C2082" s="34" t="s">
        <v>16</v>
      </c>
      <c r="D2082" s="34" t="e" vm="12">
        <f>_xlfn.XLOOKUP(HistoricalStockProgress[[#This Row],[Company Ticker]],CompanyDetailsList[Company Ticker],CompanyDetailsList[Official Name],,0)</f>
        <v>#VALUE!</v>
      </c>
      <c r="E20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20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2082" s="17">
        <f>IFERROR(HistoricalStockProgress[[#This Row],[Cost of Shares]]/HistoricalStockProgress[[#This Row],[No. of Shares]],0)</f>
        <v>75.117698177311837</v>
      </c>
      <c r="H2082" s="16" vm="2536">
        <v>112.75</v>
      </c>
      <c r="I2082" s="16">
        <f>IF(HistoricalStockProgress[[#This Row],[No. of Shares]]&lt;&gt;0,HistoricalStockProgress[[#This Row],[Price of Shares]]*HistoricalStockProgress[[#This Row],[No. of Shares]],0)</f>
        <v>20858.75</v>
      </c>
      <c r="J2082" s="16">
        <f>IF(HistoricalStockProgress[[#This Row],[No. of Shares]]&lt;&gt;0,HistoricalStockProgress[[#This Row],[Price of Shares]]-HistoricalStockProgress[[#This Row],[Cost of Shares]]/HistoricalStockProgress[[#This Row],[No. of Shares]],0)</f>
        <v>37.632301822688163</v>
      </c>
      <c r="K2082" s="17">
        <f>IF(HistoricalStockProgress[[#This Row],[Total Price of Shares]]&lt;&gt;0,HistoricalStockProgress[[#This Row],[Total Price of Shares]]-HistoricalStockProgress[[#This Row],[Cost of Shares]],0)</f>
        <v>6961.9758371973112</v>
      </c>
      <c r="L2082" s="34" t="b" cm="1">
        <f t="array" ref="L2082">IFERROR(IF(HistoricalStockProgress[[#This Row],[Price of Shares]]="",_xlfn.STOCKHISTORY(HistoricalStockProgress[[#This Row],[Full Company Name]],HistoricalStockProgress[[#This Row],[Date]],,2,0,1)),0)</f>
        <v>0</v>
      </c>
      <c r="M2082" s="34">
        <f>YEAR(HistoricalStockProgress[[#This Row],[Date]])</f>
        <v>2025</v>
      </c>
      <c r="N2082" s="34">
        <f>MONTH(HistoricalStockProgress[[#This Row],[Date]])</f>
        <v>9</v>
      </c>
    </row>
    <row r="2083" spans="2:14">
      <c r="B2083" s="15">
        <v>45930</v>
      </c>
      <c r="C2083" s="34" t="s">
        <v>95</v>
      </c>
      <c r="D2083" s="34" t="e" vm="13">
        <f>_xlfn.XLOOKUP(HistoricalStockProgress[[#This Row],[Company Ticker]],CompanyDetailsList[Company Ticker],CompanyDetailsList[Official Name],,0)</f>
        <v>#VALUE!</v>
      </c>
      <c r="E20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172</v>
      </c>
      <c r="F20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47379.162890220832</v>
      </c>
      <c r="G2083" s="17">
        <f>IFERROR(HistoricalStockProgress[[#This Row],[Cost of Shares]]/HistoricalStockProgress[[#This Row],[No. of Shares]],0)</f>
        <v>275.46024936174905</v>
      </c>
      <c r="H2083" s="16" vm="2537">
        <v>405.19</v>
      </c>
      <c r="I2083" s="16">
        <f>IF(HistoricalStockProgress[[#This Row],[No. of Shares]]&lt;&gt;0,HistoricalStockProgress[[#This Row],[Price of Shares]]*HistoricalStockProgress[[#This Row],[No. of Shares]],0)</f>
        <v>69692.679999999993</v>
      </c>
      <c r="J2083" s="16">
        <f>IF(HistoricalStockProgress[[#This Row],[No. of Shares]]&lt;&gt;0,HistoricalStockProgress[[#This Row],[Price of Shares]]-HistoricalStockProgress[[#This Row],[Cost of Shares]]/HistoricalStockProgress[[#This Row],[No. of Shares]],0)</f>
        <v>129.72975063825095</v>
      </c>
      <c r="K2083" s="17">
        <f>IF(HistoricalStockProgress[[#This Row],[Total Price of Shares]]&lt;&gt;0,HistoricalStockProgress[[#This Row],[Total Price of Shares]]-HistoricalStockProgress[[#This Row],[Cost of Shares]],0)</f>
        <v>22313.517109779161</v>
      </c>
      <c r="L2083" s="34" t="b" cm="1">
        <f t="array" ref="L2083">IFERROR(IF(HistoricalStockProgress[[#This Row],[Price of Shares]]="",_xlfn.STOCKHISTORY(HistoricalStockProgress[[#This Row],[Full Company Name]],HistoricalStockProgress[[#This Row],[Date]],,2,0,1)),0)</f>
        <v>0</v>
      </c>
      <c r="M2083" s="34">
        <f>YEAR(HistoricalStockProgress[[#This Row],[Date]])</f>
        <v>2025</v>
      </c>
      <c r="N2083" s="34">
        <f>MONTH(HistoricalStockProgress[[#This Row],[Date]])</f>
        <v>9</v>
      </c>
    </row>
    <row r="2084" spans="2:14">
      <c r="B2084" s="15">
        <v>45930</v>
      </c>
      <c r="C2084" s="34" t="s">
        <v>17</v>
      </c>
      <c r="D2084" s="34" t="e" vm="14">
        <f>_xlfn.XLOOKUP(HistoricalStockProgress[[#This Row],[Company Ticker]],CompanyDetailsList[Company Ticker],CompanyDetailsList[Official Name],,0)</f>
        <v>#VALUE!</v>
      </c>
      <c r="E20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20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2084" s="17">
        <f>IFERROR(HistoricalStockProgress[[#This Row],[Cost of Shares]]/HistoricalStockProgress[[#This Row],[No. of Shares]],0)</f>
        <v>143.37791217450521</v>
      </c>
      <c r="H2084" s="16" vm="2538">
        <v>282.16000000000003</v>
      </c>
      <c r="I2084" s="16">
        <f>IF(HistoricalStockProgress[[#This Row],[No. of Shares]]&lt;&gt;0,HistoricalStockProgress[[#This Row],[Price of Shares]]*HistoricalStockProgress[[#This Row],[No. of Shares]],0)</f>
        <v>65178.960000000006</v>
      </c>
      <c r="J2084" s="16">
        <f>IF(HistoricalStockProgress[[#This Row],[No. of Shares]]&lt;&gt;0,HistoricalStockProgress[[#This Row],[Price of Shares]]-HistoricalStockProgress[[#This Row],[Cost of Shares]]/HistoricalStockProgress[[#This Row],[No. of Shares]],0)</f>
        <v>138.78208782549481</v>
      </c>
      <c r="K2084" s="17">
        <f>IF(HistoricalStockProgress[[#This Row],[Total Price of Shares]]&lt;&gt;0,HistoricalStockProgress[[#This Row],[Total Price of Shares]]-HistoricalStockProgress[[#This Row],[Cost of Shares]],0)</f>
        <v>32058.662287689302</v>
      </c>
      <c r="L2084" s="34" t="b" cm="1">
        <f t="array" ref="L2084">IFERROR(IF(HistoricalStockProgress[[#This Row],[Price of Shares]]="",_xlfn.STOCKHISTORY(HistoricalStockProgress[[#This Row],[Full Company Name]],HistoricalStockProgress[[#This Row],[Date]],,2,0,1)),0)</f>
        <v>0</v>
      </c>
      <c r="M2084" s="34">
        <f>YEAR(HistoricalStockProgress[[#This Row],[Date]])</f>
        <v>2025</v>
      </c>
      <c r="N2084" s="34">
        <f>MONTH(HistoricalStockProgress[[#This Row],[Date]])</f>
        <v>9</v>
      </c>
    </row>
    <row r="2085" spans="2:14">
      <c r="B2085" s="15">
        <v>45930</v>
      </c>
      <c r="C2085" s="34" t="s">
        <v>98</v>
      </c>
      <c r="D2085" s="34" t="e" vm="15">
        <f>_xlfn.XLOOKUP(HistoricalStockProgress[[#This Row],[Company Ticker]],CompanyDetailsList[Company Ticker],CompanyDetailsList[Official Name],,0)</f>
        <v>#VALUE!</v>
      </c>
      <c r="E20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193</v>
      </c>
      <c r="F20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11397.772474019517</v>
      </c>
      <c r="G2085" s="17">
        <f>IFERROR(HistoricalStockProgress[[#This Row],[Cost of Shares]]/HistoricalStockProgress[[#This Row],[No. of Shares]],0)</f>
        <v>59.055815927562264</v>
      </c>
      <c r="H2085" s="16" vm="2539">
        <v>75.489999999999995</v>
      </c>
      <c r="I2085" s="16">
        <f>IF(HistoricalStockProgress[[#This Row],[No. of Shares]]&lt;&gt;0,HistoricalStockProgress[[#This Row],[Price of Shares]]*HistoricalStockProgress[[#This Row],[No. of Shares]],0)</f>
        <v>14569.57</v>
      </c>
      <c r="J2085" s="16">
        <f>IF(HistoricalStockProgress[[#This Row],[No. of Shares]]&lt;&gt;0,HistoricalStockProgress[[#This Row],[Price of Shares]]-HistoricalStockProgress[[#This Row],[Cost of Shares]]/HistoricalStockProgress[[#This Row],[No. of Shares]],0)</f>
        <v>16.434184072437731</v>
      </c>
      <c r="K2085" s="17">
        <f>IF(HistoricalStockProgress[[#This Row],[Total Price of Shares]]&lt;&gt;0,HistoricalStockProgress[[#This Row],[Total Price of Shares]]-HistoricalStockProgress[[#This Row],[Cost of Shares]],0)</f>
        <v>3171.7975259804825</v>
      </c>
      <c r="L2085" s="34" t="b" cm="1">
        <f t="array" ref="L2085">IFERROR(IF(HistoricalStockProgress[[#This Row],[Price of Shares]]="",_xlfn.STOCKHISTORY(HistoricalStockProgress[[#This Row],[Full Company Name]],HistoricalStockProgress[[#This Row],[Date]],,2,0,1)),0)</f>
        <v>0</v>
      </c>
      <c r="M2085" s="34">
        <f>YEAR(HistoricalStockProgress[[#This Row],[Date]])</f>
        <v>2025</v>
      </c>
      <c r="N2085" s="34">
        <f>MONTH(HistoricalStockProgress[[#This Row],[Date]])</f>
        <v>9</v>
      </c>
    </row>
    <row r="2086" spans="2:14">
      <c r="B2086" s="15">
        <v>45930</v>
      </c>
      <c r="C2086" s="34" t="s">
        <v>100</v>
      </c>
      <c r="D2086" s="34" t="e" vm="16">
        <f>_xlfn.XLOOKUP(HistoricalStockProgress[[#This Row],[Company Ticker]],CompanyDetailsList[Company Ticker],CompanyDetailsList[Official Name],,0)</f>
        <v>#VALUE!</v>
      </c>
      <c r="E20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20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2086" s="17">
        <f>IFERROR(HistoricalStockProgress[[#This Row],[Cost of Shares]]/HistoricalStockProgress[[#This Row],[No. of Shares]],0)</f>
        <v>92.156351168716071</v>
      </c>
      <c r="H2086" s="16" vm="2540">
        <v>123.75</v>
      </c>
      <c r="I2086" s="16">
        <f>IF(HistoricalStockProgress[[#This Row],[No. of Shares]]&lt;&gt;0,HistoricalStockProgress[[#This Row],[Price of Shares]]*HistoricalStockProgress[[#This Row],[No. of Shares]],0)</f>
        <v>30937.5</v>
      </c>
      <c r="J2086" s="16">
        <f>IF(HistoricalStockProgress[[#This Row],[No. of Shares]]&lt;&gt;0,HistoricalStockProgress[[#This Row],[Price of Shares]]-HistoricalStockProgress[[#This Row],[Cost of Shares]]/HistoricalStockProgress[[#This Row],[No. of Shares]],0)</f>
        <v>31.593648831283929</v>
      </c>
      <c r="K2086" s="17">
        <f>IF(HistoricalStockProgress[[#This Row],[Total Price of Shares]]&lt;&gt;0,HistoricalStockProgress[[#This Row],[Total Price of Shares]]-HistoricalStockProgress[[#This Row],[Cost of Shares]],0)</f>
        <v>7898.4122078209839</v>
      </c>
      <c r="L2086" s="34" t="b" cm="1">
        <f t="array" ref="L2086">IFERROR(IF(HistoricalStockProgress[[#This Row],[Price of Shares]]="",_xlfn.STOCKHISTORY(HistoricalStockProgress[[#This Row],[Full Company Name]],HistoricalStockProgress[[#This Row],[Date]],,2,0,1)),0)</f>
        <v>0</v>
      </c>
      <c r="M2086" s="34">
        <f>YEAR(HistoricalStockProgress[[#This Row],[Date]])</f>
        <v>2025</v>
      </c>
      <c r="N2086" s="34">
        <f>MONTH(HistoricalStockProgress[[#This Row],[Date]])</f>
        <v>9</v>
      </c>
    </row>
    <row r="2087" spans="2:14">
      <c r="B2087" s="15">
        <v>45930</v>
      </c>
      <c r="C2087" s="34" t="s">
        <v>15</v>
      </c>
      <c r="D2087" s="34" t="e" vm="17">
        <f>_xlfn.XLOOKUP(HistoricalStockProgress[[#This Row],[Company Ticker]],CompanyDetailsList[Company Ticker],CompanyDetailsList[Official Name],,0)</f>
        <v>#VALUE!</v>
      </c>
      <c r="E20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20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3628.1478386140398</v>
      </c>
      <c r="G2087" s="17">
        <f>IFERROR(HistoricalStockProgress[[#This Row],[Cost of Shares]]/HistoricalStockProgress[[#This Row],[No. of Shares]],0)</f>
        <v>24.85032766174</v>
      </c>
      <c r="H2087" s="16" vm="2541">
        <v>28.24</v>
      </c>
      <c r="I2087" s="16">
        <f>IF(HistoricalStockProgress[[#This Row],[No. of Shares]]&lt;&gt;0,HistoricalStockProgress[[#This Row],[Price of Shares]]*HistoricalStockProgress[[#This Row],[No. of Shares]],0)</f>
        <v>4123.04</v>
      </c>
      <c r="J2087" s="16">
        <f>IF(HistoricalStockProgress[[#This Row],[No. of Shares]]&lt;&gt;0,HistoricalStockProgress[[#This Row],[Price of Shares]]-HistoricalStockProgress[[#This Row],[Cost of Shares]]/HistoricalStockProgress[[#This Row],[No. of Shares]],0)</f>
        <v>3.3896723382599987</v>
      </c>
      <c r="K2087" s="17">
        <f>IF(HistoricalStockProgress[[#This Row],[Total Price of Shares]]&lt;&gt;0,HistoricalStockProgress[[#This Row],[Total Price of Shares]]-HistoricalStockProgress[[#This Row],[Cost of Shares]],0)</f>
        <v>494.89216138596021</v>
      </c>
      <c r="L2087" s="34" t="b" cm="1">
        <f t="array" ref="L2087">IFERROR(IF(HistoricalStockProgress[[#This Row],[Price of Shares]]="",_xlfn.STOCKHISTORY(HistoricalStockProgress[[#This Row],[Full Company Name]],HistoricalStockProgress[[#This Row],[Date]],,2,0,1)),0)</f>
        <v>0</v>
      </c>
      <c r="M2087" s="34">
        <f>YEAR(HistoricalStockProgress[[#This Row],[Date]])</f>
        <v>2025</v>
      </c>
      <c r="N2087" s="34">
        <f>MONTH(HistoricalStockProgress[[#This Row],[Date]])</f>
        <v>9</v>
      </c>
    </row>
    <row r="2088" spans="2:14">
      <c r="B2088" s="15">
        <v>45930</v>
      </c>
      <c r="C2088" s="34" t="s">
        <v>13</v>
      </c>
      <c r="D2088" s="34" t="e" vm="18">
        <f>_xlfn.XLOOKUP(HistoricalStockProgress[[#This Row],[Company Ticker]],CompanyDetailsList[Company Ticker],CompanyDetailsList[Official Name],,0)</f>
        <v>#VALUE!</v>
      </c>
      <c r="E20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115</v>
      </c>
      <c r="F20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3682.4466352500076</v>
      </c>
      <c r="G2088" s="17">
        <f>IFERROR(HistoricalStockProgress[[#This Row],[Cost of Shares]]/HistoricalStockProgress[[#This Row],[No. of Shares]],0)</f>
        <v>32.021275089130498</v>
      </c>
      <c r="H2088" s="16" vm="2542">
        <v>25.48</v>
      </c>
      <c r="I2088" s="16">
        <f>IF(HistoricalStockProgress[[#This Row],[No. of Shares]]&lt;&gt;0,HistoricalStockProgress[[#This Row],[Price of Shares]]*HistoricalStockProgress[[#This Row],[No. of Shares]],0)</f>
        <v>2930.2000000000003</v>
      </c>
      <c r="J2088" s="16">
        <f>IF(HistoricalStockProgress[[#This Row],[No. of Shares]]&lt;&gt;0,HistoricalStockProgress[[#This Row],[Price of Shares]]-HistoricalStockProgress[[#This Row],[Cost of Shares]]/HistoricalStockProgress[[#This Row],[No. of Shares]],0)</f>
        <v>-6.5412750891304974</v>
      </c>
      <c r="K2088" s="17">
        <f>IF(HistoricalStockProgress[[#This Row],[Total Price of Shares]]&lt;&gt;0,HistoricalStockProgress[[#This Row],[Total Price of Shares]]-HistoricalStockProgress[[#This Row],[Cost of Shares]],0)</f>
        <v>-752.24663525000733</v>
      </c>
      <c r="L2088" s="34" t="b" cm="1">
        <f t="array" ref="L2088">IFERROR(IF(HistoricalStockProgress[[#This Row],[Price of Shares]]="",_xlfn.STOCKHISTORY(HistoricalStockProgress[[#This Row],[Full Company Name]],HistoricalStockProgress[[#This Row],[Date]],,2,0,1)),0)</f>
        <v>0</v>
      </c>
      <c r="M2088" s="34">
        <f>YEAR(HistoricalStockProgress[[#This Row],[Date]])</f>
        <v>2025</v>
      </c>
      <c r="N2088" s="34">
        <f>MONTH(HistoricalStockProgress[[#This Row],[Date]])</f>
        <v>9</v>
      </c>
    </row>
    <row r="2089" spans="2:14">
      <c r="B2089" s="15">
        <v>45930</v>
      </c>
      <c r="C2089" s="34" t="s">
        <v>20</v>
      </c>
      <c r="D2089" s="34" t="e" vm="19">
        <f>_xlfn.XLOOKUP(HistoricalStockProgress[[#This Row],[Company Ticker]],CompanyDetailsList[Company Ticker],CompanyDetailsList[Official Name],,0)</f>
        <v>#VALUE!</v>
      </c>
      <c r="E20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20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2089" s="17">
        <f>IFERROR(HistoricalStockProgress[[#This Row],[Cost of Shares]]/HistoricalStockProgress[[#This Row],[No. of Shares]],0)</f>
        <v>108.1760767450256</v>
      </c>
      <c r="H2089" s="16" vm="2543">
        <v>315.43</v>
      </c>
      <c r="I2089" s="16">
        <f>IF(HistoricalStockProgress[[#This Row],[No. of Shares]]&lt;&gt;0,HistoricalStockProgress[[#This Row],[Price of Shares]]*HistoricalStockProgress[[#This Row],[No. of Shares]],0)</f>
        <v>36589.879999999997</v>
      </c>
      <c r="J2089" s="16">
        <f>IF(HistoricalStockProgress[[#This Row],[No. of Shares]]&lt;&gt;0,HistoricalStockProgress[[#This Row],[Price of Shares]]-HistoricalStockProgress[[#This Row],[Cost of Shares]]/HistoricalStockProgress[[#This Row],[No. of Shares]],0)</f>
        <v>207.25392325497441</v>
      </c>
      <c r="K2089" s="17">
        <f>IF(HistoricalStockProgress[[#This Row],[Total Price of Shares]]&lt;&gt;0,HistoricalStockProgress[[#This Row],[Total Price of Shares]]-HistoricalStockProgress[[#This Row],[Cost of Shares]],0)</f>
        <v>24041.455097577029</v>
      </c>
      <c r="L2089" s="34" t="b" cm="1">
        <f t="array" ref="L2089">IFERROR(IF(HistoricalStockProgress[[#This Row],[Price of Shares]]="",_xlfn.STOCKHISTORY(HistoricalStockProgress[[#This Row],[Full Company Name]],HistoricalStockProgress[[#This Row],[Date]],,2,0,1)),0)</f>
        <v>0</v>
      </c>
      <c r="M2089" s="34">
        <f>YEAR(HistoricalStockProgress[[#This Row],[Date]])</f>
        <v>2025</v>
      </c>
      <c r="N2089" s="34">
        <f>MONTH(HistoricalStockProgress[[#This Row],[Date]])</f>
        <v>9</v>
      </c>
    </row>
    <row r="2090" spans="2:14">
      <c r="B2090" s="15">
        <v>45930</v>
      </c>
      <c r="C2090" s="34" t="s">
        <v>106</v>
      </c>
      <c r="D2090" s="34" t="e" vm="20">
        <f>_xlfn.XLOOKUP(HistoricalStockProgress[[#This Row],[Company Ticker]],CompanyDetailsList[Company Ticker],CompanyDetailsList[Official Name],,0)</f>
        <v>#VALUE!</v>
      </c>
      <c r="E20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88</v>
      </c>
      <c r="F20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9552.2862588387579</v>
      </c>
      <c r="G2090" s="17">
        <f>IFERROR(HistoricalStockProgress[[#This Row],[Cost of Shares]]/HistoricalStockProgress[[#This Row],[No. of Shares]],0)</f>
        <v>108.54870748680406</v>
      </c>
      <c r="H2090" s="16" vm="1605">
        <v>105.11</v>
      </c>
      <c r="I2090" s="16">
        <f>IF(HistoricalStockProgress[[#This Row],[No. of Shares]]&lt;&gt;0,HistoricalStockProgress[[#This Row],[Price of Shares]]*HistoricalStockProgress[[#This Row],[No. of Shares]],0)</f>
        <v>9249.68</v>
      </c>
      <c r="J2090" s="16">
        <f>IF(HistoricalStockProgress[[#This Row],[No. of Shares]]&lt;&gt;0,HistoricalStockProgress[[#This Row],[Price of Shares]]-HistoricalStockProgress[[#This Row],[Cost of Shares]]/HistoricalStockProgress[[#This Row],[No. of Shares]],0)</f>
        <v>-3.4387074868040628</v>
      </c>
      <c r="K2090" s="17">
        <f>IF(HistoricalStockProgress[[#This Row],[Total Price of Shares]]&lt;&gt;0,HistoricalStockProgress[[#This Row],[Total Price of Shares]]-HistoricalStockProgress[[#This Row],[Cost of Shares]],0)</f>
        <v>-302.60625883875764</v>
      </c>
      <c r="L2090" s="34" t="b" cm="1">
        <f t="array" ref="L2090">IFERROR(IF(HistoricalStockProgress[[#This Row],[Price of Shares]]="",_xlfn.STOCKHISTORY(HistoricalStockProgress[[#This Row],[Full Company Name]],HistoricalStockProgress[[#This Row],[Date]],,2,0,1)),0)</f>
        <v>0</v>
      </c>
      <c r="M2090" s="34">
        <f>YEAR(HistoricalStockProgress[[#This Row],[Date]])</f>
        <v>2025</v>
      </c>
      <c r="N2090" s="34">
        <f>MONTH(HistoricalStockProgress[[#This Row],[Date]])</f>
        <v>9</v>
      </c>
    </row>
    <row r="2091" spans="2:14">
      <c r="B2091" s="15">
        <v>45961</v>
      </c>
      <c r="C2091" s="34" t="s">
        <v>12</v>
      </c>
      <c r="D2091" s="34" t="e" vm="1">
        <f>_xlfn.XLOOKUP(HistoricalStockProgress[[#This Row],[Company Ticker]],CompanyDetailsList[Company Ticker],CompanyDetailsList[Official Name],,0)</f>
        <v>#VALUE!</v>
      </c>
      <c r="E20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20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2091" s="17">
        <f>IFERROR(HistoricalStockProgress[[#This Row],[Cost of Shares]]/HistoricalStockProgress[[#This Row],[No. of Shares]],0)</f>
        <v>64.573985995316889</v>
      </c>
      <c r="H2091" s="16" vm="2544">
        <v>57.98</v>
      </c>
      <c r="I2091" s="16">
        <f>IF(HistoricalStockProgress[[#This Row],[No. of Shares]]&lt;&gt;0,HistoricalStockProgress[[#This Row],[Price of Shares]]*HistoricalStockProgress[[#This Row],[No. of Shares]],0)</f>
        <v>5624.0599999999995</v>
      </c>
      <c r="J2091" s="16">
        <f>IF(HistoricalStockProgress[[#This Row],[No. of Shares]]&lt;&gt;0,HistoricalStockProgress[[#This Row],[Price of Shares]]-HistoricalStockProgress[[#This Row],[Cost of Shares]]/HistoricalStockProgress[[#This Row],[No. of Shares]],0)</f>
        <v>-6.593985995316892</v>
      </c>
      <c r="K2091" s="17">
        <f>IF(HistoricalStockProgress[[#This Row],[Total Price of Shares]]&lt;&gt;0,HistoricalStockProgress[[#This Row],[Total Price of Shares]]-HistoricalStockProgress[[#This Row],[Cost of Shares]],0)</f>
        <v>-639.61664154573828</v>
      </c>
      <c r="L2091" s="34" t="b" cm="1">
        <f t="array" ref="L2091">IFERROR(IF(HistoricalStockProgress[[#This Row],[Price of Shares]]="",_xlfn.STOCKHISTORY(HistoricalStockProgress[[#This Row],[Full Company Name]],HistoricalStockProgress[[#This Row],[Date]],,2,0,1)),0)</f>
        <v>0</v>
      </c>
      <c r="M2091" s="34">
        <f>YEAR(HistoricalStockProgress[[#This Row],[Date]])</f>
        <v>2025</v>
      </c>
      <c r="N2091" s="34">
        <f>MONTH(HistoricalStockProgress[[#This Row],[Date]])</f>
        <v>10</v>
      </c>
    </row>
    <row r="2092" spans="2:14">
      <c r="B2092" s="15">
        <v>45961</v>
      </c>
      <c r="C2092" s="34" t="s">
        <v>14</v>
      </c>
      <c r="D2092" s="34" t="e" vm="2">
        <f>_xlfn.XLOOKUP(HistoricalStockProgress[[#This Row],[Company Ticker]],CompanyDetailsList[Company Ticker],CompanyDetailsList[Official Name],,0)</f>
        <v>#VALUE!</v>
      </c>
      <c r="E20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20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2092" s="17">
        <f>IFERROR(HistoricalStockProgress[[#This Row],[Cost of Shares]]/HistoricalStockProgress[[#This Row],[No. of Shares]],0)</f>
        <v>26.819337355148658</v>
      </c>
      <c r="H2092" s="16" vm="1456">
        <v>31.93</v>
      </c>
      <c r="I2092" s="16">
        <f>IF(HistoricalStockProgress[[#This Row],[No. of Shares]]&lt;&gt;0,HistoricalStockProgress[[#This Row],[Price of Shares]]*HistoricalStockProgress[[#This Row],[No. of Shares]],0)</f>
        <v>2011.59</v>
      </c>
      <c r="J2092" s="16">
        <f>IF(HistoricalStockProgress[[#This Row],[No. of Shares]]&lt;&gt;0,HistoricalStockProgress[[#This Row],[Price of Shares]]-HistoricalStockProgress[[#This Row],[Cost of Shares]]/HistoricalStockProgress[[#This Row],[No. of Shares]],0)</f>
        <v>5.1106626448513417</v>
      </c>
      <c r="K2092" s="17">
        <f>IF(HistoricalStockProgress[[#This Row],[Total Price of Shares]]&lt;&gt;0,HistoricalStockProgress[[#This Row],[Total Price of Shares]]-HistoricalStockProgress[[#This Row],[Cost of Shares]],0)</f>
        <v>321.97174662563452</v>
      </c>
      <c r="L2092" s="34" t="b" cm="1">
        <f t="array" ref="L2092">IFERROR(IF(HistoricalStockProgress[[#This Row],[Price of Shares]]="",_xlfn.STOCKHISTORY(HistoricalStockProgress[[#This Row],[Full Company Name]],HistoricalStockProgress[[#This Row],[Date]],,2,0,1)),0)</f>
        <v>0</v>
      </c>
      <c r="M2092" s="34">
        <f>YEAR(HistoricalStockProgress[[#This Row],[Date]])</f>
        <v>2025</v>
      </c>
      <c r="N2092" s="34">
        <f>MONTH(HistoricalStockProgress[[#This Row],[Date]])</f>
        <v>10</v>
      </c>
    </row>
    <row r="2093" spans="2:14">
      <c r="B2093" s="15">
        <v>45961</v>
      </c>
      <c r="C2093" s="34" t="s">
        <v>19</v>
      </c>
      <c r="D2093" s="34" t="e" vm="3">
        <f>_xlfn.XLOOKUP(HistoricalStockProgress[[#This Row],[Company Ticker]],CompanyDetailsList[Company Ticker],CompanyDetailsList[Official Name],,0)</f>
        <v>#VALUE!</v>
      </c>
      <c r="E20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20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2093" s="17">
        <f>IFERROR(HistoricalStockProgress[[#This Row],[Cost of Shares]]/HistoricalStockProgress[[#This Row],[No. of Shares]],0)</f>
        <v>160.12652821044301</v>
      </c>
      <c r="H2093" s="16" vm="2545">
        <v>112.46</v>
      </c>
      <c r="I2093" s="16">
        <f>IF(HistoricalStockProgress[[#This Row],[No. of Shares]]&lt;&gt;0,HistoricalStockProgress[[#This Row],[Price of Shares]]*HistoricalStockProgress[[#This Row],[No. of Shares]],0)</f>
        <v>9671.56</v>
      </c>
      <c r="J2093" s="16">
        <f>IF(HistoricalStockProgress[[#This Row],[No. of Shares]]&lt;&gt;0,HistoricalStockProgress[[#This Row],[Price of Shares]]-HistoricalStockProgress[[#This Row],[Cost of Shares]]/HistoricalStockProgress[[#This Row],[No. of Shares]],0)</f>
        <v>-47.666528210443019</v>
      </c>
      <c r="K2093" s="17">
        <f>IF(HistoricalStockProgress[[#This Row],[Total Price of Shares]]&lt;&gt;0,HistoricalStockProgress[[#This Row],[Total Price of Shares]]-HistoricalStockProgress[[#This Row],[Cost of Shares]],0)</f>
        <v>-4099.3214260980985</v>
      </c>
      <c r="L2093" s="34" t="b" cm="1">
        <f t="array" ref="L2093">IFERROR(IF(HistoricalStockProgress[[#This Row],[Price of Shares]]="",_xlfn.STOCKHISTORY(HistoricalStockProgress[[#This Row],[Full Company Name]],HistoricalStockProgress[[#This Row],[Date]],,2,0,1)),0)</f>
        <v>0</v>
      </c>
      <c r="M2093" s="34">
        <f>YEAR(HistoricalStockProgress[[#This Row],[Date]])</f>
        <v>2025</v>
      </c>
      <c r="N2093" s="34">
        <f>MONTH(HistoricalStockProgress[[#This Row],[Date]])</f>
        <v>10</v>
      </c>
    </row>
    <row r="2094" spans="2:14">
      <c r="B2094" s="15">
        <v>45961</v>
      </c>
      <c r="C2094" s="34" t="s">
        <v>23</v>
      </c>
      <c r="D2094" s="34" t="e" vm="4">
        <f>_xlfn.XLOOKUP(HistoricalStockProgress[[#This Row],[Company Ticker]],CompanyDetailsList[Company Ticker],CompanyDetailsList[Official Name],,0)</f>
        <v>#VALUE!</v>
      </c>
      <c r="E20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20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5636.7217732526415</v>
      </c>
      <c r="G2094" s="17">
        <f>IFERROR(HistoricalStockProgress[[#This Row],[Cost of Shares]]/HistoricalStockProgress[[#This Row],[No. of Shares]],0)</f>
        <v>50.781277236510284</v>
      </c>
      <c r="H2094" s="16" vm="2546">
        <v>68.900000000000006</v>
      </c>
      <c r="I2094" s="16">
        <f>IF(HistoricalStockProgress[[#This Row],[No. of Shares]]&lt;&gt;0,HistoricalStockProgress[[#This Row],[Price of Shares]]*HistoricalStockProgress[[#This Row],[No. of Shares]],0)</f>
        <v>7647.9000000000005</v>
      </c>
      <c r="J2094" s="16">
        <f>IF(HistoricalStockProgress[[#This Row],[No. of Shares]]&lt;&gt;0,HistoricalStockProgress[[#This Row],[Price of Shares]]-HistoricalStockProgress[[#This Row],[Cost of Shares]]/HistoricalStockProgress[[#This Row],[No. of Shares]],0)</f>
        <v>18.118722763489721</v>
      </c>
      <c r="K2094" s="17">
        <f>IF(HistoricalStockProgress[[#This Row],[Total Price of Shares]]&lt;&gt;0,HistoricalStockProgress[[#This Row],[Total Price of Shares]]-HistoricalStockProgress[[#This Row],[Cost of Shares]],0)</f>
        <v>2011.1782267473591</v>
      </c>
      <c r="L2094" s="34" t="b" cm="1">
        <f t="array" ref="L2094">IFERROR(IF(HistoricalStockProgress[[#This Row],[Price of Shares]]="",_xlfn.STOCKHISTORY(HistoricalStockProgress[[#This Row],[Full Company Name]],HistoricalStockProgress[[#This Row],[Date]],,2,0,1)),0)</f>
        <v>0</v>
      </c>
      <c r="M2094" s="34">
        <f>YEAR(HistoricalStockProgress[[#This Row],[Date]])</f>
        <v>2025</v>
      </c>
      <c r="N2094" s="34">
        <f>MONTH(HistoricalStockProgress[[#This Row],[Date]])</f>
        <v>10</v>
      </c>
    </row>
    <row r="2095" spans="2:14">
      <c r="B2095" s="15">
        <v>45961</v>
      </c>
      <c r="C2095" s="34" t="s">
        <v>18</v>
      </c>
      <c r="D2095" s="34" t="e" vm="5">
        <f>_xlfn.XLOOKUP(HistoricalStockProgress[[#This Row],[Company Ticker]],CompanyDetailsList[Company Ticker],CompanyDetailsList[Official Name],,0)</f>
        <v>#VALUE!</v>
      </c>
      <c r="E20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20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2095" s="17">
        <f>IFERROR(HistoricalStockProgress[[#This Row],[Cost of Shares]]/HistoricalStockProgress[[#This Row],[No. of Shares]],0)</f>
        <v>160.8859607546234</v>
      </c>
      <c r="H2095" s="16" vm="2547">
        <v>146.09</v>
      </c>
      <c r="I2095" s="16">
        <f>IF(HistoricalStockProgress[[#This Row],[No. of Shares]]&lt;&gt;0,HistoricalStockProgress[[#This Row],[Price of Shares]]*HistoricalStockProgress[[#This Row],[No. of Shares]],0)</f>
        <v>6281.87</v>
      </c>
      <c r="J2095" s="16">
        <f>IF(HistoricalStockProgress[[#This Row],[No. of Shares]]&lt;&gt;0,HistoricalStockProgress[[#This Row],[Price of Shares]]-HistoricalStockProgress[[#This Row],[Cost of Shares]]/HistoricalStockProgress[[#This Row],[No. of Shares]],0)</f>
        <v>-14.795960754623394</v>
      </c>
      <c r="K2095" s="17">
        <f>IF(HistoricalStockProgress[[#This Row],[Total Price of Shares]]&lt;&gt;0,HistoricalStockProgress[[#This Row],[Total Price of Shares]]-HistoricalStockProgress[[#This Row],[Cost of Shares]],0)</f>
        <v>-636.22631244880631</v>
      </c>
      <c r="L2095" s="34" t="b" cm="1">
        <f t="array" ref="L2095">IFERROR(IF(HistoricalStockProgress[[#This Row],[Price of Shares]]="",_xlfn.STOCKHISTORY(HistoricalStockProgress[[#This Row],[Full Company Name]],HistoricalStockProgress[[#This Row],[Date]],,2,0,1)),0)</f>
        <v>0</v>
      </c>
      <c r="M2095" s="34">
        <f>YEAR(HistoricalStockProgress[[#This Row],[Date]])</f>
        <v>2025</v>
      </c>
      <c r="N2095" s="34">
        <f>MONTH(HistoricalStockProgress[[#This Row],[Date]])</f>
        <v>10</v>
      </c>
    </row>
    <row r="2096" spans="2:14">
      <c r="B2096" s="15">
        <v>45961</v>
      </c>
      <c r="C2096" s="34" t="s">
        <v>21</v>
      </c>
      <c r="D2096" s="34" t="e" vm="6">
        <f>_xlfn.XLOOKUP(HistoricalStockProgress[[#This Row],[Company Ticker]],CompanyDetailsList[Company Ticker],CompanyDetailsList[Official Name],,0)</f>
        <v>#VALUE!</v>
      </c>
      <c r="E20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84</v>
      </c>
      <c r="F20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12738.215402497406</v>
      </c>
      <c r="G2096" s="17">
        <f>IFERROR(HistoricalStockProgress[[#This Row],[Cost of Shares]]/HistoricalStockProgress[[#This Row],[No. of Shares]],0)</f>
        <v>151.64542145830245</v>
      </c>
      <c r="H2096" s="16" vm="2548">
        <v>150.37</v>
      </c>
      <c r="I2096" s="16">
        <f>IF(HistoricalStockProgress[[#This Row],[No. of Shares]]&lt;&gt;0,HistoricalStockProgress[[#This Row],[Price of Shares]]*HistoricalStockProgress[[#This Row],[No. of Shares]],0)</f>
        <v>12631.08</v>
      </c>
      <c r="J2096" s="16">
        <f>IF(HistoricalStockProgress[[#This Row],[No. of Shares]]&lt;&gt;0,HistoricalStockProgress[[#This Row],[Price of Shares]]-HistoricalStockProgress[[#This Row],[Cost of Shares]]/HistoricalStockProgress[[#This Row],[No. of Shares]],0)</f>
        <v>-1.2754214583024464</v>
      </c>
      <c r="K2096" s="17">
        <f>IF(HistoricalStockProgress[[#This Row],[Total Price of Shares]]&lt;&gt;0,HistoricalStockProgress[[#This Row],[Total Price of Shares]]-HistoricalStockProgress[[#This Row],[Cost of Shares]],0)</f>
        <v>-107.13540249740618</v>
      </c>
      <c r="L2096" s="34" t="b" cm="1">
        <f t="array" ref="L2096">IFERROR(IF(HistoricalStockProgress[[#This Row],[Price of Shares]]="",_xlfn.STOCKHISTORY(HistoricalStockProgress[[#This Row],[Full Company Name]],HistoricalStockProgress[[#This Row],[Date]],,2,0,1)),0)</f>
        <v>0</v>
      </c>
      <c r="M2096" s="34">
        <f>YEAR(HistoricalStockProgress[[#This Row],[Date]])</f>
        <v>2025</v>
      </c>
      <c r="N2096" s="34">
        <f>MONTH(HistoricalStockProgress[[#This Row],[Date]])</f>
        <v>10</v>
      </c>
    </row>
    <row r="2097" spans="2:14">
      <c r="B2097" s="15">
        <v>45961</v>
      </c>
      <c r="C2097" s="34" t="s">
        <v>84</v>
      </c>
      <c r="D2097" s="34" t="e" vm="7">
        <f>_xlfn.XLOOKUP(HistoricalStockProgress[[#This Row],[Company Ticker]],CompanyDetailsList[Company Ticker],CompanyDetailsList[Official Name],,0)</f>
        <v>#VALUE!</v>
      </c>
      <c r="E20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46</v>
      </c>
      <c r="F20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4792.320252277399</v>
      </c>
      <c r="G2097" s="17">
        <f>IFERROR(HistoricalStockProgress[[#This Row],[Cost of Shares]]/HistoricalStockProgress[[#This Row],[No. of Shares]],0)</f>
        <v>104.18087504950867</v>
      </c>
      <c r="H2097" s="16" vm="2549">
        <v>188.87</v>
      </c>
      <c r="I2097" s="16">
        <f>IF(HistoricalStockProgress[[#This Row],[No. of Shares]]&lt;&gt;0,HistoricalStockProgress[[#This Row],[Price of Shares]]*HistoricalStockProgress[[#This Row],[No. of Shares]],0)</f>
        <v>8688.02</v>
      </c>
      <c r="J2097" s="16">
        <f>IF(HistoricalStockProgress[[#This Row],[No. of Shares]]&lt;&gt;0,HistoricalStockProgress[[#This Row],[Price of Shares]]-HistoricalStockProgress[[#This Row],[Cost of Shares]]/HistoricalStockProgress[[#This Row],[No. of Shares]],0)</f>
        <v>84.689124950491333</v>
      </c>
      <c r="K2097" s="17">
        <f>IF(HistoricalStockProgress[[#This Row],[Total Price of Shares]]&lt;&gt;0,HistoricalStockProgress[[#This Row],[Total Price of Shares]]-HistoricalStockProgress[[#This Row],[Cost of Shares]],0)</f>
        <v>3895.6997477226014</v>
      </c>
      <c r="L2097" s="34" t="b" cm="1">
        <f t="array" ref="L2097">IFERROR(IF(HistoricalStockProgress[[#This Row],[Price of Shares]]="",_xlfn.STOCKHISTORY(HistoricalStockProgress[[#This Row],[Full Company Name]],HistoricalStockProgress[[#This Row],[Date]],,2,0,1)),0)</f>
        <v>0</v>
      </c>
      <c r="M2097" s="34">
        <f>YEAR(HistoricalStockProgress[[#This Row],[Date]])</f>
        <v>2025</v>
      </c>
      <c r="N2097" s="34">
        <f>MONTH(HistoricalStockProgress[[#This Row],[Date]])</f>
        <v>10</v>
      </c>
    </row>
    <row r="2098" spans="2:14">
      <c r="B2098" s="15">
        <v>45961</v>
      </c>
      <c r="C2098" s="34" t="s">
        <v>86</v>
      </c>
      <c r="D2098" s="34" t="e" vm="8">
        <f>_xlfn.XLOOKUP(HistoricalStockProgress[[#This Row],[Company Ticker]],CompanyDetailsList[Company Ticker],CompanyDetailsList[Official Name],,0)</f>
        <v>#VALUE!</v>
      </c>
      <c r="E20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20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2098" s="17">
        <f>IFERROR(HistoricalStockProgress[[#This Row],[Cost of Shares]]/HistoricalStockProgress[[#This Row],[No. of Shares]],0)</f>
        <v>115.48970647877745</v>
      </c>
      <c r="H2098" s="16" vm="2550">
        <v>218.04</v>
      </c>
      <c r="I2098" s="16">
        <f>IF(HistoricalStockProgress[[#This Row],[No. of Shares]]&lt;&gt;0,HistoricalStockProgress[[#This Row],[Price of Shares]]*HistoricalStockProgress[[#This Row],[No. of Shares]],0)</f>
        <v>33142.080000000002</v>
      </c>
      <c r="J2098" s="16">
        <f>IF(HistoricalStockProgress[[#This Row],[No. of Shares]]&lt;&gt;0,HistoricalStockProgress[[#This Row],[Price of Shares]]-HistoricalStockProgress[[#This Row],[Cost of Shares]]/HistoricalStockProgress[[#This Row],[No. of Shares]],0)</f>
        <v>102.55029352122254</v>
      </c>
      <c r="K2098" s="17">
        <f>IF(HistoricalStockProgress[[#This Row],[Total Price of Shares]]&lt;&gt;0,HistoricalStockProgress[[#This Row],[Total Price of Shares]]-HistoricalStockProgress[[#This Row],[Cost of Shares]],0)</f>
        <v>15587.644615225829</v>
      </c>
      <c r="L2098" s="34" t="b" cm="1">
        <f t="array" ref="L2098">IFERROR(IF(HistoricalStockProgress[[#This Row],[Price of Shares]]="",_xlfn.STOCKHISTORY(HistoricalStockProgress[[#This Row],[Full Company Name]],HistoricalStockProgress[[#This Row],[Date]],,2,0,1)),0)</f>
        <v>0</v>
      </c>
      <c r="M2098" s="34">
        <f>YEAR(HistoricalStockProgress[[#This Row],[Date]])</f>
        <v>2025</v>
      </c>
      <c r="N2098" s="34">
        <f>MONTH(HistoricalStockProgress[[#This Row],[Date]])</f>
        <v>10</v>
      </c>
    </row>
    <row r="2099" spans="2:14">
      <c r="B2099" s="15">
        <v>45961</v>
      </c>
      <c r="C2099" s="34" t="s">
        <v>88</v>
      </c>
      <c r="D2099" s="34" t="e" vm="9">
        <f>_xlfn.XLOOKUP(HistoricalStockProgress[[#This Row],[Company Ticker]],CompanyDetailsList[Company Ticker],CompanyDetailsList[Official Name],,0)</f>
        <v>#VALUE!</v>
      </c>
      <c r="E20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20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2099" s="17">
        <f>IFERROR(HistoricalStockProgress[[#This Row],[Cost of Shares]]/HistoricalStockProgress[[#This Row],[No. of Shares]],0)</f>
        <v>224.7272684493652</v>
      </c>
      <c r="H2099" s="16" vm="2551">
        <v>298.43</v>
      </c>
      <c r="I2099" s="16">
        <f>IF(HistoricalStockProgress[[#This Row],[No. of Shares]]&lt;&gt;0,HistoricalStockProgress[[#This Row],[Price of Shares]]*HistoricalStockProgress[[#This Row],[No. of Shares]],0)</f>
        <v>28350.850000000002</v>
      </c>
      <c r="J2099" s="16">
        <f>IF(HistoricalStockProgress[[#This Row],[No. of Shares]]&lt;&gt;0,HistoricalStockProgress[[#This Row],[Price of Shares]]-HistoricalStockProgress[[#This Row],[Cost of Shares]]/HistoricalStockProgress[[#This Row],[No. of Shares]],0)</f>
        <v>73.702731550634809</v>
      </c>
      <c r="K2099" s="17">
        <f>IF(HistoricalStockProgress[[#This Row],[Total Price of Shares]]&lt;&gt;0,HistoricalStockProgress[[#This Row],[Total Price of Shares]]-HistoricalStockProgress[[#This Row],[Cost of Shares]],0)</f>
        <v>7001.7594973103078</v>
      </c>
      <c r="L2099" s="34" t="b" cm="1">
        <f t="array" ref="L2099">IFERROR(IF(HistoricalStockProgress[[#This Row],[Price of Shares]]="",_xlfn.STOCKHISTORY(HistoricalStockProgress[[#This Row],[Full Company Name]],HistoricalStockProgress[[#This Row],[Date]],,2,0,1)),0)</f>
        <v>0</v>
      </c>
      <c r="M2099" s="34">
        <f>YEAR(HistoricalStockProgress[[#This Row],[Date]])</f>
        <v>2025</v>
      </c>
      <c r="N2099" s="34">
        <f>MONTH(HistoricalStockProgress[[#This Row],[Date]])</f>
        <v>10</v>
      </c>
    </row>
    <row r="2100" spans="2:14">
      <c r="B2100" s="15">
        <v>45961</v>
      </c>
      <c r="C2100" s="34" t="s">
        <v>22</v>
      </c>
      <c r="D2100" s="34" t="e" vm="10">
        <f>_xlfn.XLOOKUP(HistoricalStockProgress[[#This Row],[Company Ticker]],CompanyDetailsList[Company Ticker],CompanyDetailsList[Official Name],,0)</f>
        <v>#VALUE!</v>
      </c>
      <c r="E21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21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2100" s="17">
        <f>IFERROR(HistoricalStockProgress[[#This Row],[Cost of Shares]]/HistoricalStockProgress[[#This Row],[No. of Shares]],0)</f>
        <v>130.19784136724968</v>
      </c>
      <c r="H2100" s="16" vm="2552">
        <v>577.26</v>
      </c>
      <c r="I2100" s="16">
        <f>IF(HistoricalStockProgress[[#This Row],[No. of Shares]]&lt;&gt;0,HistoricalStockProgress[[#This Row],[Price of Shares]]*HistoricalStockProgress[[#This Row],[No. of Shares]],0)</f>
        <v>68693.94</v>
      </c>
      <c r="J2100" s="16">
        <f>IF(HistoricalStockProgress[[#This Row],[No. of Shares]]&lt;&gt;0,HistoricalStockProgress[[#This Row],[Price of Shares]]-HistoricalStockProgress[[#This Row],[Cost of Shares]]/HistoricalStockProgress[[#This Row],[No. of Shares]],0)</f>
        <v>447.06215863275031</v>
      </c>
      <c r="K2100" s="17">
        <f>IF(HistoricalStockProgress[[#This Row],[Total Price of Shares]]&lt;&gt;0,HistoricalStockProgress[[#This Row],[Total Price of Shares]]-HistoricalStockProgress[[#This Row],[Cost of Shares]],0)</f>
        <v>53200.396877297288</v>
      </c>
      <c r="L2100" s="34" t="b" cm="1">
        <f t="array" ref="L2100">IFERROR(IF(HistoricalStockProgress[[#This Row],[Price of Shares]]="",_xlfn.STOCKHISTORY(HistoricalStockProgress[[#This Row],[Full Company Name]],HistoricalStockProgress[[#This Row],[Date]],,2,0,1)),0)</f>
        <v>0</v>
      </c>
      <c r="M2100" s="34">
        <f>YEAR(HistoricalStockProgress[[#This Row],[Date]])</f>
        <v>2025</v>
      </c>
      <c r="N2100" s="34">
        <f>MONTH(HistoricalStockProgress[[#This Row],[Date]])</f>
        <v>10</v>
      </c>
    </row>
    <row r="2101" spans="2:14">
      <c r="B2101" s="15">
        <v>45961</v>
      </c>
      <c r="C2101" s="34" t="s">
        <v>91</v>
      </c>
      <c r="D2101" s="34" t="e" vm="11">
        <f>_xlfn.XLOOKUP(HistoricalStockProgress[[#This Row],[Company Ticker]],CompanyDetailsList[Company Ticker],CompanyDetailsList[Official Name],,0)</f>
        <v>#VALUE!</v>
      </c>
      <c r="E21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212</v>
      </c>
      <c r="F21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38915.142004695437</v>
      </c>
      <c r="G2101" s="17">
        <f>IFERROR(HistoricalStockProgress[[#This Row],[Cost of Shares]]/HistoricalStockProgress[[#This Row],[No. of Shares]],0)</f>
        <v>183.56199058818603</v>
      </c>
      <c r="H2101" s="16" vm="2553">
        <v>517.80999999999995</v>
      </c>
      <c r="I2101" s="16">
        <f>IF(HistoricalStockProgress[[#This Row],[No. of Shares]]&lt;&gt;0,HistoricalStockProgress[[#This Row],[Price of Shares]]*HistoricalStockProgress[[#This Row],[No. of Shares]],0)</f>
        <v>109775.71999999999</v>
      </c>
      <c r="J2101" s="16">
        <f>IF(HistoricalStockProgress[[#This Row],[No. of Shares]]&lt;&gt;0,HistoricalStockProgress[[#This Row],[Price of Shares]]-HistoricalStockProgress[[#This Row],[Cost of Shares]]/HistoricalStockProgress[[#This Row],[No. of Shares]],0)</f>
        <v>334.24800941181388</v>
      </c>
      <c r="K2101" s="17">
        <f>IF(HistoricalStockProgress[[#This Row],[Total Price of Shares]]&lt;&gt;0,HistoricalStockProgress[[#This Row],[Total Price of Shares]]-HistoricalStockProgress[[#This Row],[Cost of Shares]],0)</f>
        <v>70860.577995304542</v>
      </c>
      <c r="L2101" s="34" t="b" cm="1">
        <f t="array" ref="L2101">IFERROR(IF(HistoricalStockProgress[[#This Row],[Price of Shares]]="",_xlfn.STOCKHISTORY(HistoricalStockProgress[[#This Row],[Full Company Name]],HistoricalStockProgress[[#This Row],[Date]],,2,0,1)),0)</f>
        <v>0</v>
      </c>
      <c r="M2101" s="34">
        <f>YEAR(HistoricalStockProgress[[#This Row],[Date]])</f>
        <v>2025</v>
      </c>
      <c r="N2101" s="34">
        <f>MONTH(HistoricalStockProgress[[#This Row],[Date]])</f>
        <v>10</v>
      </c>
    </row>
    <row r="2102" spans="2:14">
      <c r="B2102" s="15">
        <v>45961</v>
      </c>
      <c r="C2102" s="34" t="s">
        <v>16</v>
      </c>
      <c r="D2102" s="34" t="e" vm="12">
        <f>_xlfn.XLOOKUP(HistoricalStockProgress[[#This Row],[Company Ticker]],CompanyDetailsList[Company Ticker],CompanyDetailsList[Official Name],,0)</f>
        <v>#VALUE!</v>
      </c>
      <c r="E21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21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2102" s="17">
        <f>IFERROR(HistoricalStockProgress[[#This Row],[Cost of Shares]]/HistoricalStockProgress[[#This Row],[No. of Shares]],0)</f>
        <v>75.117698177311837</v>
      </c>
      <c r="H2102" s="16" vm="2554">
        <v>114.36</v>
      </c>
      <c r="I2102" s="16">
        <f>IF(HistoricalStockProgress[[#This Row],[No. of Shares]]&lt;&gt;0,HistoricalStockProgress[[#This Row],[Price of Shares]]*HistoricalStockProgress[[#This Row],[No. of Shares]],0)</f>
        <v>21156.6</v>
      </c>
      <c r="J2102" s="16">
        <f>IF(HistoricalStockProgress[[#This Row],[No. of Shares]]&lt;&gt;0,HistoricalStockProgress[[#This Row],[Price of Shares]]-HistoricalStockProgress[[#This Row],[Cost of Shares]]/HistoricalStockProgress[[#This Row],[No. of Shares]],0)</f>
        <v>39.242301822688162</v>
      </c>
      <c r="K2102" s="17">
        <f>IF(HistoricalStockProgress[[#This Row],[Total Price of Shares]]&lt;&gt;0,HistoricalStockProgress[[#This Row],[Total Price of Shares]]-HistoricalStockProgress[[#This Row],[Cost of Shares]],0)</f>
        <v>7259.8258371973097</v>
      </c>
      <c r="L2102" s="34" t="b" cm="1">
        <f t="array" ref="L2102">IFERROR(IF(HistoricalStockProgress[[#This Row],[Price of Shares]]="",_xlfn.STOCKHISTORY(HistoricalStockProgress[[#This Row],[Full Company Name]],HistoricalStockProgress[[#This Row],[Date]],,2,0,1)),0)</f>
        <v>0</v>
      </c>
      <c r="M2102" s="34">
        <f>YEAR(HistoricalStockProgress[[#This Row],[Date]])</f>
        <v>2025</v>
      </c>
      <c r="N2102" s="34">
        <f>MONTH(HistoricalStockProgress[[#This Row],[Date]])</f>
        <v>10</v>
      </c>
    </row>
    <row r="2103" spans="2:14">
      <c r="B2103" s="15">
        <v>45961</v>
      </c>
      <c r="C2103" s="34" t="s">
        <v>95</v>
      </c>
      <c r="D2103" s="34" t="e" vm="13">
        <f>_xlfn.XLOOKUP(HistoricalStockProgress[[#This Row],[Company Ticker]],CompanyDetailsList[Company Ticker],CompanyDetailsList[Official Name],,0)</f>
        <v>#VALUE!</v>
      </c>
      <c r="E21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172</v>
      </c>
      <c r="F21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47379.162890220832</v>
      </c>
      <c r="G2103" s="17">
        <f>IFERROR(HistoricalStockProgress[[#This Row],[Cost of Shares]]/HistoricalStockProgress[[#This Row],[No. of Shares]],0)</f>
        <v>275.46024936174905</v>
      </c>
      <c r="H2103" s="16" vm="2555">
        <v>379.59</v>
      </c>
      <c r="I2103" s="16">
        <f>IF(HistoricalStockProgress[[#This Row],[No. of Shares]]&lt;&gt;0,HistoricalStockProgress[[#This Row],[Price of Shares]]*HistoricalStockProgress[[#This Row],[No. of Shares]],0)</f>
        <v>65289.479999999996</v>
      </c>
      <c r="J2103" s="16">
        <f>IF(HistoricalStockProgress[[#This Row],[No. of Shares]]&lt;&gt;0,HistoricalStockProgress[[#This Row],[Price of Shares]]-HistoricalStockProgress[[#This Row],[Cost of Shares]]/HistoricalStockProgress[[#This Row],[No. of Shares]],0)</f>
        <v>104.12975063825093</v>
      </c>
      <c r="K2103" s="17">
        <f>IF(HistoricalStockProgress[[#This Row],[Total Price of Shares]]&lt;&gt;0,HistoricalStockProgress[[#This Row],[Total Price of Shares]]-HistoricalStockProgress[[#This Row],[Cost of Shares]],0)</f>
        <v>17910.317109779164</v>
      </c>
      <c r="L2103" s="34" t="b" cm="1">
        <f t="array" ref="L2103">IFERROR(IF(HistoricalStockProgress[[#This Row],[Price of Shares]]="",_xlfn.STOCKHISTORY(HistoricalStockProgress[[#This Row],[Full Company Name]],HistoricalStockProgress[[#This Row],[Date]],,2,0,1)),0)</f>
        <v>0</v>
      </c>
      <c r="M2103" s="34">
        <f>YEAR(HistoricalStockProgress[[#This Row],[Date]])</f>
        <v>2025</v>
      </c>
      <c r="N2103" s="34">
        <f>MONTH(HistoricalStockProgress[[#This Row],[Date]])</f>
        <v>10</v>
      </c>
    </row>
    <row r="2104" spans="2:14">
      <c r="B2104" s="15">
        <v>45961</v>
      </c>
      <c r="C2104" s="34" t="s">
        <v>17</v>
      </c>
      <c r="D2104" s="34" t="e" vm="14">
        <f>_xlfn.XLOOKUP(HistoricalStockProgress[[#This Row],[Company Ticker]],CompanyDetailsList[Company Ticker],CompanyDetailsList[Official Name],,0)</f>
        <v>#VALUE!</v>
      </c>
      <c r="E21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21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2104" s="17">
        <f>IFERROR(HistoricalStockProgress[[#This Row],[Cost of Shares]]/HistoricalStockProgress[[#This Row],[No. of Shares]],0)</f>
        <v>143.37791217450521</v>
      </c>
      <c r="H2104" s="16" vm="2556">
        <v>307.41000000000003</v>
      </c>
      <c r="I2104" s="16">
        <f>IF(HistoricalStockProgress[[#This Row],[No. of Shares]]&lt;&gt;0,HistoricalStockProgress[[#This Row],[Price of Shares]]*HistoricalStockProgress[[#This Row],[No. of Shares]],0)</f>
        <v>71011.710000000006</v>
      </c>
      <c r="J2104" s="16">
        <f>IF(HistoricalStockProgress[[#This Row],[No. of Shares]]&lt;&gt;0,HistoricalStockProgress[[#This Row],[Price of Shares]]-HistoricalStockProgress[[#This Row],[Cost of Shares]]/HistoricalStockProgress[[#This Row],[No. of Shares]],0)</f>
        <v>164.03208782549481</v>
      </c>
      <c r="K2104" s="17">
        <f>IF(HistoricalStockProgress[[#This Row],[Total Price of Shares]]&lt;&gt;0,HistoricalStockProgress[[#This Row],[Total Price of Shares]]-HistoricalStockProgress[[#This Row],[Cost of Shares]],0)</f>
        <v>37891.412287689302</v>
      </c>
      <c r="L2104" s="34" t="b" cm="1">
        <f t="array" ref="L2104">IFERROR(IF(HistoricalStockProgress[[#This Row],[Price of Shares]]="",_xlfn.STOCKHISTORY(HistoricalStockProgress[[#This Row],[Full Company Name]],HistoricalStockProgress[[#This Row],[Date]],,2,0,1)),0)</f>
        <v>0</v>
      </c>
      <c r="M2104" s="34">
        <f>YEAR(HistoricalStockProgress[[#This Row],[Date]])</f>
        <v>2025</v>
      </c>
      <c r="N2104" s="34">
        <f>MONTH(HistoricalStockProgress[[#This Row],[Date]])</f>
        <v>10</v>
      </c>
    </row>
    <row r="2105" spans="2:14">
      <c r="B2105" s="15">
        <v>45961</v>
      </c>
      <c r="C2105" s="34" t="s">
        <v>98</v>
      </c>
      <c r="D2105" s="34" t="e" vm="15">
        <f>_xlfn.XLOOKUP(HistoricalStockProgress[[#This Row],[Company Ticker]],CompanyDetailsList[Company Ticker],CompanyDetailsList[Official Name],,0)</f>
        <v>#VALUE!</v>
      </c>
      <c r="E21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193</v>
      </c>
      <c r="F21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11397.772474019517</v>
      </c>
      <c r="G2105" s="17">
        <f>IFERROR(HistoricalStockProgress[[#This Row],[Cost of Shares]]/HistoricalStockProgress[[#This Row],[No. of Shares]],0)</f>
        <v>59.055815927562264</v>
      </c>
      <c r="H2105" s="16" vm="2557">
        <v>81.400000000000006</v>
      </c>
      <c r="I2105" s="16">
        <f>IF(HistoricalStockProgress[[#This Row],[No. of Shares]]&lt;&gt;0,HistoricalStockProgress[[#This Row],[Price of Shares]]*HistoricalStockProgress[[#This Row],[No. of Shares]],0)</f>
        <v>15710.2</v>
      </c>
      <c r="J2105" s="16">
        <f>IF(HistoricalStockProgress[[#This Row],[No. of Shares]]&lt;&gt;0,HistoricalStockProgress[[#This Row],[Price of Shares]]-HistoricalStockProgress[[#This Row],[Cost of Shares]]/HistoricalStockProgress[[#This Row],[No. of Shares]],0)</f>
        <v>22.344184072437741</v>
      </c>
      <c r="K2105" s="17">
        <f>IF(HistoricalStockProgress[[#This Row],[Total Price of Shares]]&lt;&gt;0,HistoricalStockProgress[[#This Row],[Total Price of Shares]]-HistoricalStockProgress[[#This Row],[Cost of Shares]],0)</f>
        <v>4312.4275259804836</v>
      </c>
      <c r="L2105" s="34" t="b" cm="1">
        <f t="array" ref="L2105">IFERROR(IF(HistoricalStockProgress[[#This Row],[Price of Shares]]="",_xlfn.STOCKHISTORY(HistoricalStockProgress[[#This Row],[Full Company Name]],HistoricalStockProgress[[#This Row],[Date]],,2,0,1)),0)</f>
        <v>0</v>
      </c>
      <c r="M2105" s="34">
        <f>YEAR(HistoricalStockProgress[[#This Row],[Date]])</f>
        <v>2025</v>
      </c>
      <c r="N2105" s="34">
        <f>MONTH(HistoricalStockProgress[[#This Row],[Date]])</f>
        <v>10</v>
      </c>
    </row>
    <row r="2106" spans="2:14">
      <c r="B2106" s="15">
        <v>45961</v>
      </c>
      <c r="C2106" s="34" t="s">
        <v>100</v>
      </c>
      <c r="D2106" s="34" t="e" vm="16">
        <f>_xlfn.XLOOKUP(HistoricalStockProgress[[#This Row],[Company Ticker]],CompanyDetailsList[Company Ticker],CompanyDetailsList[Official Name],,0)</f>
        <v>#VALUE!</v>
      </c>
      <c r="E21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21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2106" s="17">
        <f>IFERROR(HistoricalStockProgress[[#This Row],[Cost of Shares]]/HistoricalStockProgress[[#This Row],[No. of Shares]],0)</f>
        <v>92.156351168716071</v>
      </c>
      <c r="H2106" s="16" vm="2558">
        <v>124.3</v>
      </c>
      <c r="I2106" s="16">
        <f>IF(HistoricalStockProgress[[#This Row],[No. of Shares]]&lt;&gt;0,HistoricalStockProgress[[#This Row],[Price of Shares]]*HistoricalStockProgress[[#This Row],[No. of Shares]],0)</f>
        <v>31075</v>
      </c>
      <c r="J2106" s="16">
        <f>IF(HistoricalStockProgress[[#This Row],[No. of Shares]]&lt;&gt;0,HistoricalStockProgress[[#This Row],[Price of Shares]]-HistoricalStockProgress[[#This Row],[Cost of Shares]]/HistoricalStockProgress[[#This Row],[No. of Shares]],0)</f>
        <v>32.143648831283926</v>
      </c>
      <c r="K2106" s="17">
        <f>IF(HistoricalStockProgress[[#This Row],[Total Price of Shares]]&lt;&gt;0,HistoricalStockProgress[[#This Row],[Total Price of Shares]]-HistoricalStockProgress[[#This Row],[Cost of Shares]],0)</f>
        <v>8035.9122078209839</v>
      </c>
      <c r="L2106" s="34" t="b" cm="1">
        <f t="array" ref="L2106">IFERROR(IF(HistoricalStockProgress[[#This Row],[Price of Shares]]="",_xlfn.STOCKHISTORY(HistoricalStockProgress[[#This Row],[Full Company Name]],HistoricalStockProgress[[#This Row],[Date]],,2,0,1)),0)</f>
        <v>0</v>
      </c>
      <c r="M2106" s="34">
        <f>YEAR(HistoricalStockProgress[[#This Row],[Date]])</f>
        <v>2025</v>
      </c>
      <c r="N2106" s="34">
        <f>MONTH(HistoricalStockProgress[[#This Row],[Date]])</f>
        <v>10</v>
      </c>
    </row>
    <row r="2107" spans="2:14">
      <c r="B2107" s="15">
        <v>45961</v>
      </c>
      <c r="C2107" s="34" t="s">
        <v>15</v>
      </c>
      <c r="D2107" s="34" t="e" vm="17">
        <f>_xlfn.XLOOKUP(HistoricalStockProgress[[#This Row],[Company Ticker]],CompanyDetailsList[Company Ticker],CompanyDetailsList[Official Name],,0)</f>
        <v>#VALUE!</v>
      </c>
      <c r="E21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21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3628.1478386140398</v>
      </c>
      <c r="G2107" s="17">
        <f>IFERROR(HistoricalStockProgress[[#This Row],[Cost of Shares]]/HistoricalStockProgress[[#This Row],[No. of Shares]],0)</f>
        <v>24.85032766174</v>
      </c>
      <c r="H2107" s="16" vm="2559">
        <v>24.75</v>
      </c>
      <c r="I2107" s="16">
        <f>IF(HistoricalStockProgress[[#This Row],[No. of Shares]]&lt;&gt;0,HistoricalStockProgress[[#This Row],[Price of Shares]]*HistoricalStockProgress[[#This Row],[No. of Shares]],0)</f>
        <v>3613.5</v>
      </c>
      <c r="J2107" s="16">
        <f>IF(HistoricalStockProgress[[#This Row],[No. of Shares]]&lt;&gt;0,HistoricalStockProgress[[#This Row],[Price of Shares]]-HistoricalStockProgress[[#This Row],[Cost of Shares]]/HistoricalStockProgress[[#This Row],[No. of Shares]],0)</f>
        <v>-0.10032766173999974</v>
      </c>
      <c r="K2107" s="17">
        <f>IF(HistoricalStockProgress[[#This Row],[Total Price of Shares]]&lt;&gt;0,HistoricalStockProgress[[#This Row],[Total Price of Shares]]-HistoricalStockProgress[[#This Row],[Cost of Shares]],0)</f>
        <v>-14.647838614039756</v>
      </c>
      <c r="L2107" s="34" t="b" cm="1">
        <f t="array" ref="L2107">IFERROR(IF(HistoricalStockProgress[[#This Row],[Price of Shares]]="",_xlfn.STOCKHISTORY(HistoricalStockProgress[[#This Row],[Full Company Name]],HistoricalStockProgress[[#This Row],[Date]],,2,0,1)),0)</f>
        <v>0</v>
      </c>
      <c r="M2107" s="34">
        <f>YEAR(HistoricalStockProgress[[#This Row],[Date]])</f>
        <v>2025</v>
      </c>
      <c r="N2107" s="34">
        <f>MONTH(HistoricalStockProgress[[#This Row],[Date]])</f>
        <v>10</v>
      </c>
    </row>
    <row r="2108" spans="2:14">
      <c r="B2108" s="15">
        <v>45961</v>
      </c>
      <c r="C2108" s="34" t="s">
        <v>13</v>
      </c>
      <c r="D2108" s="34" t="e" vm="18">
        <f>_xlfn.XLOOKUP(HistoricalStockProgress[[#This Row],[Company Ticker]],CompanyDetailsList[Company Ticker],CompanyDetailsList[Official Name],,0)</f>
        <v>#VALUE!</v>
      </c>
      <c r="E21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115</v>
      </c>
      <c r="F21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3682.4466352500076</v>
      </c>
      <c r="G2108" s="17">
        <f>IFERROR(HistoricalStockProgress[[#This Row],[Cost of Shares]]/HistoricalStockProgress[[#This Row],[No. of Shares]],0)</f>
        <v>32.021275089130498</v>
      </c>
      <c r="H2108" s="16" vm="2560">
        <v>24.65</v>
      </c>
      <c r="I2108" s="16">
        <f>IF(HistoricalStockProgress[[#This Row],[No. of Shares]]&lt;&gt;0,HistoricalStockProgress[[#This Row],[Price of Shares]]*HistoricalStockProgress[[#This Row],[No. of Shares]],0)</f>
        <v>2834.75</v>
      </c>
      <c r="J2108" s="16">
        <f>IF(HistoricalStockProgress[[#This Row],[No. of Shares]]&lt;&gt;0,HistoricalStockProgress[[#This Row],[Price of Shares]]-HistoricalStockProgress[[#This Row],[Cost of Shares]]/HistoricalStockProgress[[#This Row],[No. of Shares]],0)</f>
        <v>-7.3712750891304992</v>
      </c>
      <c r="K2108" s="17">
        <f>IF(HistoricalStockProgress[[#This Row],[Total Price of Shares]]&lt;&gt;0,HistoricalStockProgress[[#This Row],[Total Price of Shares]]-HistoricalStockProgress[[#This Row],[Cost of Shares]],0)</f>
        <v>-847.6966352500076</v>
      </c>
      <c r="L2108" s="34" t="b" cm="1">
        <f t="array" ref="L2108">IFERROR(IF(HistoricalStockProgress[[#This Row],[Price of Shares]]="",_xlfn.STOCKHISTORY(HistoricalStockProgress[[#This Row],[Full Company Name]],HistoricalStockProgress[[#This Row],[Date]],,2,0,1)),0)</f>
        <v>0</v>
      </c>
      <c r="M2108" s="34">
        <f>YEAR(HistoricalStockProgress[[#This Row],[Date]])</f>
        <v>2025</v>
      </c>
      <c r="N2108" s="34">
        <f>MONTH(HistoricalStockProgress[[#This Row],[Date]])</f>
        <v>10</v>
      </c>
    </row>
    <row r="2109" spans="2:14">
      <c r="B2109" s="15">
        <v>45961</v>
      </c>
      <c r="C2109" s="34" t="s">
        <v>20</v>
      </c>
      <c r="D2109" s="34" t="e" vm="19">
        <f>_xlfn.XLOOKUP(HistoricalStockProgress[[#This Row],[Company Ticker]],CompanyDetailsList[Company Ticker],CompanyDetailsList[Official Name],,0)</f>
        <v>#VALUE!</v>
      </c>
      <c r="E21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21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2109" s="17">
        <f>IFERROR(HistoricalStockProgress[[#This Row],[Cost of Shares]]/HistoricalStockProgress[[#This Row],[No. of Shares]],0)</f>
        <v>108.1760767450256</v>
      </c>
      <c r="H2109" s="16" vm="2561">
        <v>311.12</v>
      </c>
      <c r="I2109" s="16">
        <f>IF(HistoricalStockProgress[[#This Row],[No. of Shares]]&lt;&gt;0,HistoricalStockProgress[[#This Row],[Price of Shares]]*HistoricalStockProgress[[#This Row],[No. of Shares]],0)</f>
        <v>36089.919999999998</v>
      </c>
      <c r="J2109" s="16">
        <f>IF(HistoricalStockProgress[[#This Row],[No. of Shares]]&lt;&gt;0,HistoricalStockProgress[[#This Row],[Price of Shares]]-HistoricalStockProgress[[#This Row],[Cost of Shares]]/HistoricalStockProgress[[#This Row],[No. of Shares]],0)</f>
        <v>202.94392325497441</v>
      </c>
      <c r="K2109" s="17">
        <f>IF(HistoricalStockProgress[[#This Row],[Total Price of Shares]]&lt;&gt;0,HistoricalStockProgress[[#This Row],[Total Price of Shares]]-HistoricalStockProgress[[#This Row],[Cost of Shares]],0)</f>
        <v>23541.49509757703</v>
      </c>
      <c r="L2109" s="34" t="b" cm="1">
        <f t="array" ref="L2109">IFERROR(IF(HistoricalStockProgress[[#This Row],[Price of Shares]]="",_xlfn.STOCKHISTORY(HistoricalStockProgress[[#This Row],[Full Company Name]],HistoricalStockProgress[[#This Row],[Date]],,2,0,1)),0)</f>
        <v>0</v>
      </c>
      <c r="M2109" s="34">
        <f>YEAR(HistoricalStockProgress[[#This Row],[Date]])</f>
        <v>2025</v>
      </c>
      <c r="N2109" s="34">
        <f>MONTH(HistoricalStockProgress[[#This Row],[Date]])</f>
        <v>10</v>
      </c>
    </row>
    <row r="2110" spans="2:14">
      <c r="B2110" s="15">
        <v>45961</v>
      </c>
      <c r="C2110" s="34" t="s">
        <v>106</v>
      </c>
      <c r="D2110" s="34" t="e" vm="20">
        <f>_xlfn.XLOOKUP(HistoricalStockProgress[[#This Row],[Company Ticker]],CompanyDetailsList[Company Ticker],CompanyDetailsList[Official Name],,0)</f>
        <v>#VALUE!</v>
      </c>
      <c r="E21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21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8575.3478914575226</v>
      </c>
      <c r="G2110" s="17">
        <f>IFERROR(HistoricalStockProgress[[#This Row],[Cost of Shares]]/HistoricalStockProgress[[#This Row],[No. of Shares]],0)</f>
        <v>108.54870748680408</v>
      </c>
      <c r="H2110" s="16" vm="2562">
        <v>97.75</v>
      </c>
      <c r="I2110" s="16">
        <f>IF(HistoricalStockProgress[[#This Row],[No. of Shares]]&lt;&gt;0,HistoricalStockProgress[[#This Row],[Price of Shares]]*HistoricalStockProgress[[#This Row],[No. of Shares]],0)</f>
        <v>7722.25</v>
      </c>
      <c r="J2110" s="16">
        <f>IF(HistoricalStockProgress[[#This Row],[No. of Shares]]&lt;&gt;0,HistoricalStockProgress[[#This Row],[Price of Shares]]-HistoricalStockProgress[[#This Row],[Cost of Shares]]/HistoricalStockProgress[[#This Row],[No. of Shares]],0)</f>
        <v>-10.798707486804076</v>
      </c>
      <c r="K2110" s="17">
        <f>IF(HistoricalStockProgress[[#This Row],[Total Price of Shares]]&lt;&gt;0,HistoricalStockProgress[[#This Row],[Total Price of Shares]]-HistoricalStockProgress[[#This Row],[Cost of Shares]],0)</f>
        <v>-853.09789145752256</v>
      </c>
      <c r="L2110" s="34" t="b" cm="1">
        <f t="array" ref="L2110">IFERROR(IF(HistoricalStockProgress[[#This Row],[Price of Shares]]="",_xlfn.STOCKHISTORY(HistoricalStockProgress[[#This Row],[Full Company Name]],HistoricalStockProgress[[#This Row],[Date]],,2,0,1)),0)</f>
        <v>0</v>
      </c>
      <c r="M2110" s="34">
        <f>YEAR(HistoricalStockProgress[[#This Row],[Date]])</f>
        <v>2025</v>
      </c>
      <c r="N2110" s="34">
        <f>MONTH(HistoricalStockProgress[[#This Row],[Date]])</f>
        <v>10</v>
      </c>
    </row>
    <row r="2111" spans="2:14">
      <c r="B2111" s="15">
        <v>45991</v>
      </c>
      <c r="C2111" s="34" t="s">
        <v>12</v>
      </c>
      <c r="D2111" s="34" t="e" vm="1">
        <f>_xlfn.XLOOKUP(HistoricalStockProgress[[#This Row],[Company Ticker]],CompanyDetailsList[Company Ticker],CompanyDetailsList[Official Name],,0)</f>
        <v>#VALUE!</v>
      </c>
      <c r="E21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21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2111" s="17">
        <f>IFERROR(HistoricalStockProgress[[#This Row],[Cost of Shares]]/HistoricalStockProgress[[#This Row],[No. of Shares]],0)</f>
        <v>64.573985995316889</v>
      </c>
      <c r="H2111" s="16" vm="2473">
        <v>57.61</v>
      </c>
      <c r="I2111" s="16">
        <f>IF(HistoricalStockProgress[[#This Row],[No. of Shares]]&lt;&gt;0,HistoricalStockProgress[[#This Row],[Price of Shares]]*HistoricalStockProgress[[#This Row],[No. of Shares]],0)</f>
        <v>5588.17</v>
      </c>
      <c r="J2111" s="16">
        <f>IF(HistoricalStockProgress[[#This Row],[No. of Shares]]&lt;&gt;0,HistoricalStockProgress[[#This Row],[Price of Shares]]-HistoricalStockProgress[[#This Row],[Cost of Shares]]/HistoricalStockProgress[[#This Row],[No. of Shares]],0)</f>
        <v>-6.9639859953168894</v>
      </c>
      <c r="K2111" s="17">
        <f>IF(HistoricalStockProgress[[#This Row],[Total Price of Shares]]&lt;&gt;0,HistoricalStockProgress[[#This Row],[Total Price of Shares]]-HistoricalStockProgress[[#This Row],[Cost of Shares]],0)</f>
        <v>-675.50664154573769</v>
      </c>
      <c r="L2111" s="34" t="b" cm="1">
        <f t="array" ref="L2111">IFERROR(IF(HistoricalStockProgress[[#This Row],[Price of Shares]]="",_xlfn.STOCKHISTORY(HistoricalStockProgress[[#This Row],[Full Company Name]],HistoricalStockProgress[[#This Row],[Date]],,2,0,1)),0)</f>
        <v>0</v>
      </c>
      <c r="M2111" s="34">
        <f>YEAR(HistoricalStockProgress[[#This Row],[Date]])</f>
        <v>2025</v>
      </c>
      <c r="N2111" s="34">
        <f>MONTH(HistoricalStockProgress[[#This Row],[Date]])</f>
        <v>11</v>
      </c>
    </row>
    <row r="2112" spans="2:14">
      <c r="B2112" s="15">
        <v>45991</v>
      </c>
      <c r="C2112" s="34" t="s">
        <v>14</v>
      </c>
      <c r="D2112" s="34" t="e" vm="2">
        <f>_xlfn.XLOOKUP(HistoricalStockProgress[[#This Row],[Company Ticker]],CompanyDetailsList[Company Ticker],CompanyDetailsList[Official Name],,0)</f>
        <v>#VALUE!</v>
      </c>
      <c r="E21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21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2112" s="17">
        <f>IFERROR(HistoricalStockProgress[[#This Row],[Cost of Shares]]/HistoricalStockProgress[[#This Row],[No. of Shares]],0)</f>
        <v>26.819337355148658</v>
      </c>
      <c r="H2112" s="16" vm="2563">
        <v>36.619999999999997</v>
      </c>
      <c r="I2112" s="16">
        <f>IF(HistoricalStockProgress[[#This Row],[No. of Shares]]&lt;&gt;0,HistoricalStockProgress[[#This Row],[Price of Shares]]*HistoricalStockProgress[[#This Row],[No. of Shares]],0)</f>
        <v>2307.06</v>
      </c>
      <c r="J2112" s="16">
        <f>IF(HistoricalStockProgress[[#This Row],[No. of Shares]]&lt;&gt;0,HistoricalStockProgress[[#This Row],[Price of Shares]]-HistoricalStockProgress[[#This Row],[Cost of Shares]]/HistoricalStockProgress[[#This Row],[No. of Shares]],0)</f>
        <v>9.8006626448513394</v>
      </c>
      <c r="K2112" s="17">
        <f>IF(HistoricalStockProgress[[#This Row],[Total Price of Shares]]&lt;&gt;0,HistoricalStockProgress[[#This Row],[Total Price of Shares]]-HistoricalStockProgress[[#This Row],[Cost of Shares]],0)</f>
        <v>617.44174662563455</v>
      </c>
      <c r="L2112" s="34" t="b" cm="1">
        <f t="array" ref="L2112">IFERROR(IF(HistoricalStockProgress[[#This Row],[Price of Shares]]="",_xlfn.STOCKHISTORY(HistoricalStockProgress[[#This Row],[Full Company Name]],HistoricalStockProgress[[#This Row],[Date]],,2,0,1)),0)</f>
        <v>0</v>
      </c>
      <c r="M2112" s="34">
        <f>YEAR(HistoricalStockProgress[[#This Row],[Date]])</f>
        <v>2025</v>
      </c>
      <c r="N2112" s="34">
        <f>MONTH(HistoricalStockProgress[[#This Row],[Date]])</f>
        <v>11</v>
      </c>
    </row>
    <row r="2113" spans="2:14">
      <c r="B2113" s="15">
        <v>45991</v>
      </c>
      <c r="C2113" s="34" t="s">
        <v>19</v>
      </c>
      <c r="D2113" s="34" t="e" vm="3">
        <f>_xlfn.XLOOKUP(HistoricalStockProgress[[#This Row],[Company Ticker]],CompanyDetailsList[Company Ticker],CompanyDetailsList[Official Name],,0)</f>
        <v>#VALUE!</v>
      </c>
      <c r="E21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21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2113" s="17">
        <f>IFERROR(HistoricalStockProgress[[#This Row],[Cost of Shares]]/HistoricalStockProgress[[#This Row],[No. of Shares]],0)</f>
        <v>160.12652821044301</v>
      </c>
      <c r="H2113" s="16" vm="2564">
        <v>107.94</v>
      </c>
      <c r="I2113" s="16">
        <f>IF(HistoricalStockProgress[[#This Row],[No. of Shares]]&lt;&gt;0,HistoricalStockProgress[[#This Row],[Price of Shares]]*HistoricalStockProgress[[#This Row],[No. of Shares]],0)</f>
        <v>9282.84</v>
      </c>
      <c r="J2113" s="16">
        <f>IF(HistoricalStockProgress[[#This Row],[No. of Shares]]&lt;&gt;0,HistoricalStockProgress[[#This Row],[Price of Shares]]-HistoricalStockProgress[[#This Row],[Cost of Shares]]/HistoricalStockProgress[[#This Row],[No. of Shares]],0)</f>
        <v>-52.186528210443015</v>
      </c>
      <c r="K2113" s="17">
        <f>IF(HistoricalStockProgress[[#This Row],[Total Price of Shares]]&lt;&gt;0,HistoricalStockProgress[[#This Row],[Total Price of Shares]]-HistoricalStockProgress[[#This Row],[Cost of Shares]],0)</f>
        <v>-4488.0414260980979</v>
      </c>
      <c r="L2113" s="34" t="b" cm="1">
        <f t="array" ref="L2113">IFERROR(IF(HistoricalStockProgress[[#This Row],[Price of Shares]]="",_xlfn.STOCKHISTORY(HistoricalStockProgress[[#This Row],[Full Company Name]],HistoricalStockProgress[[#This Row],[Date]],,2,0,1)),0)</f>
        <v>0</v>
      </c>
      <c r="M2113" s="34">
        <f>YEAR(HistoricalStockProgress[[#This Row],[Date]])</f>
        <v>2025</v>
      </c>
      <c r="N2113" s="34">
        <f>MONTH(HistoricalStockProgress[[#This Row],[Date]])</f>
        <v>11</v>
      </c>
    </row>
    <row r="2114" spans="2:14">
      <c r="B2114" s="15">
        <v>45991</v>
      </c>
      <c r="C2114" s="34" t="s">
        <v>23</v>
      </c>
      <c r="D2114" s="34" t="e" vm="4">
        <f>_xlfn.XLOOKUP(HistoricalStockProgress[[#This Row],[Company Ticker]],CompanyDetailsList[Company Ticker],CompanyDetailsList[Official Name],,0)</f>
        <v>#VALUE!</v>
      </c>
      <c r="E21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21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5636.7217732526415</v>
      </c>
      <c r="G2114" s="17">
        <f>IFERROR(HistoricalStockProgress[[#This Row],[Cost of Shares]]/HistoricalStockProgress[[#This Row],[No. of Shares]],0)</f>
        <v>50.781277236510284</v>
      </c>
      <c r="H2114" s="16" vm="2565">
        <v>73.12</v>
      </c>
      <c r="I2114" s="16">
        <f>IF(HistoricalStockProgress[[#This Row],[No. of Shares]]&lt;&gt;0,HistoricalStockProgress[[#This Row],[Price of Shares]]*HistoricalStockProgress[[#This Row],[No. of Shares]],0)</f>
        <v>8116.3200000000006</v>
      </c>
      <c r="J2114" s="16">
        <f>IF(HistoricalStockProgress[[#This Row],[No. of Shares]]&lt;&gt;0,HistoricalStockProgress[[#This Row],[Price of Shares]]-HistoricalStockProgress[[#This Row],[Cost of Shares]]/HistoricalStockProgress[[#This Row],[No. of Shares]],0)</f>
        <v>22.33872276348972</v>
      </c>
      <c r="K2114" s="17">
        <f>IF(HistoricalStockProgress[[#This Row],[Total Price of Shares]]&lt;&gt;0,HistoricalStockProgress[[#This Row],[Total Price of Shares]]-HistoricalStockProgress[[#This Row],[Cost of Shares]],0)</f>
        <v>2479.5982267473591</v>
      </c>
      <c r="L2114" s="34" t="b" cm="1">
        <f t="array" ref="L2114">IFERROR(IF(HistoricalStockProgress[[#This Row],[Price of Shares]]="",_xlfn.STOCKHISTORY(HistoricalStockProgress[[#This Row],[Full Company Name]],HistoricalStockProgress[[#This Row],[Date]],,2,0,1)),0)</f>
        <v>0</v>
      </c>
      <c r="M2114" s="34">
        <f>YEAR(HistoricalStockProgress[[#This Row],[Date]])</f>
        <v>2025</v>
      </c>
      <c r="N2114" s="34">
        <f>MONTH(HistoricalStockProgress[[#This Row],[Date]])</f>
        <v>11</v>
      </c>
    </row>
    <row r="2115" spans="2:14">
      <c r="B2115" s="15">
        <v>45991</v>
      </c>
      <c r="C2115" s="34" t="s">
        <v>18</v>
      </c>
      <c r="D2115" s="34" t="e" vm="5">
        <f>_xlfn.XLOOKUP(HistoricalStockProgress[[#This Row],[Company Ticker]],CompanyDetailsList[Company Ticker],CompanyDetailsList[Official Name],,0)</f>
        <v>#VALUE!</v>
      </c>
      <c r="E21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21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2115" s="17">
        <f>IFERROR(HistoricalStockProgress[[#This Row],[Cost of Shares]]/HistoricalStockProgress[[#This Row],[No. of Shares]],0)</f>
        <v>160.8859607546234</v>
      </c>
      <c r="H2115" s="16" vm="2566">
        <v>148.74</v>
      </c>
      <c r="I2115" s="16">
        <f>IF(HistoricalStockProgress[[#This Row],[No. of Shares]]&lt;&gt;0,HistoricalStockProgress[[#This Row],[Price of Shares]]*HistoricalStockProgress[[#This Row],[No. of Shares]],0)</f>
        <v>6395.8200000000006</v>
      </c>
      <c r="J2115" s="16">
        <f>IF(HistoricalStockProgress[[#This Row],[No. of Shares]]&lt;&gt;0,HistoricalStockProgress[[#This Row],[Price of Shares]]-HistoricalStockProgress[[#This Row],[Cost of Shares]]/HistoricalStockProgress[[#This Row],[No. of Shares]],0)</f>
        <v>-12.145960754623388</v>
      </c>
      <c r="K2115" s="17">
        <f>IF(HistoricalStockProgress[[#This Row],[Total Price of Shares]]&lt;&gt;0,HistoricalStockProgress[[#This Row],[Total Price of Shares]]-HistoricalStockProgress[[#This Row],[Cost of Shares]],0)</f>
        <v>-522.27631244880558</v>
      </c>
      <c r="L2115" s="34" t="b" cm="1">
        <f t="array" ref="L2115">IFERROR(IF(HistoricalStockProgress[[#This Row],[Price of Shares]]="",_xlfn.STOCKHISTORY(HistoricalStockProgress[[#This Row],[Full Company Name]],HistoricalStockProgress[[#This Row],[Date]],,2,0,1)),0)</f>
        <v>0</v>
      </c>
      <c r="M2115" s="34">
        <f>YEAR(HistoricalStockProgress[[#This Row],[Date]])</f>
        <v>2025</v>
      </c>
      <c r="N2115" s="34">
        <f>MONTH(HistoricalStockProgress[[#This Row],[Date]])</f>
        <v>11</v>
      </c>
    </row>
    <row r="2116" spans="2:14">
      <c r="B2116" s="15">
        <v>45991</v>
      </c>
      <c r="C2116" s="34" t="s">
        <v>21</v>
      </c>
      <c r="D2116" s="34" t="e" vm="6">
        <f>_xlfn.XLOOKUP(HistoricalStockProgress[[#This Row],[Company Ticker]],CompanyDetailsList[Company Ticker],CompanyDetailsList[Official Name],,0)</f>
        <v>#VALUE!</v>
      </c>
      <c r="E21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84</v>
      </c>
      <c r="F21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12738.215402497406</v>
      </c>
      <c r="G2116" s="17">
        <f>IFERROR(HistoricalStockProgress[[#This Row],[Cost of Shares]]/HistoricalStockProgress[[#This Row],[No. of Shares]],0)</f>
        <v>151.64542145830245</v>
      </c>
      <c r="H2116" s="16" vm="2567">
        <v>148.16</v>
      </c>
      <c r="I2116" s="16">
        <f>IF(HistoricalStockProgress[[#This Row],[No. of Shares]]&lt;&gt;0,HistoricalStockProgress[[#This Row],[Price of Shares]]*HistoricalStockProgress[[#This Row],[No. of Shares]],0)</f>
        <v>12445.44</v>
      </c>
      <c r="J2116" s="16">
        <f>IF(HistoricalStockProgress[[#This Row],[No. of Shares]]&lt;&gt;0,HistoricalStockProgress[[#This Row],[Price of Shares]]-HistoricalStockProgress[[#This Row],[Cost of Shares]]/HistoricalStockProgress[[#This Row],[No. of Shares]],0)</f>
        <v>-3.4854214583024543</v>
      </c>
      <c r="K2116" s="17">
        <f>IF(HistoricalStockProgress[[#This Row],[Total Price of Shares]]&lt;&gt;0,HistoricalStockProgress[[#This Row],[Total Price of Shares]]-HistoricalStockProgress[[#This Row],[Cost of Shares]],0)</f>
        <v>-292.77540249740559</v>
      </c>
      <c r="L2116" s="34" t="b" cm="1">
        <f t="array" ref="L2116">IFERROR(IF(HistoricalStockProgress[[#This Row],[Price of Shares]]="",_xlfn.STOCKHISTORY(HistoricalStockProgress[[#This Row],[Full Company Name]],HistoricalStockProgress[[#This Row],[Date]],,2,0,1)),0)</f>
        <v>0</v>
      </c>
      <c r="M2116" s="34">
        <f>YEAR(HistoricalStockProgress[[#This Row],[Date]])</f>
        <v>2025</v>
      </c>
      <c r="N2116" s="34">
        <f>MONTH(HistoricalStockProgress[[#This Row],[Date]])</f>
        <v>11</v>
      </c>
    </row>
    <row r="2117" spans="2:14">
      <c r="B2117" s="15">
        <v>45991</v>
      </c>
      <c r="C2117" s="34" t="s">
        <v>84</v>
      </c>
      <c r="D2117" s="34" t="e" vm="7">
        <f>_xlfn.XLOOKUP(HistoricalStockProgress[[#This Row],[Company Ticker]],CompanyDetailsList[Company Ticker],CompanyDetailsList[Official Name],,0)</f>
        <v>#VALUE!</v>
      </c>
      <c r="E21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46</v>
      </c>
      <c r="F21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4792.320252277399</v>
      </c>
      <c r="G2117" s="17">
        <f>IFERROR(HistoricalStockProgress[[#This Row],[Cost of Shares]]/HistoricalStockProgress[[#This Row],[No. of Shares]],0)</f>
        <v>104.18087504950867</v>
      </c>
      <c r="H2117" s="16" vm="2568">
        <v>206.92</v>
      </c>
      <c r="I2117" s="16">
        <f>IF(HistoricalStockProgress[[#This Row],[No. of Shares]]&lt;&gt;0,HistoricalStockProgress[[#This Row],[Price of Shares]]*HistoricalStockProgress[[#This Row],[No. of Shares]],0)</f>
        <v>9518.32</v>
      </c>
      <c r="J2117" s="16">
        <f>IF(HistoricalStockProgress[[#This Row],[No. of Shares]]&lt;&gt;0,HistoricalStockProgress[[#This Row],[Price of Shares]]-HistoricalStockProgress[[#This Row],[Cost of Shares]]/HistoricalStockProgress[[#This Row],[No. of Shares]],0)</f>
        <v>102.73912495049132</v>
      </c>
      <c r="K2117" s="17">
        <f>IF(HistoricalStockProgress[[#This Row],[Total Price of Shares]]&lt;&gt;0,HistoricalStockProgress[[#This Row],[Total Price of Shares]]-HistoricalStockProgress[[#This Row],[Cost of Shares]],0)</f>
        <v>4725.9997477226007</v>
      </c>
      <c r="L2117" s="34" t="b" cm="1">
        <f t="array" ref="L2117">IFERROR(IF(HistoricalStockProgress[[#This Row],[Price of Shares]]="",_xlfn.STOCKHISTORY(HistoricalStockProgress[[#This Row],[Full Company Name]],HistoricalStockProgress[[#This Row],[Date]],,2,0,1)),0)</f>
        <v>0</v>
      </c>
      <c r="M2117" s="34">
        <f>YEAR(HistoricalStockProgress[[#This Row],[Date]])</f>
        <v>2025</v>
      </c>
      <c r="N2117" s="34">
        <f>MONTH(HistoricalStockProgress[[#This Row],[Date]])</f>
        <v>11</v>
      </c>
    </row>
    <row r="2118" spans="2:14">
      <c r="B2118" s="15">
        <v>45991</v>
      </c>
      <c r="C2118" s="34" t="s">
        <v>86</v>
      </c>
      <c r="D2118" s="34" t="e" vm="8">
        <f>_xlfn.XLOOKUP(HistoricalStockProgress[[#This Row],[Company Ticker]],CompanyDetailsList[Company Ticker],CompanyDetailsList[Official Name],,0)</f>
        <v>#VALUE!</v>
      </c>
      <c r="E21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21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2118" s="17">
        <f>IFERROR(HistoricalStockProgress[[#This Row],[Cost of Shares]]/HistoricalStockProgress[[#This Row],[No. of Shares]],0)</f>
        <v>115.48970647877745</v>
      </c>
      <c r="H2118" s="16" vm="2569">
        <v>227.7</v>
      </c>
      <c r="I2118" s="16">
        <f>IF(HistoricalStockProgress[[#This Row],[No. of Shares]]&lt;&gt;0,HistoricalStockProgress[[#This Row],[Price of Shares]]*HistoricalStockProgress[[#This Row],[No. of Shares]],0)</f>
        <v>34610.400000000001</v>
      </c>
      <c r="J2118" s="16">
        <f>IF(HistoricalStockProgress[[#This Row],[No. of Shares]]&lt;&gt;0,HistoricalStockProgress[[#This Row],[Price of Shares]]-HistoricalStockProgress[[#This Row],[Cost of Shares]]/HistoricalStockProgress[[#This Row],[No. of Shares]],0)</f>
        <v>112.21029352122254</v>
      </c>
      <c r="K2118" s="17">
        <f>IF(HistoricalStockProgress[[#This Row],[Total Price of Shares]]&lt;&gt;0,HistoricalStockProgress[[#This Row],[Total Price of Shares]]-HistoricalStockProgress[[#This Row],[Cost of Shares]],0)</f>
        <v>17055.964615225828</v>
      </c>
      <c r="L2118" s="34" t="b" cm="1">
        <f t="array" ref="L2118">IFERROR(IF(HistoricalStockProgress[[#This Row],[Price of Shares]]="",_xlfn.STOCKHISTORY(HistoricalStockProgress[[#This Row],[Full Company Name]],HistoricalStockProgress[[#This Row],[Date]],,2,0,1)),0)</f>
        <v>0</v>
      </c>
      <c r="M2118" s="34">
        <f>YEAR(HistoricalStockProgress[[#This Row],[Date]])</f>
        <v>2025</v>
      </c>
      <c r="N2118" s="34">
        <f>MONTH(HistoricalStockProgress[[#This Row],[Date]])</f>
        <v>11</v>
      </c>
    </row>
    <row r="2119" spans="2:14">
      <c r="B2119" s="15">
        <v>45991</v>
      </c>
      <c r="C2119" s="34" t="s">
        <v>88</v>
      </c>
      <c r="D2119" s="34" t="e" vm="9">
        <f>_xlfn.XLOOKUP(HistoricalStockProgress[[#This Row],[Company Ticker]],CompanyDetailsList[Company Ticker],CompanyDetailsList[Official Name],,0)</f>
        <v>#VALUE!</v>
      </c>
      <c r="E21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21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2119" s="17">
        <f>IFERROR(HistoricalStockProgress[[#This Row],[Cost of Shares]]/HistoricalStockProgress[[#This Row],[No. of Shares]],0)</f>
        <v>224.7272684493652</v>
      </c>
      <c r="H2119" s="16" vm="2570">
        <v>311.82</v>
      </c>
      <c r="I2119" s="16">
        <f>IF(HistoricalStockProgress[[#This Row],[No. of Shares]]&lt;&gt;0,HistoricalStockProgress[[#This Row],[Price of Shares]]*HistoricalStockProgress[[#This Row],[No. of Shares]],0)</f>
        <v>29622.899999999998</v>
      </c>
      <c r="J2119" s="16">
        <f>IF(HistoricalStockProgress[[#This Row],[No. of Shares]]&lt;&gt;0,HistoricalStockProgress[[#This Row],[Price of Shares]]-HistoricalStockProgress[[#This Row],[Cost of Shares]]/HistoricalStockProgress[[#This Row],[No. of Shares]],0)</f>
        <v>87.092731550634795</v>
      </c>
      <c r="K2119" s="17">
        <f>IF(HistoricalStockProgress[[#This Row],[Total Price of Shares]]&lt;&gt;0,HistoricalStockProgress[[#This Row],[Total Price of Shares]]-HistoricalStockProgress[[#This Row],[Cost of Shares]],0)</f>
        <v>8273.8094973103034</v>
      </c>
      <c r="L2119" s="34" t="b" cm="1">
        <f t="array" ref="L2119">IFERROR(IF(HistoricalStockProgress[[#This Row],[Price of Shares]]="",_xlfn.STOCKHISTORY(HistoricalStockProgress[[#This Row],[Full Company Name]],HistoricalStockProgress[[#This Row],[Date]],,2,0,1)),0)</f>
        <v>0</v>
      </c>
      <c r="M2119" s="34">
        <f>YEAR(HistoricalStockProgress[[#This Row],[Date]])</f>
        <v>2025</v>
      </c>
      <c r="N2119" s="34">
        <f>MONTH(HistoricalStockProgress[[#This Row],[Date]])</f>
        <v>11</v>
      </c>
    </row>
    <row r="2120" spans="2:14">
      <c r="B2120" s="15">
        <v>45991</v>
      </c>
      <c r="C2120" s="34" t="s">
        <v>22</v>
      </c>
      <c r="D2120" s="34" t="e" vm="10">
        <f>_xlfn.XLOOKUP(HistoricalStockProgress[[#This Row],[Company Ticker]],CompanyDetailsList[Company Ticker],CompanyDetailsList[Official Name],,0)</f>
        <v>#VALUE!</v>
      </c>
      <c r="E21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21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2120" s="17">
        <f>IFERROR(HistoricalStockProgress[[#This Row],[Cost of Shares]]/HistoricalStockProgress[[#This Row],[No. of Shares]],0)</f>
        <v>130.19784136724968</v>
      </c>
      <c r="H2120" s="16" vm="2571">
        <v>575.76</v>
      </c>
      <c r="I2120" s="16">
        <f>IF(HistoricalStockProgress[[#This Row],[No. of Shares]]&lt;&gt;0,HistoricalStockProgress[[#This Row],[Price of Shares]]*HistoricalStockProgress[[#This Row],[No. of Shares]],0)</f>
        <v>68515.44</v>
      </c>
      <c r="J2120" s="16">
        <f>IF(HistoricalStockProgress[[#This Row],[No. of Shares]]&lt;&gt;0,HistoricalStockProgress[[#This Row],[Price of Shares]]-HistoricalStockProgress[[#This Row],[Cost of Shares]]/HistoricalStockProgress[[#This Row],[No. of Shares]],0)</f>
        <v>445.56215863275031</v>
      </c>
      <c r="K2120" s="17">
        <f>IF(HistoricalStockProgress[[#This Row],[Total Price of Shares]]&lt;&gt;0,HistoricalStockProgress[[#This Row],[Total Price of Shares]]-HistoricalStockProgress[[#This Row],[Cost of Shares]],0)</f>
        <v>53021.896877297288</v>
      </c>
      <c r="L2120" s="34" t="b" cm="1">
        <f t="array" ref="L2120">IFERROR(IF(HistoricalStockProgress[[#This Row],[Price of Shares]]="",_xlfn.STOCKHISTORY(HistoricalStockProgress[[#This Row],[Full Company Name]],HistoricalStockProgress[[#This Row],[Date]],,2,0,1)),0)</f>
        <v>0</v>
      </c>
      <c r="M2120" s="34">
        <f>YEAR(HistoricalStockProgress[[#This Row],[Date]])</f>
        <v>2025</v>
      </c>
      <c r="N2120" s="34">
        <f>MONTH(HistoricalStockProgress[[#This Row],[Date]])</f>
        <v>11</v>
      </c>
    </row>
    <row r="2121" spans="2:14">
      <c r="B2121" s="15">
        <v>45991</v>
      </c>
      <c r="C2121" s="34" t="s">
        <v>91</v>
      </c>
      <c r="D2121" s="34" t="e" vm="11">
        <f>_xlfn.XLOOKUP(HistoricalStockProgress[[#This Row],[Company Ticker]],CompanyDetailsList[Company Ticker],CompanyDetailsList[Official Name],,0)</f>
        <v>#VALUE!</v>
      </c>
      <c r="E21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212</v>
      </c>
      <c r="F21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38915.142004695437</v>
      </c>
      <c r="G2121" s="17">
        <f>IFERROR(HistoricalStockProgress[[#This Row],[Cost of Shares]]/HistoricalStockProgress[[#This Row],[No. of Shares]],0)</f>
        <v>183.56199058818603</v>
      </c>
      <c r="H2121" s="16" vm="2572">
        <v>492.01</v>
      </c>
      <c r="I2121" s="16">
        <f>IF(HistoricalStockProgress[[#This Row],[No. of Shares]]&lt;&gt;0,HistoricalStockProgress[[#This Row],[Price of Shares]]*HistoricalStockProgress[[#This Row],[No. of Shares]],0)</f>
        <v>104306.12</v>
      </c>
      <c r="J2121" s="16">
        <f>IF(HistoricalStockProgress[[#This Row],[No. of Shares]]&lt;&gt;0,HistoricalStockProgress[[#This Row],[Price of Shares]]-HistoricalStockProgress[[#This Row],[Cost of Shares]]/HistoricalStockProgress[[#This Row],[No. of Shares]],0)</f>
        <v>308.44800941181393</v>
      </c>
      <c r="K2121" s="17">
        <f>IF(HistoricalStockProgress[[#This Row],[Total Price of Shares]]&lt;&gt;0,HistoricalStockProgress[[#This Row],[Total Price of Shares]]-HistoricalStockProgress[[#This Row],[Cost of Shares]],0)</f>
        <v>65390.977995304558</v>
      </c>
      <c r="L2121" s="34" t="b" cm="1">
        <f t="array" ref="L2121">IFERROR(IF(HistoricalStockProgress[[#This Row],[Price of Shares]]="",_xlfn.STOCKHISTORY(HistoricalStockProgress[[#This Row],[Full Company Name]],HistoricalStockProgress[[#This Row],[Date]],,2,0,1)),0)</f>
        <v>0</v>
      </c>
      <c r="M2121" s="34">
        <f>YEAR(HistoricalStockProgress[[#This Row],[Date]])</f>
        <v>2025</v>
      </c>
      <c r="N2121" s="34">
        <f>MONTH(HistoricalStockProgress[[#This Row],[Date]])</f>
        <v>11</v>
      </c>
    </row>
    <row r="2122" spans="2:14">
      <c r="B2122" s="15">
        <v>45991</v>
      </c>
      <c r="C2122" s="34" t="s">
        <v>16</v>
      </c>
      <c r="D2122" s="34" t="e" vm="12">
        <f>_xlfn.XLOOKUP(HistoricalStockProgress[[#This Row],[Company Ticker]],CompanyDetailsList[Company Ticker],CompanyDetailsList[Official Name],,0)</f>
        <v>#VALUE!</v>
      </c>
      <c r="E21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21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2122" s="17">
        <f>IFERROR(HistoricalStockProgress[[#This Row],[Cost of Shares]]/HistoricalStockProgress[[#This Row],[No. of Shares]],0)</f>
        <v>75.117698177311837</v>
      </c>
      <c r="H2122" s="16" vm="1331">
        <v>115.92</v>
      </c>
      <c r="I2122" s="16">
        <f>IF(HistoricalStockProgress[[#This Row],[No. of Shares]]&lt;&gt;0,HistoricalStockProgress[[#This Row],[Price of Shares]]*HistoricalStockProgress[[#This Row],[No. of Shares]],0)</f>
        <v>21445.200000000001</v>
      </c>
      <c r="J2122" s="16">
        <f>IF(HistoricalStockProgress[[#This Row],[No. of Shares]]&lt;&gt;0,HistoricalStockProgress[[#This Row],[Price of Shares]]-HistoricalStockProgress[[#This Row],[Cost of Shares]]/HistoricalStockProgress[[#This Row],[No. of Shares]],0)</f>
        <v>40.802301822688165</v>
      </c>
      <c r="K2122" s="17">
        <f>IF(HistoricalStockProgress[[#This Row],[Total Price of Shares]]&lt;&gt;0,HistoricalStockProgress[[#This Row],[Total Price of Shares]]-HistoricalStockProgress[[#This Row],[Cost of Shares]],0)</f>
        <v>7548.4258371973119</v>
      </c>
      <c r="L2122" s="34" t="b" cm="1">
        <f t="array" ref="L2122">IFERROR(IF(HistoricalStockProgress[[#This Row],[Price of Shares]]="",_xlfn.STOCKHISTORY(HistoricalStockProgress[[#This Row],[Full Company Name]],HistoricalStockProgress[[#This Row],[Date]],,2,0,1)),0)</f>
        <v>0</v>
      </c>
      <c r="M2122" s="34">
        <f>YEAR(HistoricalStockProgress[[#This Row],[Date]])</f>
        <v>2025</v>
      </c>
      <c r="N2122" s="34">
        <f>MONTH(HistoricalStockProgress[[#This Row],[Date]])</f>
        <v>11</v>
      </c>
    </row>
    <row r="2123" spans="2:14">
      <c r="B2123" s="15">
        <v>45991</v>
      </c>
      <c r="C2123" s="34" t="s">
        <v>95</v>
      </c>
      <c r="D2123" s="34" t="e" vm="13">
        <f>_xlfn.XLOOKUP(HistoricalStockProgress[[#This Row],[Company Ticker]],CompanyDetailsList[Company Ticker],CompanyDetailsList[Official Name],,0)</f>
        <v>#VALUE!</v>
      </c>
      <c r="E21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172</v>
      </c>
      <c r="F21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47379.162890220832</v>
      </c>
      <c r="G2123" s="17">
        <f>IFERROR(HistoricalStockProgress[[#This Row],[Cost of Shares]]/HistoricalStockProgress[[#This Row],[No. of Shares]],0)</f>
        <v>275.46024936174905</v>
      </c>
      <c r="H2123" s="16" vm="2573">
        <v>356.92</v>
      </c>
      <c r="I2123" s="16">
        <f>IF(HistoricalStockProgress[[#This Row],[No. of Shares]]&lt;&gt;0,HistoricalStockProgress[[#This Row],[Price of Shares]]*HistoricalStockProgress[[#This Row],[No. of Shares]],0)</f>
        <v>61390.240000000005</v>
      </c>
      <c r="J2123" s="16">
        <f>IF(HistoricalStockProgress[[#This Row],[No. of Shares]]&lt;&gt;0,HistoricalStockProgress[[#This Row],[Price of Shares]]-HistoricalStockProgress[[#This Row],[Cost of Shares]]/HistoricalStockProgress[[#This Row],[No. of Shares]],0)</f>
        <v>81.459750638250966</v>
      </c>
      <c r="K2123" s="17">
        <f>IF(HistoricalStockProgress[[#This Row],[Total Price of Shares]]&lt;&gt;0,HistoricalStockProgress[[#This Row],[Total Price of Shares]]-HistoricalStockProgress[[#This Row],[Cost of Shares]],0)</f>
        <v>14011.077109779173</v>
      </c>
      <c r="L2123" s="34" t="b" cm="1">
        <f t="array" ref="L2123">IFERROR(IF(HistoricalStockProgress[[#This Row],[Price of Shares]]="",_xlfn.STOCKHISTORY(HistoricalStockProgress[[#This Row],[Full Company Name]],HistoricalStockProgress[[#This Row],[Date]],,2,0,1)),0)</f>
        <v>0</v>
      </c>
      <c r="M2123" s="34">
        <f>YEAR(HistoricalStockProgress[[#This Row],[Date]])</f>
        <v>2025</v>
      </c>
      <c r="N2123" s="34">
        <f>MONTH(HistoricalStockProgress[[#This Row],[Date]])</f>
        <v>11</v>
      </c>
    </row>
    <row r="2124" spans="2:14">
      <c r="B2124" s="15">
        <v>45991</v>
      </c>
      <c r="C2124" s="34" t="s">
        <v>17</v>
      </c>
      <c r="D2124" s="34" t="e" vm="14">
        <f>_xlfn.XLOOKUP(HistoricalStockProgress[[#This Row],[Company Ticker]],CompanyDetailsList[Company Ticker],CompanyDetailsList[Official Name],,0)</f>
        <v>#VALUE!</v>
      </c>
      <c r="E21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21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2124" s="17">
        <f>IFERROR(HistoricalStockProgress[[#This Row],[Cost of Shares]]/HistoricalStockProgress[[#This Row],[No. of Shares]],0)</f>
        <v>143.37791217450521</v>
      </c>
      <c r="H2124" s="16" vm="2574">
        <v>308.58</v>
      </c>
      <c r="I2124" s="16">
        <f>IF(HistoricalStockProgress[[#This Row],[No. of Shares]]&lt;&gt;0,HistoricalStockProgress[[#This Row],[Price of Shares]]*HistoricalStockProgress[[#This Row],[No. of Shares]],0)</f>
        <v>71281.98</v>
      </c>
      <c r="J2124" s="16">
        <f>IF(HistoricalStockProgress[[#This Row],[No. of Shares]]&lt;&gt;0,HistoricalStockProgress[[#This Row],[Price of Shares]]-HistoricalStockProgress[[#This Row],[Cost of Shares]]/HistoricalStockProgress[[#This Row],[No. of Shares]],0)</f>
        <v>165.20208782549477</v>
      </c>
      <c r="K2124" s="17">
        <f>IF(HistoricalStockProgress[[#This Row],[Total Price of Shares]]&lt;&gt;0,HistoricalStockProgress[[#This Row],[Total Price of Shares]]-HistoricalStockProgress[[#This Row],[Cost of Shares]],0)</f>
        <v>38161.682287689291</v>
      </c>
      <c r="L2124" s="34" t="b" cm="1">
        <f t="array" ref="L2124">IFERROR(IF(HistoricalStockProgress[[#This Row],[Price of Shares]]="",_xlfn.STOCKHISTORY(HistoricalStockProgress[[#This Row],[Full Company Name]],HistoricalStockProgress[[#This Row],[Date]],,2,0,1)),0)</f>
        <v>0</v>
      </c>
      <c r="M2124" s="34">
        <f>YEAR(HistoricalStockProgress[[#This Row],[Date]])</f>
        <v>2025</v>
      </c>
      <c r="N2124" s="34">
        <f>MONTH(HistoricalStockProgress[[#This Row],[Date]])</f>
        <v>11</v>
      </c>
    </row>
    <row r="2125" spans="2:14">
      <c r="B2125" s="15">
        <v>45991</v>
      </c>
      <c r="C2125" s="34" t="s">
        <v>98</v>
      </c>
      <c r="D2125" s="34" t="e" vm="15">
        <f>_xlfn.XLOOKUP(HistoricalStockProgress[[#This Row],[Company Ticker]],CompanyDetailsList[Company Ticker],CompanyDetailsList[Official Name],,0)</f>
        <v>#VALUE!</v>
      </c>
      <c r="E21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193</v>
      </c>
      <c r="F21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11397.772474019517</v>
      </c>
      <c r="G2125" s="17">
        <f>IFERROR(HistoricalStockProgress[[#This Row],[Cost of Shares]]/HistoricalStockProgress[[#This Row],[No. of Shares]],0)</f>
        <v>59.055815927562264</v>
      </c>
      <c r="H2125" s="16" vm="746">
        <v>86.29</v>
      </c>
      <c r="I2125" s="16">
        <f>IF(HistoricalStockProgress[[#This Row],[No. of Shares]]&lt;&gt;0,HistoricalStockProgress[[#This Row],[Price of Shares]]*HistoricalStockProgress[[#This Row],[No. of Shares]],0)</f>
        <v>16653.97</v>
      </c>
      <c r="J2125" s="16">
        <f>IF(HistoricalStockProgress[[#This Row],[No. of Shares]]&lt;&gt;0,HistoricalStockProgress[[#This Row],[Price of Shares]]-HistoricalStockProgress[[#This Row],[Cost of Shares]]/HistoricalStockProgress[[#This Row],[No. of Shares]],0)</f>
        <v>27.234184072437742</v>
      </c>
      <c r="K2125" s="17">
        <f>IF(HistoricalStockProgress[[#This Row],[Total Price of Shares]]&lt;&gt;0,HistoricalStockProgress[[#This Row],[Total Price of Shares]]-HistoricalStockProgress[[#This Row],[Cost of Shares]],0)</f>
        <v>5256.197525980484</v>
      </c>
      <c r="L2125" s="34" t="b" cm="1">
        <f t="array" ref="L2125">IFERROR(IF(HistoricalStockProgress[[#This Row],[Price of Shares]]="",_xlfn.STOCKHISTORY(HistoricalStockProgress[[#This Row],[Full Company Name]],HistoricalStockProgress[[#This Row],[Date]],,2,0,1)),0)</f>
        <v>0</v>
      </c>
      <c r="M2125" s="34">
        <f>YEAR(HistoricalStockProgress[[#This Row],[Date]])</f>
        <v>2025</v>
      </c>
      <c r="N2125" s="34">
        <f>MONTH(HistoricalStockProgress[[#This Row],[Date]])</f>
        <v>11</v>
      </c>
    </row>
    <row r="2126" spans="2:14">
      <c r="B2126" s="15">
        <v>45991</v>
      </c>
      <c r="C2126" s="34" t="s">
        <v>100</v>
      </c>
      <c r="D2126" s="34" t="e" vm="16">
        <f>_xlfn.XLOOKUP(HistoricalStockProgress[[#This Row],[Company Ticker]],CompanyDetailsList[Company Ticker],CompanyDetailsList[Official Name],,0)</f>
        <v>#VALUE!</v>
      </c>
      <c r="E21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21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2126" s="17">
        <f>IFERROR(HistoricalStockProgress[[#This Row],[Cost of Shares]]/HistoricalStockProgress[[#This Row],[No. of Shares]],0)</f>
        <v>92.156351168716071</v>
      </c>
      <c r="H2126" s="16" vm="2575">
        <v>123.94</v>
      </c>
      <c r="I2126" s="16">
        <f>IF(HistoricalStockProgress[[#This Row],[No. of Shares]]&lt;&gt;0,HistoricalStockProgress[[#This Row],[Price of Shares]]*HistoricalStockProgress[[#This Row],[No. of Shares]],0)</f>
        <v>30985</v>
      </c>
      <c r="J2126" s="16">
        <f>IF(HistoricalStockProgress[[#This Row],[No. of Shares]]&lt;&gt;0,HistoricalStockProgress[[#This Row],[Price of Shares]]-HistoricalStockProgress[[#This Row],[Cost of Shares]]/HistoricalStockProgress[[#This Row],[No. of Shares]],0)</f>
        <v>31.783648831283926</v>
      </c>
      <c r="K2126" s="17">
        <f>IF(HistoricalStockProgress[[#This Row],[Total Price of Shares]]&lt;&gt;0,HistoricalStockProgress[[#This Row],[Total Price of Shares]]-HistoricalStockProgress[[#This Row],[Cost of Shares]],0)</f>
        <v>7945.9122078209839</v>
      </c>
      <c r="L2126" s="34" t="b" cm="1">
        <f t="array" ref="L2126">IFERROR(IF(HistoricalStockProgress[[#This Row],[Price of Shares]]="",_xlfn.STOCKHISTORY(HistoricalStockProgress[[#This Row],[Full Company Name]],HistoricalStockProgress[[#This Row],[Date]],,2,0,1)),0)</f>
        <v>0</v>
      </c>
      <c r="M2126" s="34">
        <f>YEAR(HistoricalStockProgress[[#This Row],[Date]])</f>
        <v>2025</v>
      </c>
      <c r="N2126" s="34">
        <f>MONTH(HistoricalStockProgress[[#This Row],[Date]])</f>
        <v>11</v>
      </c>
    </row>
    <row r="2127" spans="2:14">
      <c r="B2127" s="15">
        <v>45991</v>
      </c>
      <c r="C2127" s="34" t="s">
        <v>15</v>
      </c>
      <c r="D2127" s="34" t="e" vm="17">
        <f>_xlfn.XLOOKUP(HistoricalStockProgress[[#This Row],[Company Ticker]],CompanyDetailsList[Company Ticker],CompanyDetailsList[Official Name],,0)</f>
        <v>#VALUE!</v>
      </c>
      <c r="E21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146</v>
      </c>
      <c r="F21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3628.1478386140398</v>
      </c>
      <c r="G2127" s="17">
        <f>IFERROR(HistoricalStockProgress[[#This Row],[Cost of Shares]]/HistoricalStockProgress[[#This Row],[No. of Shares]],0)</f>
        <v>24.85032766174</v>
      </c>
      <c r="H2127" s="16" vm="2576">
        <v>26.02</v>
      </c>
      <c r="I2127" s="16">
        <f>IF(HistoricalStockProgress[[#This Row],[No. of Shares]]&lt;&gt;0,HistoricalStockProgress[[#This Row],[Price of Shares]]*HistoricalStockProgress[[#This Row],[No. of Shares]],0)</f>
        <v>3798.92</v>
      </c>
      <c r="J2127" s="16">
        <f>IF(HistoricalStockProgress[[#This Row],[No. of Shares]]&lt;&gt;0,HistoricalStockProgress[[#This Row],[Price of Shares]]-HistoricalStockProgress[[#This Row],[Cost of Shares]]/HistoricalStockProgress[[#This Row],[No. of Shares]],0)</f>
        <v>1.1696723382599998</v>
      </c>
      <c r="K2127" s="17">
        <f>IF(HistoricalStockProgress[[#This Row],[Total Price of Shares]]&lt;&gt;0,HistoricalStockProgress[[#This Row],[Total Price of Shares]]-HistoricalStockProgress[[#This Row],[Cost of Shares]],0)</f>
        <v>170.77216138596032</v>
      </c>
      <c r="L2127" s="34" t="b" cm="1">
        <f t="array" ref="L2127">IFERROR(IF(HistoricalStockProgress[[#This Row],[Price of Shares]]="",_xlfn.STOCKHISTORY(HistoricalStockProgress[[#This Row],[Full Company Name]],HistoricalStockProgress[[#This Row],[Date]],,2,0,1)),0)</f>
        <v>0</v>
      </c>
      <c r="M2127" s="34">
        <f>YEAR(HistoricalStockProgress[[#This Row],[Date]])</f>
        <v>2025</v>
      </c>
      <c r="N2127" s="34">
        <f>MONTH(HistoricalStockProgress[[#This Row],[Date]])</f>
        <v>11</v>
      </c>
    </row>
    <row r="2128" spans="2:14">
      <c r="B2128" s="15">
        <v>45991</v>
      </c>
      <c r="C2128" s="34" t="s">
        <v>13</v>
      </c>
      <c r="D2128" s="34" t="e" vm="18">
        <f>_xlfn.XLOOKUP(HistoricalStockProgress[[#This Row],[Company Ticker]],CompanyDetailsList[Company Ticker],CompanyDetailsList[Official Name],,0)</f>
        <v>#VALUE!</v>
      </c>
      <c r="E21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21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3394.2551594478332</v>
      </c>
      <c r="G2128" s="17">
        <f>IFERROR(HistoricalStockProgress[[#This Row],[Cost of Shares]]/HistoricalStockProgress[[#This Row],[No. of Shares]],0)</f>
        <v>32.021275089130505</v>
      </c>
      <c r="H2128" s="16" vm="2577">
        <v>25.74</v>
      </c>
      <c r="I2128" s="16">
        <f>IF(HistoricalStockProgress[[#This Row],[No. of Shares]]&lt;&gt;0,HistoricalStockProgress[[#This Row],[Price of Shares]]*HistoricalStockProgress[[#This Row],[No. of Shares]],0)</f>
        <v>2728.44</v>
      </c>
      <c r="J2128" s="16">
        <f>IF(HistoricalStockProgress[[#This Row],[No. of Shares]]&lt;&gt;0,HistoricalStockProgress[[#This Row],[Price of Shares]]-HistoricalStockProgress[[#This Row],[Cost of Shares]]/HistoricalStockProgress[[#This Row],[No. of Shares]],0)</f>
        <v>-6.2812750891305065</v>
      </c>
      <c r="K2128" s="17">
        <f>IF(HistoricalStockProgress[[#This Row],[Total Price of Shares]]&lt;&gt;0,HistoricalStockProgress[[#This Row],[Total Price of Shares]]-HistoricalStockProgress[[#This Row],[Cost of Shares]],0)</f>
        <v>-665.81515944783314</v>
      </c>
      <c r="L2128" s="34" t="b" cm="1">
        <f t="array" ref="L2128">IFERROR(IF(HistoricalStockProgress[[#This Row],[Price of Shares]]="",_xlfn.STOCKHISTORY(HistoricalStockProgress[[#This Row],[Full Company Name]],HistoricalStockProgress[[#This Row],[Date]],,2,0,1)),0)</f>
        <v>0</v>
      </c>
      <c r="M2128" s="34">
        <f>YEAR(HistoricalStockProgress[[#This Row],[Date]])</f>
        <v>2025</v>
      </c>
      <c r="N2128" s="34">
        <f>MONTH(HistoricalStockProgress[[#This Row],[Date]])</f>
        <v>11</v>
      </c>
    </row>
    <row r="2129" spans="2:14">
      <c r="B2129" s="15">
        <v>45991</v>
      </c>
      <c r="C2129" s="34" t="s">
        <v>20</v>
      </c>
      <c r="D2129" s="34" t="e" vm="19">
        <f>_xlfn.XLOOKUP(HistoricalStockProgress[[#This Row],[Company Ticker]],CompanyDetailsList[Company Ticker],CompanyDetailsList[Official Name],,0)</f>
        <v>#VALUE!</v>
      </c>
      <c r="E21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21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2129" s="17">
        <f>IFERROR(HistoricalStockProgress[[#This Row],[Cost of Shares]]/HistoricalStockProgress[[#This Row],[No. of Shares]],0)</f>
        <v>108.1760767450256</v>
      </c>
      <c r="H2129" s="16" vm="2578">
        <v>313.08</v>
      </c>
      <c r="I2129" s="16">
        <f>IF(HistoricalStockProgress[[#This Row],[No. of Shares]]&lt;&gt;0,HistoricalStockProgress[[#This Row],[Price of Shares]]*HistoricalStockProgress[[#This Row],[No. of Shares]],0)</f>
        <v>36317.279999999999</v>
      </c>
      <c r="J2129" s="16">
        <f>IF(HistoricalStockProgress[[#This Row],[No. of Shares]]&lt;&gt;0,HistoricalStockProgress[[#This Row],[Price of Shares]]-HistoricalStockProgress[[#This Row],[Cost of Shares]]/HistoricalStockProgress[[#This Row],[No. of Shares]],0)</f>
        <v>204.90392325497439</v>
      </c>
      <c r="K2129" s="17">
        <f>IF(HistoricalStockProgress[[#This Row],[Total Price of Shares]]&lt;&gt;0,HistoricalStockProgress[[#This Row],[Total Price of Shares]]-HistoricalStockProgress[[#This Row],[Cost of Shares]],0)</f>
        <v>23768.85509757703</v>
      </c>
      <c r="L2129" s="34" t="b" cm="1">
        <f t="array" ref="L2129">IFERROR(IF(HistoricalStockProgress[[#This Row],[Price of Shares]]="",_xlfn.STOCKHISTORY(HistoricalStockProgress[[#This Row],[Full Company Name]],HistoricalStockProgress[[#This Row],[Date]],,2,0,1)),0)</f>
        <v>0</v>
      </c>
      <c r="M2129" s="34">
        <f>YEAR(HistoricalStockProgress[[#This Row],[Date]])</f>
        <v>2025</v>
      </c>
      <c r="N2129" s="34">
        <f>MONTH(HistoricalStockProgress[[#This Row],[Date]])</f>
        <v>11</v>
      </c>
    </row>
    <row r="2130" spans="2:14">
      <c r="B2130" s="15">
        <v>45991</v>
      </c>
      <c r="C2130" s="34" t="s">
        <v>106</v>
      </c>
      <c r="D2130" s="34" t="e" vm="20">
        <f>_xlfn.XLOOKUP(HistoricalStockProgress[[#This Row],[Company Ticker]],CompanyDetailsList[Company Ticker],CompanyDetailsList[Official Name],,0)</f>
        <v>#VALUE!</v>
      </c>
      <c r="E21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21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8575.3478914575226</v>
      </c>
      <c r="G2130" s="17">
        <f>IFERROR(HistoricalStockProgress[[#This Row],[Cost of Shares]]/HistoricalStockProgress[[#This Row],[No. of Shares]],0)</f>
        <v>108.54870748680408</v>
      </c>
      <c r="H2130" s="16" vm="2579">
        <v>100.04</v>
      </c>
      <c r="I2130" s="16">
        <f>IF(HistoricalStockProgress[[#This Row],[No. of Shares]]&lt;&gt;0,HistoricalStockProgress[[#This Row],[Price of Shares]]*HistoricalStockProgress[[#This Row],[No. of Shares]],0)</f>
        <v>7903.1600000000008</v>
      </c>
      <c r="J2130" s="16">
        <f>IF(HistoricalStockProgress[[#This Row],[No. of Shares]]&lt;&gt;0,HistoricalStockProgress[[#This Row],[Price of Shares]]-HistoricalStockProgress[[#This Row],[Cost of Shares]]/HistoricalStockProgress[[#This Row],[No. of Shares]],0)</f>
        <v>-8.5087074868040702</v>
      </c>
      <c r="K2130" s="17">
        <f>IF(HistoricalStockProgress[[#This Row],[Total Price of Shares]]&lt;&gt;0,HistoricalStockProgress[[#This Row],[Total Price of Shares]]-HistoricalStockProgress[[#This Row],[Cost of Shares]],0)</f>
        <v>-672.1878914575218</v>
      </c>
      <c r="L2130" s="34" t="b" cm="1">
        <f t="array" ref="L2130">IFERROR(IF(HistoricalStockProgress[[#This Row],[Price of Shares]]="",_xlfn.STOCKHISTORY(HistoricalStockProgress[[#This Row],[Full Company Name]],HistoricalStockProgress[[#This Row],[Date]],,2,0,1)),0)</f>
        <v>0</v>
      </c>
      <c r="M2130" s="34">
        <f>YEAR(HistoricalStockProgress[[#This Row],[Date]])</f>
        <v>2025</v>
      </c>
      <c r="N2130" s="34">
        <f>MONTH(HistoricalStockProgress[[#This Row],[Date]])</f>
        <v>11</v>
      </c>
    </row>
    <row r="2131" spans="2:14">
      <c r="B2131" s="15">
        <v>46022</v>
      </c>
      <c r="C2131" s="34" t="s">
        <v>12</v>
      </c>
      <c r="D2131" s="34" t="e" vm="1">
        <f>_xlfn.XLOOKUP(HistoricalStockProgress[[#This Row],[Company Ticker]],CompanyDetailsList[Company Ticker],CompanyDetailsList[Official Name],,0)</f>
        <v>#VALUE!</v>
      </c>
      <c r="E21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21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2131" s="17">
        <f>IFERROR(HistoricalStockProgress[[#This Row],[Cost of Shares]]/HistoricalStockProgress[[#This Row],[No. of Shares]],0)</f>
        <v>64.573985995316889</v>
      </c>
      <c r="H2131" s="16" vm="1653">
        <v>56.37</v>
      </c>
      <c r="I2131" s="16">
        <f>IF(HistoricalStockProgress[[#This Row],[No. of Shares]]&lt;&gt;0,HistoricalStockProgress[[#This Row],[Price of Shares]]*HistoricalStockProgress[[#This Row],[No. of Shares]],0)</f>
        <v>5467.8899999999994</v>
      </c>
      <c r="J2131" s="16">
        <f>IF(HistoricalStockProgress[[#This Row],[No. of Shares]]&lt;&gt;0,HistoricalStockProgress[[#This Row],[Price of Shares]]-HistoricalStockProgress[[#This Row],[Cost of Shares]]/HistoricalStockProgress[[#This Row],[No. of Shares]],0)</f>
        <v>-8.2039859953168914</v>
      </c>
      <c r="K2131" s="17">
        <f>IF(HistoricalStockProgress[[#This Row],[Total Price of Shares]]&lt;&gt;0,HistoricalStockProgress[[#This Row],[Total Price of Shares]]-HistoricalStockProgress[[#This Row],[Cost of Shares]],0)</f>
        <v>-795.78664154573835</v>
      </c>
      <c r="L2131" s="34" t="b" cm="1">
        <f t="array" ref="L2131">IFERROR(IF(HistoricalStockProgress[[#This Row],[Price of Shares]]="",_xlfn.STOCKHISTORY(HistoricalStockProgress[[#This Row],[Full Company Name]],HistoricalStockProgress[[#This Row],[Date]],,2,0,1)),0)</f>
        <v>0</v>
      </c>
      <c r="M2131" s="34">
        <f>YEAR(HistoricalStockProgress[[#This Row],[Date]])</f>
        <v>2025</v>
      </c>
      <c r="N2131" s="34">
        <f>MONTH(HistoricalStockProgress[[#This Row],[Date]])</f>
        <v>12</v>
      </c>
    </row>
    <row r="2132" spans="2:14">
      <c r="B2132" s="15">
        <v>46022</v>
      </c>
      <c r="C2132" s="34" t="s">
        <v>14</v>
      </c>
      <c r="D2132" s="34" t="e" vm="2">
        <f>_xlfn.XLOOKUP(HistoricalStockProgress[[#This Row],[Company Ticker]],CompanyDetailsList[Company Ticker],CompanyDetailsList[Official Name],,0)</f>
        <v>#VALUE!</v>
      </c>
      <c r="E21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21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2132" s="17">
        <f>IFERROR(HistoricalStockProgress[[#This Row],[Cost of Shares]]/HistoricalStockProgress[[#This Row],[No. of Shares]],0)</f>
        <v>26.819337355148658</v>
      </c>
      <c r="H2132" s="16" vm="2580">
        <v>33.26</v>
      </c>
      <c r="I2132" s="16">
        <f>IF(HistoricalStockProgress[[#This Row],[No. of Shares]]&lt;&gt;0,HistoricalStockProgress[[#This Row],[Price of Shares]]*HistoricalStockProgress[[#This Row],[No. of Shares]],0)</f>
        <v>2095.3799999999997</v>
      </c>
      <c r="J2132" s="16">
        <f>IF(HistoricalStockProgress[[#This Row],[No. of Shares]]&lt;&gt;0,HistoricalStockProgress[[#This Row],[Price of Shares]]-HistoricalStockProgress[[#This Row],[Cost of Shares]]/HistoricalStockProgress[[#This Row],[No. of Shares]],0)</f>
        <v>6.44066264485134</v>
      </c>
      <c r="K2132" s="17">
        <f>IF(HistoricalStockProgress[[#This Row],[Total Price of Shares]]&lt;&gt;0,HistoricalStockProgress[[#This Row],[Total Price of Shares]]-HistoricalStockProgress[[#This Row],[Cost of Shares]],0)</f>
        <v>405.76174662563426</v>
      </c>
      <c r="L2132" s="34" t="b" cm="1">
        <f t="array" ref="L2132">IFERROR(IF(HistoricalStockProgress[[#This Row],[Price of Shares]]="",_xlfn.STOCKHISTORY(HistoricalStockProgress[[#This Row],[Full Company Name]],HistoricalStockProgress[[#This Row],[Date]],,2,0,1)),0)</f>
        <v>0</v>
      </c>
      <c r="M2132" s="34">
        <f>YEAR(HistoricalStockProgress[[#This Row],[Date]])</f>
        <v>2025</v>
      </c>
      <c r="N2132" s="34">
        <f>MONTH(HistoricalStockProgress[[#This Row],[Date]])</f>
        <v>12</v>
      </c>
    </row>
    <row r="2133" spans="2:14">
      <c r="B2133" s="15">
        <v>46022</v>
      </c>
      <c r="C2133" s="34" t="s">
        <v>19</v>
      </c>
      <c r="D2133" s="34" t="e" vm="3">
        <f>_xlfn.XLOOKUP(HistoricalStockProgress[[#This Row],[Company Ticker]],CompanyDetailsList[Company Ticker],CompanyDetailsList[Official Name],,0)</f>
        <v>#VALUE!</v>
      </c>
      <c r="E21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21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2133" s="17">
        <f>IFERROR(HistoricalStockProgress[[#This Row],[Cost of Shares]]/HistoricalStockProgress[[#This Row],[No. of Shares]],0)</f>
        <v>160.12652821044301</v>
      </c>
      <c r="H2133" s="16" vm="2581">
        <v>100.83</v>
      </c>
      <c r="I2133" s="16">
        <f>IF(HistoricalStockProgress[[#This Row],[No. of Shares]]&lt;&gt;0,HistoricalStockProgress[[#This Row],[Price of Shares]]*HistoricalStockProgress[[#This Row],[No. of Shares]],0)</f>
        <v>8671.3799999999992</v>
      </c>
      <c r="J2133" s="16">
        <f>IF(HistoricalStockProgress[[#This Row],[No. of Shares]]&lt;&gt;0,HistoricalStockProgress[[#This Row],[Price of Shares]]-HistoricalStockProgress[[#This Row],[Cost of Shares]]/HistoricalStockProgress[[#This Row],[No. of Shares]],0)</f>
        <v>-59.296528210443014</v>
      </c>
      <c r="K2133" s="17">
        <f>IF(HistoricalStockProgress[[#This Row],[Total Price of Shares]]&lt;&gt;0,HistoricalStockProgress[[#This Row],[Total Price of Shares]]-HistoricalStockProgress[[#This Row],[Cost of Shares]],0)</f>
        <v>-5099.5014260980988</v>
      </c>
      <c r="L2133" s="34" t="b" cm="1">
        <f t="array" ref="L2133">IFERROR(IF(HistoricalStockProgress[[#This Row],[Price of Shares]]="",_xlfn.STOCKHISTORY(HistoricalStockProgress[[#This Row],[Full Company Name]],HistoricalStockProgress[[#This Row],[Date]],,2,0,1)),0)</f>
        <v>0</v>
      </c>
      <c r="M2133" s="34">
        <f>YEAR(HistoricalStockProgress[[#This Row],[Date]])</f>
        <v>2025</v>
      </c>
      <c r="N2133" s="34">
        <f>MONTH(HistoricalStockProgress[[#This Row],[Date]])</f>
        <v>12</v>
      </c>
    </row>
    <row r="2134" spans="2:14">
      <c r="B2134" s="15">
        <v>46022</v>
      </c>
      <c r="C2134" s="34" t="s">
        <v>23</v>
      </c>
      <c r="D2134" s="34" t="e" vm="4">
        <f>_xlfn.XLOOKUP(HistoricalStockProgress[[#This Row],[Company Ticker]],CompanyDetailsList[Company Ticker],CompanyDetailsList[Official Name],,0)</f>
        <v>#VALUE!</v>
      </c>
      <c r="E21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21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5636.7217732526415</v>
      </c>
      <c r="G2134" s="17">
        <f>IFERROR(HistoricalStockProgress[[#This Row],[Cost of Shares]]/HistoricalStockProgress[[#This Row],[No. of Shares]],0)</f>
        <v>50.781277236510284</v>
      </c>
      <c r="H2134" s="16" vm="821">
        <v>69.91</v>
      </c>
      <c r="I2134" s="16">
        <f>IF(HistoricalStockProgress[[#This Row],[No. of Shares]]&lt;&gt;0,HistoricalStockProgress[[#This Row],[Price of Shares]]*HistoricalStockProgress[[#This Row],[No. of Shares]],0)</f>
        <v>7760.0099999999993</v>
      </c>
      <c r="J2134" s="16">
        <f>IF(HistoricalStockProgress[[#This Row],[No. of Shares]]&lt;&gt;0,HistoricalStockProgress[[#This Row],[Price of Shares]]-HistoricalStockProgress[[#This Row],[Cost of Shares]]/HistoricalStockProgress[[#This Row],[No. of Shares]],0)</f>
        <v>19.128722763489712</v>
      </c>
      <c r="K2134" s="17">
        <f>IF(HistoricalStockProgress[[#This Row],[Total Price of Shares]]&lt;&gt;0,HistoricalStockProgress[[#This Row],[Total Price of Shares]]-HistoricalStockProgress[[#This Row],[Cost of Shares]],0)</f>
        <v>2123.2882267473578</v>
      </c>
      <c r="L2134" s="34" t="b" cm="1">
        <f t="array" ref="L2134">IFERROR(IF(HistoricalStockProgress[[#This Row],[Price of Shares]]="",_xlfn.STOCKHISTORY(HistoricalStockProgress[[#This Row],[Full Company Name]],HistoricalStockProgress[[#This Row],[Date]],,2,0,1)),0)</f>
        <v>0</v>
      </c>
      <c r="M2134" s="34">
        <f>YEAR(HistoricalStockProgress[[#This Row],[Date]])</f>
        <v>2025</v>
      </c>
      <c r="N2134" s="34">
        <f>MONTH(HistoricalStockProgress[[#This Row],[Date]])</f>
        <v>12</v>
      </c>
    </row>
    <row r="2135" spans="2:14">
      <c r="B2135" s="15">
        <v>46022</v>
      </c>
      <c r="C2135" s="34" t="s">
        <v>18</v>
      </c>
      <c r="D2135" s="34" t="e" vm="5">
        <f>_xlfn.XLOOKUP(HistoricalStockProgress[[#This Row],[Company Ticker]],CompanyDetailsList[Company Ticker],CompanyDetailsList[Official Name],,0)</f>
        <v>#VALUE!</v>
      </c>
      <c r="E21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21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2135" s="17">
        <f>IFERROR(HistoricalStockProgress[[#This Row],[Cost of Shares]]/HistoricalStockProgress[[#This Row],[No. of Shares]],0)</f>
        <v>160.8859607546234</v>
      </c>
      <c r="H2135" s="16" vm="2582">
        <v>143.52000000000001</v>
      </c>
      <c r="I2135" s="16">
        <f>IF(HistoricalStockProgress[[#This Row],[No. of Shares]]&lt;&gt;0,HistoricalStockProgress[[#This Row],[Price of Shares]]*HistoricalStockProgress[[#This Row],[No. of Shares]],0)</f>
        <v>6171.3600000000006</v>
      </c>
      <c r="J2135" s="16">
        <f>IF(HistoricalStockProgress[[#This Row],[No. of Shares]]&lt;&gt;0,HistoricalStockProgress[[#This Row],[Price of Shares]]-HistoricalStockProgress[[#This Row],[Cost of Shares]]/HistoricalStockProgress[[#This Row],[No. of Shares]],0)</f>
        <v>-17.365960754623387</v>
      </c>
      <c r="K2135" s="17">
        <f>IF(HistoricalStockProgress[[#This Row],[Total Price of Shares]]&lt;&gt;0,HistoricalStockProgress[[#This Row],[Total Price of Shares]]-HistoricalStockProgress[[#This Row],[Cost of Shares]],0)</f>
        <v>-746.73631244880562</v>
      </c>
      <c r="L2135" s="34" t="b" cm="1">
        <f t="array" ref="L2135">IFERROR(IF(HistoricalStockProgress[[#This Row],[Price of Shares]]="",_xlfn.STOCKHISTORY(HistoricalStockProgress[[#This Row],[Full Company Name]],HistoricalStockProgress[[#This Row],[Date]],,2,0,1)),0)</f>
        <v>0</v>
      </c>
      <c r="M2135" s="34">
        <f>YEAR(HistoricalStockProgress[[#This Row],[Date]])</f>
        <v>2025</v>
      </c>
      <c r="N2135" s="34">
        <f>MONTH(HistoricalStockProgress[[#This Row],[Date]])</f>
        <v>12</v>
      </c>
    </row>
    <row r="2136" spans="2:14">
      <c r="B2136" s="15">
        <v>46022</v>
      </c>
      <c r="C2136" s="34" t="s">
        <v>21</v>
      </c>
      <c r="D2136" s="34" t="e" vm="6">
        <f>_xlfn.XLOOKUP(HistoricalStockProgress[[#This Row],[Company Ticker]],CompanyDetailsList[Company Ticker],CompanyDetailsList[Official Name],,0)</f>
        <v>#VALUE!</v>
      </c>
      <c r="E21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84</v>
      </c>
      <c r="F21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12738.215402497406</v>
      </c>
      <c r="G2136" s="17">
        <f>IFERROR(HistoricalStockProgress[[#This Row],[Cost of Shares]]/HistoricalStockProgress[[#This Row],[No. of Shares]],0)</f>
        <v>151.64542145830245</v>
      </c>
      <c r="H2136" s="16" vm="2583">
        <v>143.31</v>
      </c>
      <c r="I2136" s="16">
        <f>IF(HistoricalStockProgress[[#This Row],[No. of Shares]]&lt;&gt;0,HistoricalStockProgress[[#This Row],[Price of Shares]]*HistoricalStockProgress[[#This Row],[No. of Shares]],0)</f>
        <v>12038.04</v>
      </c>
      <c r="J2136" s="16">
        <f>IF(HistoricalStockProgress[[#This Row],[No. of Shares]]&lt;&gt;0,HistoricalStockProgress[[#This Row],[Price of Shares]]-HistoricalStockProgress[[#This Row],[Cost of Shares]]/HistoricalStockProgress[[#This Row],[No. of Shares]],0)</f>
        <v>-8.3354214583024486</v>
      </c>
      <c r="K2136" s="17">
        <f>IF(HistoricalStockProgress[[#This Row],[Total Price of Shares]]&lt;&gt;0,HistoricalStockProgress[[#This Row],[Total Price of Shares]]-HistoricalStockProgress[[#This Row],[Cost of Shares]],0)</f>
        <v>-700.17540249740523</v>
      </c>
      <c r="L2136" s="34" t="b" cm="1">
        <f t="array" ref="L2136">IFERROR(IF(HistoricalStockProgress[[#This Row],[Price of Shares]]="",_xlfn.STOCKHISTORY(HistoricalStockProgress[[#This Row],[Full Company Name]],HistoricalStockProgress[[#This Row],[Date]],,2,0,1)),0)</f>
        <v>0</v>
      </c>
      <c r="M2136" s="34">
        <f>YEAR(HistoricalStockProgress[[#This Row],[Date]])</f>
        <v>2025</v>
      </c>
      <c r="N2136" s="34">
        <f>MONTH(HistoricalStockProgress[[#This Row],[Date]])</f>
        <v>12</v>
      </c>
    </row>
    <row r="2137" spans="2:14">
      <c r="B2137" s="15">
        <v>46022</v>
      </c>
      <c r="C2137" s="34" t="s">
        <v>84</v>
      </c>
      <c r="D2137" s="34" t="e" vm="7">
        <f>_xlfn.XLOOKUP(HistoricalStockProgress[[#This Row],[Company Ticker]],CompanyDetailsList[Company Ticker],CompanyDetailsList[Official Name],,0)</f>
        <v>#VALUE!</v>
      </c>
      <c r="E21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46</v>
      </c>
      <c r="F21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4792.320252277399</v>
      </c>
      <c r="G2137" s="17">
        <f>IFERROR(HistoricalStockProgress[[#This Row],[Cost of Shares]]/HistoricalStockProgress[[#This Row],[No. of Shares]],0)</f>
        <v>104.18087504950867</v>
      </c>
      <c r="H2137" s="16" vm="2584">
        <v>206.95</v>
      </c>
      <c r="I2137" s="16">
        <f>IF(HistoricalStockProgress[[#This Row],[No. of Shares]]&lt;&gt;0,HistoricalStockProgress[[#This Row],[Price of Shares]]*HistoricalStockProgress[[#This Row],[No. of Shares]],0)</f>
        <v>9519.6999999999989</v>
      </c>
      <c r="J2137" s="16">
        <f>IF(HistoricalStockProgress[[#This Row],[No. of Shares]]&lt;&gt;0,HistoricalStockProgress[[#This Row],[Price of Shares]]-HistoricalStockProgress[[#This Row],[Cost of Shares]]/HistoricalStockProgress[[#This Row],[No. of Shares]],0)</f>
        <v>102.76912495049132</v>
      </c>
      <c r="K2137" s="17">
        <f>IF(HistoricalStockProgress[[#This Row],[Total Price of Shares]]&lt;&gt;0,HistoricalStockProgress[[#This Row],[Total Price of Shares]]-HistoricalStockProgress[[#This Row],[Cost of Shares]],0)</f>
        <v>4727.3797477225999</v>
      </c>
      <c r="L2137" s="34" t="b" cm="1">
        <f t="array" ref="L2137">IFERROR(IF(HistoricalStockProgress[[#This Row],[Price of Shares]]="",_xlfn.STOCKHISTORY(HistoricalStockProgress[[#This Row],[Full Company Name]],HistoricalStockProgress[[#This Row],[Date]],,2,0,1)),0)</f>
        <v>0</v>
      </c>
      <c r="M2137" s="34">
        <f>YEAR(HistoricalStockProgress[[#This Row],[Date]])</f>
        <v>2025</v>
      </c>
      <c r="N2137" s="34">
        <f>MONTH(HistoricalStockProgress[[#This Row],[Date]])</f>
        <v>12</v>
      </c>
    </row>
    <row r="2138" spans="2:14">
      <c r="B2138" s="15">
        <v>46022</v>
      </c>
      <c r="C2138" s="34" t="s">
        <v>86</v>
      </c>
      <c r="D2138" s="34" t="e" vm="8">
        <f>_xlfn.XLOOKUP(HistoricalStockProgress[[#This Row],[Company Ticker]],CompanyDetailsList[Company Ticker],CompanyDetailsList[Official Name],,0)</f>
        <v>#VALUE!</v>
      </c>
      <c r="E21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21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2138" s="17">
        <f>IFERROR(HistoricalStockProgress[[#This Row],[Cost of Shares]]/HistoricalStockProgress[[#This Row],[No. of Shares]],0)</f>
        <v>115.48970647877745</v>
      </c>
      <c r="H2138" s="16" vm="2585">
        <v>228.49</v>
      </c>
      <c r="I2138" s="16">
        <f>IF(HistoricalStockProgress[[#This Row],[No. of Shares]]&lt;&gt;0,HistoricalStockProgress[[#This Row],[Price of Shares]]*HistoricalStockProgress[[#This Row],[No. of Shares]],0)</f>
        <v>34730.480000000003</v>
      </c>
      <c r="J2138" s="16">
        <f>IF(HistoricalStockProgress[[#This Row],[No. of Shares]]&lt;&gt;0,HistoricalStockProgress[[#This Row],[Price of Shares]]-HistoricalStockProgress[[#This Row],[Cost of Shares]]/HistoricalStockProgress[[#This Row],[No. of Shares]],0)</f>
        <v>113.00029352122256</v>
      </c>
      <c r="K2138" s="17">
        <f>IF(HistoricalStockProgress[[#This Row],[Total Price of Shares]]&lt;&gt;0,HistoricalStockProgress[[#This Row],[Total Price of Shares]]-HistoricalStockProgress[[#This Row],[Cost of Shares]],0)</f>
        <v>17176.04461522583</v>
      </c>
      <c r="L2138" s="34" t="b" cm="1">
        <f t="array" ref="L2138">IFERROR(IF(HistoricalStockProgress[[#This Row],[Price of Shares]]="",_xlfn.STOCKHISTORY(HistoricalStockProgress[[#This Row],[Full Company Name]],HistoricalStockProgress[[#This Row],[Date]],,2,0,1)),0)</f>
        <v>0</v>
      </c>
      <c r="M2138" s="34">
        <f>YEAR(HistoricalStockProgress[[#This Row],[Date]])</f>
        <v>2025</v>
      </c>
      <c r="N2138" s="34">
        <f>MONTH(HistoricalStockProgress[[#This Row],[Date]])</f>
        <v>12</v>
      </c>
    </row>
    <row r="2139" spans="2:14">
      <c r="B2139" s="15">
        <v>46022</v>
      </c>
      <c r="C2139" s="34" t="s">
        <v>88</v>
      </c>
      <c r="D2139" s="34" t="e" vm="9">
        <f>_xlfn.XLOOKUP(HistoricalStockProgress[[#This Row],[Company Ticker]],CompanyDetailsList[Company Ticker],CompanyDetailsList[Official Name],,0)</f>
        <v>#VALUE!</v>
      </c>
      <c r="E21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21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2139" s="17">
        <f>IFERROR(HistoricalStockProgress[[#This Row],[Cost of Shares]]/HistoricalStockProgress[[#This Row],[No. of Shares]],0)</f>
        <v>224.7272684493652</v>
      </c>
      <c r="H2139" s="16" vm="2586">
        <v>305.63</v>
      </c>
      <c r="I2139" s="16">
        <f>IF(HistoricalStockProgress[[#This Row],[No. of Shares]]&lt;&gt;0,HistoricalStockProgress[[#This Row],[Price of Shares]]*HistoricalStockProgress[[#This Row],[No. of Shares]],0)</f>
        <v>29034.85</v>
      </c>
      <c r="J2139" s="16">
        <f>IF(HistoricalStockProgress[[#This Row],[No. of Shares]]&lt;&gt;0,HistoricalStockProgress[[#This Row],[Price of Shares]]-HistoricalStockProgress[[#This Row],[Cost of Shares]]/HistoricalStockProgress[[#This Row],[No. of Shares]],0)</f>
        <v>80.902731550634797</v>
      </c>
      <c r="K2139" s="17">
        <f>IF(HistoricalStockProgress[[#This Row],[Total Price of Shares]]&lt;&gt;0,HistoricalStockProgress[[#This Row],[Total Price of Shares]]-HistoricalStockProgress[[#This Row],[Cost of Shares]],0)</f>
        <v>7685.7594973103041</v>
      </c>
      <c r="L2139" s="34" t="b" cm="1">
        <f t="array" ref="L2139">IFERROR(IF(HistoricalStockProgress[[#This Row],[Price of Shares]]="",_xlfn.STOCKHISTORY(HistoricalStockProgress[[#This Row],[Full Company Name]],HistoricalStockProgress[[#This Row],[Date]],,2,0,1)),0)</f>
        <v>0</v>
      </c>
      <c r="M2139" s="34">
        <f>YEAR(HistoricalStockProgress[[#This Row],[Date]])</f>
        <v>2025</v>
      </c>
      <c r="N2139" s="34">
        <f>MONTH(HistoricalStockProgress[[#This Row],[Date]])</f>
        <v>12</v>
      </c>
    </row>
    <row r="2140" spans="2:14">
      <c r="B2140" s="15">
        <v>46022</v>
      </c>
      <c r="C2140" s="34" t="s">
        <v>22</v>
      </c>
      <c r="D2140" s="34" t="e" vm="10">
        <f>_xlfn.XLOOKUP(HistoricalStockProgress[[#This Row],[Company Ticker]],CompanyDetailsList[Company Ticker],CompanyDetailsList[Official Name],,0)</f>
        <v>#VALUE!</v>
      </c>
      <c r="E21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21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2140" s="17">
        <f>IFERROR(HistoricalStockProgress[[#This Row],[Cost of Shares]]/HistoricalStockProgress[[#This Row],[No. of Shares]],0)</f>
        <v>130.19784136724968</v>
      </c>
      <c r="H2140" s="16" vm="2587">
        <v>572.87</v>
      </c>
      <c r="I2140" s="16">
        <f>IF(HistoricalStockProgress[[#This Row],[No. of Shares]]&lt;&gt;0,HistoricalStockProgress[[#This Row],[Price of Shares]]*HistoricalStockProgress[[#This Row],[No. of Shares]],0)</f>
        <v>68171.53</v>
      </c>
      <c r="J2140" s="16">
        <f>IF(HistoricalStockProgress[[#This Row],[No. of Shares]]&lt;&gt;0,HistoricalStockProgress[[#This Row],[Price of Shares]]-HistoricalStockProgress[[#This Row],[Cost of Shares]]/HistoricalStockProgress[[#This Row],[No. of Shares]],0)</f>
        <v>442.67215863275032</v>
      </c>
      <c r="K2140" s="17">
        <f>IF(HistoricalStockProgress[[#This Row],[Total Price of Shares]]&lt;&gt;0,HistoricalStockProgress[[#This Row],[Total Price of Shares]]-HistoricalStockProgress[[#This Row],[Cost of Shares]],0)</f>
        <v>52677.986877297284</v>
      </c>
      <c r="L2140" s="34" t="b" cm="1">
        <f t="array" ref="L2140">IFERROR(IF(HistoricalStockProgress[[#This Row],[Price of Shares]]="",_xlfn.STOCKHISTORY(HistoricalStockProgress[[#This Row],[Full Company Name]],HistoricalStockProgress[[#This Row],[Date]],,2,0,1)),0)</f>
        <v>0</v>
      </c>
      <c r="M2140" s="34">
        <f>YEAR(HistoricalStockProgress[[#This Row],[Date]])</f>
        <v>2025</v>
      </c>
      <c r="N2140" s="34">
        <f>MONTH(HistoricalStockProgress[[#This Row],[Date]])</f>
        <v>12</v>
      </c>
    </row>
    <row r="2141" spans="2:14">
      <c r="B2141" s="15">
        <v>46022</v>
      </c>
      <c r="C2141" s="34" t="s">
        <v>91</v>
      </c>
      <c r="D2141" s="34" t="e" vm="11">
        <f>_xlfn.XLOOKUP(HistoricalStockProgress[[#This Row],[Company Ticker]],CompanyDetailsList[Company Ticker],CompanyDetailsList[Official Name],,0)</f>
        <v>#VALUE!</v>
      </c>
      <c r="E21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203</v>
      </c>
      <c r="F21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37263.08408940176</v>
      </c>
      <c r="G2141" s="17">
        <f>IFERROR(HistoricalStockProgress[[#This Row],[Cost of Shares]]/HistoricalStockProgress[[#This Row],[No. of Shares]],0)</f>
        <v>183.56199058818601</v>
      </c>
      <c r="H2141" s="16" vm="554">
        <v>483.62</v>
      </c>
      <c r="I2141" s="16">
        <f>IF(HistoricalStockProgress[[#This Row],[No. of Shares]]&lt;&gt;0,HistoricalStockProgress[[#This Row],[Price of Shares]]*HistoricalStockProgress[[#This Row],[No. of Shares]],0)</f>
        <v>98174.86</v>
      </c>
      <c r="J2141" s="16">
        <f>IF(HistoricalStockProgress[[#This Row],[No. of Shares]]&lt;&gt;0,HistoricalStockProgress[[#This Row],[Price of Shares]]-HistoricalStockProgress[[#This Row],[Cost of Shares]]/HistoricalStockProgress[[#This Row],[No. of Shares]],0)</f>
        <v>300.058009411814</v>
      </c>
      <c r="K2141" s="17">
        <f>IF(HistoricalStockProgress[[#This Row],[Total Price of Shares]]&lt;&gt;0,HistoricalStockProgress[[#This Row],[Total Price of Shares]]-HistoricalStockProgress[[#This Row],[Cost of Shares]],0)</f>
        <v>60911.77591059824</v>
      </c>
      <c r="L2141" s="34" t="b" cm="1">
        <f t="array" ref="L2141">IFERROR(IF(HistoricalStockProgress[[#This Row],[Price of Shares]]="",_xlfn.STOCKHISTORY(HistoricalStockProgress[[#This Row],[Full Company Name]],HistoricalStockProgress[[#This Row],[Date]],,2,0,1)),0)</f>
        <v>0</v>
      </c>
      <c r="M2141" s="34">
        <f>YEAR(HistoricalStockProgress[[#This Row],[Date]])</f>
        <v>2025</v>
      </c>
      <c r="N2141" s="34">
        <f>MONTH(HistoricalStockProgress[[#This Row],[Date]])</f>
        <v>12</v>
      </c>
    </row>
    <row r="2142" spans="2:14">
      <c r="B2142" s="15">
        <v>46022</v>
      </c>
      <c r="C2142" s="34" t="s">
        <v>16</v>
      </c>
      <c r="D2142" s="34" t="e" vm="12">
        <f>_xlfn.XLOOKUP(HistoricalStockProgress[[#This Row],[Company Ticker]],CompanyDetailsList[Company Ticker],CompanyDetailsList[Official Name],,0)</f>
        <v>#VALUE!</v>
      </c>
      <c r="E21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185</v>
      </c>
      <c r="F21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13896.774162802689</v>
      </c>
      <c r="G2142" s="17">
        <f>IFERROR(HistoricalStockProgress[[#This Row],[Cost of Shares]]/HistoricalStockProgress[[#This Row],[No. of Shares]],0)</f>
        <v>75.117698177311837</v>
      </c>
      <c r="H2142" s="16" vm="2588">
        <v>120.34</v>
      </c>
      <c r="I2142" s="16">
        <f>IF(HistoricalStockProgress[[#This Row],[No. of Shares]]&lt;&gt;0,HistoricalStockProgress[[#This Row],[Price of Shares]]*HistoricalStockProgress[[#This Row],[No. of Shares]],0)</f>
        <v>22262.9</v>
      </c>
      <c r="J2142" s="16">
        <f>IF(HistoricalStockProgress[[#This Row],[No. of Shares]]&lt;&gt;0,HistoricalStockProgress[[#This Row],[Price of Shares]]-HistoricalStockProgress[[#This Row],[Cost of Shares]]/HistoricalStockProgress[[#This Row],[No. of Shares]],0)</f>
        <v>45.222301822688166</v>
      </c>
      <c r="K2142" s="17">
        <f>IF(HistoricalStockProgress[[#This Row],[Total Price of Shares]]&lt;&gt;0,HistoricalStockProgress[[#This Row],[Total Price of Shares]]-HistoricalStockProgress[[#This Row],[Cost of Shares]],0)</f>
        <v>8366.1258371973126</v>
      </c>
      <c r="L2142" s="34" t="b" cm="1">
        <f t="array" ref="L2142">IFERROR(IF(HistoricalStockProgress[[#This Row],[Price of Shares]]="",_xlfn.STOCKHISTORY(HistoricalStockProgress[[#This Row],[Full Company Name]],HistoricalStockProgress[[#This Row],[Date]],,2,0,1)),0)</f>
        <v>0</v>
      </c>
      <c r="M2142" s="34">
        <f>YEAR(HistoricalStockProgress[[#This Row],[Date]])</f>
        <v>2025</v>
      </c>
      <c r="N2142" s="34">
        <f>MONTH(HistoricalStockProgress[[#This Row],[Date]])</f>
        <v>12</v>
      </c>
    </row>
    <row r="2143" spans="2:14">
      <c r="B2143" s="15">
        <v>46022</v>
      </c>
      <c r="C2143" s="34" t="s">
        <v>95</v>
      </c>
      <c r="D2143" s="34" t="e" vm="13">
        <f>_xlfn.XLOOKUP(HistoricalStockProgress[[#This Row],[Company Ticker]],CompanyDetailsList[Company Ticker],CompanyDetailsList[Official Name],,0)</f>
        <v>#VALUE!</v>
      </c>
      <c r="E21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172</v>
      </c>
      <c r="F21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47379.162890220832</v>
      </c>
      <c r="G2143" s="17">
        <f>IFERROR(HistoricalStockProgress[[#This Row],[Cost of Shares]]/HistoricalStockProgress[[#This Row],[No. of Shares]],0)</f>
        <v>275.46024936174905</v>
      </c>
      <c r="H2143" s="16" vm="2589">
        <v>344.1</v>
      </c>
      <c r="I2143" s="16">
        <f>IF(HistoricalStockProgress[[#This Row],[No. of Shares]]&lt;&gt;0,HistoricalStockProgress[[#This Row],[Price of Shares]]*HistoricalStockProgress[[#This Row],[No. of Shares]],0)</f>
        <v>59185.200000000004</v>
      </c>
      <c r="J2143" s="16">
        <f>IF(HistoricalStockProgress[[#This Row],[No. of Shares]]&lt;&gt;0,HistoricalStockProgress[[#This Row],[Price of Shares]]-HistoricalStockProgress[[#This Row],[Cost of Shares]]/HistoricalStockProgress[[#This Row],[No. of Shares]],0)</f>
        <v>68.639750638250973</v>
      </c>
      <c r="K2143" s="17">
        <f>IF(HistoricalStockProgress[[#This Row],[Total Price of Shares]]&lt;&gt;0,HistoricalStockProgress[[#This Row],[Total Price of Shares]]-HistoricalStockProgress[[#This Row],[Cost of Shares]],0)</f>
        <v>11806.037109779172</v>
      </c>
      <c r="L2143" s="34" t="b" cm="1">
        <f t="array" ref="L2143">IFERROR(IF(HistoricalStockProgress[[#This Row],[Price of Shares]]="",_xlfn.STOCKHISTORY(HistoricalStockProgress[[#This Row],[Full Company Name]],HistoricalStockProgress[[#This Row],[Date]],,2,0,1)),0)</f>
        <v>0</v>
      </c>
      <c r="M2143" s="34">
        <f>YEAR(HistoricalStockProgress[[#This Row],[Date]])</f>
        <v>2025</v>
      </c>
      <c r="N2143" s="34">
        <f>MONTH(HistoricalStockProgress[[#This Row],[Date]])</f>
        <v>12</v>
      </c>
    </row>
    <row r="2144" spans="2:14">
      <c r="B2144" s="15">
        <v>46022</v>
      </c>
      <c r="C2144" s="34" t="s">
        <v>17</v>
      </c>
      <c r="D2144" s="34" t="e" vm="14">
        <f>_xlfn.XLOOKUP(HistoricalStockProgress[[#This Row],[Company Ticker]],CompanyDetailsList[Company Ticker],CompanyDetailsList[Official Name],,0)</f>
        <v>#VALUE!</v>
      </c>
      <c r="E21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21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2144" s="17">
        <f>IFERROR(HistoricalStockProgress[[#This Row],[Cost of Shares]]/HistoricalStockProgress[[#This Row],[No. of Shares]],0)</f>
        <v>143.37791217450521</v>
      </c>
      <c r="H2144" s="16" vm="2590">
        <v>296.20999999999998</v>
      </c>
      <c r="I2144" s="16">
        <f>IF(HistoricalStockProgress[[#This Row],[No. of Shares]]&lt;&gt;0,HistoricalStockProgress[[#This Row],[Price of Shares]]*HistoricalStockProgress[[#This Row],[No. of Shares]],0)</f>
        <v>68424.509999999995</v>
      </c>
      <c r="J2144" s="16">
        <f>IF(HistoricalStockProgress[[#This Row],[No. of Shares]]&lt;&gt;0,HistoricalStockProgress[[#This Row],[Price of Shares]]-HistoricalStockProgress[[#This Row],[Cost of Shares]]/HistoricalStockProgress[[#This Row],[No. of Shares]],0)</f>
        <v>152.83208782549477</v>
      </c>
      <c r="K2144" s="17">
        <f>IF(HistoricalStockProgress[[#This Row],[Total Price of Shares]]&lt;&gt;0,HistoricalStockProgress[[#This Row],[Total Price of Shares]]-HistoricalStockProgress[[#This Row],[Cost of Shares]],0)</f>
        <v>35304.21228768929</v>
      </c>
      <c r="L2144" s="34" t="b" cm="1">
        <f t="array" ref="L2144">IFERROR(IF(HistoricalStockProgress[[#This Row],[Price of Shares]]="",_xlfn.STOCKHISTORY(HistoricalStockProgress[[#This Row],[Full Company Name]],HistoricalStockProgress[[#This Row],[Date]],,2,0,1)),0)</f>
        <v>0</v>
      </c>
      <c r="M2144" s="34">
        <f>YEAR(HistoricalStockProgress[[#This Row],[Date]])</f>
        <v>2025</v>
      </c>
      <c r="N2144" s="34">
        <f>MONTH(HistoricalStockProgress[[#This Row],[Date]])</f>
        <v>12</v>
      </c>
    </row>
    <row r="2145" spans="2:14">
      <c r="B2145" s="15">
        <v>46022</v>
      </c>
      <c r="C2145" s="34" t="s">
        <v>98</v>
      </c>
      <c r="D2145" s="34" t="e" vm="15">
        <f>_xlfn.XLOOKUP(HistoricalStockProgress[[#This Row],[Company Ticker]],CompanyDetailsList[Company Ticker],CompanyDetailsList[Official Name],,0)</f>
        <v>#VALUE!</v>
      </c>
      <c r="E21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193</v>
      </c>
      <c r="F21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11397.772474019517</v>
      </c>
      <c r="G2145" s="17">
        <f>IFERROR(HistoricalStockProgress[[#This Row],[Cost of Shares]]/HistoricalStockProgress[[#This Row],[No. of Shares]],0)</f>
        <v>59.055815927562264</v>
      </c>
      <c r="H2145" s="16" vm="1116">
        <v>80.28</v>
      </c>
      <c r="I2145" s="16">
        <f>IF(HistoricalStockProgress[[#This Row],[No. of Shares]]&lt;&gt;0,HistoricalStockProgress[[#This Row],[Price of Shares]]*HistoricalStockProgress[[#This Row],[No. of Shares]],0)</f>
        <v>15494.04</v>
      </c>
      <c r="J2145" s="16">
        <f>IF(HistoricalStockProgress[[#This Row],[No. of Shares]]&lt;&gt;0,HistoricalStockProgress[[#This Row],[Price of Shares]]-HistoricalStockProgress[[#This Row],[Cost of Shares]]/HistoricalStockProgress[[#This Row],[No. of Shares]],0)</f>
        <v>21.224184072437737</v>
      </c>
      <c r="K2145" s="17">
        <f>IF(HistoricalStockProgress[[#This Row],[Total Price of Shares]]&lt;&gt;0,HistoricalStockProgress[[#This Row],[Total Price of Shares]]-HistoricalStockProgress[[#This Row],[Cost of Shares]],0)</f>
        <v>4096.2675259804837</v>
      </c>
      <c r="L2145" s="34" t="b" cm="1">
        <f t="array" ref="L2145">IFERROR(IF(HistoricalStockProgress[[#This Row],[Price of Shares]]="",_xlfn.STOCKHISTORY(HistoricalStockProgress[[#This Row],[Full Company Name]],HistoricalStockProgress[[#This Row],[Date]],,2,0,1)),0)</f>
        <v>0</v>
      </c>
      <c r="M2145" s="34">
        <f>YEAR(HistoricalStockProgress[[#This Row],[Date]])</f>
        <v>2025</v>
      </c>
      <c r="N2145" s="34">
        <f>MONTH(HistoricalStockProgress[[#This Row],[Date]])</f>
        <v>12</v>
      </c>
    </row>
    <row r="2146" spans="2:14">
      <c r="B2146" s="15">
        <v>46022</v>
      </c>
      <c r="C2146" s="34" t="s">
        <v>100</v>
      </c>
      <c r="D2146" s="34" t="e" vm="16">
        <f>_xlfn.XLOOKUP(HistoricalStockProgress[[#This Row],[Company Ticker]],CompanyDetailsList[Company Ticker],CompanyDetailsList[Official Name],,0)</f>
        <v>#VALUE!</v>
      </c>
      <c r="E21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21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2146" s="17">
        <f>IFERROR(HistoricalStockProgress[[#This Row],[Cost of Shares]]/HistoricalStockProgress[[#This Row],[No. of Shares]],0)</f>
        <v>92.156351168716071</v>
      </c>
      <c r="H2146" s="16" vm="2591">
        <v>117.21</v>
      </c>
      <c r="I2146" s="16">
        <f>IF(HistoricalStockProgress[[#This Row],[No. of Shares]]&lt;&gt;0,HistoricalStockProgress[[#This Row],[Price of Shares]]*HistoricalStockProgress[[#This Row],[No. of Shares]],0)</f>
        <v>29302.5</v>
      </c>
      <c r="J2146" s="16">
        <f>IF(HistoricalStockProgress[[#This Row],[No. of Shares]]&lt;&gt;0,HistoricalStockProgress[[#This Row],[Price of Shares]]-HistoricalStockProgress[[#This Row],[Cost of Shares]]/HistoricalStockProgress[[#This Row],[No. of Shares]],0)</f>
        <v>25.053648831283923</v>
      </c>
      <c r="K2146" s="17">
        <f>IF(HistoricalStockProgress[[#This Row],[Total Price of Shares]]&lt;&gt;0,HistoricalStockProgress[[#This Row],[Total Price of Shares]]-HistoricalStockProgress[[#This Row],[Cost of Shares]],0)</f>
        <v>6263.4122078209839</v>
      </c>
      <c r="L2146" s="34" t="b" cm="1">
        <f t="array" ref="L2146">IFERROR(IF(HistoricalStockProgress[[#This Row],[Price of Shares]]="",_xlfn.STOCKHISTORY(HistoricalStockProgress[[#This Row],[Full Company Name]],HistoricalStockProgress[[#This Row],[Date]],,2,0,1)),0)</f>
        <v>0</v>
      </c>
      <c r="M2146" s="34">
        <f>YEAR(HistoricalStockProgress[[#This Row],[Date]])</f>
        <v>2025</v>
      </c>
      <c r="N2146" s="34">
        <f>MONTH(HistoricalStockProgress[[#This Row],[Date]])</f>
        <v>12</v>
      </c>
    </row>
    <row r="2147" spans="2:14">
      <c r="B2147" s="15">
        <v>46022</v>
      </c>
      <c r="C2147" s="34" t="s">
        <v>15</v>
      </c>
      <c r="D2147" s="34" t="e" vm="17">
        <f>_xlfn.XLOOKUP(HistoricalStockProgress[[#This Row],[Company Ticker]],CompanyDetailsList[Company Ticker],CompanyDetailsList[Official Name],,0)</f>
        <v>#VALUE!</v>
      </c>
      <c r="E21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21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3479.0458726436</v>
      </c>
      <c r="G2147" s="17">
        <f>IFERROR(HistoricalStockProgress[[#This Row],[Cost of Shares]]/HistoricalStockProgress[[#This Row],[No. of Shares]],0)</f>
        <v>24.85032766174</v>
      </c>
      <c r="H2147" s="16" vm="2592">
        <v>24.84</v>
      </c>
      <c r="I2147" s="16">
        <f>IF(HistoricalStockProgress[[#This Row],[No. of Shares]]&lt;&gt;0,HistoricalStockProgress[[#This Row],[Price of Shares]]*HistoricalStockProgress[[#This Row],[No. of Shares]],0)</f>
        <v>3477.6</v>
      </c>
      <c r="J2147" s="16">
        <f>IF(HistoricalStockProgress[[#This Row],[No. of Shares]]&lt;&gt;0,HistoricalStockProgress[[#This Row],[Price of Shares]]-HistoricalStockProgress[[#This Row],[Cost of Shares]]/HistoricalStockProgress[[#This Row],[No. of Shares]],0)</f>
        <v>-1.0327661739999883E-2</v>
      </c>
      <c r="K2147" s="17">
        <f>IF(HistoricalStockProgress[[#This Row],[Total Price of Shares]]&lt;&gt;0,HistoricalStockProgress[[#This Row],[Total Price of Shares]]-HistoricalStockProgress[[#This Row],[Cost of Shares]],0)</f>
        <v>-1.4458726436000688</v>
      </c>
      <c r="L2147" s="34" t="b" cm="1">
        <f t="array" ref="L2147">IFERROR(IF(HistoricalStockProgress[[#This Row],[Price of Shares]]="",_xlfn.STOCKHISTORY(HistoricalStockProgress[[#This Row],[Full Company Name]],HistoricalStockProgress[[#This Row],[Date]],,2,0,1)),0)</f>
        <v>0</v>
      </c>
      <c r="M2147" s="34">
        <f>YEAR(HistoricalStockProgress[[#This Row],[Date]])</f>
        <v>2025</v>
      </c>
      <c r="N2147" s="34">
        <f>MONTH(HistoricalStockProgress[[#This Row],[Date]])</f>
        <v>12</v>
      </c>
    </row>
    <row r="2148" spans="2:14">
      <c r="B2148" s="15">
        <v>46022</v>
      </c>
      <c r="C2148" s="34" t="s">
        <v>13</v>
      </c>
      <c r="D2148" s="34" t="e" vm="18">
        <f>_xlfn.XLOOKUP(HistoricalStockProgress[[#This Row],[Company Ticker]],CompanyDetailsList[Company Ticker],CompanyDetailsList[Official Name],,0)</f>
        <v>#VALUE!</v>
      </c>
      <c r="E21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21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3394.2551594478332</v>
      </c>
      <c r="G2148" s="17">
        <f>IFERROR(HistoricalStockProgress[[#This Row],[Cost of Shares]]/HistoricalStockProgress[[#This Row],[No. of Shares]],0)</f>
        <v>32.021275089130505</v>
      </c>
      <c r="H2148" s="16" vm="2593">
        <v>24.9</v>
      </c>
      <c r="I2148" s="16">
        <f>IF(HistoricalStockProgress[[#This Row],[No. of Shares]]&lt;&gt;0,HistoricalStockProgress[[#This Row],[Price of Shares]]*HistoricalStockProgress[[#This Row],[No. of Shares]],0)</f>
        <v>2639.3999999999996</v>
      </c>
      <c r="J2148" s="16">
        <f>IF(HistoricalStockProgress[[#This Row],[No. of Shares]]&lt;&gt;0,HistoricalStockProgress[[#This Row],[Price of Shares]]-HistoricalStockProgress[[#This Row],[Cost of Shares]]/HistoricalStockProgress[[#This Row],[No. of Shares]],0)</f>
        <v>-7.1212750891305063</v>
      </c>
      <c r="K2148" s="17">
        <f>IF(HistoricalStockProgress[[#This Row],[Total Price of Shares]]&lt;&gt;0,HistoricalStockProgress[[#This Row],[Total Price of Shares]]-HistoricalStockProgress[[#This Row],[Cost of Shares]],0)</f>
        <v>-754.85515944783356</v>
      </c>
      <c r="L2148" s="34" t="b" cm="1">
        <f t="array" ref="L2148">IFERROR(IF(HistoricalStockProgress[[#This Row],[Price of Shares]]="",_xlfn.STOCKHISTORY(HistoricalStockProgress[[#This Row],[Full Company Name]],HistoricalStockProgress[[#This Row],[Date]],,2,0,1)),0)</f>
        <v>0</v>
      </c>
      <c r="M2148" s="34">
        <f>YEAR(HistoricalStockProgress[[#This Row],[Date]])</f>
        <v>2025</v>
      </c>
      <c r="N2148" s="34">
        <f>MONTH(HistoricalStockProgress[[#This Row],[Date]])</f>
        <v>12</v>
      </c>
    </row>
    <row r="2149" spans="2:14">
      <c r="B2149" s="15">
        <v>46022</v>
      </c>
      <c r="C2149" s="34" t="s">
        <v>20</v>
      </c>
      <c r="D2149" s="34" t="e" vm="19">
        <f>_xlfn.XLOOKUP(HistoricalStockProgress[[#This Row],[Company Ticker]],CompanyDetailsList[Company Ticker],CompanyDetailsList[Official Name],,0)</f>
        <v>#VALUE!</v>
      </c>
      <c r="E21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21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2149" s="17">
        <f>IFERROR(HistoricalStockProgress[[#This Row],[Cost of Shares]]/HistoricalStockProgress[[#This Row],[No. of Shares]],0)</f>
        <v>108.1760767450256</v>
      </c>
      <c r="H2149" s="16" vm="2594">
        <v>322.22000000000003</v>
      </c>
      <c r="I2149" s="16">
        <f>IF(HistoricalStockProgress[[#This Row],[No. of Shares]]&lt;&gt;0,HistoricalStockProgress[[#This Row],[Price of Shares]]*HistoricalStockProgress[[#This Row],[No. of Shares]],0)</f>
        <v>37377.520000000004</v>
      </c>
      <c r="J2149" s="16">
        <f>IF(HistoricalStockProgress[[#This Row],[No. of Shares]]&lt;&gt;0,HistoricalStockProgress[[#This Row],[Price of Shares]]-HistoricalStockProgress[[#This Row],[Cost of Shares]]/HistoricalStockProgress[[#This Row],[No. of Shares]],0)</f>
        <v>214.04392325497443</v>
      </c>
      <c r="K2149" s="17">
        <f>IF(HistoricalStockProgress[[#This Row],[Total Price of Shares]]&lt;&gt;0,HistoricalStockProgress[[#This Row],[Total Price of Shares]]-HistoricalStockProgress[[#This Row],[Cost of Shares]],0)</f>
        <v>24829.095097577036</v>
      </c>
      <c r="L2149" s="34" t="b" cm="1">
        <f t="array" ref="L2149">IFERROR(IF(HistoricalStockProgress[[#This Row],[Price of Shares]]="",_xlfn.STOCKHISTORY(HistoricalStockProgress[[#This Row],[Full Company Name]],HistoricalStockProgress[[#This Row],[Date]],,2,0,1)),0)</f>
        <v>0</v>
      </c>
      <c r="M2149" s="34">
        <f>YEAR(HistoricalStockProgress[[#This Row],[Date]])</f>
        <v>2025</v>
      </c>
      <c r="N2149" s="34">
        <f>MONTH(HistoricalStockProgress[[#This Row],[Date]])</f>
        <v>12</v>
      </c>
    </row>
    <row r="2150" spans="2:14">
      <c r="B2150" s="15">
        <v>46022</v>
      </c>
      <c r="C2150" s="34" t="s">
        <v>106</v>
      </c>
      <c r="D2150" s="34" t="e" vm="20">
        <f>_xlfn.XLOOKUP(HistoricalStockProgress[[#This Row],[Company Ticker]],CompanyDetailsList[Company Ticker],CompanyDetailsList[Official Name],,0)</f>
        <v>#VALUE!</v>
      </c>
      <c r="E21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21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8575.3478914575226</v>
      </c>
      <c r="G2150" s="17">
        <f>IFERROR(HistoricalStockProgress[[#This Row],[Cost of Shares]]/HistoricalStockProgress[[#This Row],[No. of Shares]],0)</f>
        <v>108.54870748680408</v>
      </c>
      <c r="H2150" s="16" vm="2595">
        <v>102.46</v>
      </c>
      <c r="I2150" s="16">
        <f>IF(HistoricalStockProgress[[#This Row],[No. of Shares]]&lt;&gt;0,HistoricalStockProgress[[#This Row],[Price of Shares]]*HistoricalStockProgress[[#This Row],[No. of Shares]],0)</f>
        <v>8094.3399999999992</v>
      </c>
      <c r="J2150" s="16">
        <f>IF(HistoricalStockProgress[[#This Row],[No. of Shares]]&lt;&gt;0,HistoricalStockProgress[[#This Row],[Price of Shares]]-HistoricalStockProgress[[#This Row],[Cost of Shares]]/HistoricalStockProgress[[#This Row],[No. of Shares]],0)</f>
        <v>-6.0887074868040827</v>
      </c>
      <c r="K2150" s="17">
        <f>IF(HistoricalStockProgress[[#This Row],[Total Price of Shares]]&lt;&gt;0,HistoricalStockProgress[[#This Row],[Total Price of Shares]]-HistoricalStockProgress[[#This Row],[Cost of Shares]],0)</f>
        <v>-481.00789145752333</v>
      </c>
      <c r="L2150" s="34" t="b" cm="1">
        <f t="array" ref="L2150">IFERROR(IF(HistoricalStockProgress[[#This Row],[Price of Shares]]="",_xlfn.STOCKHISTORY(HistoricalStockProgress[[#This Row],[Full Company Name]],HistoricalStockProgress[[#This Row],[Date]],,2,0,1)),0)</f>
        <v>0</v>
      </c>
      <c r="M2150" s="34">
        <f>YEAR(HistoricalStockProgress[[#This Row],[Date]])</f>
        <v>2025</v>
      </c>
      <c r="N2150" s="34">
        <f>MONTH(HistoricalStockProgress[[#This Row],[Date]])</f>
        <v>12</v>
      </c>
    </row>
    <row r="2151" spans="2:14">
      <c r="B2151" s="15">
        <v>46053</v>
      </c>
      <c r="C2151" s="34" t="s">
        <v>12</v>
      </c>
      <c r="D2151" s="34" t="e" vm="1">
        <f>_xlfn.XLOOKUP(HistoricalStockProgress[[#This Row],[Company Ticker]],CompanyDetailsList[Company Ticker],CompanyDetailsList[Official Name],,0)</f>
        <v>#VALUE!</v>
      </c>
      <c r="E21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21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2151" s="17">
        <f>IFERROR(HistoricalStockProgress[[#This Row],[Cost of Shares]]/HistoricalStockProgress[[#This Row],[No. of Shares]],0)</f>
        <v>64.573985995316889</v>
      </c>
      <c r="H2151" s="16" vm="2596">
        <v>61.16</v>
      </c>
      <c r="I2151" s="16">
        <f>IF(HistoricalStockProgress[[#This Row],[No. of Shares]]&lt;&gt;0,HistoricalStockProgress[[#This Row],[Price of Shares]]*HistoricalStockProgress[[#This Row],[No. of Shares]],0)</f>
        <v>5932.5199999999995</v>
      </c>
      <c r="J2151" s="16">
        <f>IF(HistoricalStockProgress[[#This Row],[No. of Shares]]&lt;&gt;0,HistoricalStockProgress[[#This Row],[Price of Shares]]-HistoricalStockProgress[[#This Row],[Cost of Shares]]/HistoricalStockProgress[[#This Row],[No. of Shares]],0)</f>
        <v>-3.4139859953168923</v>
      </c>
      <c r="K2151" s="17">
        <f>IF(HistoricalStockProgress[[#This Row],[Total Price of Shares]]&lt;&gt;0,HistoricalStockProgress[[#This Row],[Total Price of Shares]]-HistoricalStockProgress[[#This Row],[Cost of Shares]],0)</f>
        <v>-331.15664154573824</v>
      </c>
      <c r="L2151" s="34" t="b" cm="1">
        <f t="array" ref="L2151">IFERROR(IF(HistoricalStockProgress[[#This Row],[Price of Shares]]="",_xlfn.STOCKHISTORY(HistoricalStockProgress[[#This Row],[Full Company Name]],HistoricalStockProgress[[#This Row],[Date]],,2,0,1)),0)</f>
        <v>0</v>
      </c>
      <c r="M2151" s="34">
        <f>YEAR(HistoricalStockProgress[[#This Row],[Date]])</f>
        <v>2026</v>
      </c>
      <c r="N2151" s="34">
        <f>MONTH(HistoricalStockProgress[[#This Row],[Date]])</f>
        <v>1</v>
      </c>
    </row>
    <row r="2152" spans="2:14">
      <c r="B2152" s="15">
        <v>46053</v>
      </c>
      <c r="C2152" s="34" t="s">
        <v>14</v>
      </c>
      <c r="D2152" s="34" t="e" vm="2">
        <f>_xlfn.XLOOKUP(HistoricalStockProgress[[#This Row],[Company Ticker]],CompanyDetailsList[Company Ticker],CompanyDetailsList[Official Name],,0)</f>
        <v>#VALUE!</v>
      </c>
      <c r="E21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21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2152" s="17">
        <f>IFERROR(HistoricalStockProgress[[#This Row],[Cost of Shares]]/HistoricalStockProgress[[#This Row],[No. of Shares]],0)</f>
        <v>26.819337355148658</v>
      </c>
      <c r="H2152" s="16" vm="2597">
        <v>36.15</v>
      </c>
      <c r="I2152" s="16">
        <f>IF(HistoricalStockProgress[[#This Row],[No. of Shares]]&lt;&gt;0,HistoricalStockProgress[[#This Row],[Price of Shares]]*HistoricalStockProgress[[#This Row],[No. of Shares]],0)</f>
        <v>2277.4499999999998</v>
      </c>
      <c r="J2152" s="16">
        <f>IF(HistoricalStockProgress[[#This Row],[No. of Shares]]&lt;&gt;0,HistoricalStockProgress[[#This Row],[Price of Shares]]-HistoricalStockProgress[[#This Row],[Cost of Shares]]/HistoricalStockProgress[[#This Row],[No. of Shares]],0)</f>
        <v>9.3306626448513406</v>
      </c>
      <c r="K2152" s="17">
        <f>IF(HistoricalStockProgress[[#This Row],[Total Price of Shares]]&lt;&gt;0,HistoricalStockProgress[[#This Row],[Total Price of Shares]]-HistoricalStockProgress[[#This Row],[Cost of Shares]],0)</f>
        <v>587.83174662563442</v>
      </c>
      <c r="L2152" s="34" t="b" cm="1">
        <f t="array" ref="L2152">IFERROR(IF(HistoricalStockProgress[[#This Row],[Price of Shares]]="",_xlfn.STOCKHISTORY(HistoricalStockProgress[[#This Row],[Full Company Name]],HistoricalStockProgress[[#This Row],[Date]],,2,0,1)),0)</f>
        <v>0</v>
      </c>
      <c r="M2152" s="34">
        <f>YEAR(HistoricalStockProgress[[#This Row],[Date]])</f>
        <v>2026</v>
      </c>
      <c r="N2152" s="34">
        <f>MONTH(HistoricalStockProgress[[#This Row],[Date]])</f>
        <v>1</v>
      </c>
    </row>
    <row r="2153" spans="2:14">
      <c r="B2153" s="15">
        <v>46053</v>
      </c>
      <c r="C2153" s="34" t="s">
        <v>19</v>
      </c>
      <c r="D2153" s="34" t="e" vm="3">
        <f>_xlfn.XLOOKUP(HistoricalStockProgress[[#This Row],[Company Ticker]],CompanyDetailsList[Company Ticker],CompanyDetailsList[Official Name],,0)</f>
        <v>#VALUE!</v>
      </c>
      <c r="E21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21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2153" s="17">
        <f>IFERROR(HistoricalStockProgress[[#This Row],[Cost of Shares]]/HistoricalStockProgress[[#This Row],[No. of Shares]],0)</f>
        <v>160.12652821044301</v>
      </c>
      <c r="H2153" s="16" vm="2598">
        <v>112.79</v>
      </c>
      <c r="I2153" s="16">
        <f>IF(HistoricalStockProgress[[#This Row],[No. of Shares]]&lt;&gt;0,HistoricalStockProgress[[#This Row],[Price of Shares]]*HistoricalStockProgress[[#This Row],[No. of Shares]],0)</f>
        <v>9699.94</v>
      </c>
      <c r="J2153" s="16">
        <f>IF(HistoricalStockProgress[[#This Row],[No. of Shares]]&lt;&gt;0,HistoricalStockProgress[[#This Row],[Price of Shares]]-HistoricalStockProgress[[#This Row],[Cost of Shares]]/HistoricalStockProgress[[#This Row],[No. of Shares]],0)</f>
        <v>-47.336528210443007</v>
      </c>
      <c r="K2153" s="17">
        <f>IF(HistoricalStockProgress[[#This Row],[Total Price of Shares]]&lt;&gt;0,HistoricalStockProgress[[#This Row],[Total Price of Shares]]-HistoricalStockProgress[[#This Row],[Cost of Shares]],0)</f>
        <v>-4070.9414260980975</v>
      </c>
      <c r="L2153" s="34" t="b" cm="1">
        <f t="array" ref="L2153">IFERROR(IF(HistoricalStockProgress[[#This Row],[Price of Shares]]="",_xlfn.STOCKHISTORY(HistoricalStockProgress[[#This Row],[Full Company Name]],HistoricalStockProgress[[#This Row],[Date]],,2,0,1)),0)</f>
        <v>0</v>
      </c>
      <c r="M2153" s="34">
        <f>YEAR(HistoricalStockProgress[[#This Row],[Date]])</f>
        <v>2026</v>
      </c>
      <c r="N2153" s="34">
        <f>MONTH(HistoricalStockProgress[[#This Row],[Date]])</f>
        <v>1</v>
      </c>
    </row>
    <row r="2154" spans="2:14">
      <c r="B2154" s="15">
        <v>46053</v>
      </c>
      <c r="C2154" s="34" t="s">
        <v>23</v>
      </c>
      <c r="D2154" s="34" t="e" vm="4">
        <f>_xlfn.XLOOKUP(HistoricalStockProgress[[#This Row],[Company Ticker]],CompanyDetailsList[Company Ticker],CompanyDetailsList[Official Name],,0)</f>
        <v>#VALUE!</v>
      </c>
      <c r="E21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21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5636.7217732526415</v>
      </c>
      <c r="G2154" s="17">
        <f>IFERROR(HistoricalStockProgress[[#This Row],[Cost of Shares]]/HistoricalStockProgress[[#This Row],[No. of Shares]],0)</f>
        <v>50.781277236510284</v>
      </c>
      <c r="H2154" s="16" vm="2599">
        <v>74.81</v>
      </c>
      <c r="I2154" s="16">
        <f>IF(HistoricalStockProgress[[#This Row],[No. of Shares]]&lt;&gt;0,HistoricalStockProgress[[#This Row],[Price of Shares]]*HistoricalStockProgress[[#This Row],[No. of Shares]],0)</f>
        <v>8303.91</v>
      </c>
      <c r="J2154" s="16">
        <f>IF(HistoricalStockProgress[[#This Row],[No. of Shares]]&lt;&gt;0,HistoricalStockProgress[[#This Row],[Price of Shares]]-HistoricalStockProgress[[#This Row],[Cost of Shares]]/HistoricalStockProgress[[#This Row],[No. of Shares]],0)</f>
        <v>24.028722763489718</v>
      </c>
      <c r="K2154" s="17">
        <f>IF(HistoricalStockProgress[[#This Row],[Total Price of Shares]]&lt;&gt;0,HistoricalStockProgress[[#This Row],[Total Price of Shares]]-HistoricalStockProgress[[#This Row],[Cost of Shares]],0)</f>
        <v>2667.1882267473584</v>
      </c>
      <c r="L2154" s="34" t="b" cm="1">
        <f t="array" ref="L2154">IFERROR(IF(HistoricalStockProgress[[#This Row],[Price of Shares]]="",_xlfn.STOCKHISTORY(HistoricalStockProgress[[#This Row],[Full Company Name]],HistoricalStockProgress[[#This Row],[Date]],,2,0,1)),0)</f>
        <v>0</v>
      </c>
      <c r="M2154" s="34">
        <f>YEAR(HistoricalStockProgress[[#This Row],[Date]])</f>
        <v>2026</v>
      </c>
      <c r="N2154" s="34">
        <f>MONTH(HistoricalStockProgress[[#This Row],[Date]])</f>
        <v>1</v>
      </c>
    </row>
    <row r="2155" spans="2:14">
      <c r="B2155" s="15">
        <v>46053</v>
      </c>
      <c r="C2155" s="34" t="s">
        <v>18</v>
      </c>
      <c r="D2155" s="34" t="e" vm="5">
        <f>_xlfn.XLOOKUP(HistoricalStockProgress[[#This Row],[Company Ticker]],CompanyDetailsList[Company Ticker],CompanyDetailsList[Official Name],,0)</f>
        <v>#VALUE!</v>
      </c>
      <c r="E21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21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2155" s="17">
        <f>IFERROR(HistoricalStockProgress[[#This Row],[Cost of Shares]]/HistoricalStockProgress[[#This Row],[No. of Shares]],0)</f>
        <v>160.8859607546234</v>
      </c>
      <c r="H2155" s="16" vm="2600">
        <v>153.63</v>
      </c>
      <c r="I2155" s="16">
        <f>IF(HistoricalStockProgress[[#This Row],[No. of Shares]]&lt;&gt;0,HistoricalStockProgress[[#This Row],[Price of Shares]]*HistoricalStockProgress[[#This Row],[No. of Shares]],0)</f>
        <v>6606.09</v>
      </c>
      <c r="J2155" s="16">
        <f>IF(HistoricalStockProgress[[#This Row],[No. of Shares]]&lt;&gt;0,HistoricalStockProgress[[#This Row],[Price of Shares]]-HistoricalStockProgress[[#This Row],[Cost of Shares]]/HistoricalStockProgress[[#This Row],[No. of Shares]],0)</f>
        <v>-7.255960754623402</v>
      </c>
      <c r="K2155" s="17">
        <f>IF(HistoricalStockProgress[[#This Row],[Total Price of Shares]]&lt;&gt;0,HistoricalStockProgress[[#This Row],[Total Price of Shares]]-HistoricalStockProgress[[#This Row],[Cost of Shares]],0)</f>
        <v>-312.00631244880606</v>
      </c>
      <c r="L2155" s="34" t="b" cm="1">
        <f t="array" ref="L2155">IFERROR(IF(HistoricalStockProgress[[#This Row],[Price of Shares]]="",_xlfn.STOCKHISTORY(HistoricalStockProgress[[#This Row],[Full Company Name]],HistoricalStockProgress[[#This Row],[Date]],,2,0,1)),0)</f>
        <v>0</v>
      </c>
      <c r="M2155" s="34">
        <f>YEAR(HistoricalStockProgress[[#This Row],[Date]])</f>
        <v>2026</v>
      </c>
      <c r="N2155" s="34">
        <f>MONTH(HistoricalStockProgress[[#This Row],[Date]])</f>
        <v>1</v>
      </c>
    </row>
    <row r="2156" spans="2:14">
      <c r="B2156" s="15">
        <v>46053</v>
      </c>
      <c r="C2156" s="34" t="s">
        <v>21</v>
      </c>
      <c r="D2156" s="34" t="e" vm="6">
        <f>_xlfn.XLOOKUP(HistoricalStockProgress[[#This Row],[Company Ticker]],CompanyDetailsList[Company Ticker],CompanyDetailsList[Official Name],,0)</f>
        <v>#VALUE!</v>
      </c>
      <c r="E21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84</v>
      </c>
      <c r="F21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12738.215402497406</v>
      </c>
      <c r="G2156" s="17">
        <f>IFERROR(HistoricalStockProgress[[#This Row],[Cost of Shares]]/HistoricalStockProgress[[#This Row],[No. of Shares]],0)</f>
        <v>151.64542145830245</v>
      </c>
      <c r="H2156" s="16" vm="2601">
        <v>151.77000000000001</v>
      </c>
      <c r="I2156" s="16">
        <f>IF(HistoricalStockProgress[[#This Row],[No. of Shares]]&lt;&gt;0,HistoricalStockProgress[[#This Row],[Price of Shares]]*HistoricalStockProgress[[#This Row],[No. of Shares]],0)</f>
        <v>12748.68</v>
      </c>
      <c r="J2156" s="16">
        <f>IF(HistoricalStockProgress[[#This Row],[No. of Shares]]&lt;&gt;0,HistoricalStockProgress[[#This Row],[Price of Shares]]-HistoricalStockProgress[[#This Row],[Cost of Shares]]/HistoricalStockProgress[[#This Row],[No. of Shares]],0)</f>
        <v>0.12457854169755933</v>
      </c>
      <c r="K2156" s="17">
        <f>IF(HistoricalStockProgress[[#This Row],[Total Price of Shares]]&lt;&gt;0,HistoricalStockProgress[[#This Row],[Total Price of Shares]]-HistoricalStockProgress[[#This Row],[Cost of Shares]],0)</f>
        <v>10.464597502594188</v>
      </c>
      <c r="L2156" s="34" t="b" cm="1">
        <f t="array" ref="L2156">IFERROR(IF(HistoricalStockProgress[[#This Row],[Price of Shares]]="",_xlfn.STOCKHISTORY(HistoricalStockProgress[[#This Row],[Full Company Name]],HistoricalStockProgress[[#This Row],[Date]],,2,0,1)),0)</f>
        <v>0</v>
      </c>
      <c r="M2156" s="34">
        <f>YEAR(HistoricalStockProgress[[#This Row],[Date]])</f>
        <v>2026</v>
      </c>
      <c r="N2156" s="34">
        <f>MONTH(HistoricalStockProgress[[#This Row],[Date]])</f>
        <v>1</v>
      </c>
    </row>
    <row r="2157" spans="2:14">
      <c r="B2157" s="15">
        <v>46053</v>
      </c>
      <c r="C2157" s="34" t="s">
        <v>84</v>
      </c>
      <c r="D2157" s="34" t="e" vm="7">
        <f>_xlfn.XLOOKUP(HistoricalStockProgress[[#This Row],[Company Ticker]],CompanyDetailsList[Company Ticker],CompanyDetailsList[Official Name],,0)</f>
        <v>#VALUE!</v>
      </c>
      <c r="E21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46</v>
      </c>
      <c r="F21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4792.320252277399</v>
      </c>
      <c r="G2157" s="17">
        <f>IFERROR(HistoricalStockProgress[[#This Row],[Cost of Shares]]/HistoricalStockProgress[[#This Row],[No. of Shares]],0)</f>
        <v>104.18087504950867</v>
      </c>
      <c r="H2157" s="16" vm="2602">
        <v>227.25</v>
      </c>
      <c r="I2157" s="16">
        <f>IF(HistoricalStockProgress[[#This Row],[No. of Shares]]&lt;&gt;0,HistoricalStockProgress[[#This Row],[Price of Shares]]*HistoricalStockProgress[[#This Row],[No. of Shares]],0)</f>
        <v>10453.5</v>
      </c>
      <c r="J2157" s="16">
        <f>IF(HistoricalStockProgress[[#This Row],[No. of Shares]]&lt;&gt;0,HistoricalStockProgress[[#This Row],[Price of Shares]]-HistoricalStockProgress[[#This Row],[Cost of Shares]]/HistoricalStockProgress[[#This Row],[No. of Shares]],0)</f>
        <v>123.06912495049133</v>
      </c>
      <c r="K2157" s="17">
        <f>IF(HistoricalStockProgress[[#This Row],[Total Price of Shares]]&lt;&gt;0,HistoricalStockProgress[[#This Row],[Total Price of Shares]]-HistoricalStockProgress[[#This Row],[Cost of Shares]],0)</f>
        <v>5661.179747722601</v>
      </c>
      <c r="L2157" s="34" t="b" cm="1">
        <f t="array" ref="L2157">IFERROR(IF(HistoricalStockProgress[[#This Row],[Price of Shares]]="",_xlfn.STOCKHISTORY(HistoricalStockProgress[[#This Row],[Full Company Name]],HistoricalStockProgress[[#This Row],[Date]],,2,0,1)),0)</f>
        <v>0</v>
      </c>
      <c r="M2157" s="34">
        <f>YEAR(HistoricalStockProgress[[#This Row],[Date]])</f>
        <v>2026</v>
      </c>
      <c r="N2157" s="34">
        <f>MONTH(HistoricalStockProgress[[#This Row],[Date]])</f>
        <v>1</v>
      </c>
    </row>
    <row r="2158" spans="2:14">
      <c r="B2158" s="15">
        <v>46053</v>
      </c>
      <c r="C2158" s="34" t="s">
        <v>86</v>
      </c>
      <c r="D2158" s="34" t="e" vm="8">
        <f>_xlfn.XLOOKUP(HistoricalStockProgress[[#This Row],[Company Ticker]],CompanyDetailsList[Company Ticker],CompanyDetailsList[Official Name],,0)</f>
        <v>#VALUE!</v>
      </c>
      <c r="E21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21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2158" s="17">
        <f>IFERROR(HistoricalStockProgress[[#This Row],[Cost of Shares]]/HistoricalStockProgress[[#This Row],[No. of Shares]],0)</f>
        <v>115.48970647877745</v>
      </c>
      <c r="H2158" s="16" vm="2603">
        <v>223.01</v>
      </c>
      <c r="I2158" s="16">
        <f>IF(HistoricalStockProgress[[#This Row],[No. of Shares]]&lt;&gt;0,HistoricalStockProgress[[#This Row],[Price of Shares]]*HistoricalStockProgress[[#This Row],[No. of Shares]],0)</f>
        <v>33897.519999999997</v>
      </c>
      <c r="J2158" s="16">
        <f>IF(HistoricalStockProgress[[#This Row],[No. of Shares]]&lt;&gt;0,HistoricalStockProgress[[#This Row],[Price of Shares]]-HistoricalStockProgress[[#This Row],[Cost of Shares]]/HistoricalStockProgress[[#This Row],[No. of Shares]],0)</f>
        <v>107.52029352122254</v>
      </c>
      <c r="K2158" s="17">
        <f>IF(HistoricalStockProgress[[#This Row],[Total Price of Shares]]&lt;&gt;0,HistoricalStockProgress[[#This Row],[Total Price of Shares]]-HistoricalStockProgress[[#This Row],[Cost of Shares]],0)</f>
        <v>16343.084615225824</v>
      </c>
      <c r="L2158" s="34" t="b" cm="1">
        <f t="array" ref="L2158">IFERROR(IF(HistoricalStockProgress[[#This Row],[Price of Shares]]="",_xlfn.STOCKHISTORY(HistoricalStockProgress[[#This Row],[Full Company Name]],HistoricalStockProgress[[#This Row],[Date]],,2,0,1)),0)</f>
        <v>0</v>
      </c>
      <c r="M2158" s="34">
        <f>YEAR(HistoricalStockProgress[[#This Row],[Date]])</f>
        <v>2026</v>
      </c>
      <c r="N2158" s="34">
        <f>MONTH(HistoricalStockProgress[[#This Row],[Date]])</f>
        <v>1</v>
      </c>
    </row>
    <row r="2159" spans="2:14">
      <c r="B2159" s="15">
        <v>46053</v>
      </c>
      <c r="C2159" s="34" t="s">
        <v>88</v>
      </c>
      <c r="D2159" s="34" t="e" vm="9">
        <f>_xlfn.XLOOKUP(HistoricalStockProgress[[#This Row],[Company Ticker]],CompanyDetailsList[Company Ticker],CompanyDetailsList[Official Name],,0)</f>
        <v>#VALUE!</v>
      </c>
      <c r="E21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21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2159" s="17">
        <f>IFERROR(HistoricalStockProgress[[#This Row],[Cost of Shares]]/HistoricalStockProgress[[#This Row],[No. of Shares]],0)</f>
        <v>224.7272684493652</v>
      </c>
      <c r="H2159" s="16" vm="2604">
        <v>315</v>
      </c>
      <c r="I2159" s="16">
        <f>IF(HistoricalStockProgress[[#This Row],[No. of Shares]]&lt;&gt;0,HistoricalStockProgress[[#This Row],[Price of Shares]]*HistoricalStockProgress[[#This Row],[No. of Shares]],0)</f>
        <v>29925</v>
      </c>
      <c r="J2159" s="16">
        <f>IF(HistoricalStockProgress[[#This Row],[No. of Shares]]&lt;&gt;0,HistoricalStockProgress[[#This Row],[Price of Shares]]-HistoricalStockProgress[[#This Row],[Cost of Shares]]/HistoricalStockProgress[[#This Row],[No. of Shares]],0)</f>
        <v>90.272731550634802</v>
      </c>
      <c r="K2159" s="17">
        <f>IF(HistoricalStockProgress[[#This Row],[Total Price of Shares]]&lt;&gt;0,HistoricalStockProgress[[#This Row],[Total Price of Shares]]-HistoricalStockProgress[[#This Row],[Cost of Shares]],0)</f>
        <v>8575.9094973103056</v>
      </c>
      <c r="L2159" s="34" t="b" cm="1">
        <f t="array" ref="L2159">IFERROR(IF(HistoricalStockProgress[[#This Row],[Price of Shares]]="",_xlfn.STOCKHISTORY(HistoricalStockProgress[[#This Row],[Full Company Name]],HistoricalStockProgress[[#This Row],[Date]],,2,0,1)),0)</f>
        <v>0</v>
      </c>
      <c r="M2159" s="34">
        <f>YEAR(HistoricalStockProgress[[#This Row],[Date]])</f>
        <v>2026</v>
      </c>
      <c r="N2159" s="34">
        <f>MONTH(HistoricalStockProgress[[#This Row],[Date]])</f>
        <v>1</v>
      </c>
    </row>
    <row r="2160" spans="2:14">
      <c r="B2160" s="15">
        <v>46053</v>
      </c>
      <c r="C2160" s="34" t="s">
        <v>22</v>
      </c>
      <c r="D2160" s="34" t="e" vm="10">
        <f>_xlfn.XLOOKUP(HistoricalStockProgress[[#This Row],[Company Ticker]],CompanyDetailsList[Company Ticker],CompanyDetailsList[Official Name],,0)</f>
        <v>#VALUE!</v>
      </c>
      <c r="E21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21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2160" s="17">
        <f>IFERROR(HistoricalStockProgress[[#This Row],[Cost of Shares]]/HistoricalStockProgress[[#This Row],[No. of Shares]],0)</f>
        <v>130.19784136724968</v>
      </c>
      <c r="H2160" s="16" vm="2605">
        <v>657.36</v>
      </c>
      <c r="I2160" s="16">
        <f>IF(HistoricalStockProgress[[#This Row],[No. of Shares]]&lt;&gt;0,HistoricalStockProgress[[#This Row],[Price of Shares]]*HistoricalStockProgress[[#This Row],[No. of Shares]],0)</f>
        <v>78225.84</v>
      </c>
      <c r="J2160" s="16">
        <f>IF(HistoricalStockProgress[[#This Row],[No. of Shares]]&lt;&gt;0,HistoricalStockProgress[[#This Row],[Price of Shares]]-HistoricalStockProgress[[#This Row],[Cost of Shares]]/HistoricalStockProgress[[#This Row],[No. of Shares]],0)</f>
        <v>527.16215863275033</v>
      </c>
      <c r="K2160" s="17">
        <f>IF(HistoricalStockProgress[[#This Row],[Total Price of Shares]]&lt;&gt;0,HistoricalStockProgress[[#This Row],[Total Price of Shares]]-HistoricalStockProgress[[#This Row],[Cost of Shares]],0)</f>
        <v>62732.296877297282</v>
      </c>
      <c r="L2160" s="34" t="b" cm="1">
        <f t="array" ref="L2160">IFERROR(IF(HistoricalStockProgress[[#This Row],[Price of Shares]]="",_xlfn.STOCKHISTORY(HistoricalStockProgress[[#This Row],[Full Company Name]],HistoricalStockProgress[[#This Row],[Date]],,2,0,1)),0)</f>
        <v>0</v>
      </c>
      <c r="M2160" s="34">
        <f>YEAR(HistoricalStockProgress[[#This Row],[Date]])</f>
        <v>2026</v>
      </c>
      <c r="N2160" s="34">
        <f>MONTH(HistoricalStockProgress[[#This Row],[Date]])</f>
        <v>1</v>
      </c>
    </row>
    <row r="2161" spans="2:14">
      <c r="B2161" s="15">
        <v>46053</v>
      </c>
      <c r="C2161" s="34" t="s">
        <v>91</v>
      </c>
      <c r="D2161" s="34" t="e" vm="11">
        <f>_xlfn.XLOOKUP(HistoricalStockProgress[[#This Row],[Company Ticker]],CompanyDetailsList[Company Ticker],CompanyDetailsList[Official Name],,0)</f>
        <v>#VALUE!</v>
      </c>
      <c r="E21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203</v>
      </c>
      <c r="F21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37263.08408940176</v>
      </c>
      <c r="G2161" s="17">
        <f>IFERROR(HistoricalStockProgress[[#This Row],[Cost of Shares]]/HistoricalStockProgress[[#This Row],[No. of Shares]],0)</f>
        <v>183.56199058818601</v>
      </c>
      <c r="H2161" s="16" vm="2606">
        <v>430.29</v>
      </c>
      <c r="I2161" s="16">
        <f>IF(HistoricalStockProgress[[#This Row],[No. of Shares]]&lt;&gt;0,HistoricalStockProgress[[#This Row],[Price of Shares]]*HistoricalStockProgress[[#This Row],[No. of Shares]],0)</f>
        <v>87348.87000000001</v>
      </c>
      <c r="J2161" s="16">
        <f>IF(HistoricalStockProgress[[#This Row],[No. of Shares]]&lt;&gt;0,HistoricalStockProgress[[#This Row],[Price of Shares]]-HistoricalStockProgress[[#This Row],[Cost of Shares]]/HistoricalStockProgress[[#This Row],[No. of Shares]],0)</f>
        <v>246.72800941181401</v>
      </c>
      <c r="K2161" s="17">
        <f>IF(HistoricalStockProgress[[#This Row],[Total Price of Shares]]&lt;&gt;0,HistoricalStockProgress[[#This Row],[Total Price of Shares]]-HistoricalStockProgress[[#This Row],[Cost of Shares]],0)</f>
        <v>50085.78591059825</v>
      </c>
      <c r="L2161" s="34" t="b" cm="1">
        <f t="array" ref="L2161">IFERROR(IF(HistoricalStockProgress[[#This Row],[Price of Shares]]="",_xlfn.STOCKHISTORY(HistoricalStockProgress[[#This Row],[Full Company Name]],HistoricalStockProgress[[#This Row],[Date]],,2,0,1)),0)</f>
        <v>0</v>
      </c>
      <c r="M2161" s="34">
        <f>YEAR(HistoricalStockProgress[[#This Row],[Date]])</f>
        <v>2026</v>
      </c>
      <c r="N2161" s="34">
        <f>MONTH(HistoricalStockProgress[[#This Row],[Date]])</f>
        <v>1</v>
      </c>
    </row>
    <row r="2162" spans="2:14">
      <c r="B2162" s="15">
        <v>46053</v>
      </c>
      <c r="C2162" s="34" t="s">
        <v>16</v>
      </c>
      <c r="D2162" s="34" t="e" vm="12">
        <f>_xlfn.XLOOKUP(HistoricalStockProgress[[#This Row],[Company Ticker]],CompanyDetailsList[Company Ticker],CompanyDetailsList[Official Name],,0)</f>
        <v>#VALUE!</v>
      </c>
      <c r="E21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175</v>
      </c>
      <c r="F21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13145.59718102957</v>
      </c>
      <c r="G2162" s="17">
        <f>IFERROR(HistoricalStockProgress[[#This Row],[Cost of Shares]]/HistoricalStockProgress[[#This Row],[No. of Shares]],0)</f>
        <v>75.117698177311837</v>
      </c>
      <c r="H2162" s="16" vm="2607">
        <v>141.4</v>
      </c>
      <c r="I2162" s="16">
        <f>IF(HistoricalStockProgress[[#This Row],[No. of Shares]]&lt;&gt;0,HistoricalStockProgress[[#This Row],[Price of Shares]]*HistoricalStockProgress[[#This Row],[No. of Shares]],0)</f>
        <v>24745</v>
      </c>
      <c r="J2162" s="16">
        <f>IF(HistoricalStockProgress[[#This Row],[No. of Shares]]&lt;&gt;0,HistoricalStockProgress[[#This Row],[Price of Shares]]-HistoricalStockProgress[[#This Row],[Cost of Shares]]/HistoricalStockProgress[[#This Row],[No. of Shares]],0)</f>
        <v>66.282301822688169</v>
      </c>
      <c r="K2162" s="17">
        <f>IF(HistoricalStockProgress[[#This Row],[Total Price of Shares]]&lt;&gt;0,HistoricalStockProgress[[#This Row],[Total Price of Shares]]-HistoricalStockProgress[[#This Row],[Cost of Shares]],0)</f>
        <v>11599.40281897043</v>
      </c>
      <c r="L2162" s="34" t="b" cm="1">
        <f t="array" ref="L2162">IFERROR(IF(HistoricalStockProgress[[#This Row],[Price of Shares]]="",_xlfn.STOCKHISTORY(HistoricalStockProgress[[#This Row],[Full Company Name]],HistoricalStockProgress[[#This Row],[Date]],,2,0,1)),0)</f>
        <v>0</v>
      </c>
      <c r="M2162" s="34">
        <f>YEAR(HistoricalStockProgress[[#This Row],[Date]])</f>
        <v>2026</v>
      </c>
      <c r="N2162" s="34">
        <f>MONTH(HistoricalStockProgress[[#This Row],[Date]])</f>
        <v>1</v>
      </c>
    </row>
    <row r="2163" spans="2:14">
      <c r="B2163" s="15">
        <v>46053</v>
      </c>
      <c r="C2163" s="34" t="s">
        <v>95</v>
      </c>
      <c r="D2163" s="34" t="e" vm="13">
        <f>_xlfn.XLOOKUP(HistoricalStockProgress[[#This Row],[Company Ticker]],CompanyDetailsList[Company Ticker],CompanyDetailsList[Official Name],,0)</f>
        <v>#VALUE!</v>
      </c>
      <c r="E21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172</v>
      </c>
      <c r="F21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47379.162890220832</v>
      </c>
      <c r="G2163" s="17">
        <f>IFERROR(HistoricalStockProgress[[#This Row],[Cost of Shares]]/HistoricalStockProgress[[#This Row],[No. of Shares]],0)</f>
        <v>275.46024936174905</v>
      </c>
      <c r="H2163" s="16" vm="2608">
        <v>374.59</v>
      </c>
      <c r="I2163" s="16">
        <f>IF(HistoricalStockProgress[[#This Row],[No. of Shares]]&lt;&gt;0,HistoricalStockProgress[[#This Row],[Price of Shares]]*HistoricalStockProgress[[#This Row],[No. of Shares]],0)</f>
        <v>64429.479999999996</v>
      </c>
      <c r="J2163" s="16">
        <f>IF(HistoricalStockProgress[[#This Row],[No. of Shares]]&lt;&gt;0,HistoricalStockProgress[[#This Row],[Price of Shares]]-HistoricalStockProgress[[#This Row],[Cost of Shares]]/HistoricalStockProgress[[#This Row],[No. of Shares]],0)</f>
        <v>99.129750638250925</v>
      </c>
      <c r="K2163" s="17">
        <f>IF(HistoricalStockProgress[[#This Row],[Total Price of Shares]]&lt;&gt;0,HistoricalStockProgress[[#This Row],[Total Price of Shares]]-HistoricalStockProgress[[#This Row],[Cost of Shares]],0)</f>
        <v>17050.317109779164</v>
      </c>
      <c r="L2163" s="34" t="b" cm="1">
        <f t="array" ref="L2163">IFERROR(IF(HistoricalStockProgress[[#This Row],[Price of Shares]]="",_xlfn.STOCKHISTORY(HistoricalStockProgress[[#This Row],[Full Company Name]],HistoricalStockProgress[[#This Row],[Date]],,2,0,1)),0)</f>
        <v>0</v>
      </c>
      <c r="M2163" s="34">
        <f>YEAR(HistoricalStockProgress[[#This Row],[Date]])</f>
        <v>2026</v>
      </c>
      <c r="N2163" s="34">
        <f>MONTH(HistoricalStockProgress[[#This Row],[Date]])</f>
        <v>1</v>
      </c>
    </row>
    <row r="2164" spans="2:14">
      <c r="B2164" s="15">
        <v>46053</v>
      </c>
      <c r="C2164" s="34" t="s">
        <v>17</v>
      </c>
      <c r="D2164" s="34" t="e" vm="14">
        <f>_xlfn.XLOOKUP(HistoricalStockProgress[[#This Row],[Company Ticker]],CompanyDetailsList[Company Ticker],CompanyDetailsList[Official Name],,0)</f>
        <v>#VALUE!</v>
      </c>
      <c r="E21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21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2164" s="17">
        <f>IFERROR(HistoricalStockProgress[[#This Row],[Cost of Shares]]/HistoricalStockProgress[[#This Row],[No. of Shares]],0)</f>
        <v>143.37791217450521</v>
      </c>
      <c r="H2164" s="16" vm="2609">
        <v>306.7</v>
      </c>
      <c r="I2164" s="16">
        <f>IF(HistoricalStockProgress[[#This Row],[No. of Shares]]&lt;&gt;0,HistoricalStockProgress[[#This Row],[Price of Shares]]*HistoricalStockProgress[[#This Row],[No. of Shares]],0)</f>
        <v>70847.7</v>
      </c>
      <c r="J2164" s="16">
        <f>IF(HistoricalStockProgress[[#This Row],[No. of Shares]]&lt;&gt;0,HistoricalStockProgress[[#This Row],[Price of Shares]]-HistoricalStockProgress[[#This Row],[Cost of Shares]]/HistoricalStockProgress[[#This Row],[No. of Shares]],0)</f>
        <v>163.32208782549478</v>
      </c>
      <c r="K2164" s="17">
        <f>IF(HistoricalStockProgress[[#This Row],[Total Price of Shares]]&lt;&gt;0,HistoricalStockProgress[[#This Row],[Total Price of Shares]]-HistoricalStockProgress[[#This Row],[Cost of Shares]],0)</f>
        <v>37727.402287689292</v>
      </c>
      <c r="L2164" s="34" t="b" cm="1">
        <f t="array" ref="L2164">IFERROR(IF(HistoricalStockProgress[[#This Row],[Price of Shares]]="",_xlfn.STOCKHISTORY(HistoricalStockProgress[[#This Row],[Full Company Name]],HistoricalStockProgress[[#This Row],[Date]],,2,0,1)),0)</f>
        <v>0</v>
      </c>
      <c r="M2164" s="34">
        <f>YEAR(HistoricalStockProgress[[#This Row],[Date]])</f>
        <v>2026</v>
      </c>
      <c r="N2164" s="34">
        <f>MONTH(HistoricalStockProgress[[#This Row],[Date]])</f>
        <v>1</v>
      </c>
    </row>
    <row r="2165" spans="2:14">
      <c r="B2165" s="15">
        <v>46053</v>
      </c>
      <c r="C2165" s="34" t="s">
        <v>98</v>
      </c>
      <c r="D2165" s="34" t="e" vm="15">
        <f>_xlfn.XLOOKUP(HistoricalStockProgress[[#This Row],[Company Ticker]],CompanyDetailsList[Company Ticker],CompanyDetailsList[Official Name],,0)</f>
        <v>#VALUE!</v>
      </c>
      <c r="E21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193</v>
      </c>
      <c r="F21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11397.772474019517</v>
      </c>
      <c r="G2165" s="17">
        <f>IFERROR(HistoricalStockProgress[[#This Row],[Cost of Shares]]/HistoricalStockProgress[[#This Row],[No. of Shares]],0)</f>
        <v>59.055815927562264</v>
      </c>
      <c r="H2165" s="16" vm="2610">
        <v>87.9</v>
      </c>
      <c r="I2165" s="16">
        <f>IF(HistoricalStockProgress[[#This Row],[No. of Shares]]&lt;&gt;0,HistoricalStockProgress[[#This Row],[Price of Shares]]*HistoricalStockProgress[[#This Row],[No. of Shares]],0)</f>
        <v>16964.7</v>
      </c>
      <c r="J2165" s="16">
        <f>IF(HistoricalStockProgress[[#This Row],[No. of Shares]]&lt;&gt;0,HistoricalStockProgress[[#This Row],[Price of Shares]]-HistoricalStockProgress[[#This Row],[Cost of Shares]]/HistoricalStockProgress[[#This Row],[No. of Shares]],0)</f>
        <v>28.844184072437741</v>
      </c>
      <c r="K2165" s="17">
        <f>IF(HistoricalStockProgress[[#This Row],[Total Price of Shares]]&lt;&gt;0,HistoricalStockProgress[[#This Row],[Total Price of Shares]]-HistoricalStockProgress[[#This Row],[Cost of Shares]],0)</f>
        <v>5566.9275259804836</v>
      </c>
      <c r="L2165" s="34" t="b" cm="1">
        <f t="array" ref="L2165">IFERROR(IF(HistoricalStockProgress[[#This Row],[Price of Shares]]="",_xlfn.STOCKHISTORY(HistoricalStockProgress[[#This Row],[Full Company Name]],HistoricalStockProgress[[#This Row],[Date]],,2,0,1)),0)</f>
        <v>0</v>
      </c>
      <c r="M2165" s="34">
        <f>YEAR(HistoricalStockProgress[[#This Row],[Date]])</f>
        <v>2026</v>
      </c>
      <c r="N2165" s="34">
        <f>MONTH(HistoricalStockProgress[[#This Row],[Date]])</f>
        <v>1</v>
      </c>
    </row>
    <row r="2166" spans="2:14">
      <c r="B2166" s="15">
        <v>46053</v>
      </c>
      <c r="C2166" s="34" t="s">
        <v>100</v>
      </c>
      <c r="D2166" s="34" t="e" vm="16">
        <f>_xlfn.XLOOKUP(HistoricalStockProgress[[#This Row],[Company Ticker]],CompanyDetailsList[Company Ticker],CompanyDetailsList[Official Name],,0)</f>
        <v>#VALUE!</v>
      </c>
      <c r="E21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21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2166" s="17">
        <f>IFERROR(HistoricalStockProgress[[#This Row],[Cost of Shares]]/HistoricalStockProgress[[#This Row],[No. of Shares]],0)</f>
        <v>92.156351168716071</v>
      </c>
      <c r="H2166" s="16" vm="2611">
        <v>121.35</v>
      </c>
      <c r="I2166" s="16">
        <f>IF(HistoricalStockProgress[[#This Row],[No. of Shares]]&lt;&gt;0,HistoricalStockProgress[[#This Row],[Price of Shares]]*HistoricalStockProgress[[#This Row],[No. of Shares]],0)</f>
        <v>30337.5</v>
      </c>
      <c r="J2166" s="16">
        <f>IF(HistoricalStockProgress[[#This Row],[No. of Shares]]&lt;&gt;0,HistoricalStockProgress[[#This Row],[Price of Shares]]-HistoricalStockProgress[[#This Row],[Cost of Shares]]/HistoricalStockProgress[[#This Row],[No. of Shares]],0)</f>
        <v>29.193648831283923</v>
      </c>
      <c r="K2166" s="17">
        <f>IF(HistoricalStockProgress[[#This Row],[Total Price of Shares]]&lt;&gt;0,HistoricalStockProgress[[#This Row],[Total Price of Shares]]-HistoricalStockProgress[[#This Row],[Cost of Shares]],0)</f>
        <v>7298.4122078209839</v>
      </c>
      <c r="L2166" s="34" t="b" cm="1">
        <f t="array" ref="L2166">IFERROR(IF(HistoricalStockProgress[[#This Row],[Price of Shares]]="",_xlfn.STOCKHISTORY(HistoricalStockProgress[[#This Row],[Full Company Name]],HistoricalStockProgress[[#This Row],[Date]],,2,0,1)),0)</f>
        <v>0</v>
      </c>
      <c r="M2166" s="34">
        <f>YEAR(HistoricalStockProgress[[#This Row],[Date]])</f>
        <v>2026</v>
      </c>
      <c r="N2166" s="34">
        <f>MONTH(HistoricalStockProgress[[#This Row],[Date]])</f>
        <v>1</v>
      </c>
    </row>
    <row r="2167" spans="2:14">
      <c r="B2167" s="15">
        <v>46053</v>
      </c>
      <c r="C2167" s="34" t="s">
        <v>15</v>
      </c>
      <c r="D2167" s="34" t="e" vm="17">
        <f>_xlfn.XLOOKUP(HistoricalStockProgress[[#This Row],[Company Ticker]],CompanyDetailsList[Company Ticker],CompanyDetailsList[Official Name],,0)</f>
        <v>#VALUE!</v>
      </c>
      <c r="E21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21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3479.0458726436</v>
      </c>
      <c r="G2167" s="17">
        <f>IFERROR(HistoricalStockProgress[[#This Row],[Cost of Shares]]/HistoricalStockProgress[[#This Row],[No. of Shares]],0)</f>
        <v>24.85032766174</v>
      </c>
      <c r="H2167" s="16" vm="2361">
        <v>26.21</v>
      </c>
      <c r="I2167" s="16">
        <f>IF(HistoricalStockProgress[[#This Row],[No. of Shares]]&lt;&gt;0,HistoricalStockProgress[[#This Row],[Price of Shares]]*HistoricalStockProgress[[#This Row],[No. of Shares]],0)</f>
        <v>3669.4</v>
      </c>
      <c r="J2167" s="16">
        <f>IF(HistoricalStockProgress[[#This Row],[No. of Shares]]&lt;&gt;0,HistoricalStockProgress[[#This Row],[Price of Shares]]-HistoricalStockProgress[[#This Row],[Cost of Shares]]/HistoricalStockProgress[[#This Row],[No. of Shares]],0)</f>
        <v>1.3596723382600011</v>
      </c>
      <c r="K2167" s="17">
        <f>IF(HistoricalStockProgress[[#This Row],[Total Price of Shares]]&lt;&gt;0,HistoricalStockProgress[[#This Row],[Total Price of Shares]]-HistoricalStockProgress[[#This Row],[Cost of Shares]],0)</f>
        <v>190.35412735640011</v>
      </c>
      <c r="L2167" s="34" t="b" cm="1">
        <f t="array" ref="L2167">IFERROR(IF(HistoricalStockProgress[[#This Row],[Price of Shares]]="",_xlfn.STOCKHISTORY(HistoricalStockProgress[[#This Row],[Full Company Name]],HistoricalStockProgress[[#This Row],[Date]],,2,0,1)),0)</f>
        <v>0</v>
      </c>
      <c r="M2167" s="34">
        <f>YEAR(HistoricalStockProgress[[#This Row],[Date]])</f>
        <v>2026</v>
      </c>
      <c r="N2167" s="34">
        <f>MONTH(HistoricalStockProgress[[#This Row],[Date]])</f>
        <v>1</v>
      </c>
    </row>
    <row r="2168" spans="2:14">
      <c r="B2168" s="15">
        <v>46053</v>
      </c>
      <c r="C2168" s="34" t="s">
        <v>13</v>
      </c>
      <c r="D2168" s="34" t="e" vm="18">
        <f>_xlfn.XLOOKUP(HistoricalStockProgress[[#This Row],[Company Ticker]],CompanyDetailsList[Company Ticker],CompanyDetailsList[Official Name],,0)</f>
        <v>#VALUE!</v>
      </c>
      <c r="E21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21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3394.2551594478332</v>
      </c>
      <c r="G2168" s="17">
        <f>IFERROR(HistoricalStockProgress[[#This Row],[Cost of Shares]]/HistoricalStockProgress[[#This Row],[No. of Shares]],0)</f>
        <v>32.021275089130505</v>
      </c>
      <c r="H2168" s="16" vm="2612">
        <v>26.44</v>
      </c>
      <c r="I2168" s="16">
        <f>IF(HistoricalStockProgress[[#This Row],[No. of Shares]]&lt;&gt;0,HistoricalStockProgress[[#This Row],[Price of Shares]]*HistoricalStockProgress[[#This Row],[No. of Shares]],0)</f>
        <v>2802.6400000000003</v>
      </c>
      <c r="J2168" s="16">
        <f>IF(HistoricalStockProgress[[#This Row],[No. of Shares]]&lt;&gt;0,HistoricalStockProgress[[#This Row],[Price of Shares]]-HistoricalStockProgress[[#This Row],[Cost of Shares]]/HistoricalStockProgress[[#This Row],[No. of Shares]],0)</f>
        <v>-5.5812750891305036</v>
      </c>
      <c r="K2168" s="17">
        <f>IF(HistoricalStockProgress[[#This Row],[Total Price of Shares]]&lt;&gt;0,HistoricalStockProgress[[#This Row],[Total Price of Shares]]-HistoricalStockProgress[[#This Row],[Cost of Shares]],0)</f>
        <v>-591.61515944783287</v>
      </c>
      <c r="L2168" s="34" t="b" cm="1">
        <f t="array" ref="L2168">IFERROR(IF(HistoricalStockProgress[[#This Row],[Price of Shares]]="",_xlfn.STOCKHISTORY(HistoricalStockProgress[[#This Row],[Full Company Name]],HistoricalStockProgress[[#This Row],[Date]],,2,0,1)),0)</f>
        <v>0</v>
      </c>
      <c r="M2168" s="34">
        <f>YEAR(HistoricalStockProgress[[#This Row],[Date]])</f>
        <v>2026</v>
      </c>
      <c r="N2168" s="34">
        <f>MONTH(HistoricalStockProgress[[#This Row],[Date]])</f>
        <v>1</v>
      </c>
    </row>
    <row r="2169" spans="2:14">
      <c r="B2169" s="15">
        <v>46053</v>
      </c>
      <c r="C2169" s="34" t="s">
        <v>20</v>
      </c>
      <c r="D2169" s="34" t="e" vm="19">
        <f>_xlfn.XLOOKUP(HistoricalStockProgress[[#This Row],[Company Ticker]],CompanyDetailsList[Company Ticker],CompanyDetailsList[Official Name],,0)</f>
        <v>#VALUE!</v>
      </c>
      <c r="E21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21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2169" s="17">
        <f>IFERROR(HistoricalStockProgress[[#This Row],[Cost of Shares]]/HistoricalStockProgress[[#This Row],[No. of Shares]],0)</f>
        <v>108.1760767450256</v>
      </c>
      <c r="H2169" s="16" vm="2613">
        <v>305.89</v>
      </c>
      <c r="I2169" s="16">
        <f>IF(HistoricalStockProgress[[#This Row],[No. of Shares]]&lt;&gt;0,HistoricalStockProgress[[#This Row],[Price of Shares]]*HistoricalStockProgress[[#This Row],[No. of Shares]],0)</f>
        <v>35483.24</v>
      </c>
      <c r="J2169" s="16">
        <f>IF(HistoricalStockProgress[[#This Row],[No. of Shares]]&lt;&gt;0,HistoricalStockProgress[[#This Row],[Price of Shares]]-HistoricalStockProgress[[#This Row],[Cost of Shares]]/HistoricalStockProgress[[#This Row],[No. of Shares]],0)</f>
        <v>197.71392325497439</v>
      </c>
      <c r="K2169" s="17">
        <f>IF(HistoricalStockProgress[[#This Row],[Total Price of Shares]]&lt;&gt;0,HistoricalStockProgress[[#This Row],[Total Price of Shares]]-HistoricalStockProgress[[#This Row],[Cost of Shares]],0)</f>
        <v>22934.81509757703</v>
      </c>
      <c r="L2169" s="34" t="b" cm="1">
        <f t="array" ref="L2169">IFERROR(IF(HistoricalStockProgress[[#This Row],[Price of Shares]]="",_xlfn.STOCKHISTORY(HistoricalStockProgress[[#This Row],[Full Company Name]],HistoricalStockProgress[[#This Row],[Date]],,2,0,1)),0)</f>
        <v>0</v>
      </c>
      <c r="M2169" s="34">
        <f>YEAR(HistoricalStockProgress[[#This Row],[Date]])</f>
        <v>2026</v>
      </c>
      <c r="N2169" s="34">
        <f>MONTH(HistoricalStockProgress[[#This Row],[Date]])</f>
        <v>1</v>
      </c>
    </row>
    <row r="2170" spans="2:14">
      <c r="B2170" s="15">
        <v>46053</v>
      </c>
      <c r="C2170" s="34" t="s">
        <v>106</v>
      </c>
      <c r="D2170" s="34" t="e" vm="20">
        <f>_xlfn.XLOOKUP(HistoricalStockProgress[[#This Row],[Company Ticker]],CompanyDetailsList[Company Ticker],CompanyDetailsList[Official Name],,0)</f>
        <v>#VALUE!</v>
      </c>
      <c r="E21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21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8575.3478914575226</v>
      </c>
      <c r="G2170" s="17">
        <f>IFERROR(HistoricalStockProgress[[#This Row],[Cost of Shares]]/HistoricalStockProgress[[#This Row],[No. of Shares]],0)</f>
        <v>108.54870748680408</v>
      </c>
      <c r="H2170" s="16" vm="2614">
        <v>115.63</v>
      </c>
      <c r="I2170" s="16">
        <f>IF(HistoricalStockProgress[[#This Row],[No. of Shares]]&lt;&gt;0,HistoricalStockProgress[[#This Row],[Price of Shares]]*HistoricalStockProgress[[#This Row],[No. of Shares]],0)</f>
        <v>9134.77</v>
      </c>
      <c r="J2170" s="16">
        <f>IF(HistoricalStockProgress[[#This Row],[No. of Shares]]&lt;&gt;0,HistoricalStockProgress[[#This Row],[Price of Shares]]-HistoricalStockProgress[[#This Row],[Cost of Shares]]/HistoricalStockProgress[[#This Row],[No. of Shares]],0)</f>
        <v>7.081292513195919</v>
      </c>
      <c r="K2170" s="17">
        <f>IF(HistoricalStockProgress[[#This Row],[Total Price of Shares]]&lt;&gt;0,HistoricalStockProgress[[#This Row],[Total Price of Shares]]-HistoricalStockProgress[[#This Row],[Cost of Shares]],0)</f>
        <v>559.42210854247787</v>
      </c>
      <c r="L2170" s="34" t="b" cm="1">
        <f t="array" ref="L2170">IFERROR(IF(HistoricalStockProgress[[#This Row],[Price of Shares]]="",_xlfn.STOCKHISTORY(HistoricalStockProgress[[#This Row],[Full Company Name]],HistoricalStockProgress[[#This Row],[Date]],,2,0,1)),0)</f>
        <v>0</v>
      </c>
      <c r="M2170" s="34">
        <f>YEAR(HistoricalStockProgress[[#This Row],[Date]])</f>
        <v>2026</v>
      </c>
      <c r="N2170" s="34">
        <f>MONTH(HistoricalStockProgress[[#This Row],[Date]])</f>
        <v>1</v>
      </c>
    </row>
    <row r="2171" spans="2:14">
      <c r="B2171" s="15">
        <v>46081</v>
      </c>
      <c r="C2171" s="34" t="s">
        <v>12</v>
      </c>
      <c r="D2171" s="34" t="e" vm="1">
        <f>_xlfn.XLOOKUP(HistoricalStockProgress[[#This Row],[Company Ticker]],CompanyDetailsList[Company Ticker],CompanyDetailsList[Official Name],,0)</f>
        <v>#VALUE!</v>
      </c>
      <c r="E21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21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2171" s="17">
        <f>IFERROR(HistoricalStockProgress[[#This Row],[Cost of Shares]]/HistoricalStockProgress[[#This Row],[No. of Shares]],0)</f>
        <v>64.573985995316889</v>
      </c>
      <c r="H2171" s="16" vm="2615">
        <v>67</v>
      </c>
      <c r="I2171" s="16">
        <f>IF(HistoricalStockProgress[[#This Row],[No. of Shares]]&lt;&gt;0,HistoricalStockProgress[[#This Row],[Price of Shares]]*HistoricalStockProgress[[#This Row],[No. of Shares]],0)</f>
        <v>6499</v>
      </c>
      <c r="J2171" s="16">
        <f>IF(HistoricalStockProgress[[#This Row],[No. of Shares]]&lt;&gt;0,HistoricalStockProgress[[#This Row],[Price of Shares]]-HistoricalStockProgress[[#This Row],[Cost of Shares]]/HistoricalStockProgress[[#This Row],[No. of Shares]],0)</f>
        <v>2.4260140046831111</v>
      </c>
      <c r="K2171" s="17">
        <f>IF(HistoricalStockProgress[[#This Row],[Total Price of Shares]]&lt;&gt;0,HistoricalStockProgress[[#This Row],[Total Price of Shares]]-HistoricalStockProgress[[#This Row],[Cost of Shares]],0)</f>
        <v>235.32335845426223</v>
      </c>
      <c r="L2171" s="34" t="b" cm="1">
        <f t="array" ref="L2171">IFERROR(IF(HistoricalStockProgress[[#This Row],[Price of Shares]]="",_xlfn.STOCKHISTORY(HistoricalStockProgress[[#This Row],[Full Company Name]],HistoricalStockProgress[[#This Row],[Date]],,2,0,1)),0)</f>
        <v>0</v>
      </c>
      <c r="M2171" s="34">
        <f>YEAR(HistoricalStockProgress[[#This Row],[Date]])</f>
        <v>2026</v>
      </c>
      <c r="N2171" s="34">
        <f>MONTH(HistoricalStockProgress[[#This Row],[Date]])</f>
        <v>2</v>
      </c>
    </row>
    <row r="2172" spans="2:14">
      <c r="B2172" s="15">
        <v>46081</v>
      </c>
      <c r="C2172" s="34" t="s">
        <v>14</v>
      </c>
      <c r="D2172" s="34" t="e" vm="2">
        <f>_xlfn.XLOOKUP(HistoricalStockProgress[[#This Row],[Company Ticker]],CompanyDetailsList[Company Ticker],CompanyDetailsList[Official Name],,0)</f>
        <v>#VALUE!</v>
      </c>
      <c r="E21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21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2172" s="17">
        <f>IFERROR(HistoricalStockProgress[[#This Row],[Cost of Shares]]/HistoricalStockProgress[[#This Row],[No. of Shares]],0)</f>
        <v>26.819337355148658</v>
      </c>
      <c r="H2172" s="16" vm="1452">
        <v>38.31</v>
      </c>
      <c r="I2172" s="16">
        <f>IF(HistoricalStockProgress[[#This Row],[No. of Shares]]&lt;&gt;0,HistoricalStockProgress[[#This Row],[Price of Shares]]*HistoricalStockProgress[[#This Row],[No. of Shares]],0)</f>
        <v>2413.5300000000002</v>
      </c>
      <c r="J2172" s="16">
        <f>IF(HistoricalStockProgress[[#This Row],[No. of Shares]]&lt;&gt;0,HistoricalStockProgress[[#This Row],[Price of Shares]]-HistoricalStockProgress[[#This Row],[Cost of Shares]]/HistoricalStockProgress[[#This Row],[No. of Shares]],0)</f>
        <v>11.490662644851344</v>
      </c>
      <c r="K2172" s="17">
        <f>IF(HistoricalStockProgress[[#This Row],[Total Price of Shares]]&lt;&gt;0,HistoricalStockProgress[[#This Row],[Total Price of Shares]]-HistoricalStockProgress[[#This Row],[Cost of Shares]],0)</f>
        <v>723.91174662563481</v>
      </c>
      <c r="L2172" s="34" t="b" cm="1">
        <f t="array" ref="L2172">IFERROR(IF(HistoricalStockProgress[[#This Row],[Price of Shares]]="",_xlfn.STOCKHISTORY(HistoricalStockProgress[[#This Row],[Full Company Name]],HistoricalStockProgress[[#This Row],[Date]],,2,0,1)),0)</f>
        <v>0</v>
      </c>
      <c r="M2172" s="34">
        <f>YEAR(HistoricalStockProgress[[#This Row],[Date]])</f>
        <v>2026</v>
      </c>
      <c r="N2172" s="34">
        <f>MONTH(HistoricalStockProgress[[#This Row],[Date]])</f>
        <v>2</v>
      </c>
    </row>
    <row r="2173" spans="2:14">
      <c r="B2173" s="15">
        <v>46081</v>
      </c>
      <c r="C2173" s="34" t="s">
        <v>19</v>
      </c>
      <c r="D2173" s="34" t="e" vm="3">
        <f>_xlfn.XLOOKUP(HistoricalStockProgress[[#This Row],[Company Ticker]],CompanyDetailsList[Company Ticker],CompanyDetailsList[Official Name],,0)</f>
        <v>#VALUE!</v>
      </c>
      <c r="E21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21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2173" s="17">
        <f>IFERROR(HistoricalStockProgress[[#This Row],[Cost of Shares]]/HistoricalStockProgress[[#This Row],[No. of Shares]],0)</f>
        <v>160.12652821044301</v>
      </c>
      <c r="H2173" s="16" vm="2616">
        <v>127.16</v>
      </c>
      <c r="I2173" s="16">
        <f>IF(HistoricalStockProgress[[#This Row],[No. of Shares]]&lt;&gt;0,HistoricalStockProgress[[#This Row],[Price of Shares]]*HistoricalStockProgress[[#This Row],[No. of Shares]],0)</f>
        <v>10935.76</v>
      </c>
      <c r="J2173" s="16">
        <f>IF(HistoricalStockProgress[[#This Row],[No. of Shares]]&lt;&gt;0,HistoricalStockProgress[[#This Row],[Price of Shares]]-HistoricalStockProgress[[#This Row],[Cost of Shares]]/HistoricalStockProgress[[#This Row],[No. of Shares]],0)</f>
        <v>-32.966528210443016</v>
      </c>
      <c r="K2173" s="17">
        <f>IF(HistoricalStockProgress[[#This Row],[Total Price of Shares]]&lt;&gt;0,HistoricalStockProgress[[#This Row],[Total Price of Shares]]-HistoricalStockProgress[[#This Row],[Cost of Shares]],0)</f>
        <v>-2835.1214260980978</v>
      </c>
      <c r="L2173" s="34" t="b" cm="1">
        <f t="array" ref="L2173">IFERROR(IF(HistoricalStockProgress[[#This Row],[Price of Shares]]="",_xlfn.STOCKHISTORY(HistoricalStockProgress[[#This Row],[Full Company Name]],HistoricalStockProgress[[#This Row],[Date]],,2,0,1)),0)</f>
        <v>0</v>
      </c>
      <c r="M2173" s="34">
        <f>YEAR(HistoricalStockProgress[[#This Row],[Date]])</f>
        <v>2026</v>
      </c>
      <c r="N2173" s="34">
        <f>MONTH(HistoricalStockProgress[[#This Row],[Date]])</f>
        <v>2</v>
      </c>
    </row>
    <row r="2174" spans="2:14">
      <c r="B2174" s="15">
        <v>46081</v>
      </c>
      <c r="C2174" s="34" t="s">
        <v>23</v>
      </c>
      <c r="D2174" s="34" t="e" vm="4">
        <f>_xlfn.XLOOKUP(HistoricalStockProgress[[#This Row],[Company Ticker]],CompanyDetailsList[Company Ticker],CompanyDetailsList[Official Name],,0)</f>
        <v>#VALUE!</v>
      </c>
      <c r="E21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21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5636.7217732526415</v>
      </c>
      <c r="G2174" s="17">
        <f>IFERROR(HistoricalStockProgress[[#This Row],[Cost of Shares]]/HistoricalStockProgress[[#This Row],[No. of Shares]],0)</f>
        <v>50.781277236510284</v>
      </c>
      <c r="H2174" s="16" vm="2617">
        <v>81.56</v>
      </c>
      <c r="I2174" s="16">
        <f>IF(HistoricalStockProgress[[#This Row],[No. of Shares]]&lt;&gt;0,HistoricalStockProgress[[#This Row],[Price of Shares]]*HistoricalStockProgress[[#This Row],[No. of Shares]],0)</f>
        <v>9053.16</v>
      </c>
      <c r="J2174" s="16">
        <f>IF(HistoricalStockProgress[[#This Row],[No. of Shares]]&lt;&gt;0,HistoricalStockProgress[[#This Row],[Price of Shares]]-HistoricalStockProgress[[#This Row],[Cost of Shares]]/HistoricalStockProgress[[#This Row],[No. of Shares]],0)</f>
        <v>30.778722763489718</v>
      </c>
      <c r="K2174" s="17">
        <f>IF(HistoricalStockProgress[[#This Row],[Total Price of Shares]]&lt;&gt;0,HistoricalStockProgress[[#This Row],[Total Price of Shares]]-HistoricalStockProgress[[#This Row],[Cost of Shares]],0)</f>
        <v>3416.4382267473584</v>
      </c>
      <c r="L2174" s="34" t="b" cm="1">
        <f t="array" ref="L2174">IFERROR(IF(HistoricalStockProgress[[#This Row],[Price of Shares]]="",_xlfn.STOCKHISTORY(HistoricalStockProgress[[#This Row],[Full Company Name]],HistoricalStockProgress[[#This Row],[Date]],,2,0,1)),0)</f>
        <v>0</v>
      </c>
      <c r="M2174" s="34">
        <f>YEAR(HistoricalStockProgress[[#This Row],[Date]])</f>
        <v>2026</v>
      </c>
      <c r="N2174" s="34">
        <f>MONTH(HistoricalStockProgress[[#This Row],[Date]])</f>
        <v>2</v>
      </c>
    </row>
    <row r="2175" spans="2:14">
      <c r="B2175" s="15">
        <v>46081</v>
      </c>
      <c r="C2175" s="34" t="s">
        <v>18</v>
      </c>
      <c r="D2175" s="34" t="e" vm="5">
        <f>_xlfn.XLOOKUP(HistoricalStockProgress[[#This Row],[Company Ticker]],CompanyDetailsList[Company Ticker],CompanyDetailsList[Official Name],,0)</f>
        <v>#VALUE!</v>
      </c>
      <c r="E21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21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2175" s="17">
        <f>IFERROR(HistoricalStockProgress[[#This Row],[Cost of Shares]]/HistoricalStockProgress[[#This Row],[No. of Shares]],0)</f>
        <v>160.8859607546234</v>
      </c>
      <c r="H2175" s="16" vm="2618">
        <v>169.74</v>
      </c>
      <c r="I2175" s="16">
        <f>IF(HistoricalStockProgress[[#This Row],[No. of Shares]]&lt;&gt;0,HistoricalStockProgress[[#This Row],[Price of Shares]]*HistoricalStockProgress[[#This Row],[No. of Shares]],0)</f>
        <v>7298.8200000000006</v>
      </c>
      <c r="J2175" s="16">
        <f>IF(HistoricalStockProgress[[#This Row],[No. of Shares]]&lt;&gt;0,HistoricalStockProgress[[#This Row],[Price of Shares]]-HistoricalStockProgress[[#This Row],[Cost of Shares]]/HistoricalStockProgress[[#This Row],[No. of Shares]],0)</f>
        <v>8.8540392453766117</v>
      </c>
      <c r="K2175" s="17">
        <f>IF(HistoricalStockProgress[[#This Row],[Total Price of Shares]]&lt;&gt;0,HistoricalStockProgress[[#This Row],[Total Price of Shares]]-HistoricalStockProgress[[#This Row],[Cost of Shares]],0)</f>
        <v>380.72368755119442</v>
      </c>
      <c r="L2175" s="34" t="b" cm="1">
        <f t="array" ref="L2175">IFERROR(IF(HistoricalStockProgress[[#This Row],[Price of Shares]]="",_xlfn.STOCKHISTORY(HistoricalStockProgress[[#This Row],[Full Company Name]],HistoricalStockProgress[[#This Row],[Date]],,2,0,1)),0)</f>
        <v>0</v>
      </c>
      <c r="M2175" s="34">
        <f>YEAR(HistoricalStockProgress[[#This Row],[Date]])</f>
        <v>2026</v>
      </c>
      <c r="N2175" s="34">
        <f>MONTH(HistoricalStockProgress[[#This Row],[Date]])</f>
        <v>2</v>
      </c>
    </row>
    <row r="2176" spans="2:14">
      <c r="B2176" s="15">
        <v>46081</v>
      </c>
      <c r="C2176" s="34" t="s">
        <v>21</v>
      </c>
      <c r="D2176" s="34" t="e" vm="6">
        <f>_xlfn.XLOOKUP(HistoricalStockProgress[[#This Row],[Company Ticker]],CompanyDetailsList[Company Ticker],CompanyDetailsList[Official Name],,0)</f>
        <v>#VALUE!</v>
      </c>
      <c r="E21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84</v>
      </c>
      <c r="F21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12738.215402497406</v>
      </c>
      <c r="G2176" s="17">
        <f>IFERROR(HistoricalStockProgress[[#This Row],[Cost of Shares]]/HistoricalStockProgress[[#This Row],[No. of Shares]],0)</f>
        <v>151.64542145830245</v>
      </c>
      <c r="H2176" s="16" vm="2619">
        <v>167.2</v>
      </c>
      <c r="I2176" s="16">
        <f>IF(HistoricalStockProgress[[#This Row],[No. of Shares]]&lt;&gt;0,HistoricalStockProgress[[#This Row],[Price of Shares]]*HistoricalStockProgress[[#This Row],[No. of Shares]],0)</f>
        <v>14044.8</v>
      </c>
      <c r="J2176" s="16">
        <f>IF(HistoricalStockProgress[[#This Row],[No. of Shares]]&lt;&gt;0,HistoricalStockProgress[[#This Row],[Price of Shares]]-HistoricalStockProgress[[#This Row],[Cost of Shares]]/HistoricalStockProgress[[#This Row],[No. of Shares]],0)</f>
        <v>15.554578541697538</v>
      </c>
      <c r="K2176" s="17">
        <f>IF(HistoricalStockProgress[[#This Row],[Total Price of Shares]]&lt;&gt;0,HistoricalStockProgress[[#This Row],[Total Price of Shares]]-HistoricalStockProgress[[#This Row],[Cost of Shares]],0)</f>
        <v>1306.5845975025932</v>
      </c>
      <c r="L2176" s="34" t="b" cm="1">
        <f t="array" ref="L2176">IFERROR(IF(HistoricalStockProgress[[#This Row],[Price of Shares]]="",_xlfn.STOCKHISTORY(HistoricalStockProgress[[#This Row],[Full Company Name]],HistoricalStockProgress[[#This Row],[Date]],,2,0,1)),0)</f>
        <v>0</v>
      </c>
      <c r="M2176" s="34">
        <f>YEAR(HistoricalStockProgress[[#This Row],[Date]])</f>
        <v>2026</v>
      </c>
      <c r="N2176" s="34">
        <f>MONTH(HistoricalStockProgress[[#This Row],[Date]])</f>
        <v>2</v>
      </c>
    </row>
    <row r="2177" spans="2:14">
      <c r="B2177" s="15">
        <v>46081</v>
      </c>
      <c r="C2177" s="34" t="s">
        <v>84</v>
      </c>
      <c r="D2177" s="34" t="e" vm="7">
        <f>_xlfn.XLOOKUP(HistoricalStockProgress[[#This Row],[Company Ticker]],CompanyDetailsList[Company Ticker],CompanyDetailsList[Official Name],,0)</f>
        <v>#VALUE!</v>
      </c>
      <c r="E21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46</v>
      </c>
      <c r="F21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4792.320252277399</v>
      </c>
      <c r="G2177" s="17">
        <f>IFERROR(HistoricalStockProgress[[#This Row],[Cost of Shares]]/HistoricalStockProgress[[#This Row],[No. of Shares]],0)</f>
        <v>104.18087504950867</v>
      </c>
      <c r="H2177" s="16" vm="2620">
        <v>248.43</v>
      </c>
      <c r="I2177" s="16">
        <f>IF(HistoricalStockProgress[[#This Row],[No. of Shares]]&lt;&gt;0,HistoricalStockProgress[[#This Row],[Price of Shares]]*HistoricalStockProgress[[#This Row],[No. of Shares]],0)</f>
        <v>11427.78</v>
      </c>
      <c r="J2177" s="16">
        <f>IF(HistoricalStockProgress[[#This Row],[No. of Shares]]&lt;&gt;0,HistoricalStockProgress[[#This Row],[Price of Shares]]-HistoricalStockProgress[[#This Row],[Cost of Shares]]/HistoricalStockProgress[[#This Row],[No. of Shares]],0)</f>
        <v>144.24912495049134</v>
      </c>
      <c r="K2177" s="17">
        <f>IF(HistoricalStockProgress[[#This Row],[Total Price of Shares]]&lt;&gt;0,HistoricalStockProgress[[#This Row],[Total Price of Shares]]-HistoricalStockProgress[[#This Row],[Cost of Shares]],0)</f>
        <v>6635.4597477226016</v>
      </c>
      <c r="L2177" s="34" t="b" cm="1">
        <f t="array" ref="L2177">IFERROR(IF(HistoricalStockProgress[[#This Row],[Price of Shares]]="",_xlfn.STOCKHISTORY(HistoricalStockProgress[[#This Row],[Full Company Name]],HistoricalStockProgress[[#This Row],[Date]],,2,0,1)),0)</f>
        <v>0</v>
      </c>
      <c r="M2177" s="34">
        <f>YEAR(HistoricalStockProgress[[#This Row],[Date]])</f>
        <v>2026</v>
      </c>
      <c r="N2177" s="34">
        <f>MONTH(HistoricalStockProgress[[#This Row],[Date]])</f>
        <v>2</v>
      </c>
    </row>
    <row r="2178" spans="2:14">
      <c r="B2178" s="15">
        <v>46081</v>
      </c>
      <c r="C2178" s="34" t="s">
        <v>86</v>
      </c>
      <c r="D2178" s="34" t="e" vm="8">
        <f>_xlfn.XLOOKUP(HistoricalStockProgress[[#This Row],[Company Ticker]],CompanyDetailsList[Company Ticker],CompanyDetailsList[Official Name],,0)</f>
        <v>#VALUE!</v>
      </c>
      <c r="E21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21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2178" s="17">
        <f>IFERROR(HistoricalStockProgress[[#This Row],[Cost of Shares]]/HistoricalStockProgress[[#This Row],[No. of Shares]],0)</f>
        <v>115.48970647877745</v>
      </c>
      <c r="H2178" s="16" vm="2621">
        <v>232.08</v>
      </c>
      <c r="I2178" s="16">
        <f>IF(HistoricalStockProgress[[#This Row],[No. of Shares]]&lt;&gt;0,HistoricalStockProgress[[#This Row],[Price of Shares]]*HistoricalStockProgress[[#This Row],[No. of Shares]],0)</f>
        <v>35276.160000000003</v>
      </c>
      <c r="J2178" s="16">
        <f>IF(HistoricalStockProgress[[#This Row],[No. of Shares]]&lt;&gt;0,HistoricalStockProgress[[#This Row],[Price of Shares]]-HistoricalStockProgress[[#This Row],[Cost of Shares]]/HistoricalStockProgress[[#This Row],[No. of Shares]],0)</f>
        <v>116.59029352122256</v>
      </c>
      <c r="K2178" s="17">
        <f>IF(HistoricalStockProgress[[#This Row],[Total Price of Shares]]&lt;&gt;0,HistoricalStockProgress[[#This Row],[Total Price of Shares]]-HistoricalStockProgress[[#This Row],[Cost of Shares]],0)</f>
        <v>17721.72461522583</v>
      </c>
      <c r="L2178" s="34" t="b" cm="1">
        <f t="array" ref="L2178">IFERROR(IF(HistoricalStockProgress[[#This Row],[Price of Shares]]="",_xlfn.STOCKHISTORY(HistoricalStockProgress[[#This Row],[Full Company Name]],HistoricalStockProgress[[#This Row],[Date]],,2,0,1)),0)</f>
        <v>0</v>
      </c>
      <c r="M2178" s="34">
        <f>YEAR(HistoricalStockProgress[[#This Row],[Date]])</f>
        <v>2026</v>
      </c>
      <c r="N2178" s="34">
        <f>MONTH(HistoricalStockProgress[[#This Row],[Date]])</f>
        <v>2</v>
      </c>
    </row>
    <row r="2179" spans="2:14">
      <c r="B2179" s="15">
        <v>46081</v>
      </c>
      <c r="C2179" s="34" t="s">
        <v>88</v>
      </c>
      <c r="D2179" s="34" t="e" vm="9">
        <f>_xlfn.XLOOKUP(HistoricalStockProgress[[#This Row],[Company Ticker]],CompanyDetailsList[Company Ticker],CompanyDetailsList[Official Name],,0)</f>
        <v>#VALUE!</v>
      </c>
      <c r="E21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21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2179" s="17">
        <f>IFERROR(HistoricalStockProgress[[#This Row],[Cost of Shares]]/HistoricalStockProgress[[#This Row],[No. of Shares]],0)</f>
        <v>224.7272684493652</v>
      </c>
      <c r="H2179" s="16" vm="2622">
        <v>341.06</v>
      </c>
      <c r="I2179" s="16">
        <f>IF(HistoricalStockProgress[[#This Row],[No. of Shares]]&lt;&gt;0,HistoricalStockProgress[[#This Row],[Price of Shares]]*HistoricalStockProgress[[#This Row],[No. of Shares]],0)</f>
        <v>32400.7</v>
      </c>
      <c r="J2179" s="16">
        <f>IF(HistoricalStockProgress[[#This Row],[No. of Shares]]&lt;&gt;0,HistoricalStockProgress[[#This Row],[Price of Shares]]-HistoricalStockProgress[[#This Row],[Cost of Shares]]/HistoricalStockProgress[[#This Row],[No. of Shares]],0)</f>
        <v>116.3327315506348</v>
      </c>
      <c r="K2179" s="17">
        <f>IF(HistoricalStockProgress[[#This Row],[Total Price of Shares]]&lt;&gt;0,HistoricalStockProgress[[#This Row],[Total Price of Shares]]-HistoricalStockProgress[[#This Row],[Cost of Shares]],0)</f>
        <v>11051.609497310306</v>
      </c>
      <c r="L2179" s="34" t="b" cm="1">
        <f t="array" ref="L2179">IFERROR(IF(HistoricalStockProgress[[#This Row],[Price of Shares]]="",_xlfn.STOCKHISTORY(HistoricalStockProgress[[#This Row],[Full Company Name]],HistoricalStockProgress[[#This Row],[Date]],,2,0,1)),0)</f>
        <v>0</v>
      </c>
      <c r="M2179" s="34">
        <f>YEAR(HistoricalStockProgress[[#This Row],[Date]])</f>
        <v>2026</v>
      </c>
      <c r="N2179" s="34">
        <f>MONTH(HistoricalStockProgress[[#This Row],[Date]])</f>
        <v>2</v>
      </c>
    </row>
    <row r="2180" spans="2:14">
      <c r="B2180" s="15">
        <v>46081</v>
      </c>
      <c r="C2180" s="34" t="s">
        <v>22</v>
      </c>
      <c r="D2180" s="34" t="e" vm="10">
        <f>_xlfn.XLOOKUP(HistoricalStockProgress[[#This Row],[Company Ticker]],CompanyDetailsList[Company Ticker],CompanyDetailsList[Official Name],,0)</f>
        <v>#VALUE!</v>
      </c>
      <c r="E21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21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2180" s="17">
        <f>IFERROR(HistoricalStockProgress[[#This Row],[Cost of Shares]]/HistoricalStockProgress[[#This Row],[No. of Shares]],0)</f>
        <v>130.19784136724968</v>
      </c>
      <c r="H2180" s="16" vm="2623">
        <v>742.83</v>
      </c>
      <c r="I2180" s="16">
        <f>IF(HistoricalStockProgress[[#This Row],[No. of Shares]]&lt;&gt;0,HistoricalStockProgress[[#This Row],[Price of Shares]]*HistoricalStockProgress[[#This Row],[No. of Shares]],0)</f>
        <v>88396.77</v>
      </c>
      <c r="J2180" s="16">
        <f>IF(HistoricalStockProgress[[#This Row],[No. of Shares]]&lt;&gt;0,HistoricalStockProgress[[#This Row],[Price of Shares]]-HistoricalStockProgress[[#This Row],[Cost of Shares]]/HistoricalStockProgress[[#This Row],[No. of Shares]],0)</f>
        <v>612.63215863275036</v>
      </c>
      <c r="K2180" s="17">
        <f>IF(HistoricalStockProgress[[#This Row],[Total Price of Shares]]&lt;&gt;0,HistoricalStockProgress[[#This Row],[Total Price of Shares]]-HistoricalStockProgress[[#This Row],[Cost of Shares]],0)</f>
        <v>72903.226877297289</v>
      </c>
      <c r="L2180" s="34" t="b" cm="1">
        <f t="array" ref="L2180">IFERROR(IF(HistoricalStockProgress[[#This Row],[Price of Shares]]="",_xlfn.STOCKHISTORY(HistoricalStockProgress[[#This Row],[Full Company Name]],HistoricalStockProgress[[#This Row],[Date]],,2,0,1)),0)</f>
        <v>0</v>
      </c>
      <c r="M2180" s="34">
        <f>YEAR(HistoricalStockProgress[[#This Row],[Date]])</f>
        <v>2026</v>
      </c>
      <c r="N2180" s="34">
        <f>MONTH(HistoricalStockProgress[[#This Row],[Date]])</f>
        <v>2</v>
      </c>
    </row>
    <row r="2181" spans="2:14">
      <c r="B2181" s="15">
        <v>46081</v>
      </c>
      <c r="C2181" s="34" t="s">
        <v>91</v>
      </c>
      <c r="D2181" s="34" t="e" vm="11">
        <f>_xlfn.XLOOKUP(HistoricalStockProgress[[#This Row],[Company Ticker]],CompanyDetailsList[Company Ticker],CompanyDetailsList[Official Name],,0)</f>
        <v>#VALUE!</v>
      </c>
      <c r="E21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203</v>
      </c>
      <c r="F21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37263.08408940176</v>
      </c>
      <c r="G2181" s="17">
        <f>IFERROR(HistoricalStockProgress[[#This Row],[Cost of Shares]]/HistoricalStockProgress[[#This Row],[No. of Shares]],0)</f>
        <v>183.56199058818601</v>
      </c>
      <c r="H2181" s="16" vm="2624">
        <v>392.74</v>
      </c>
      <c r="I2181" s="16">
        <f>IF(HistoricalStockProgress[[#This Row],[No. of Shares]]&lt;&gt;0,HistoricalStockProgress[[#This Row],[Price of Shares]]*HistoricalStockProgress[[#This Row],[No. of Shares]],0)</f>
        <v>79726.22</v>
      </c>
      <c r="J2181" s="16">
        <f>IF(HistoricalStockProgress[[#This Row],[No. of Shares]]&lt;&gt;0,HistoricalStockProgress[[#This Row],[Price of Shares]]-HistoricalStockProgress[[#This Row],[Cost of Shares]]/HistoricalStockProgress[[#This Row],[No. of Shares]],0)</f>
        <v>209.178009411814</v>
      </c>
      <c r="K2181" s="17">
        <f>IF(HistoricalStockProgress[[#This Row],[Total Price of Shares]]&lt;&gt;0,HistoricalStockProgress[[#This Row],[Total Price of Shares]]-HistoricalStockProgress[[#This Row],[Cost of Shares]],0)</f>
        <v>42463.135910598241</v>
      </c>
      <c r="L2181" s="34" t="b" cm="1">
        <f t="array" ref="L2181">IFERROR(IF(HistoricalStockProgress[[#This Row],[Price of Shares]]="",_xlfn.STOCKHISTORY(HistoricalStockProgress[[#This Row],[Full Company Name]],HistoricalStockProgress[[#This Row],[Date]],,2,0,1)),0)</f>
        <v>0</v>
      </c>
      <c r="M2181" s="34">
        <f>YEAR(HistoricalStockProgress[[#This Row],[Date]])</f>
        <v>2026</v>
      </c>
      <c r="N2181" s="34">
        <f>MONTH(HistoricalStockProgress[[#This Row],[Date]])</f>
        <v>2</v>
      </c>
    </row>
    <row r="2182" spans="2:14">
      <c r="B2182" s="15">
        <v>46081</v>
      </c>
      <c r="C2182" s="34" t="s">
        <v>16</v>
      </c>
      <c r="D2182" s="34" t="e" vm="12">
        <f>_xlfn.XLOOKUP(HistoricalStockProgress[[#This Row],[Company Ticker]],CompanyDetailsList[Company Ticker],CompanyDetailsList[Official Name],,0)</f>
        <v>#VALUE!</v>
      </c>
      <c r="E21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168</v>
      </c>
      <c r="F21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12619.773293788388</v>
      </c>
      <c r="G2182" s="17">
        <f>IFERROR(HistoricalStockProgress[[#This Row],[Cost of Shares]]/HistoricalStockProgress[[#This Row],[No. of Shares]],0)</f>
        <v>75.117698177311837</v>
      </c>
      <c r="H2182" s="16" vm="2625">
        <v>152.5</v>
      </c>
      <c r="I2182" s="16">
        <f>IF(HistoricalStockProgress[[#This Row],[No. of Shares]]&lt;&gt;0,HistoricalStockProgress[[#This Row],[Price of Shares]]*HistoricalStockProgress[[#This Row],[No. of Shares]],0)</f>
        <v>25620</v>
      </c>
      <c r="J2182" s="16">
        <f>IF(HistoricalStockProgress[[#This Row],[No. of Shares]]&lt;&gt;0,HistoricalStockProgress[[#This Row],[Price of Shares]]-HistoricalStockProgress[[#This Row],[Cost of Shares]]/HistoricalStockProgress[[#This Row],[No. of Shares]],0)</f>
        <v>77.382301822688163</v>
      </c>
      <c r="K2182" s="17">
        <f>IF(HistoricalStockProgress[[#This Row],[Total Price of Shares]]&lt;&gt;0,HistoricalStockProgress[[#This Row],[Total Price of Shares]]-HistoricalStockProgress[[#This Row],[Cost of Shares]],0)</f>
        <v>13000.226706211612</v>
      </c>
      <c r="L2182" s="34" t="b" cm="1">
        <f t="array" ref="L2182">IFERROR(IF(HistoricalStockProgress[[#This Row],[Price of Shares]]="",_xlfn.STOCKHISTORY(HistoricalStockProgress[[#This Row],[Full Company Name]],HistoricalStockProgress[[#This Row],[Date]],,2,0,1)),0)</f>
        <v>0</v>
      </c>
      <c r="M2182" s="34">
        <f>YEAR(HistoricalStockProgress[[#This Row],[Date]])</f>
        <v>2026</v>
      </c>
      <c r="N2182" s="34">
        <f>MONTH(HistoricalStockProgress[[#This Row],[Date]])</f>
        <v>2</v>
      </c>
    </row>
    <row r="2183" spans="2:14">
      <c r="B2183" s="15">
        <v>46081</v>
      </c>
      <c r="C2183" s="34" t="s">
        <v>95</v>
      </c>
      <c r="D2183" s="34" t="e" vm="13">
        <f>_xlfn.XLOOKUP(HistoricalStockProgress[[#This Row],[Company Ticker]],CompanyDetailsList[Company Ticker],CompanyDetailsList[Official Name],,0)</f>
        <v>#VALUE!</v>
      </c>
      <c r="E21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172</v>
      </c>
      <c r="F21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47379.162890220832</v>
      </c>
      <c r="G2183" s="17">
        <f>IFERROR(HistoricalStockProgress[[#This Row],[Cost of Shares]]/HistoricalStockProgress[[#This Row],[No. of Shares]],0)</f>
        <v>275.46024936174905</v>
      </c>
      <c r="H2183" s="16" vm="2626">
        <v>380.72</v>
      </c>
      <c r="I2183" s="16">
        <f>IF(HistoricalStockProgress[[#This Row],[No. of Shares]]&lt;&gt;0,HistoricalStockProgress[[#This Row],[Price of Shares]]*HistoricalStockProgress[[#This Row],[No. of Shares]],0)</f>
        <v>65483.840000000004</v>
      </c>
      <c r="J2183" s="16">
        <f>IF(HistoricalStockProgress[[#This Row],[No. of Shares]]&lt;&gt;0,HistoricalStockProgress[[#This Row],[Price of Shares]]-HistoricalStockProgress[[#This Row],[Cost of Shares]]/HistoricalStockProgress[[#This Row],[No. of Shares]],0)</f>
        <v>105.25975063825098</v>
      </c>
      <c r="K2183" s="17">
        <f>IF(HistoricalStockProgress[[#This Row],[Total Price of Shares]]&lt;&gt;0,HistoricalStockProgress[[#This Row],[Total Price of Shares]]-HistoricalStockProgress[[#This Row],[Cost of Shares]],0)</f>
        <v>18104.677109779172</v>
      </c>
      <c r="L2183" s="34" t="b" cm="1">
        <f t="array" ref="L2183">IFERROR(IF(HistoricalStockProgress[[#This Row],[Price of Shares]]="",_xlfn.STOCKHISTORY(HistoricalStockProgress[[#This Row],[Full Company Name]],HistoricalStockProgress[[#This Row],[Date]],,2,0,1)),0)</f>
        <v>0</v>
      </c>
      <c r="M2183" s="34">
        <f>YEAR(HistoricalStockProgress[[#This Row],[Date]])</f>
        <v>2026</v>
      </c>
      <c r="N2183" s="34">
        <f>MONTH(HistoricalStockProgress[[#This Row],[Date]])</f>
        <v>2</v>
      </c>
    </row>
    <row r="2184" spans="2:14">
      <c r="B2184" s="15">
        <v>46081</v>
      </c>
      <c r="C2184" s="34" t="s">
        <v>17</v>
      </c>
      <c r="D2184" s="34" t="e" vm="14">
        <f>_xlfn.XLOOKUP(HistoricalStockProgress[[#This Row],[Company Ticker]],CompanyDetailsList[Company Ticker],CompanyDetailsList[Official Name],,0)</f>
        <v>#VALUE!</v>
      </c>
      <c r="E21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21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2184" s="17">
        <f>IFERROR(HistoricalStockProgress[[#This Row],[Cost of Shares]]/HistoricalStockProgress[[#This Row],[No. of Shares]],0)</f>
        <v>143.37791217450521</v>
      </c>
      <c r="H2184" s="16" vm="2627">
        <v>240.21</v>
      </c>
      <c r="I2184" s="16">
        <f>IF(HistoricalStockProgress[[#This Row],[No. of Shares]]&lt;&gt;0,HistoricalStockProgress[[#This Row],[Price of Shares]]*HistoricalStockProgress[[#This Row],[No. of Shares]],0)</f>
        <v>55488.51</v>
      </c>
      <c r="J2184" s="16">
        <f>IF(HistoricalStockProgress[[#This Row],[No. of Shares]]&lt;&gt;0,HistoricalStockProgress[[#This Row],[Price of Shares]]-HistoricalStockProgress[[#This Row],[Cost of Shares]]/HistoricalStockProgress[[#This Row],[No. of Shares]],0)</f>
        <v>96.832087825494796</v>
      </c>
      <c r="K2184" s="17">
        <f>IF(HistoricalStockProgress[[#This Row],[Total Price of Shares]]&lt;&gt;0,HistoricalStockProgress[[#This Row],[Total Price of Shares]]-HistoricalStockProgress[[#This Row],[Cost of Shares]],0)</f>
        <v>22368.212287689297</v>
      </c>
      <c r="L2184" s="34" t="b" cm="1">
        <f t="array" ref="L2184">IFERROR(IF(HistoricalStockProgress[[#This Row],[Price of Shares]]="",_xlfn.STOCKHISTORY(HistoricalStockProgress[[#This Row],[Full Company Name]],HistoricalStockProgress[[#This Row],[Date]],,2,0,1)),0)</f>
        <v>0</v>
      </c>
      <c r="M2184" s="34">
        <f>YEAR(HistoricalStockProgress[[#This Row],[Date]])</f>
        <v>2026</v>
      </c>
      <c r="N2184" s="34">
        <f>MONTH(HistoricalStockProgress[[#This Row],[Date]])</f>
        <v>2</v>
      </c>
    </row>
    <row r="2185" spans="2:14">
      <c r="B2185" s="15">
        <v>46081</v>
      </c>
      <c r="C2185" s="34" t="s">
        <v>98</v>
      </c>
      <c r="D2185" s="34" t="e" vm="15">
        <f>_xlfn.XLOOKUP(HistoricalStockProgress[[#This Row],[Company Ticker]],CompanyDetailsList[Company Ticker],CompanyDetailsList[Official Name],,0)</f>
        <v>#VALUE!</v>
      </c>
      <c r="E21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193</v>
      </c>
      <c r="F21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11397.772474019517</v>
      </c>
      <c r="G2185" s="17">
        <f>IFERROR(HistoricalStockProgress[[#This Row],[Cost of Shares]]/HistoricalStockProgress[[#This Row],[No. of Shares]],0)</f>
        <v>59.055815927562264</v>
      </c>
      <c r="H2185" s="16" vm="913">
        <v>93.77</v>
      </c>
      <c r="I2185" s="16">
        <f>IF(HistoricalStockProgress[[#This Row],[No. of Shares]]&lt;&gt;0,HistoricalStockProgress[[#This Row],[Price of Shares]]*HistoricalStockProgress[[#This Row],[No. of Shares]],0)</f>
        <v>18097.61</v>
      </c>
      <c r="J2185" s="16">
        <f>IF(HistoricalStockProgress[[#This Row],[No. of Shares]]&lt;&gt;0,HistoricalStockProgress[[#This Row],[Price of Shares]]-HistoricalStockProgress[[#This Row],[Cost of Shares]]/HistoricalStockProgress[[#This Row],[No. of Shares]],0)</f>
        <v>34.714184072437732</v>
      </c>
      <c r="K2185" s="17">
        <f>IF(HistoricalStockProgress[[#This Row],[Total Price of Shares]]&lt;&gt;0,HistoricalStockProgress[[#This Row],[Total Price of Shares]]-HistoricalStockProgress[[#This Row],[Cost of Shares]],0)</f>
        <v>6699.8375259804834</v>
      </c>
      <c r="L2185" s="34" t="b" cm="1">
        <f t="array" ref="L2185">IFERROR(IF(HistoricalStockProgress[[#This Row],[Price of Shares]]="",_xlfn.STOCKHISTORY(HistoricalStockProgress[[#This Row],[Full Company Name]],HistoricalStockProgress[[#This Row],[Date]],,2,0,1)),0)</f>
        <v>0</v>
      </c>
      <c r="M2185" s="34">
        <f>YEAR(HistoricalStockProgress[[#This Row],[Date]])</f>
        <v>2026</v>
      </c>
      <c r="N2185" s="34">
        <f>MONTH(HistoricalStockProgress[[#This Row],[Date]])</f>
        <v>2</v>
      </c>
    </row>
    <row r="2186" spans="2:14">
      <c r="B2186" s="15">
        <v>46081</v>
      </c>
      <c r="C2186" s="34" t="s">
        <v>100</v>
      </c>
      <c r="D2186" s="34" t="e" vm="16">
        <f>_xlfn.XLOOKUP(HistoricalStockProgress[[#This Row],[Company Ticker]],CompanyDetailsList[Company Ticker],CompanyDetailsList[Official Name],,0)</f>
        <v>#VALUE!</v>
      </c>
      <c r="E21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21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2186" s="17">
        <f>IFERROR(HistoricalStockProgress[[#This Row],[Cost of Shares]]/HistoricalStockProgress[[#This Row],[No. of Shares]],0)</f>
        <v>92.156351168716071</v>
      </c>
      <c r="H2186" s="16" vm="2628">
        <v>130.85</v>
      </c>
      <c r="I2186" s="16">
        <f>IF(HistoricalStockProgress[[#This Row],[No. of Shares]]&lt;&gt;0,HistoricalStockProgress[[#This Row],[Price of Shares]]*HistoricalStockProgress[[#This Row],[No. of Shares]],0)</f>
        <v>32712.5</v>
      </c>
      <c r="J2186" s="16">
        <f>IF(HistoricalStockProgress[[#This Row],[No. of Shares]]&lt;&gt;0,HistoricalStockProgress[[#This Row],[Price of Shares]]-HistoricalStockProgress[[#This Row],[Cost of Shares]]/HistoricalStockProgress[[#This Row],[No. of Shares]],0)</f>
        <v>38.693648831283923</v>
      </c>
      <c r="K2186" s="17">
        <f>IF(HistoricalStockProgress[[#This Row],[Total Price of Shares]]&lt;&gt;0,HistoricalStockProgress[[#This Row],[Total Price of Shares]]-HistoricalStockProgress[[#This Row],[Cost of Shares]],0)</f>
        <v>9673.4122078209839</v>
      </c>
      <c r="L2186" s="34" t="b" cm="1">
        <f t="array" ref="L2186">IFERROR(IF(HistoricalStockProgress[[#This Row],[Price of Shares]]="",_xlfn.STOCKHISTORY(HistoricalStockProgress[[#This Row],[Full Company Name]],HistoricalStockProgress[[#This Row],[Date]],,2,0,1)),0)</f>
        <v>0</v>
      </c>
      <c r="M2186" s="34">
        <f>YEAR(HistoricalStockProgress[[#This Row],[Date]])</f>
        <v>2026</v>
      </c>
      <c r="N2186" s="34">
        <f>MONTH(HistoricalStockProgress[[#This Row],[Date]])</f>
        <v>2</v>
      </c>
    </row>
    <row r="2187" spans="2:14">
      <c r="B2187" s="15">
        <v>46081</v>
      </c>
      <c r="C2187" s="34" t="s">
        <v>15</v>
      </c>
      <c r="D2187" s="34" t="e" vm="17">
        <f>_xlfn.XLOOKUP(HistoricalStockProgress[[#This Row],[Company Ticker]],CompanyDetailsList[Company Ticker],CompanyDetailsList[Official Name],,0)</f>
        <v>#VALUE!</v>
      </c>
      <c r="E21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21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3479.0458726436</v>
      </c>
      <c r="G2187" s="17">
        <f>IFERROR(HistoricalStockProgress[[#This Row],[Cost of Shares]]/HistoricalStockProgress[[#This Row],[No. of Shares]],0)</f>
        <v>24.85032766174</v>
      </c>
      <c r="H2187" s="16" vm="2629">
        <v>28.01</v>
      </c>
      <c r="I2187" s="16">
        <f>IF(HistoricalStockProgress[[#This Row],[No. of Shares]]&lt;&gt;0,HistoricalStockProgress[[#This Row],[Price of Shares]]*HistoricalStockProgress[[#This Row],[No. of Shares]],0)</f>
        <v>3921.4</v>
      </c>
      <c r="J2187" s="16">
        <f>IF(HistoricalStockProgress[[#This Row],[No. of Shares]]&lt;&gt;0,HistoricalStockProgress[[#This Row],[Price of Shares]]-HistoricalStockProgress[[#This Row],[Cost of Shares]]/HistoricalStockProgress[[#This Row],[No. of Shares]],0)</f>
        <v>3.1596723382600018</v>
      </c>
      <c r="K2187" s="17">
        <f>IF(HistoricalStockProgress[[#This Row],[Total Price of Shares]]&lt;&gt;0,HistoricalStockProgress[[#This Row],[Total Price of Shares]]-HistoricalStockProgress[[#This Row],[Cost of Shares]],0)</f>
        <v>442.35412735640011</v>
      </c>
      <c r="L2187" s="34" t="b" cm="1">
        <f t="array" ref="L2187">IFERROR(IF(HistoricalStockProgress[[#This Row],[Price of Shares]]="",_xlfn.STOCKHISTORY(HistoricalStockProgress[[#This Row],[Full Company Name]],HistoricalStockProgress[[#This Row],[Date]],,2,0,1)),0)</f>
        <v>0</v>
      </c>
      <c r="M2187" s="34">
        <f>YEAR(HistoricalStockProgress[[#This Row],[Date]])</f>
        <v>2026</v>
      </c>
      <c r="N2187" s="34">
        <f>MONTH(HistoricalStockProgress[[#This Row],[Date]])</f>
        <v>2</v>
      </c>
    </row>
    <row r="2188" spans="2:14">
      <c r="B2188" s="15">
        <v>46081</v>
      </c>
      <c r="C2188" s="34" t="s">
        <v>13</v>
      </c>
      <c r="D2188" s="34" t="e" vm="18">
        <f>_xlfn.XLOOKUP(HistoricalStockProgress[[#This Row],[Company Ticker]],CompanyDetailsList[Company Ticker],CompanyDetailsList[Official Name],,0)</f>
        <v>#VALUE!</v>
      </c>
      <c r="E21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21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3394.2551594478332</v>
      </c>
      <c r="G2188" s="17">
        <f>IFERROR(HistoricalStockProgress[[#This Row],[Cost of Shares]]/HistoricalStockProgress[[#This Row],[No. of Shares]],0)</f>
        <v>32.021275089130505</v>
      </c>
      <c r="H2188" s="16" vm="2630">
        <v>27.65</v>
      </c>
      <c r="I2188" s="16">
        <f>IF(HistoricalStockProgress[[#This Row],[No. of Shares]]&lt;&gt;0,HistoricalStockProgress[[#This Row],[Price of Shares]]*HistoricalStockProgress[[#This Row],[No. of Shares]],0)</f>
        <v>2930.8999999999996</v>
      </c>
      <c r="J2188" s="16">
        <f>IF(HistoricalStockProgress[[#This Row],[No. of Shares]]&lt;&gt;0,HistoricalStockProgress[[#This Row],[Price of Shares]]-HistoricalStockProgress[[#This Row],[Cost of Shares]]/HistoricalStockProgress[[#This Row],[No. of Shares]],0)</f>
        <v>-4.3712750891305063</v>
      </c>
      <c r="K2188" s="17">
        <f>IF(HistoricalStockProgress[[#This Row],[Total Price of Shares]]&lt;&gt;0,HistoricalStockProgress[[#This Row],[Total Price of Shares]]-HistoricalStockProgress[[#This Row],[Cost of Shares]],0)</f>
        <v>-463.35515944783356</v>
      </c>
      <c r="L2188" s="34" t="b" cm="1">
        <f t="array" ref="L2188">IFERROR(IF(HistoricalStockProgress[[#This Row],[Price of Shares]]="",_xlfn.STOCKHISTORY(HistoricalStockProgress[[#This Row],[Full Company Name]],HistoricalStockProgress[[#This Row],[Date]],,2,0,1)),0)</f>
        <v>0</v>
      </c>
      <c r="M2188" s="34">
        <f>YEAR(HistoricalStockProgress[[#This Row],[Date]])</f>
        <v>2026</v>
      </c>
      <c r="N2188" s="34">
        <f>MONTH(HistoricalStockProgress[[#This Row],[Date]])</f>
        <v>2</v>
      </c>
    </row>
    <row r="2189" spans="2:14">
      <c r="B2189" s="15">
        <v>46081</v>
      </c>
      <c r="C2189" s="34" t="s">
        <v>20</v>
      </c>
      <c r="D2189" s="34" t="e" vm="19">
        <f>_xlfn.XLOOKUP(HistoricalStockProgress[[#This Row],[Company Ticker]],CompanyDetailsList[Company Ticker],CompanyDetailsList[Official Name],,0)</f>
        <v>#VALUE!</v>
      </c>
      <c r="E21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21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2189" s="17">
        <f>IFERROR(HistoricalStockProgress[[#This Row],[Cost of Shares]]/HistoricalStockProgress[[#This Row],[No. of Shares]],0)</f>
        <v>108.1760767450256</v>
      </c>
      <c r="H2189" s="16" vm="2631">
        <v>300.3</v>
      </c>
      <c r="I2189" s="16">
        <f>IF(HistoricalStockProgress[[#This Row],[No. of Shares]]&lt;&gt;0,HistoricalStockProgress[[#This Row],[Price of Shares]]*HistoricalStockProgress[[#This Row],[No. of Shares]],0)</f>
        <v>34834.800000000003</v>
      </c>
      <c r="J2189" s="16">
        <f>IF(HistoricalStockProgress[[#This Row],[No. of Shares]]&lt;&gt;0,HistoricalStockProgress[[#This Row],[Price of Shares]]-HistoricalStockProgress[[#This Row],[Cost of Shares]]/HistoricalStockProgress[[#This Row],[No. of Shares]],0)</f>
        <v>192.12392325497441</v>
      </c>
      <c r="K2189" s="17">
        <f>IF(HistoricalStockProgress[[#This Row],[Total Price of Shares]]&lt;&gt;0,HistoricalStockProgress[[#This Row],[Total Price of Shares]]-HistoricalStockProgress[[#This Row],[Cost of Shares]],0)</f>
        <v>22286.375097577034</v>
      </c>
      <c r="L2189" s="34" t="b" cm="1">
        <f t="array" ref="L2189">IFERROR(IF(HistoricalStockProgress[[#This Row],[Price of Shares]]="",_xlfn.STOCKHISTORY(HistoricalStockProgress[[#This Row],[Full Company Name]],HistoricalStockProgress[[#This Row],[Date]],,2,0,1)),0)</f>
        <v>0</v>
      </c>
      <c r="M2189" s="34">
        <f>YEAR(HistoricalStockProgress[[#This Row],[Date]])</f>
        <v>2026</v>
      </c>
      <c r="N2189" s="34">
        <f>MONTH(HistoricalStockProgress[[#This Row],[Date]])</f>
        <v>2</v>
      </c>
    </row>
    <row r="2190" spans="2:14">
      <c r="B2190" s="15">
        <v>46081</v>
      </c>
      <c r="C2190" s="34" t="s">
        <v>106</v>
      </c>
      <c r="D2190" s="34" t="e" vm="20">
        <f>_xlfn.XLOOKUP(HistoricalStockProgress[[#This Row],[Company Ticker]],CompanyDetailsList[Company Ticker],CompanyDetailsList[Official Name],,0)</f>
        <v>#VALUE!</v>
      </c>
      <c r="E21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21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8575.3478914575226</v>
      </c>
      <c r="G2190" s="17">
        <f>IFERROR(HistoricalStockProgress[[#This Row],[Cost of Shares]]/HistoricalStockProgress[[#This Row],[No. of Shares]],0)</f>
        <v>108.54870748680408</v>
      </c>
      <c r="H2190" s="16" vm="2632">
        <v>123.27</v>
      </c>
      <c r="I2190" s="16">
        <f>IF(HistoricalStockProgress[[#This Row],[No. of Shares]]&lt;&gt;0,HistoricalStockProgress[[#This Row],[Price of Shares]]*HistoricalStockProgress[[#This Row],[No. of Shares]],0)</f>
        <v>9738.33</v>
      </c>
      <c r="J2190" s="16">
        <f>IF(HistoricalStockProgress[[#This Row],[No. of Shares]]&lt;&gt;0,HistoricalStockProgress[[#This Row],[Price of Shares]]-HistoricalStockProgress[[#This Row],[Cost of Shares]]/HistoricalStockProgress[[#This Row],[No. of Shares]],0)</f>
        <v>14.72129251319592</v>
      </c>
      <c r="K2190" s="17">
        <f>IF(HistoricalStockProgress[[#This Row],[Total Price of Shares]]&lt;&gt;0,HistoricalStockProgress[[#This Row],[Total Price of Shares]]-HistoricalStockProgress[[#This Row],[Cost of Shares]],0)</f>
        <v>1162.9821085424774</v>
      </c>
      <c r="L2190" s="34" t="b" cm="1">
        <f t="array" ref="L2190">IFERROR(IF(HistoricalStockProgress[[#This Row],[Price of Shares]]="",_xlfn.STOCKHISTORY(HistoricalStockProgress[[#This Row],[Full Company Name]],HistoricalStockProgress[[#This Row],[Date]],,2,0,1)),0)</f>
        <v>0</v>
      </c>
      <c r="M2190" s="34">
        <f>YEAR(HistoricalStockProgress[[#This Row],[Date]])</f>
        <v>2026</v>
      </c>
      <c r="N2190" s="34">
        <f>MONTH(HistoricalStockProgress[[#This Row],[Date]])</f>
        <v>2</v>
      </c>
    </row>
    <row r="2191" spans="2:14">
      <c r="B2191" s="15">
        <v>46112</v>
      </c>
      <c r="C2191" s="34" t="s">
        <v>12</v>
      </c>
      <c r="D2191" s="34" t="e" vm="1">
        <f>_xlfn.XLOOKUP(HistoricalStockProgress[[#This Row],[Company Ticker]],CompanyDetailsList[Company Ticker],CompanyDetailsList[Official Name],,0)</f>
        <v>#VALUE!</v>
      </c>
      <c r="E21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21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2191" s="17">
        <f>IFERROR(HistoricalStockProgress[[#This Row],[Cost of Shares]]/HistoricalStockProgress[[#This Row],[No. of Shares]],0)</f>
        <v>64.573985995316889</v>
      </c>
      <c r="H2191" s="16" vm="2197">
        <v>61.18</v>
      </c>
      <c r="I2191" s="16">
        <f>IF(HistoricalStockProgress[[#This Row],[No. of Shares]]&lt;&gt;0,HistoricalStockProgress[[#This Row],[Price of Shares]]*HistoricalStockProgress[[#This Row],[No. of Shares]],0)</f>
        <v>5934.46</v>
      </c>
      <c r="J2191" s="16">
        <f>IF(HistoricalStockProgress[[#This Row],[No. of Shares]]&lt;&gt;0,HistoricalStockProgress[[#This Row],[Price of Shares]]-HistoricalStockProgress[[#This Row],[Cost of Shares]]/HistoricalStockProgress[[#This Row],[No. of Shares]],0)</f>
        <v>-3.3939859953168892</v>
      </c>
      <c r="K2191" s="17">
        <f>IF(HistoricalStockProgress[[#This Row],[Total Price of Shares]]&lt;&gt;0,HistoricalStockProgress[[#This Row],[Total Price of Shares]]-HistoricalStockProgress[[#This Row],[Cost of Shares]],0)</f>
        <v>-329.21664154573773</v>
      </c>
      <c r="L2191" s="34" t="b" cm="1">
        <f t="array" ref="L2191">IFERROR(IF(HistoricalStockProgress[[#This Row],[Price of Shares]]="",_xlfn.STOCKHISTORY(HistoricalStockProgress[[#This Row],[Full Company Name]],HistoricalStockProgress[[#This Row],[Date]],,2,0,1)),0)</f>
        <v>0</v>
      </c>
      <c r="M2191" s="34">
        <f>YEAR(HistoricalStockProgress[[#This Row],[Date]])</f>
        <v>2026</v>
      </c>
      <c r="N2191" s="34">
        <f>MONTH(HistoricalStockProgress[[#This Row],[Date]])</f>
        <v>3</v>
      </c>
    </row>
    <row r="2192" spans="2:14">
      <c r="B2192" s="15">
        <v>46112</v>
      </c>
      <c r="C2192" s="34" t="s">
        <v>14</v>
      </c>
      <c r="D2192" s="34" t="e" vm="2">
        <f>_xlfn.XLOOKUP(HistoricalStockProgress[[#This Row],[Company Ticker]],CompanyDetailsList[Company Ticker],CompanyDetailsList[Official Name],,0)</f>
        <v>#VALUE!</v>
      </c>
      <c r="E21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21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2192" s="17">
        <f>IFERROR(HistoricalStockProgress[[#This Row],[Cost of Shares]]/HistoricalStockProgress[[#This Row],[No. of Shares]],0)</f>
        <v>26.819337355148658</v>
      </c>
      <c r="H2192" s="16" vm="2633">
        <v>39.29</v>
      </c>
      <c r="I2192" s="16">
        <f>IF(HistoricalStockProgress[[#This Row],[No. of Shares]]&lt;&gt;0,HistoricalStockProgress[[#This Row],[Price of Shares]]*HistoricalStockProgress[[#This Row],[No. of Shares]],0)</f>
        <v>2475.27</v>
      </c>
      <c r="J2192" s="16">
        <f>IF(HistoricalStockProgress[[#This Row],[No. of Shares]]&lt;&gt;0,HistoricalStockProgress[[#This Row],[Price of Shares]]-HistoricalStockProgress[[#This Row],[Cost of Shares]]/HistoricalStockProgress[[#This Row],[No. of Shares]],0)</f>
        <v>12.470662644851341</v>
      </c>
      <c r="K2192" s="17">
        <f>IF(HistoricalStockProgress[[#This Row],[Total Price of Shares]]&lt;&gt;0,HistoricalStockProgress[[#This Row],[Total Price of Shares]]-HistoricalStockProgress[[#This Row],[Cost of Shares]],0)</f>
        <v>785.65174662563459</v>
      </c>
      <c r="L2192" s="34" t="b" cm="1">
        <f t="array" ref="L2192">IFERROR(IF(HistoricalStockProgress[[#This Row],[Price of Shares]]="",_xlfn.STOCKHISTORY(HistoricalStockProgress[[#This Row],[Full Company Name]],HistoricalStockProgress[[#This Row],[Date]],,2,0,1)),0)</f>
        <v>0</v>
      </c>
      <c r="M2192" s="34">
        <f>YEAR(HistoricalStockProgress[[#This Row],[Date]])</f>
        <v>2026</v>
      </c>
      <c r="N2192" s="34">
        <f>MONTH(HistoricalStockProgress[[#This Row],[Date]])</f>
        <v>3</v>
      </c>
    </row>
    <row r="2193" spans="2:14">
      <c r="B2193" s="15">
        <v>46112</v>
      </c>
      <c r="C2193" s="34" t="s">
        <v>19</v>
      </c>
      <c r="D2193" s="34" t="e" vm="3">
        <f>_xlfn.XLOOKUP(HistoricalStockProgress[[#This Row],[Company Ticker]],CompanyDetailsList[Company Ticker],CompanyDetailsList[Official Name],,0)</f>
        <v>#VALUE!</v>
      </c>
      <c r="E21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21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2193" s="17">
        <f>IFERROR(HistoricalStockProgress[[#This Row],[Cost of Shares]]/HistoricalStockProgress[[#This Row],[No. of Shares]],0)</f>
        <v>160.12652821044301</v>
      </c>
      <c r="H2193" s="16" vm="2634">
        <v>103.63</v>
      </c>
      <c r="I2193" s="16">
        <f>IF(HistoricalStockProgress[[#This Row],[No. of Shares]]&lt;&gt;0,HistoricalStockProgress[[#This Row],[Price of Shares]]*HistoricalStockProgress[[#This Row],[No. of Shares]],0)</f>
        <v>8912.18</v>
      </c>
      <c r="J2193" s="16">
        <f>IF(HistoricalStockProgress[[#This Row],[No. of Shares]]&lt;&gt;0,HistoricalStockProgress[[#This Row],[Price of Shares]]-HistoricalStockProgress[[#This Row],[Cost of Shares]]/HistoricalStockProgress[[#This Row],[No. of Shares]],0)</f>
        <v>-56.496528210443017</v>
      </c>
      <c r="K2193" s="17">
        <f>IF(HistoricalStockProgress[[#This Row],[Total Price of Shares]]&lt;&gt;0,HistoricalStockProgress[[#This Row],[Total Price of Shares]]-HistoricalStockProgress[[#This Row],[Cost of Shares]],0)</f>
        <v>-4858.7014260980977</v>
      </c>
      <c r="L2193" s="34" t="b" cm="1">
        <f t="array" ref="L2193">IFERROR(IF(HistoricalStockProgress[[#This Row],[Price of Shares]]="",_xlfn.STOCKHISTORY(HistoricalStockProgress[[#This Row],[Full Company Name]],HistoricalStockProgress[[#This Row],[Date]],,2,0,1)),0)</f>
        <v>0</v>
      </c>
      <c r="M2193" s="34">
        <f>YEAR(HistoricalStockProgress[[#This Row],[Date]])</f>
        <v>2026</v>
      </c>
      <c r="N2193" s="34">
        <f>MONTH(HistoricalStockProgress[[#This Row],[Date]])</f>
        <v>3</v>
      </c>
    </row>
    <row r="2194" spans="2:14">
      <c r="B2194" s="15">
        <v>46112</v>
      </c>
      <c r="C2194" s="34" t="s">
        <v>23</v>
      </c>
      <c r="D2194" s="34" t="e" vm="4">
        <f>_xlfn.XLOOKUP(HistoricalStockProgress[[#This Row],[Company Ticker]],CompanyDetailsList[Company Ticker],CompanyDetailsList[Official Name],,0)</f>
        <v>#VALUE!</v>
      </c>
      <c r="E21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21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5636.7217732526415</v>
      </c>
      <c r="G2194" s="17">
        <f>IFERROR(HistoricalStockProgress[[#This Row],[Cost of Shares]]/HistoricalStockProgress[[#This Row],[No. of Shares]],0)</f>
        <v>50.781277236510284</v>
      </c>
      <c r="H2194" s="16" vm="2635">
        <v>76.05</v>
      </c>
      <c r="I2194" s="16">
        <f>IF(HistoricalStockProgress[[#This Row],[No. of Shares]]&lt;&gt;0,HistoricalStockProgress[[#This Row],[Price of Shares]]*HistoricalStockProgress[[#This Row],[No. of Shares]],0)</f>
        <v>8441.5499999999993</v>
      </c>
      <c r="J2194" s="16">
        <f>IF(HistoricalStockProgress[[#This Row],[No. of Shares]]&lt;&gt;0,HistoricalStockProgress[[#This Row],[Price of Shares]]-HistoricalStockProgress[[#This Row],[Cost of Shares]]/HistoricalStockProgress[[#This Row],[No. of Shares]],0)</f>
        <v>25.268722763489713</v>
      </c>
      <c r="K2194" s="17">
        <f>IF(HistoricalStockProgress[[#This Row],[Total Price of Shares]]&lt;&gt;0,HistoricalStockProgress[[#This Row],[Total Price of Shares]]-HistoricalStockProgress[[#This Row],[Cost of Shares]],0)</f>
        <v>2804.8282267473578</v>
      </c>
      <c r="L2194" s="34" t="b" cm="1">
        <f t="array" ref="L2194">IFERROR(IF(HistoricalStockProgress[[#This Row],[Price of Shares]]="",_xlfn.STOCKHISTORY(HistoricalStockProgress[[#This Row],[Full Company Name]],HistoricalStockProgress[[#This Row],[Date]],,2,0,1)),0)</f>
        <v>0</v>
      </c>
      <c r="M2194" s="34">
        <f>YEAR(HistoricalStockProgress[[#This Row],[Date]])</f>
        <v>2026</v>
      </c>
      <c r="N2194" s="34">
        <f>MONTH(HistoricalStockProgress[[#This Row],[Date]])</f>
        <v>3</v>
      </c>
    </row>
    <row r="2195" spans="2:14">
      <c r="B2195" s="15">
        <v>46112</v>
      </c>
      <c r="C2195" s="34" t="s">
        <v>18</v>
      </c>
      <c r="D2195" s="34" t="e" vm="5">
        <f>_xlfn.XLOOKUP(HistoricalStockProgress[[#This Row],[Company Ticker]],CompanyDetailsList[Company Ticker],CompanyDetailsList[Official Name],,0)</f>
        <v>#VALUE!</v>
      </c>
      <c r="E21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21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2195" s="17">
        <f>IFERROR(HistoricalStockProgress[[#This Row],[Cost of Shares]]/HistoricalStockProgress[[#This Row],[No. of Shares]],0)</f>
        <v>160.8859607546234</v>
      </c>
      <c r="H2195" s="16" vm="2636">
        <v>155.29</v>
      </c>
      <c r="I2195" s="16">
        <f>IF(HistoricalStockProgress[[#This Row],[No. of Shares]]&lt;&gt;0,HistoricalStockProgress[[#This Row],[Price of Shares]]*HistoricalStockProgress[[#This Row],[No. of Shares]],0)</f>
        <v>6677.4699999999993</v>
      </c>
      <c r="J2195" s="16">
        <f>IF(HistoricalStockProgress[[#This Row],[No. of Shares]]&lt;&gt;0,HistoricalStockProgress[[#This Row],[Price of Shares]]-HistoricalStockProgress[[#This Row],[Cost of Shares]]/HistoricalStockProgress[[#This Row],[No. of Shares]],0)</f>
        <v>-5.5959607546234054</v>
      </c>
      <c r="K2195" s="17">
        <f>IF(HistoricalStockProgress[[#This Row],[Total Price of Shares]]&lt;&gt;0,HistoricalStockProgress[[#This Row],[Total Price of Shares]]-HistoricalStockProgress[[#This Row],[Cost of Shares]],0)</f>
        <v>-240.62631244880686</v>
      </c>
      <c r="L2195" s="34" t="b" cm="1">
        <f t="array" ref="L2195">IFERROR(IF(HistoricalStockProgress[[#This Row],[Price of Shares]]="",_xlfn.STOCKHISTORY(HistoricalStockProgress[[#This Row],[Full Company Name]],HistoricalStockProgress[[#This Row],[Date]],,2,0,1)),0)</f>
        <v>0</v>
      </c>
      <c r="M2195" s="34">
        <f>YEAR(HistoricalStockProgress[[#This Row],[Date]])</f>
        <v>2026</v>
      </c>
      <c r="N2195" s="34">
        <f>MONTH(HistoricalStockProgress[[#This Row],[Date]])</f>
        <v>3</v>
      </c>
    </row>
    <row r="2196" spans="2:14">
      <c r="B2196" s="15">
        <v>46112</v>
      </c>
      <c r="C2196" s="34" t="s">
        <v>21</v>
      </c>
      <c r="D2196" s="34" t="e" vm="6">
        <f>_xlfn.XLOOKUP(HistoricalStockProgress[[#This Row],[Company Ticker]],CompanyDetailsList[Company Ticker],CompanyDetailsList[Official Name],,0)</f>
        <v>#VALUE!</v>
      </c>
      <c r="E21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84</v>
      </c>
      <c r="F21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12738.215402497406</v>
      </c>
      <c r="G2196" s="17">
        <f>IFERROR(HistoricalStockProgress[[#This Row],[Cost of Shares]]/HistoricalStockProgress[[#This Row],[No. of Shares]],0)</f>
        <v>151.64542145830245</v>
      </c>
      <c r="H2196" s="16" vm="2637">
        <v>144.44</v>
      </c>
      <c r="I2196" s="16">
        <f>IF(HistoricalStockProgress[[#This Row],[No. of Shares]]&lt;&gt;0,HistoricalStockProgress[[#This Row],[Price of Shares]]*HistoricalStockProgress[[#This Row],[No. of Shares]],0)</f>
        <v>12132.96</v>
      </c>
      <c r="J2196" s="16">
        <f>IF(HistoricalStockProgress[[#This Row],[No. of Shares]]&lt;&gt;0,HistoricalStockProgress[[#This Row],[Price of Shares]]-HistoricalStockProgress[[#This Row],[Cost of Shares]]/HistoricalStockProgress[[#This Row],[No. of Shares]],0)</f>
        <v>-7.2054214583024532</v>
      </c>
      <c r="K2196" s="17">
        <f>IF(HistoricalStockProgress[[#This Row],[Total Price of Shares]]&lt;&gt;0,HistoricalStockProgress[[#This Row],[Total Price of Shares]]-HistoricalStockProgress[[#This Row],[Cost of Shares]],0)</f>
        <v>-605.25540249740698</v>
      </c>
      <c r="L2196" s="34" t="b" cm="1">
        <f t="array" ref="L2196">IFERROR(IF(HistoricalStockProgress[[#This Row],[Price of Shares]]="",_xlfn.STOCKHISTORY(HistoricalStockProgress[[#This Row],[Full Company Name]],HistoricalStockProgress[[#This Row],[Date]],,2,0,1)),0)</f>
        <v>0</v>
      </c>
      <c r="M2196" s="34">
        <f>YEAR(HistoricalStockProgress[[#This Row],[Date]])</f>
        <v>2026</v>
      </c>
      <c r="N2196" s="34">
        <f>MONTH(HistoricalStockProgress[[#This Row],[Date]])</f>
        <v>3</v>
      </c>
    </row>
    <row r="2197" spans="2:14">
      <c r="B2197" s="15">
        <v>46112</v>
      </c>
      <c r="C2197" s="34" t="s">
        <v>84</v>
      </c>
      <c r="D2197" s="34" t="e" vm="7">
        <f>_xlfn.XLOOKUP(HistoricalStockProgress[[#This Row],[Company Ticker]],CompanyDetailsList[Company Ticker],CompanyDetailsList[Official Name],,0)</f>
        <v>#VALUE!</v>
      </c>
      <c r="E21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46</v>
      </c>
      <c r="F21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4792.320252277399</v>
      </c>
      <c r="G2197" s="17">
        <f>IFERROR(HistoricalStockProgress[[#This Row],[Cost of Shares]]/HistoricalStockProgress[[#This Row],[No. of Shares]],0)</f>
        <v>104.18087504950867</v>
      </c>
      <c r="H2197" s="16" vm="2638">
        <v>244.44</v>
      </c>
      <c r="I2197" s="16">
        <f>IF(HistoricalStockProgress[[#This Row],[No. of Shares]]&lt;&gt;0,HistoricalStockProgress[[#This Row],[Price of Shares]]*HistoricalStockProgress[[#This Row],[No. of Shares]],0)</f>
        <v>11244.24</v>
      </c>
      <c r="J2197" s="16">
        <f>IF(HistoricalStockProgress[[#This Row],[No. of Shares]]&lt;&gt;0,HistoricalStockProgress[[#This Row],[Price of Shares]]-HistoricalStockProgress[[#This Row],[Cost of Shares]]/HistoricalStockProgress[[#This Row],[No. of Shares]],0)</f>
        <v>140.25912495049133</v>
      </c>
      <c r="K2197" s="17">
        <f>IF(HistoricalStockProgress[[#This Row],[Total Price of Shares]]&lt;&gt;0,HistoricalStockProgress[[#This Row],[Total Price of Shares]]-HistoricalStockProgress[[#This Row],[Cost of Shares]],0)</f>
        <v>6451.9197477226007</v>
      </c>
      <c r="L2197" s="34" t="b" cm="1">
        <f t="array" ref="L2197">IFERROR(IF(HistoricalStockProgress[[#This Row],[Price of Shares]]="",_xlfn.STOCKHISTORY(HistoricalStockProgress[[#This Row],[Full Company Name]],HistoricalStockProgress[[#This Row],[Date]],,2,0,1)),0)</f>
        <v>0</v>
      </c>
      <c r="M2197" s="34">
        <f>YEAR(HistoricalStockProgress[[#This Row],[Date]])</f>
        <v>2026</v>
      </c>
      <c r="N2197" s="34">
        <f>MONTH(HistoricalStockProgress[[#This Row],[Date]])</f>
        <v>3</v>
      </c>
    </row>
    <row r="2198" spans="2:14">
      <c r="B2198" s="15">
        <v>46112</v>
      </c>
      <c r="C2198" s="34" t="s">
        <v>86</v>
      </c>
      <c r="D2198" s="34" t="e" vm="8">
        <f>_xlfn.XLOOKUP(HistoricalStockProgress[[#This Row],[Company Ticker]],CompanyDetailsList[Company Ticker],CompanyDetailsList[Official Name],,0)</f>
        <v>#VALUE!</v>
      </c>
      <c r="E21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21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2198" s="17">
        <f>IFERROR(HistoricalStockProgress[[#This Row],[Cost of Shares]]/HistoricalStockProgress[[#This Row],[No. of Shares]],0)</f>
        <v>115.48970647877745</v>
      </c>
      <c r="H2198" s="16" vm="2639">
        <v>217.49</v>
      </c>
      <c r="I2198" s="16">
        <f>IF(HistoricalStockProgress[[#This Row],[No. of Shares]]&lt;&gt;0,HistoricalStockProgress[[#This Row],[Price of Shares]]*HistoricalStockProgress[[#This Row],[No. of Shares]],0)</f>
        <v>33058.480000000003</v>
      </c>
      <c r="J2198" s="16">
        <f>IF(HistoricalStockProgress[[#This Row],[No. of Shares]]&lt;&gt;0,HistoricalStockProgress[[#This Row],[Price of Shares]]-HistoricalStockProgress[[#This Row],[Cost of Shares]]/HistoricalStockProgress[[#This Row],[No. of Shares]],0)</f>
        <v>102.00029352122256</v>
      </c>
      <c r="K2198" s="17">
        <f>IF(HistoricalStockProgress[[#This Row],[Total Price of Shares]]&lt;&gt;0,HistoricalStockProgress[[#This Row],[Total Price of Shares]]-HistoricalStockProgress[[#This Row],[Cost of Shares]],0)</f>
        <v>15504.04461522583</v>
      </c>
      <c r="L2198" s="34" t="b" cm="1">
        <f t="array" ref="L2198">IFERROR(IF(HistoricalStockProgress[[#This Row],[Price of Shares]]="",_xlfn.STOCKHISTORY(HistoricalStockProgress[[#This Row],[Full Company Name]],HistoricalStockProgress[[#This Row],[Date]],,2,0,1)),0)</f>
        <v>0</v>
      </c>
      <c r="M2198" s="34">
        <f>YEAR(HistoricalStockProgress[[#This Row],[Date]])</f>
        <v>2026</v>
      </c>
      <c r="N2198" s="34">
        <f>MONTH(HistoricalStockProgress[[#This Row],[Date]])</f>
        <v>3</v>
      </c>
    </row>
    <row r="2199" spans="2:14">
      <c r="B2199" s="15">
        <v>46112</v>
      </c>
      <c r="C2199" s="34" t="s">
        <v>88</v>
      </c>
      <c r="D2199" s="34" t="e" vm="9">
        <f>_xlfn.XLOOKUP(HistoricalStockProgress[[#This Row],[Company Ticker]],CompanyDetailsList[Company Ticker],CompanyDetailsList[Official Name],,0)</f>
        <v>#VALUE!</v>
      </c>
      <c r="E21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21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2199" s="17">
        <f>IFERROR(HistoricalStockProgress[[#This Row],[Cost of Shares]]/HistoricalStockProgress[[#This Row],[No. of Shares]],0)</f>
        <v>224.7272684493652</v>
      </c>
      <c r="H2199" s="16" vm="2640">
        <v>310.79000000000002</v>
      </c>
      <c r="I2199" s="16">
        <f>IF(HistoricalStockProgress[[#This Row],[No. of Shares]]&lt;&gt;0,HistoricalStockProgress[[#This Row],[Price of Shares]]*HistoricalStockProgress[[#This Row],[No. of Shares]],0)</f>
        <v>29525.050000000003</v>
      </c>
      <c r="J2199" s="16">
        <f>IF(HistoricalStockProgress[[#This Row],[No. of Shares]]&lt;&gt;0,HistoricalStockProgress[[#This Row],[Price of Shares]]-HistoricalStockProgress[[#This Row],[Cost of Shares]]/HistoricalStockProgress[[#This Row],[No. of Shares]],0)</f>
        <v>86.062731550634822</v>
      </c>
      <c r="K2199" s="17">
        <f>IF(HistoricalStockProgress[[#This Row],[Total Price of Shares]]&lt;&gt;0,HistoricalStockProgress[[#This Row],[Total Price of Shares]]-HistoricalStockProgress[[#This Row],[Cost of Shares]],0)</f>
        <v>8175.9594973103085</v>
      </c>
      <c r="L2199" s="34" t="b" cm="1">
        <f t="array" ref="L2199">IFERROR(IF(HistoricalStockProgress[[#This Row],[Price of Shares]]="",_xlfn.STOCKHISTORY(HistoricalStockProgress[[#This Row],[Full Company Name]],HistoricalStockProgress[[#This Row],[Date]],,2,0,1)),0)</f>
        <v>0</v>
      </c>
      <c r="M2199" s="34">
        <f>YEAR(HistoricalStockProgress[[#This Row],[Date]])</f>
        <v>2026</v>
      </c>
      <c r="N2199" s="34">
        <f>MONTH(HistoricalStockProgress[[#This Row],[Date]])</f>
        <v>3</v>
      </c>
    </row>
    <row r="2200" spans="2:14">
      <c r="B2200" s="15">
        <v>46112</v>
      </c>
      <c r="C2200" s="34" t="s">
        <v>22</v>
      </c>
      <c r="D2200" s="34" t="e" vm="10">
        <f>_xlfn.XLOOKUP(HistoricalStockProgress[[#This Row],[Company Ticker]],CompanyDetailsList[Company Ticker],CompanyDetailsList[Official Name],,0)</f>
        <v>#VALUE!</v>
      </c>
      <c r="E22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22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2200" s="17">
        <f>IFERROR(HistoricalStockProgress[[#This Row],[Cost of Shares]]/HistoricalStockProgress[[#This Row],[No. of Shares]],0)</f>
        <v>130.19784136724968</v>
      </c>
      <c r="H2200" s="16" vm="2641">
        <v>708.46</v>
      </c>
      <c r="I2200" s="16">
        <f>IF(HistoricalStockProgress[[#This Row],[No. of Shares]]&lt;&gt;0,HistoricalStockProgress[[#This Row],[Price of Shares]]*HistoricalStockProgress[[#This Row],[No. of Shares]],0)</f>
        <v>84306.74</v>
      </c>
      <c r="J2200" s="16">
        <f>IF(HistoricalStockProgress[[#This Row],[No. of Shares]]&lt;&gt;0,HistoricalStockProgress[[#This Row],[Price of Shares]]-HistoricalStockProgress[[#This Row],[Cost of Shares]]/HistoricalStockProgress[[#This Row],[No. of Shares]],0)</f>
        <v>578.26215863275036</v>
      </c>
      <c r="K2200" s="17">
        <f>IF(HistoricalStockProgress[[#This Row],[Total Price of Shares]]&lt;&gt;0,HistoricalStockProgress[[#This Row],[Total Price of Shares]]-HistoricalStockProgress[[#This Row],[Cost of Shares]],0)</f>
        <v>68813.19687729729</v>
      </c>
      <c r="L2200" s="34" t="b" cm="1">
        <f t="array" ref="L2200">IFERROR(IF(HistoricalStockProgress[[#This Row],[Price of Shares]]="",_xlfn.STOCKHISTORY(HistoricalStockProgress[[#This Row],[Full Company Name]],HistoricalStockProgress[[#This Row],[Date]],,2,0,1)),0)</f>
        <v>0</v>
      </c>
      <c r="M2200" s="34">
        <f>YEAR(HistoricalStockProgress[[#This Row],[Date]])</f>
        <v>2026</v>
      </c>
      <c r="N2200" s="34">
        <f>MONTH(HistoricalStockProgress[[#This Row],[Date]])</f>
        <v>3</v>
      </c>
    </row>
    <row r="2201" spans="2:14">
      <c r="B2201" s="15">
        <v>46112</v>
      </c>
      <c r="C2201" s="34" t="s">
        <v>91</v>
      </c>
      <c r="D2201" s="34" t="e" vm="11">
        <f>_xlfn.XLOOKUP(HistoricalStockProgress[[#This Row],[Company Ticker]],CompanyDetailsList[Company Ticker],CompanyDetailsList[Official Name],,0)</f>
        <v>#VALUE!</v>
      </c>
      <c r="E22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203</v>
      </c>
      <c r="F22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37263.08408940176</v>
      </c>
      <c r="G2201" s="17">
        <f>IFERROR(HistoricalStockProgress[[#This Row],[Cost of Shares]]/HistoricalStockProgress[[#This Row],[No. of Shares]],0)</f>
        <v>183.56199058818601</v>
      </c>
      <c r="H2201" s="16" vm="2642">
        <v>370.17</v>
      </c>
      <c r="I2201" s="16">
        <f>IF(HistoricalStockProgress[[#This Row],[No. of Shares]]&lt;&gt;0,HistoricalStockProgress[[#This Row],[Price of Shares]]*HistoricalStockProgress[[#This Row],[No. of Shares]],0)</f>
        <v>75144.510000000009</v>
      </c>
      <c r="J2201" s="16">
        <f>IF(HistoricalStockProgress[[#This Row],[No. of Shares]]&lt;&gt;0,HistoricalStockProgress[[#This Row],[Price of Shares]]-HistoricalStockProgress[[#This Row],[Cost of Shares]]/HistoricalStockProgress[[#This Row],[No. of Shares]],0)</f>
        <v>186.60800941181401</v>
      </c>
      <c r="K2201" s="17">
        <f>IF(HistoricalStockProgress[[#This Row],[Total Price of Shares]]&lt;&gt;0,HistoricalStockProgress[[#This Row],[Total Price of Shares]]-HistoricalStockProgress[[#This Row],[Cost of Shares]],0)</f>
        <v>37881.425910598249</v>
      </c>
      <c r="L2201" s="34" t="b" cm="1">
        <f t="array" ref="L2201">IFERROR(IF(HistoricalStockProgress[[#This Row],[Price of Shares]]="",_xlfn.STOCKHISTORY(HistoricalStockProgress[[#This Row],[Full Company Name]],HistoricalStockProgress[[#This Row],[Date]],,2,0,1)),0)</f>
        <v>0</v>
      </c>
      <c r="M2201" s="34">
        <f>YEAR(HistoricalStockProgress[[#This Row],[Date]])</f>
        <v>2026</v>
      </c>
      <c r="N2201" s="34">
        <f>MONTH(HistoricalStockProgress[[#This Row],[Date]])</f>
        <v>3</v>
      </c>
    </row>
    <row r="2202" spans="2:14">
      <c r="B2202" s="15">
        <v>46112</v>
      </c>
      <c r="C2202" s="34" t="s">
        <v>16</v>
      </c>
      <c r="D2202" s="34" t="e" vm="12">
        <f>_xlfn.XLOOKUP(HistoricalStockProgress[[#This Row],[Company Ticker]],CompanyDetailsList[Company Ticker],CompanyDetailsList[Official Name],,0)</f>
        <v>#VALUE!</v>
      </c>
      <c r="E22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156</v>
      </c>
      <c r="F22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11718.360915660647</v>
      </c>
      <c r="G2202" s="17">
        <f>IFERROR(HistoricalStockProgress[[#This Row],[Cost of Shares]]/HistoricalStockProgress[[#This Row],[No. of Shares]],0)</f>
        <v>75.117698177311837</v>
      </c>
      <c r="H2202" s="16" vm="2643">
        <v>169.66</v>
      </c>
      <c r="I2202" s="16">
        <f>IF(HistoricalStockProgress[[#This Row],[No. of Shares]]&lt;&gt;0,HistoricalStockProgress[[#This Row],[Price of Shares]]*HistoricalStockProgress[[#This Row],[No. of Shares]],0)</f>
        <v>26466.959999999999</v>
      </c>
      <c r="J2202" s="16">
        <f>IF(HistoricalStockProgress[[#This Row],[No. of Shares]]&lt;&gt;0,HistoricalStockProgress[[#This Row],[Price of Shares]]-HistoricalStockProgress[[#This Row],[Cost of Shares]]/HistoricalStockProgress[[#This Row],[No. of Shares]],0)</f>
        <v>94.54230182268816</v>
      </c>
      <c r="K2202" s="17">
        <f>IF(HistoricalStockProgress[[#This Row],[Total Price of Shares]]&lt;&gt;0,HistoricalStockProgress[[#This Row],[Total Price of Shares]]-HistoricalStockProgress[[#This Row],[Cost of Shares]],0)</f>
        <v>14748.599084339352</v>
      </c>
      <c r="L2202" s="34" t="b" cm="1">
        <f t="array" ref="L2202">IFERROR(IF(HistoricalStockProgress[[#This Row],[Price of Shares]]="",_xlfn.STOCKHISTORY(HistoricalStockProgress[[#This Row],[Full Company Name]],HistoricalStockProgress[[#This Row],[Date]],,2,0,1)),0)</f>
        <v>0</v>
      </c>
      <c r="M2202" s="34">
        <f>YEAR(HistoricalStockProgress[[#This Row],[Date]])</f>
        <v>2026</v>
      </c>
      <c r="N2202" s="34">
        <f>MONTH(HistoricalStockProgress[[#This Row],[Date]])</f>
        <v>3</v>
      </c>
    </row>
    <row r="2203" spans="2:14">
      <c r="B2203" s="15">
        <v>46112</v>
      </c>
      <c r="C2203" s="34" t="s">
        <v>95</v>
      </c>
      <c r="D2203" s="34" t="e" vm="13">
        <f>_xlfn.XLOOKUP(HistoricalStockProgress[[#This Row],[Company Ticker]],CompanyDetailsList[Company Ticker],CompanyDetailsList[Official Name],,0)</f>
        <v>#VALUE!</v>
      </c>
      <c r="E22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172</v>
      </c>
      <c r="F22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47379.162890220832</v>
      </c>
      <c r="G2203" s="17">
        <f>IFERROR(HistoricalStockProgress[[#This Row],[Cost of Shares]]/HistoricalStockProgress[[#This Row],[No. of Shares]],0)</f>
        <v>275.46024936174905</v>
      </c>
      <c r="H2203" s="16" vm="2644">
        <v>328.89</v>
      </c>
      <c r="I2203" s="16">
        <f>IF(HistoricalStockProgress[[#This Row],[No. of Shares]]&lt;&gt;0,HistoricalStockProgress[[#This Row],[Price of Shares]]*HistoricalStockProgress[[#This Row],[No. of Shares]],0)</f>
        <v>56569.079999999994</v>
      </c>
      <c r="J2203" s="16">
        <f>IF(HistoricalStockProgress[[#This Row],[No. of Shares]]&lt;&gt;0,HistoricalStockProgress[[#This Row],[Price of Shares]]-HistoricalStockProgress[[#This Row],[Cost of Shares]]/HistoricalStockProgress[[#This Row],[No. of Shares]],0)</f>
        <v>53.429750638250937</v>
      </c>
      <c r="K2203" s="17">
        <f>IF(HistoricalStockProgress[[#This Row],[Total Price of Shares]]&lt;&gt;0,HistoricalStockProgress[[#This Row],[Total Price of Shares]]-HistoricalStockProgress[[#This Row],[Cost of Shares]],0)</f>
        <v>9189.9171097791623</v>
      </c>
      <c r="L2203" s="34" t="b" cm="1">
        <f t="array" ref="L2203">IFERROR(IF(HistoricalStockProgress[[#This Row],[Price of Shares]]="",_xlfn.STOCKHISTORY(HistoricalStockProgress[[#This Row],[Full Company Name]],HistoricalStockProgress[[#This Row],[Date]],,2,0,1)),0)</f>
        <v>0</v>
      </c>
      <c r="M2203" s="34">
        <f>YEAR(HistoricalStockProgress[[#This Row],[Date]])</f>
        <v>2026</v>
      </c>
      <c r="N2203" s="34">
        <f>MONTH(HistoricalStockProgress[[#This Row],[Date]])</f>
        <v>3</v>
      </c>
    </row>
    <row r="2204" spans="2:14">
      <c r="B2204" s="15">
        <v>46112</v>
      </c>
      <c r="C2204" s="34" t="s">
        <v>17</v>
      </c>
      <c r="D2204" s="34" t="e" vm="14">
        <f>_xlfn.XLOOKUP(HistoricalStockProgress[[#This Row],[Company Ticker]],CompanyDetailsList[Company Ticker],CompanyDetailsList[Official Name],,0)</f>
        <v>#VALUE!</v>
      </c>
      <c r="E22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22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2204" s="17">
        <f>IFERROR(HistoricalStockProgress[[#This Row],[Cost of Shares]]/HistoricalStockProgress[[#This Row],[No. of Shares]],0)</f>
        <v>143.37791217450521</v>
      </c>
      <c r="H2204" s="16" vm="2645">
        <v>242.39</v>
      </c>
      <c r="I2204" s="16">
        <f>IF(HistoricalStockProgress[[#This Row],[No. of Shares]]&lt;&gt;0,HistoricalStockProgress[[#This Row],[Price of Shares]]*HistoricalStockProgress[[#This Row],[No. of Shares]],0)</f>
        <v>55992.09</v>
      </c>
      <c r="J2204" s="16">
        <f>IF(HistoricalStockProgress[[#This Row],[No. of Shares]]&lt;&gt;0,HistoricalStockProgress[[#This Row],[Price of Shares]]-HistoricalStockProgress[[#This Row],[Cost of Shares]]/HistoricalStockProgress[[#This Row],[No. of Shares]],0)</f>
        <v>99.012087825494774</v>
      </c>
      <c r="K2204" s="17">
        <f>IF(HistoricalStockProgress[[#This Row],[Total Price of Shares]]&lt;&gt;0,HistoricalStockProgress[[#This Row],[Total Price of Shares]]-HistoricalStockProgress[[#This Row],[Cost of Shares]],0)</f>
        <v>22871.792287689292</v>
      </c>
      <c r="L2204" s="34" t="b" cm="1">
        <f t="array" ref="L2204">IFERROR(IF(HistoricalStockProgress[[#This Row],[Price of Shares]]="",_xlfn.STOCKHISTORY(HistoricalStockProgress[[#This Row],[Full Company Name]],HistoricalStockProgress[[#This Row],[Date]],,2,0,1)),0)</f>
        <v>0</v>
      </c>
      <c r="M2204" s="34">
        <f>YEAR(HistoricalStockProgress[[#This Row],[Date]])</f>
        <v>2026</v>
      </c>
      <c r="N2204" s="34">
        <f>MONTH(HistoricalStockProgress[[#This Row],[Date]])</f>
        <v>3</v>
      </c>
    </row>
    <row r="2205" spans="2:14">
      <c r="B2205" s="15">
        <v>46112</v>
      </c>
      <c r="C2205" s="34" t="s">
        <v>98</v>
      </c>
      <c r="D2205" s="34" t="e" vm="15">
        <f>_xlfn.XLOOKUP(HistoricalStockProgress[[#This Row],[Company Ticker]],CompanyDetailsList[Company Ticker],CompanyDetailsList[Official Name],,0)</f>
        <v>#VALUE!</v>
      </c>
      <c r="E22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193</v>
      </c>
      <c r="F22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11397.772474019517</v>
      </c>
      <c r="G2205" s="17">
        <f>IFERROR(HistoricalStockProgress[[#This Row],[Cost of Shares]]/HistoricalStockProgress[[#This Row],[No. of Shares]],0)</f>
        <v>59.055815927562264</v>
      </c>
      <c r="H2205" s="16" vm="2646">
        <v>92.88</v>
      </c>
      <c r="I2205" s="16">
        <f>IF(HistoricalStockProgress[[#This Row],[No. of Shares]]&lt;&gt;0,HistoricalStockProgress[[#This Row],[Price of Shares]]*HistoricalStockProgress[[#This Row],[No. of Shares]],0)</f>
        <v>17925.84</v>
      </c>
      <c r="J2205" s="16">
        <f>IF(HistoricalStockProgress[[#This Row],[No. of Shares]]&lt;&gt;0,HistoricalStockProgress[[#This Row],[Price of Shares]]-HistoricalStockProgress[[#This Row],[Cost of Shares]]/HistoricalStockProgress[[#This Row],[No. of Shares]],0)</f>
        <v>33.824184072437731</v>
      </c>
      <c r="K2205" s="17">
        <f>IF(HistoricalStockProgress[[#This Row],[Total Price of Shares]]&lt;&gt;0,HistoricalStockProgress[[#This Row],[Total Price of Shares]]-HistoricalStockProgress[[#This Row],[Cost of Shares]],0)</f>
        <v>6528.067525980483</v>
      </c>
      <c r="L2205" s="34" t="b" cm="1">
        <f t="array" ref="L2205">IFERROR(IF(HistoricalStockProgress[[#This Row],[Price of Shares]]="",_xlfn.STOCKHISTORY(HistoricalStockProgress[[#This Row],[Full Company Name]],HistoricalStockProgress[[#This Row],[Date]],,2,0,1)),0)</f>
        <v>0</v>
      </c>
      <c r="M2205" s="34">
        <f>YEAR(HistoricalStockProgress[[#This Row],[Date]])</f>
        <v>2026</v>
      </c>
      <c r="N2205" s="34">
        <f>MONTH(HistoricalStockProgress[[#This Row],[Date]])</f>
        <v>3</v>
      </c>
    </row>
    <row r="2206" spans="2:14">
      <c r="B2206" s="15">
        <v>46112</v>
      </c>
      <c r="C2206" s="34" t="s">
        <v>100</v>
      </c>
      <c r="D2206" s="34" t="e" vm="16">
        <f>_xlfn.XLOOKUP(HistoricalStockProgress[[#This Row],[Company Ticker]],CompanyDetailsList[Company Ticker],CompanyDetailsList[Official Name],,0)</f>
        <v>#VALUE!</v>
      </c>
      <c r="E22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22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2206" s="17">
        <f>IFERROR(HistoricalStockProgress[[#This Row],[Cost of Shares]]/HistoricalStockProgress[[#This Row],[No. of Shares]],0)</f>
        <v>92.156351168716071</v>
      </c>
      <c r="H2206" s="16" vm="2647">
        <v>130.94</v>
      </c>
      <c r="I2206" s="16">
        <f>IF(HistoricalStockProgress[[#This Row],[No. of Shares]]&lt;&gt;0,HistoricalStockProgress[[#This Row],[Price of Shares]]*HistoricalStockProgress[[#This Row],[No. of Shares]],0)</f>
        <v>32735</v>
      </c>
      <c r="J2206" s="16">
        <f>IF(HistoricalStockProgress[[#This Row],[No. of Shares]]&lt;&gt;0,HistoricalStockProgress[[#This Row],[Price of Shares]]-HistoricalStockProgress[[#This Row],[Cost of Shares]]/HistoricalStockProgress[[#This Row],[No. of Shares]],0)</f>
        <v>38.783648831283926</v>
      </c>
      <c r="K2206" s="17">
        <f>IF(HistoricalStockProgress[[#This Row],[Total Price of Shares]]&lt;&gt;0,HistoricalStockProgress[[#This Row],[Total Price of Shares]]-HistoricalStockProgress[[#This Row],[Cost of Shares]],0)</f>
        <v>9695.9122078209839</v>
      </c>
      <c r="L2206" s="34" t="b" cm="1">
        <f t="array" ref="L2206">IFERROR(IF(HistoricalStockProgress[[#This Row],[Price of Shares]]="",_xlfn.STOCKHISTORY(HistoricalStockProgress[[#This Row],[Full Company Name]],HistoricalStockProgress[[#This Row],[Date]],,2,0,1)),0)</f>
        <v>0</v>
      </c>
      <c r="M2206" s="34">
        <f>YEAR(HistoricalStockProgress[[#This Row],[Date]])</f>
        <v>2026</v>
      </c>
      <c r="N2206" s="34">
        <f>MONTH(HistoricalStockProgress[[#This Row],[Date]])</f>
        <v>3</v>
      </c>
    </row>
    <row r="2207" spans="2:14">
      <c r="B2207" s="15">
        <v>46112</v>
      </c>
      <c r="C2207" s="34" t="s">
        <v>15</v>
      </c>
      <c r="D2207" s="34" t="e" vm="17">
        <f>_xlfn.XLOOKUP(HistoricalStockProgress[[#This Row],[Company Ticker]],CompanyDetailsList[Company Ticker],CompanyDetailsList[Official Name],,0)</f>
        <v>#VALUE!</v>
      </c>
      <c r="E22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22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3479.0458726436</v>
      </c>
      <c r="G2207" s="17">
        <f>IFERROR(HistoricalStockProgress[[#This Row],[Cost of Shares]]/HistoricalStockProgress[[#This Row],[No. of Shares]],0)</f>
        <v>24.85032766174</v>
      </c>
      <c r="H2207" s="16" vm="2648">
        <v>28.99</v>
      </c>
      <c r="I2207" s="16">
        <f>IF(HistoricalStockProgress[[#This Row],[No. of Shares]]&lt;&gt;0,HistoricalStockProgress[[#This Row],[Price of Shares]]*HistoricalStockProgress[[#This Row],[No. of Shares]],0)</f>
        <v>4058.6</v>
      </c>
      <c r="J2207" s="16">
        <f>IF(HistoricalStockProgress[[#This Row],[No. of Shares]]&lt;&gt;0,HistoricalStockProgress[[#This Row],[Price of Shares]]-HistoricalStockProgress[[#This Row],[Cost of Shares]]/HistoricalStockProgress[[#This Row],[No. of Shares]],0)</f>
        <v>4.1396723382599987</v>
      </c>
      <c r="K2207" s="17">
        <f>IF(HistoricalStockProgress[[#This Row],[Total Price of Shares]]&lt;&gt;0,HistoricalStockProgress[[#This Row],[Total Price of Shares]]-HistoricalStockProgress[[#This Row],[Cost of Shares]],0)</f>
        <v>579.55412735639993</v>
      </c>
      <c r="L2207" s="34" t="b" cm="1">
        <f t="array" ref="L2207">IFERROR(IF(HistoricalStockProgress[[#This Row],[Price of Shares]]="",_xlfn.STOCKHISTORY(HistoricalStockProgress[[#This Row],[Full Company Name]],HistoricalStockProgress[[#This Row],[Date]],,2,0,1)),0)</f>
        <v>0</v>
      </c>
      <c r="M2207" s="34">
        <f>YEAR(HistoricalStockProgress[[#This Row],[Date]])</f>
        <v>2026</v>
      </c>
      <c r="N2207" s="34">
        <f>MONTH(HistoricalStockProgress[[#This Row],[Date]])</f>
        <v>3</v>
      </c>
    </row>
    <row r="2208" spans="2:14">
      <c r="B2208" s="15">
        <v>46112</v>
      </c>
      <c r="C2208" s="34" t="s">
        <v>13</v>
      </c>
      <c r="D2208" s="34" t="e" vm="18">
        <f>_xlfn.XLOOKUP(HistoricalStockProgress[[#This Row],[Company Ticker]],CompanyDetailsList[Company Ticker],CompanyDetailsList[Official Name],,0)</f>
        <v>#VALUE!</v>
      </c>
      <c r="E22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22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3394.2551594478332</v>
      </c>
      <c r="G2208" s="17">
        <f>IFERROR(HistoricalStockProgress[[#This Row],[Cost of Shares]]/HistoricalStockProgress[[#This Row],[No. of Shares]],0)</f>
        <v>32.021275089130505</v>
      </c>
      <c r="H2208" s="16" vm="2649">
        <v>28.08</v>
      </c>
      <c r="I2208" s="16">
        <f>IF(HistoricalStockProgress[[#This Row],[No. of Shares]]&lt;&gt;0,HistoricalStockProgress[[#This Row],[Price of Shares]]*HistoricalStockProgress[[#This Row],[No. of Shares]],0)</f>
        <v>2976.48</v>
      </c>
      <c r="J2208" s="16">
        <f>IF(HistoricalStockProgress[[#This Row],[No. of Shares]]&lt;&gt;0,HistoricalStockProgress[[#This Row],[Price of Shares]]-HistoricalStockProgress[[#This Row],[Cost of Shares]]/HistoricalStockProgress[[#This Row],[No. of Shares]],0)</f>
        <v>-3.9412750891305066</v>
      </c>
      <c r="K2208" s="17">
        <f>IF(HistoricalStockProgress[[#This Row],[Total Price of Shares]]&lt;&gt;0,HistoricalStockProgress[[#This Row],[Total Price of Shares]]-HistoricalStockProgress[[#This Row],[Cost of Shares]],0)</f>
        <v>-417.77515944783318</v>
      </c>
      <c r="L2208" s="34" t="b" cm="1">
        <f t="array" ref="L2208">IFERROR(IF(HistoricalStockProgress[[#This Row],[Price of Shares]]="",_xlfn.STOCKHISTORY(HistoricalStockProgress[[#This Row],[Full Company Name]],HistoricalStockProgress[[#This Row],[Date]],,2,0,1)),0)</f>
        <v>0</v>
      </c>
      <c r="M2208" s="34">
        <f>YEAR(HistoricalStockProgress[[#This Row],[Date]])</f>
        <v>2026</v>
      </c>
      <c r="N2208" s="34">
        <f>MONTH(HistoricalStockProgress[[#This Row],[Date]])</f>
        <v>3</v>
      </c>
    </row>
    <row r="2209" spans="2:14">
      <c r="B2209" s="15">
        <v>46112</v>
      </c>
      <c r="C2209" s="34" t="s">
        <v>20</v>
      </c>
      <c r="D2209" s="34" t="e" vm="19">
        <f>_xlfn.XLOOKUP(HistoricalStockProgress[[#This Row],[Company Ticker]],CompanyDetailsList[Company Ticker],CompanyDetailsList[Official Name],,0)</f>
        <v>#VALUE!</v>
      </c>
      <c r="E22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22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2209" s="17">
        <f>IFERROR(HistoricalStockProgress[[#This Row],[Cost of Shares]]/HistoricalStockProgress[[#This Row],[No. of Shares]],0)</f>
        <v>108.1760767450256</v>
      </c>
      <c r="H2209" s="16" vm="2650">
        <v>294.16000000000003</v>
      </c>
      <c r="I2209" s="16">
        <f>IF(HistoricalStockProgress[[#This Row],[No. of Shares]]&lt;&gt;0,HistoricalStockProgress[[#This Row],[Price of Shares]]*HistoricalStockProgress[[#This Row],[No. of Shares]],0)</f>
        <v>34122.560000000005</v>
      </c>
      <c r="J2209" s="16">
        <f>IF(HistoricalStockProgress[[#This Row],[No. of Shares]]&lt;&gt;0,HistoricalStockProgress[[#This Row],[Price of Shares]]-HistoricalStockProgress[[#This Row],[Cost of Shares]]/HistoricalStockProgress[[#This Row],[No. of Shares]],0)</f>
        <v>185.98392325497443</v>
      </c>
      <c r="K2209" s="17">
        <f>IF(HistoricalStockProgress[[#This Row],[Total Price of Shares]]&lt;&gt;0,HistoricalStockProgress[[#This Row],[Total Price of Shares]]-HistoricalStockProgress[[#This Row],[Cost of Shares]],0)</f>
        <v>21574.135097577037</v>
      </c>
      <c r="L2209" s="34" t="b" cm="1">
        <f t="array" ref="L2209">IFERROR(IF(HistoricalStockProgress[[#This Row],[Price of Shares]]="",_xlfn.STOCKHISTORY(HistoricalStockProgress[[#This Row],[Full Company Name]],HistoricalStockProgress[[#This Row],[Date]],,2,0,1)),0)</f>
        <v>0</v>
      </c>
      <c r="M2209" s="34">
        <f>YEAR(HistoricalStockProgress[[#This Row],[Date]])</f>
        <v>2026</v>
      </c>
      <c r="N2209" s="34">
        <f>MONTH(HistoricalStockProgress[[#This Row],[Date]])</f>
        <v>3</v>
      </c>
    </row>
    <row r="2210" spans="2:14">
      <c r="B2210" s="15">
        <v>46112</v>
      </c>
      <c r="C2210" s="34" t="s">
        <v>106</v>
      </c>
      <c r="D2210" s="34" t="e" vm="20">
        <f>_xlfn.XLOOKUP(HistoricalStockProgress[[#This Row],[Company Ticker]],CompanyDetailsList[Company Ticker],CompanyDetailsList[Official Name],,0)</f>
        <v>#VALUE!</v>
      </c>
      <c r="E22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22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8575.3478914575226</v>
      </c>
      <c r="G2210" s="17">
        <f>IFERROR(HistoricalStockProgress[[#This Row],[Cost of Shares]]/HistoricalStockProgress[[#This Row],[No. of Shares]],0)</f>
        <v>108.54870748680408</v>
      </c>
      <c r="H2210" s="16" vm="2651">
        <v>106.88</v>
      </c>
      <c r="I2210" s="16">
        <f>IF(HistoricalStockProgress[[#This Row],[No. of Shares]]&lt;&gt;0,HistoricalStockProgress[[#This Row],[Price of Shares]]*HistoricalStockProgress[[#This Row],[No. of Shares]],0)</f>
        <v>8443.52</v>
      </c>
      <c r="J2210" s="16">
        <f>IF(HistoricalStockProgress[[#This Row],[No. of Shares]]&lt;&gt;0,HistoricalStockProgress[[#This Row],[Price of Shares]]-HistoricalStockProgress[[#This Row],[Cost of Shares]]/HistoricalStockProgress[[#This Row],[No. of Shares]],0)</f>
        <v>-1.668707486804081</v>
      </c>
      <c r="K2210" s="17">
        <f>IF(HistoricalStockProgress[[#This Row],[Total Price of Shares]]&lt;&gt;0,HistoricalStockProgress[[#This Row],[Total Price of Shares]]-HistoricalStockProgress[[#This Row],[Cost of Shares]],0)</f>
        <v>-131.82789145752213</v>
      </c>
      <c r="L2210" s="34" t="b" cm="1">
        <f t="array" ref="L2210">IFERROR(IF(HistoricalStockProgress[[#This Row],[Price of Shares]]="",_xlfn.STOCKHISTORY(HistoricalStockProgress[[#This Row],[Full Company Name]],HistoricalStockProgress[[#This Row],[Date]],,2,0,1)),0)</f>
        <v>0</v>
      </c>
      <c r="M2210" s="34">
        <f>YEAR(HistoricalStockProgress[[#This Row],[Date]])</f>
        <v>2026</v>
      </c>
      <c r="N2210" s="34">
        <f>MONTH(HistoricalStockProgress[[#This Row],[Date]])</f>
        <v>3</v>
      </c>
    </row>
    <row r="2211" spans="2:14">
      <c r="B2211" s="15">
        <v>46142</v>
      </c>
      <c r="C2211" s="34" t="s">
        <v>12</v>
      </c>
      <c r="D2211" s="34" t="e" vm="1">
        <f>_xlfn.XLOOKUP(HistoricalStockProgress[[#This Row],[Company Ticker]],CompanyDetailsList[Company Ticker],CompanyDetailsList[Official Name],,0)</f>
        <v>#VALUE!</v>
      </c>
      <c r="E22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22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2211" s="17">
        <f>IFERROR(HistoricalStockProgress[[#This Row],[Cost of Shares]]/HistoricalStockProgress[[#This Row],[No. of Shares]],0)</f>
        <v>64.573985995316889</v>
      </c>
      <c r="H2211" s="16" vm="2652">
        <v>64.239999999999995</v>
      </c>
      <c r="I2211" s="16">
        <f>IF(HistoricalStockProgress[[#This Row],[No. of Shares]]&lt;&gt;0,HistoricalStockProgress[[#This Row],[Price of Shares]]*HistoricalStockProgress[[#This Row],[No. of Shares]],0)</f>
        <v>6231.28</v>
      </c>
      <c r="J2211" s="16">
        <f>IF(HistoricalStockProgress[[#This Row],[No. of Shares]]&lt;&gt;0,HistoricalStockProgress[[#This Row],[Price of Shares]]-HistoricalStockProgress[[#This Row],[Cost of Shares]]/HistoricalStockProgress[[#This Row],[No. of Shares]],0)</f>
        <v>-0.33398599531689399</v>
      </c>
      <c r="K2211" s="17">
        <f>IF(HistoricalStockProgress[[#This Row],[Total Price of Shares]]&lt;&gt;0,HistoricalStockProgress[[#This Row],[Total Price of Shares]]-HistoricalStockProgress[[#This Row],[Cost of Shares]],0)</f>
        <v>-32.396641545738021</v>
      </c>
      <c r="L2211" s="34" t="b" cm="1">
        <f t="array" ref="L2211">IFERROR(IF(HistoricalStockProgress[[#This Row],[Price of Shares]]="",_xlfn.STOCKHISTORY(HistoricalStockProgress[[#This Row],[Full Company Name]],HistoricalStockProgress[[#This Row],[Date]],,2,0,1)),0)</f>
        <v>0</v>
      </c>
      <c r="M2211" s="34">
        <f>YEAR(HistoricalStockProgress[[#This Row],[Date]])</f>
        <v>2026</v>
      </c>
      <c r="N2211" s="34">
        <f>MONTH(HistoricalStockProgress[[#This Row],[Date]])</f>
        <v>4</v>
      </c>
    </row>
    <row r="2212" spans="2:14">
      <c r="B2212" s="15">
        <v>46142</v>
      </c>
      <c r="C2212" s="34" t="s">
        <v>14</v>
      </c>
      <c r="D2212" s="34" t="e" vm="2">
        <f>_xlfn.XLOOKUP(HistoricalStockProgress[[#This Row],[Company Ticker]],CompanyDetailsList[Company Ticker],CompanyDetailsList[Official Name],,0)</f>
        <v>#VALUE!</v>
      </c>
      <c r="E22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22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2212" s="17">
        <f>IFERROR(HistoricalStockProgress[[#This Row],[Cost of Shares]]/HistoricalStockProgress[[#This Row],[No. of Shares]],0)</f>
        <v>26.819337355148658</v>
      </c>
      <c r="H2212" s="16" vm="2653">
        <v>40.36</v>
      </c>
      <c r="I2212" s="16">
        <f>IF(HistoricalStockProgress[[#This Row],[No. of Shares]]&lt;&gt;0,HistoricalStockProgress[[#This Row],[Price of Shares]]*HistoricalStockProgress[[#This Row],[No. of Shares]],0)</f>
        <v>2542.6799999999998</v>
      </c>
      <c r="J2212" s="16">
        <f>IF(HistoricalStockProgress[[#This Row],[No. of Shares]]&lt;&gt;0,HistoricalStockProgress[[#This Row],[Price of Shares]]-HistoricalStockProgress[[#This Row],[Cost of Shares]]/HistoricalStockProgress[[#This Row],[No. of Shares]],0)</f>
        <v>13.540662644851341</v>
      </c>
      <c r="K2212" s="17">
        <f>IF(HistoricalStockProgress[[#This Row],[Total Price of Shares]]&lt;&gt;0,HistoricalStockProgress[[#This Row],[Total Price of Shares]]-HistoricalStockProgress[[#This Row],[Cost of Shares]],0)</f>
        <v>853.06174662563444</v>
      </c>
      <c r="L2212" s="34" t="b" cm="1">
        <f t="array" ref="L2212">IFERROR(IF(HistoricalStockProgress[[#This Row],[Price of Shares]]="",_xlfn.STOCKHISTORY(HistoricalStockProgress[[#This Row],[Full Company Name]],HistoricalStockProgress[[#This Row],[Date]],,2,0,1)),0)</f>
        <v>0</v>
      </c>
      <c r="M2212" s="34">
        <f>YEAR(HistoricalStockProgress[[#This Row],[Date]])</f>
        <v>2026</v>
      </c>
      <c r="N2212" s="34">
        <f>MONTH(HistoricalStockProgress[[#This Row],[Date]])</f>
        <v>4</v>
      </c>
    </row>
    <row r="2213" spans="2:14">
      <c r="B2213" s="15">
        <v>46142</v>
      </c>
      <c r="C2213" s="34" t="s">
        <v>19</v>
      </c>
      <c r="D2213" s="34" t="e" vm="3">
        <f>_xlfn.XLOOKUP(HistoricalStockProgress[[#This Row],[Company Ticker]],CompanyDetailsList[Company Ticker],CompanyDetailsList[Official Name],,0)</f>
        <v>#VALUE!</v>
      </c>
      <c r="E22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22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2213" s="17">
        <f>IFERROR(HistoricalStockProgress[[#This Row],[Cost of Shares]]/HistoricalStockProgress[[#This Row],[No. of Shares]],0)</f>
        <v>160.12652821044301</v>
      </c>
      <c r="H2213" s="16" vm="2654">
        <v>96.44</v>
      </c>
      <c r="I2213" s="16">
        <f>IF(HistoricalStockProgress[[#This Row],[No. of Shares]]&lt;&gt;0,HistoricalStockProgress[[#This Row],[Price of Shares]]*HistoricalStockProgress[[#This Row],[No. of Shares]],0)</f>
        <v>8293.84</v>
      </c>
      <c r="J2213" s="16">
        <f>IF(HistoricalStockProgress[[#This Row],[No. of Shares]]&lt;&gt;0,HistoricalStockProgress[[#This Row],[Price of Shares]]-HistoricalStockProgress[[#This Row],[Cost of Shares]]/HistoricalStockProgress[[#This Row],[No. of Shares]],0)</f>
        <v>-63.686528210443015</v>
      </c>
      <c r="K2213" s="17">
        <f>IF(HistoricalStockProgress[[#This Row],[Total Price of Shares]]&lt;&gt;0,HistoricalStockProgress[[#This Row],[Total Price of Shares]]-HistoricalStockProgress[[#This Row],[Cost of Shares]],0)</f>
        <v>-5477.0414260980979</v>
      </c>
      <c r="L2213" s="34" t="b" cm="1">
        <f t="array" ref="L2213">IFERROR(IF(HistoricalStockProgress[[#This Row],[Price of Shares]]="",_xlfn.STOCKHISTORY(HistoricalStockProgress[[#This Row],[Full Company Name]],HistoricalStockProgress[[#This Row],[Date]],,2,0,1)),0)</f>
        <v>0</v>
      </c>
      <c r="M2213" s="34">
        <f>YEAR(HistoricalStockProgress[[#This Row],[Date]])</f>
        <v>2026</v>
      </c>
      <c r="N2213" s="34">
        <f>MONTH(HistoricalStockProgress[[#This Row],[Date]])</f>
        <v>4</v>
      </c>
    </row>
    <row r="2214" spans="2:14">
      <c r="B2214" s="15">
        <v>46142</v>
      </c>
      <c r="C2214" s="34" t="s">
        <v>23</v>
      </c>
      <c r="D2214" s="34" t="e" vm="4">
        <f>_xlfn.XLOOKUP(HistoricalStockProgress[[#This Row],[Company Ticker]],CompanyDetailsList[Company Ticker],CompanyDetailsList[Official Name],,0)</f>
        <v>#VALUE!</v>
      </c>
      <c r="E22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22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5636.7217732526415</v>
      </c>
      <c r="G2214" s="17">
        <f>IFERROR(HistoricalStockProgress[[#This Row],[Cost of Shares]]/HistoricalStockProgress[[#This Row],[No. of Shares]],0)</f>
        <v>50.781277236510284</v>
      </c>
      <c r="H2214" s="16" vm="2655">
        <v>78.760000000000005</v>
      </c>
      <c r="I2214" s="16">
        <f>IF(HistoricalStockProgress[[#This Row],[No. of Shares]]&lt;&gt;0,HistoricalStockProgress[[#This Row],[Price of Shares]]*HistoricalStockProgress[[#This Row],[No. of Shares]],0)</f>
        <v>8742.36</v>
      </c>
      <c r="J2214" s="16">
        <f>IF(HistoricalStockProgress[[#This Row],[No. of Shares]]&lt;&gt;0,HistoricalStockProgress[[#This Row],[Price of Shares]]-HistoricalStockProgress[[#This Row],[Cost of Shares]]/HistoricalStockProgress[[#This Row],[No. of Shares]],0)</f>
        <v>27.978722763489721</v>
      </c>
      <c r="K2214" s="17">
        <f>IF(HistoricalStockProgress[[#This Row],[Total Price of Shares]]&lt;&gt;0,HistoricalStockProgress[[#This Row],[Total Price of Shares]]-HistoricalStockProgress[[#This Row],[Cost of Shares]],0)</f>
        <v>3105.6382267473591</v>
      </c>
      <c r="L2214" s="34" t="b" cm="1">
        <f t="array" ref="L2214">IFERROR(IF(HistoricalStockProgress[[#This Row],[Price of Shares]]="",_xlfn.STOCKHISTORY(HistoricalStockProgress[[#This Row],[Full Company Name]],HistoricalStockProgress[[#This Row],[Date]],,2,0,1)),0)</f>
        <v>0</v>
      </c>
      <c r="M2214" s="34">
        <f>YEAR(HistoricalStockProgress[[#This Row],[Date]])</f>
        <v>2026</v>
      </c>
      <c r="N2214" s="34">
        <f>MONTH(HistoricalStockProgress[[#This Row],[Date]])</f>
        <v>4</v>
      </c>
    </row>
    <row r="2215" spans="2:14">
      <c r="B2215" s="15">
        <v>46142</v>
      </c>
      <c r="C2215" s="34" t="s">
        <v>18</v>
      </c>
      <c r="D2215" s="34" t="e" vm="5">
        <f>_xlfn.XLOOKUP(HistoricalStockProgress[[#This Row],[Company Ticker]],CompanyDetailsList[Company Ticker],CompanyDetailsList[Official Name],,0)</f>
        <v>#VALUE!</v>
      </c>
      <c r="E22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22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2215" s="17">
        <f>IFERROR(HistoricalStockProgress[[#This Row],[Cost of Shares]]/HistoricalStockProgress[[#This Row],[No. of Shares]],0)</f>
        <v>160.8859607546234</v>
      </c>
      <c r="H2215" s="16" vm="2656">
        <v>158.49</v>
      </c>
      <c r="I2215" s="16">
        <f>IF(HistoricalStockProgress[[#This Row],[No. of Shares]]&lt;&gt;0,HistoricalStockProgress[[#This Row],[Price of Shares]]*HistoricalStockProgress[[#This Row],[No. of Shares]],0)</f>
        <v>6815.0700000000006</v>
      </c>
      <c r="J2215" s="16">
        <f>IF(HistoricalStockProgress[[#This Row],[No. of Shares]]&lt;&gt;0,HistoricalStockProgress[[#This Row],[Price of Shares]]-HistoricalStockProgress[[#This Row],[Cost of Shares]]/HistoricalStockProgress[[#This Row],[No. of Shares]],0)</f>
        <v>-2.3959607546233883</v>
      </c>
      <c r="K2215" s="17">
        <f>IF(HistoricalStockProgress[[#This Row],[Total Price of Shares]]&lt;&gt;0,HistoricalStockProgress[[#This Row],[Total Price of Shares]]-HistoricalStockProgress[[#This Row],[Cost of Shares]],0)</f>
        <v>-103.02631244880558</v>
      </c>
      <c r="L2215" s="34" t="b" cm="1">
        <f t="array" ref="L2215">IFERROR(IF(HistoricalStockProgress[[#This Row],[Price of Shares]]="",_xlfn.STOCKHISTORY(HistoricalStockProgress[[#This Row],[Full Company Name]],HistoricalStockProgress[[#This Row],[Date]],,2,0,1)),0)</f>
        <v>0</v>
      </c>
      <c r="M2215" s="34">
        <f>YEAR(HistoricalStockProgress[[#This Row],[Date]])</f>
        <v>2026</v>
      </c>
      <c r="N2215" s="34">
        <f>MONTH(HistoricalStockProgress[[#This Row],[Date]])</f>
        <v>4</v>
      </c>
    </row>
    <row r="2216" spans="2:14">
      <c r="B2216" s="15">
        <v>46142</v>
      </c>
      <c r="C2216" s="34" t="s">
        <v>21</v>
      </c>
      <c r="D2216" s="34" t="e" vm="6">
        <f>_xlfn.XLOOKUP(HistoricalStockProgress[[#This Row],[Company Ticker]],CompanyDetailsList[Company Ticker],CompanyDetailsList[Official Name],,0)</f>
        <v>#VALUE!</v>
      </c>
      <c r="E22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84</v>
      </c>
      <c r="F22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12738.215402497406</v>
      </c>
      <c r="G2216" s="17">
        <f>IFERROR(HistoricalStockProgress[[#This Row],[Cost of Shares]]/HistoricalStockProgress[[#This Row],[No. of Shares]],0)</f>
        <v>151.64542145830245</v>
      </c>
      <c r="H2216" s="16" vm="2657">
        <v>147.09</v>
      </c>
      <c r="I2216" s="16">
        <f>IF(HistoricalStockProgress[[#This Row],[No. of Shares]]&lt;&gt;0,HistoricalStockProgress[[#This Row],[Price of Shares]]*HistoricalStockProgress[[#This Row],[No. of Shares]],0)</f>
        <v>12355.56</v>
      </c>
      <c r="J2216" s="16">
        <f>IF(HistoricalStockProgress[[#This Row],[No. of Shares]]&lt;&gt;0,HistoricalStockProgress[[#This Row],[Price of Shares]]-HistoricalStockProgress[[#This Row],[Cost of Shares]]/HistoricalStockProgress[[#This Row],[No. of Shares]],0)</f>
        <v>-4.5554214583024475</v>
      </c>
      <c r="K2216" s="17">
        <f>IF(HistoricalStockProgress[[#This Row],[Total Price of Shares]]&lt;&gt;0,HistoricalStockProgress[[#This Row],[Total Price of Shares]]-HistoricalStockProgress[[#This Row],[Cost of Shares]],0)</f>
        <v>-382.65540249740661</v>
      </c>
      <c r="L2216" s="34" t="b" cm="1">
        <f t="array" ref="L2216">IFERROR(IF(HistoricalStockProgress[[#This Row],[Price of Shares]]="",_xlfn.STOCKHISTORY(HistoricalStockProgress[[#This Row],[Full Company Name]],HistoricalStockProgress[[#This Row],[Date]],,2,0,1)),0)</f>
        <v>0</v>
      </c>
      <c r="M2216" s="34">
        <f>YEAR(HistoricalStockProgress[[#This Row],[Date]])</f>
        <v>2026</v>
      </c>
      <c r="N2216" s="34">
        <f>MONTH(HistoricalStockProgress[[#This Row],[Date]])</f>
        <v>4</v>
      </c>
    </row>
    <row r="2217" spans="2:14">
      <c r="B2217" s="15">
        <v>46142</v>
      </c>
      <c r="C2217" s="34" t="s">
        <v>84</v>
      </c>
      <c r="D2217" s="34" t="e" vm="7">
        <f>_xlfn.XLOOKUP(HistoricalStockProgress[[#This Row],[Company Ticker]],CompanyDetailsList[Company Ticker],CompanyDetailsList[Official Name],,0)</f>
        <v>#VALUE!</v>
      </c>
      <c r="E22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46</v>
      </c>
      <c r="F22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4792.320252277399</v>
      </c>
      <c r="G2217" s="17">
        <f>IFERROR(HistoricalStockProgress[[#This Row],[Cost of Shares]]/HistoricalStockProgress[[#This Row],[No. of Shares]],0)</f>
        <v>104.18087504950867</v>
      </c>
      <c r="H2217" s="16" vm="2658">
        <v>229.85</v>
      </c>
      <c r="I2217" s="16">
        <f>IF(HistoricalStockProgress[[#This Row],[No. of Shares]]&lt;&gt;0,HistoricalStockProgress[[#This Row],[Price of Shares]]*HistoricalStockProgress[[#This Row],[No. of Shares]],0)</f>
        <v>10573.1</v>
      </c>
      <c r="J2217" s="16">
        <f>IF(HistoricalStockProgress[[#This Row],[No. of Shares]]&lt;&gt;0,HistoricalStockProgress[[#This Row],[Price of Shares]]-HistoricalStockProgress[[#This Row],[Cost of Shares]]/HistoricalStockProgress[[#This Row],[No. of Shares]],0)</f>
        <v>125.66912495049132</v>
      </c>
      <c r="K2217" s="17">
        <f>IF(HistoricalStockProgress[[#This Row],[Total Price of Shares]]&lt;&gt;0,HistoricalStockProgress[[#This Row],[Total Price of Shares]]-HistoricalStockProgress[[#This Row],[Cost of Shares]],0)</f>
        <v>5780.7797477226013</v>
      </c>
      <c r="L2217" s="34" t="b" cm="1">
        <f t="array" ref="L2217">IFERROR(IF(HistoricalStockProgress[[#This Row],[Price of Shares]]="",_xlfn.STOCKHISTORY(HistoricalStockProgress[[#This Row],[Full Company Name]],HistoricalStockProgress[[#This Row],[Date]],,2,0,1)),0)</f>
        <v>0</v>
      </c>
      <c r="M2217" s="34">
        <f>YEAR(HistoricalStockProgress[[#This Row],[Date]])</f>
        <v>2026</v>
      </c>
      <c r="N2217" s="34">
        <f>MONTH(HistoricalStockProgress[[#This Row],[Date]])</f>
        <v>4</v>
      </c>
    </row>
    <row r="2218" spans="2:14">
      <c r="B2218" s="15">
        <v>46142</v>
      </c>
      <c r="C2218" s="34" t="s">
        <v>86</v>
      </c>
      <c r="D2218" s="34" t="e" vm="8">
        <f>_xlfn.XLOOKUP(HistoricalStockProgress[[#This Row],[Company Ticker]],CompanyDetailsList[Company Ticker],CompanyDetailsList[Official Name],,0)</f>
        <v>#VALUE!</v>
      </c>
      <c r="E22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22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2218" s="17">
        <f>IFERROR(HistoricalStockProgress[[#This Row],[Cost of Shares]]/HistoricalStockProgress[[#This Row],[No. of Shares]],0)</f>
        <v>115.48970647877745</v>
      </c>
      <c r="H2218" s="16" vm="2659">
        <v>211.32</v>
      </c>
      <c r="I2218" s="16">
        <f>IF(HistoricalStockProgress[[#This Row],[No. of Shares]]&lt;&gt;0,HistoricalStockProgress[[#This Row],[Price of Shares]]*HistoricalStockProgress[[#This Row],[No. of Shares]],0)</f>
        <v>32120.639999999999</v>
      </c>
      <c r="J2218" s="16">
        <f>IF(HistoricalStockProgress[[#This Row],[No. of Shares]]&lt;&gt;0,HistoricalStockProgress[[#This Row],[Price of Shares]]-HistoricalStockProgress[[#This Row],[Cost of Shares]]/HistoricalStockProgress[[#This Row],[No. of Shares]],0)</f>
        <v>95.830293521222544</v>
      </c>
      <c r="K2218" s="17">
        <f>IF(HistoricalStockProgress[[#This Row],[Total Price of Shares]]&lt;&gt;0,HistoricalStockProgress[[#This Row],[Total Price of Shares]]-HistoricalStockProgress[[#This Row],[Cost of Shares]],0)</f>
        <v>14566.204615225826</v>
      </c>
      <c r="L2218" s="34" t="b" cm="1">
        <f t="array" ref="L2218">IFERROR(IF(HistoricalStockProgress[[#This Row],[Price of Shares]]="",_xlfn.STOCKHISTORY(HistoricalStockProgress[[#This Row],[Full Company Name]],HistoricalStockProgress[[#This Row],[Date]],,2,0,1)),0)</f>
        <v>0</v>
      </c>
      <c r="M2218" s="34">
        <f>YEAR(HistoricalStockProgress[[#This Row],[Date]])</f>
        <v>2026</v>
      </c>
      <c r="N2218" s="34">
        <f>MONTH(HistoricalStockProgress[[#This Row],[Date]])</f>
        <v>4</v>
      </c>
    </row>
    <row r="2219" spans="2:14">
      <c r="B2219" s="15">
        <v>46142</v>
      </c>
      <c r="C2219" s="34" t="s">
        <v>88</v>
      </c>
      <c r="D2219" s="34" t="e" vm="9">
        <f>_xlfn.XLOOKUP(HistoricalStockProgress[[#This Row],[Company Ticker]],CompanyDetailsList[Company Ticker],CompanyDetailsList[Official Name],,0)</f>
        <v>#VALUE!</v>
      </c>
      <c r="E22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22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2219" s="17">
        <f>IFERROR(HistoricalStockProgress[[#This Row],[Cost of Shares]]/HistoricalStockProgress[[#This Row],[No. of Shares]],0)</f>
        <v>224.7272684493652</v>
      </c>
      <c r="H2219" s="16" vm="2660">
        <v>293.58999999999997</v>
      </c>
      <c r="I2219" s="16">
        <f>IF(HistoricalStockProgress[[#This Row],[No. of Shares]]&lt;&gt;0,HistoricalStockProgress[[#This Row],[Price of Shares]]*HistoricalStockProgress[[#This Row],[No. of Shares]],0)</f>
        <v>27891.05</v>
      </c>
      <c r="J2219" s="16">
        <f>IF(HistoricalStockProgress[[#This Row],[No. of Shares]]&lt;&gt;0,HistoricalStockProgress[[#This Row],[Price of Shares]]-HistoricalStockProgress[[#This Row],[Cost of Shares]]/HistoricalStockProgress[[#This Row],[No. of Shares]],0)</f>
        <v>68.862731550634777</v>
      </c>
      <c r="K2219" s="17">
        <f>IF(HistoricalStockProgress[[#This Row],[Total Price of Shares]]&lt;&gt;0,HistoricalStockProgress[[#This Row],[Total Price of Shares]]-HistoricalStockProgress[[#This Row],[Cost of Shares]],0)</f>
        <v>6541.9594973103049</v>
      </c>
      <c r="L2219" s="34" t="b" cm="1">
        <f t="array" ref="L2219">IFERROR(IF(HistoricalStockProgress[[#This Row],[Price of Shares]]="",_xlfn.STOCKHISTORY(HistoricalStockProgress[[#This Row],[Full Company Name]],HistoricalStockProgress[[#This Row],[Date]],,2,0,1)),0)</f>
        <v>0</v>
      </c>
      <c r="M2219" s="34">
        <f>YEAR(HistoricalStockProgress[[#This Row],[Date]])</f>
        <v>2026</v>
      </c>
      <c r="N2219" s="34">
        <f>MONTH(HistoricalStockProgress[[#This Row],[Date]])</f>
        <v>4</v>
      </c>
    </row>
    <row r="2220" spans="2:14">
      <c r="B2220" s="15">
        <v>46142</v>
      </c>
      <c r="C2220" s="34" t="s">
        <v>22</v>
      </c>
      <c r="D2220" s="34" t="e" vm="10">
        <f>_xlfn.XLOOKUP(HistoricalStockProgress[[#This Row],[Company Ticker]],CompanyDetailsList[Company Ticker],CompanyDetailsList[Official Name],,0)</f>
        <v>#VALUE!</v>
      </c>
      <c r="E22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22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2220" s="17">
        <f>IFERROR(HistoricalStockProgress[[#This Row],[Cost of Shares]]/HistoricalStockProgress[[#This Row],[No. of Shares]],0)</f>
        <v>130.19784136724968</v>
      </c>
      <c r="H2220" s="16" vm="2661">
        <v>890.11</v>
      </c>
      <c r="I2220" s="16">
        <f>IF(HistoricalStockProgress[[#This Row],[No. of Shares]]&lt;&gt;0,HistoricalStockProgress[[#This Row],[Price of Shares]]*HistoricalStockProgress[[#This Row],[No. of Shares]],0)</f>
        <v>105923.09</v>
      </c>
      <c r="J2220" s="16">
        <f>IF(HistoricalStockProgress[[#This Row],[No. of Shares]]&lt;&gt;0,HistoricalStockProgress[[#This Row],[Price of Shares]]-HistoricalStockProgress[[#This Row],[Cost of Shares]]/HistoricalStockProgress[[#This Row],[No. of Shares]],0)</f>
        <v>759.91215863275033</v>
      </c>
      <c r="K2220" s="17">
        <f>IF(HistoricalStockProgress[[#This Row],[Total Price of Shares]]&lt;&gt;0,HistoricalStockProgress[[#This Row],[Total Price of Shares]]-HistoricalStockProgress[[#This Row],[Cost of Shares]],0)</f>
        <v>90429.546877297282</v>
      </c>
      <c r="L2220" s="34" t="b" cm="1">
        <f t="array" ref="L2220">IFERROR(IF(HistoricalStockProgress[[#This Row],[Price of Shares]]="",_xlfn.STOCKHISTORY(HistoricalStockProgress[[#This Row],[Full Company Name]],HistoricalStockProgress[[#This Row],[Date]],,2,0,1)),0)</f>
        <v>0</v>
      </c>
      <c r="M2220" s="34">
        <f>YEAR(HistoricalStockProgress[[#This Row],[Date]])</f>
        <v>2026</v>
      </c>
      <c r="N2220" s="34">
        <f>MONTH(HistoricalStockProgress[[#This Row],[Date]])</f>
        <v>4</v>
      </c>
    </row>
    <row r="2221" spans="2:14">
      <c r="B2221" s="15">
        <v>46142</v>
      </c>
      <c r="C2221" s="34" t="s">
        <v>91</v>
      </c>
      <c r="D2221" s="34" t="e" vm="11">
        <f>_xlfn.XLOOKUP(HistoricalStockProgress[[#This Row],[Company Ticker]],CompanyDetailsList[Company Ticker],CompanyDetailsList[Official Name],,0)</f>
        <v>#VALUE!</v>
      </c>
      <c r="E22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203</v>
      </c>
      <c r="F22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37263.08408940176</v>
      </c>
      <c r="G2221" s="17">
        <f>IFERROR(HistoricalStockProgress[[#This Row],[Cost of Shares]]/HistoricalStockProgress[[#This Row],[No. of Shares]],0)</f>
        <v>183.56199058818601</v>
      </c>
      <c r="H2221" s="16" vm="2662">
        <v>407.78</v>
      </c>
      <c r="I2221" s="16">
        <f>IF(HistoricalStockProgress[[#This Row],[No. of Shares]]&lt;&gt;0,HistoricalStockProgress[[#This Row],[Price of Shares]]*HistoricalStockProgress[[#This Row],[No. of Shares]],0)</f>
        <v>82779.34</v>
      </c>
      <c r="J2221" s="16">
        <f>IF(HistoricalStockProgress[[#This Row],[No. of Shares]]&lt;&gt;0,HistoricalStockProgress[[#This Row],[Price of Shares]]-HistoricalStockProgress[[#This Row],[Cost of Shares]]/HistoricalStockProgress[[#This Row],[No. of Shares]],0)</f>
        <v>224.21800941181397</v>
      </c>
      <c r="K2221" s="17">
        <f>IF(HistoricalStockProgress[[#This Row],[Total Price of Shares]]&lt;&gt;0,HistoricalStockProgress[[#This Row],[Total Price of Shares]]-HistoricalStockProgress[[#This Row],[Cost of Shares]],0)</f>
        <v>45516.255910598236</v>
      </c>
      <c r="L2221" s="34" t="b" cm="1">
        <f t="array" ref="L2221">IFERROR(IF(HistoricalStockProgress[[#This Row],[Price of Shares]]="",_xlfn.STOCKHISTORY(HistoricalStockProgress[[#This Row],[Full Company Name]],HistoricalStockProgress[[#This Row],[Date]],,2,0,1)),0)</f>
        <v>0</v>
      </c>
      <c r="M2221" s="34">
        <f>YEAR(HistoricalStockProgress[[#This Row],[Date]])</f>
        <v>2026</v>
      </c>
      <c r="N2221" s="34">
        <f>MONTH(HistoricalStockProgress[[#This Row],[Date]])</f>
        <v>4</v>
      </c>
    </row>
    <row r="2222" spans="2:14">
      <c r="B2222" s="15">
        <v>46142</v>
      </c>
      <c r="C2222" s="34" t="s">
        <v>16</v>
      </c>
      <c r="D2222" s="34" t="e" vm="12">
        <f>_xlfn.XLOOKUP(HistoricalStockProgress[[#This Row],[Company Ticker]],CompanyDetailsList[Company Ticker],CompanyDetailsList[Official Name],,0)</f>
        <v>#VALUE!</v>
      </c>
      <c r="E22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156</v>
      </c>
      <c r="F22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11718.360915660647</v>
      </c>
      <c r="G2222" s="17">
        <f>IFERROR(HistoricalStockProgress[[#This Row],[Cost of Shares]]/HistoricalStockProgress[[#This Row],[No. of Shares]],0)</f>
        <v>75.117698177311837</v>
      </c>
      <c r="H2222" s="16" vm="2663">
        <v>154.33000000000001</v>
      </c>
      <c r="I2222" s="16">
        <f>IF(HistoricalStockProgress[[#This Row],[No. of Shares]]&lt;&gt;0,HistoricalStockProgress[[#This Row],[Price of Shares]]*HistoricalStockProgress[[#This Row],[No. of Shares]],0)</f>
        <v>24075.480000000003</v>
      </c>
      <c r="J2222" s="16">
        <f>IF(HistoricalStockProgress[[#This Row],[No. of Shares]]&lt;&gt;0,HistoricalStockProgress[[#This Row],[Price of Shares]]-HistoricalStockProgress[[#This Row],[Cost of Shares]]/HistoricalStockProgress[[#This Row],[No. of Shares]],0)</f>
        <v>79.212301822688175</v>
      </c>
      <c r="K2222" s="17">
        <f>IF(HistoricalStockProgress[[#This Row],[Total Price of Shares]]&lt;&gt;0,HistoricalStockProgress[[#This Row],[Total Price of Shares]]-HistoricalStockProgress[[#This Row],[Cost of Shares]],0)</f>
        <v>12357.119084339356</v>
      </c>
      <c r="L2222" s="34" t="b" cm="1">
        <f t="array" ref="L2222">IFERROR(IF(HistoricalStockProgress[[#This Row],[Price of Shares]]="",_xlfn.STOCKHISTORY(HistoricalStockProgress[[#This Row],[Full Company Name]],HistoricalStockProgress[[#This Row],[Date]],,2,0,1)),0)</f>
        <v>0</v>
      </c>
      <c r="M2222" s="34">
        <f>YEAR(HistoricalStockProgress[[#This Row],[Date]])</f>
        <v>2026</v>
      </c>
      <c r="N2222" s="34">
        <f>MONTH(HistoricalStockProgress[[#This Row],[Date]])</f>
        <v>4</v>
      </c>
    </row>
    <row r="2223" spans="2:14">
      <c r="B2223" s="15">
        <v>46142</v>
      </c>
      <c r="C2223" s="34" t="s">
        <v>95</v>
      </c>
      <c r="D2223" s="34" t="e" vm="13">
        <f>_xlfn.XLOOKUP(HistoricalStockProgress[[#This Row],[Company Ticker]],CompanyDetailsList[Company Ticker],CompanyDetailsList[Official Name],,0)</f>
        <v>#VALUE!</v>
      </c>
      <c r="E22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157</v>
      </c>
      <c r="F22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43247.259149794598</v>
      </c>
      <c r="G2223" s="17">
        <f>IFERROR(HistoricalStockProgress[[#This Row],[Cost of Shares]]/HistoricalStockProgress[[#This Row],[No. of Shares]],0)</f>
        <v>275.46024936174905</v>
      </c>
      <c r="H2223" s="16" vm="2664">
        <v>328.8</v>
      </c>
      <c r="I2223" s="16">
        <f>IF(HistoricalStockProgress[[#This Row],[No. of Shares]]&lt;&gt;0,HistoricalStockProgress[[#This Row],[Price of Shares]]*HistoricalStockProgress[[#This Row],[No. of Shares]],0)</f>
        <v>51621.599999999999</v>
      </c>
      <c r="J2223" s="16">
        <f>IF(HistoricalStockProgress[[#This Row],[No. of Shares]]&lt;&gt;0,HistoricalStockProgress[[#This Row],[Price of Shares]]-HistoricalStockProgress[[#This Row],[Cost of Shares]]/HistoricalStockProgress[[#This Row],[No. of Shares]],0)</f>
        <v>53.339750638250962</v>
      </c>
      <c r="K2223" s="17">
        <f>IF(HistoricalStockProgress[[#This Row],[Total Price of Shares]]&lt;&gt;0,HistoricalStockProgress[[#This Row],[Total Price of Shares]]-HistoricalStockProgress[[#This Row],[Cost of Shares]],0)</f>
        <v>8374.3408502054008</v>
      </c>
      <c r="L2223" s="34" t="b" cm="1">
        <f t="array" ref="L2223">IFERROR(IF(HistoricalStockProgress[[#This Row],[Price of Shares]]="",_xlfn.STOCKHISTORY(HistoricalStockProgress[[#This Row],[Full Company Name]],HistoricalStockProgress[[#This Row],[Date]],,2,0,1)),0)</f>
        <v>0</v>
      </c>
      <c r="M2223" s="34">
        <f>YEAR(HistoricalStockProgress[[#This Row],[Date]])</f>
        <v>2026</v>
      </c>
      <c r="N2223" s="34">
        <f>MONTH(HistoricalStockProgress[[#This Row],[Date]])</f>
        <v>4</v>
      </c>
    </row>
    <row r="2224" spans="2:14">
      <c r="B2224" s="15">
        <v>46142</v>
      </c>
      <c r="C2224" s="34" t="s">
        <v>17</v>
      </c>
      <c r="D2224" s="34" t="e" vm="14">
        <f>_xlfn.XLOOKUP(HistoricalStockProgress[[#This Row],[Company Ticker]],CompanyDetailsList[Company Ticker],CompanyDetailsList[Official Name],,0)</f>
        <v>#VALUE!</v>
      </c>
      <c r="E22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22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2224" s="17">
        <f>IFERROR(HistoricalStockProgress[[#This Row],[Cost of Shares]]/HistoricalStockProgress[[#This Row],[No. of Shares]],0)</f>
        <v>143.37791217450521</v>
      </c>
      <c r="H2224" s="16" vm="2665">
        <v>230.98</v>
      </c>
      <c r="I2224" s="16">
        <f>IF(HistoricalStockProgress[[#This Row],[No. of Shares]]&lt;&gt;0,HistoricalStockProgress[[#This Row],[Price of Shares]]*HistoricalStockProgress[[#This Row],[No. of Shares]],0)</f>
        <v>53356.38</v>
      </c>
      <c r="J2224" s="16">
        <f>IF(HistoricalStockProgress[[#This Row],[No. of Shares]]&lt;&gt;0,HistoricalStockProgress[[#This Row],[Price of Shares]]-HistoricalStockProgress[[#This Row],[Cost of Shares]]/HistoricalStockProgress[[#This Row],[No. of Shares]],0)</f>
        <v>87.602087825494777</v>
      </c>
      <c r="K2224" s="17">
        <f>IF(HistoricalStockProgress[[#This Row],[Total Price of Shares]]&lt;&gt;0,HistoricalStockProgress[[#This Row],[Total Price of Shares]]-HistoricalStockProgress[[#This Row],[Cost of Shares]],0)</f>
        <v>20236.082287689293</v>
      </c>
      <c r="L2224" s="34" t="b" cm="1">
        <f t="array" ref="L2224">IFERROR(IF(HistoricalStockProgress[[#This Row],[Price of Shares]]="",_xlfn.STOCKHISTORY(HistoricalStockProgress[[#This Row],[Full Company Name]],HistoricalStockProgress[[#This Row],[Date]],,2,0,1)),0)</f>
        <v>0</v>
      </c>
      <c r="M2224" s="34">
        <f>YEAR(HistoricalStockProgress[[#This Row],[Date]])</f>
        <v>2026</v>
      </c>
      <c r="N2224" s="34">
        <f>MONTH(HistoricalStockProgress[[#This Row],[Date]])</f>
        <v>4</v>
      </c>
    </row>
    <row r="2225" spans="2:14">
      <c r="B2225" s="15">
        <v>46142</v>
      </c>
      <c r="C2225" s="34" t="s">
        <v>98</v>
      </c>
      <c r="D2225" s="34" t="e" vm="15">
        <f>_xlfn.XLOOKUP(HistoricalStockProgress[[#This Row],[Company Ticker]],CompanyDetailsList[Company Ticker],CompanyDetailsList[Official Name],,0)</f>
        <v>#VALUE!</v>
      </c>
      <c r="E22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193</v>
      </c>
      <c r="F22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11397.772474019517</v>
      </c>
      <c r="G2225" s="17">
        <f>IFERROR(HistoricalStockProgress[[#This Row],[Cost of Shares]]/HistoricalStockProgress[[#This Row],[No. of Shares]],0)</f>
        <v>59.055815927562264</v>
      </c>
      <c r="H2225" s="16" vm="2666">
        <v>97.88</v>
      </c>
      <c r="I2225" s="16">
        <f>IF(HistoricalStockProgress[[#This Row],[No. of Shares]]&lt;&gt;0,HistoricalStockProgress[[#This Row],[Price of Shares]]*HistoricalStockProgress[[#This Row],[No. of Shares]],0)</f>
        <v>18890.84</v>
      </c>
      <c r="J2225" s="16">
        <f>IF(HistoricalStockProgress[[#This Row],[No. of Shares]]&lt;&gt;0,HistoricalStockProgress[[#This Row],[Price of Shares]]-HistoricalStockProgress[[#This Row],[Cost of Shares]]/HistoricalStockProgress[[#This Row],[No. of Shares]],0)</f>
        <v>38.824184072437731</v>
      </c>
      <c r="K2225" s="17">
        <f>IF(HistoricalStockProgress[[#This Row],[Total Price of Shares]]&lt;&gt;0,HistoricalStockProgress[[#This Row],[Total Price of Shares]]-HistoricalStockProgress[[#This Row],[Cost of Shares]],0)</f>
        <v>7493.067525980483</v>
      </c>
      <c r="L2225" s="34" t="b" cm="1">
        <f t="array" ref="L2225">IFERROR(IF(HistoricalStockProgress[[#This Row],[Price of Shares]]="",_xlfn.STOCKHISTORY(HistoricalStockProgress[[#This Row],[Full Company Name]],HistoricalStockProgress[[#This Row],[Date]],,2,0,1)),0)</f>
        <v>0</v>
      </c>
      <c r="M2225" s="34">
        <f>YEAR(HistoricalStockProgress[[#This Row],[Date]])</f>
        <v>2026</v>
      </c>
      <c r="N2225" s="34">
        <f>MONTH(HistoricalStockProgress[[#This Row],[Date]])</f>
        <v>4</v>
      </c>
    </row>
    <row r="2226" spans="2:14">
      <c r="B2226" s="15">
        <v>46142</v>
      </c>
      <c r="C2226" s="34" t="s">
        <v>100</v>
      </c>
      <c r="D2226" s="34" t="e" vm="16">
        <f>_xlfn.XLOOKUP(HistoricalStockProgress[[#This Row],[Company Ticker]],CompanyDetailsList[Company Ticker],CompanyDetailsList[Official Name],,0)</f>
        <v>#VALUE!</v>
      </c>
      <c r="E22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22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2226" s="17">
        <f>IFERROR(HistoricalStockProgress[[#This Row],[Cost of Shares]]/HistoricalStockProgress[[#This Row],[No. of Shares]],0)</f>
        <v>92.156351168716071</v>
      </c>
      <c r="H2226" s="16" vm="2667">
        <v>129.55000000000001</v>
      </c>
      <c r="I2226" s="16">
        <f>IF(HistoricalStockProgress[[#This Row],[No. of Shares]]&lt;&gt;0,HistoricalStockProgress[[#This Row],[Price of Shares]]*HistoricalStockProgress[[#This Row],[No. of Shares]],0)</f>
        <v>32387.500000000004</v>
      </c>
      <c r="J2226" s="16">
        <f>IF(HistoricalStockProgress[[#This Row],[No. of Shares]]&lt;&gt;0,HistoricalStockProgress[[#This Row],[Price of Shares]]-HistoricalStockProgress[[#This Row],[Cost of Shares]]/HistoricalStockProgress[[#This Row],[No. of Shares]],0)</f>
        <v>37.39364883128394</v>
      </c>
      <c r="K2226" s="17">
        <f>IF(HistoricalStockProgress[[#This Row],[Total Price of Shares]]&lt;&gt;0,HistoricalStockProgress[[#This Row],[Total Price of Shares]]-HistoricalStockProgress[[#This Row],[Cost of Shares]],0)</f>
        <v>9348.4122078209875</v>
      </c>
      <c r="L2226" s="34" t="b" cm="1">
        <f t="array" ref="L2226">IFERROR(IF(HistoricalStockProgress[[#This Row],[Price of Shares]]="",_xlfn.STOCKHISTORY(HistoricalStockProgress[[#This Row],[Full Company Name]],HistoricalStockProgress[[#This Row],[Date]],,2,0,1)),0)</f>
        <v>0</v>
      </c>
      <c r="M2226" s="34">
        <f>YEAR(HistoricalStockProgress[[#This Row],[Date]])</f>
        <v>2026</v>
      </c>
      <c r="N2226" s="34">
        <f>MONTH(HistoricalStockProgress[[#This Row],[Date]])</f>
        <v>4</v>
      </c>
    </row>
    <row r="2227" spans="2:14">
      <c r="B2227" s="15">
        <v>46142</v>
      </c>
      <c r="C2227" s="34" t="s">
        <v>15</v>
      </c>
      <c r="D2227" s="34" t="e" vm="17">
        <f>_xlfn.XLOOKUP(HistoricalStockProgress[[#This Row],[Company Ticker]],CompanyDetailsList[Company Ticker],CompanyDetailsList[Official Name],,0)</f>
        <v>#VALUE!</v>
      </c>
      <c r="E22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22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3479.0458726436</v>
      </c>
      <c r="G2227" s="17">
        <f>IFERROR(HistoricalStockProgress[[#This Row],[Cost of Shares]]/HistoricalStockProgress[[#This Row],[No. of Shares]],0)</f>
        <v>24.85032766174</v>
      </c>
      <c r="H2227" s="16" vm="2668">
        <v>26.13</v>
      </c>
      <c r="I2227" s="16">
        <f>IF(HistoricalStockProgress[[#This Row],[No. of Shares]]&lt;&gt;0,HistoricalStockProgress[[#This Row],[Price of Shares]]*HistoricalStockProgress[[#This Row],[No. of Shares]],0)</f>
        <v>3658.2</v>
      </c>
      <c r="J2227" s="16">
        <f>IF(HistoricalStockProgress[[#This Row],[No. of Shares]]&lt;&gt;0,HistoricalStockProgress[[#This Row],[Price of Shares]]-HistoricalStockProgress[[#This Row],[Cost of Shares]]/HistoricalStockProgress[[#This Row],[No. of Shares]],0)</f>
        <v>1.2796723382599993</v>
      </c>
      <c r="K2227" s="17">
        <f>IF(HistoricalStockProgress[[#This Row],[Total Price of Shares]]&lt;&gt;0,HistoricalStockProgress[[#This Row],[Total Price of Shares]]-HistoricalStockProgress[[#This Row],[Cost of Shares]],0)</f>
        <v>179.15412735639984</v>
      </c>
      <c r="L2227" s="34" t="b" cm="1">
        <f t="array" ref="L2227">IFERROR(IF(HistoricalStockProgress[[#This Row],[Price of Shares]]="",_xlfn.STOCKHISTORY(HistoricalStockProgress[[#This Row],[Full Company Name]],HistoricalStockProgress[[#This Row],[Date]],,2,0,1)),0)</f>
        <v>0</v>
      </c>
      <c r="M2227" s="34">
        <f>YEAR(HistoricalStockProgress[[#This Row],[Date]])</f>
        <v>2026</v>
      </c>
      <c r="N2227" s="34">
        <f>MONTH(HistoricalStockProgress[[#This Row],[Date]])</f>
        <v>4</v>
      </c>
    </row>
    <row r="2228" spans="2:14">
      <c r="B2228" s="15">
        <v>46142</v>
      </c>
      <c r="C2228" s="34" t="s">
        <v>13</v>
      </c>
      <c r="D2228" s="34" t="e" vm="18">
        <f>_xlfn.XLOOKUP(HistoricalStockProgress[[#This Row],[Company Ticker]],CompanyDetailsList[Company Ticker],CompanyDetailsList[Official Name],,0)</f>
        <v>#VALUE!</v>
      </c>
      <c r="E22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22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3394.2551594478332</v>
      </c>
      <c r="G2228" s="17">
        <f>IFERROR(HistoricalStockProgress[[#This Row],[Cost of Shares]]/HistoricalStockProgress[[#This Row],[No. of Shares]],0)</f>
        <v>32.021275089130505</v>
      </c>
      <c r="H2228" s="16" vm="2669">
        <v>26.7</v>
      </c>
      <c r="I2228" s="16">
        <f>IF(HistoricalStockProgress[[#This Row],[No. of Shares]]&lt;&gt;0,HistoricalStockProgress[[#This Row],[Price of Shares]]*HistoricalStockProgress[[#This Row],[No. of Shares]],0)</f>
        <v>2830.2</v>
      </c>
      <c r="J2228" s="16">
        <f>IF(HistoricalStockProgress[[#This Row],[No. of Shares]]&lt;&gt;0,HistoricalStockProgress[[#This Row],[Price of Shares]]-HistoricalStockProgress[[#This Row],[Cost of Shares]]/HistoricalStockProgress[[#This Row],[No. of Shares]],0)</f>
        <v>-5.3212750891305056</v>
      </c>
      <c r="K2228" s="17">
        <f>IF(HistoricalStockProgress[[#This Row],[Total Price of Shares]]&lt;&gt;0,HistoricalStockProgress[[#This Row],[Total Price of Shares]]-HistoricalStockProgress[[#This Row],[Cost of Shares]],0)</f>
        <v>-564.05515944783338</v>
      </c>
      <c r="L2228" s="34" t="b" cm="1">
        <f t="array" ref="L2228">IFERROR(IF(HistoricalStockProgress[[#This Row],[Price of Shares]]="",_xlfn.STOCKHISTORY(HistoricalStockProgress[[#This Row],[Full Company Name]],HistoricalStockProgress[[#This Row],[Date]],,2,0,1)),0)</f>
        <v>0</v>
      </c>
      <c r="M2228" s="34">
        <f>YEAR(HistoricalStockProgress[[#This Row],[Date]])</f>
        <v>2026</v>
      </c>
      <c r="N2228" s="34">
        <f>MONTH(HistoricalStockProgress[[#This Row],[Date]])</f>
        <v>4</v>
      </c>
    </row>
    <row r="2229" spans="2:14">
      <c r="B2229" s="15">
        <v>46142</v>
      </c>
      <c r="C2229" s="34" t="s">
        <v>20</v>
      </c>
      <c r="D2229" s="34" t="e" vm="19">
        <f>_xlfn.XLOOKUP(HistoricalStockProgress[[#This Row],[Company Ticker]],CompanyDetailsList[Company Ticker],CompanyDetailsList[Official Name],,0)</f>
        <v>#VALUE!</v>
      </c>
      <c r="E22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22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2229" s="17">
        <f>IFERROR(HistoricalStockProgress[[#This Row],[Cost of Shares]]/HistoricalStockProgress[[#This Row],[No. of Shares]],0)</f>
        <v>108.1760767450256</v>
      </c>
      <c r="H2229" s="16" vm="2670">
        <v>313.23</v>
      </c>
      <c r="I2229" s="16">
        <f>IF(HistoricalStockProgress[[#This Row],[No. of Shares]]&lt;&gt;0,HistoricalStockProgress[[#This Row],[Price of Shares]]*HistoricalStockProgress[[#This Row],[No. of Shares]],0)</f>
        <v>36334.68</v>
      </c>
      <c r="J2229" s="16">
        <f>IF(HistoricalStockProgress[[#This Row],[No. of Shares]]&lt;&gt;0,HistoricalStockProgress[[#This Row],[Price of Shares]]-HistoricalStockProgress[[#This Row],[Cost of Shares]]/HistoricalStockProgress[[#This Row],[No. of Shares]],0)</f>
        <v>205.05392325497442</v>
      </c>
      <c r="K2229" s="17">
        <f>IF(HistoricalStockProgress[[#This Row],[Total Price of Shares]]&lt;&gt;0,HistoricalStockProgress[[#This Row],[Total Price of Shares]]-HistoricalStockProgress[[#This Row],[Cost of Shares]],0)</f>
        <v>23786.255097577032</v>
      </c>
      <c r="L2229" s="34" t="b" cm="1">
        <f t="array" ref="L2229">IFERROR(IF(HistoricalStockProgress[[#This Row],[Price of Shares]]="",_xlfn.STOCKHISTORY(HistoricalStockProgress[[#This Row],[Full Company Name]],HistoricalStockProgress[[#This Row],[Date]],,2,0,1)),0)</f>
        <v>0</v>
      </c>
      <c r="M2229" s="34">
        <f>YEAR(HistoricalStockProgress[[#This Row],[Date]])</f>
        <v>2026</v>
      </c>
      <c r="N2229" s="34">
        <f>MONTH(HistoricalStockProgress[[#This Row],[Date]])</f>
        <v>4</v>
      </c>
    </row>
    <row r="2230" spans="2:14">
      <c r="B2230" s="15">
        <v>46142</v>
      </c>
      <c r="C2230" s="34" t="s">
        <v>106</v>
      </c>
      <c r="D2230" s="34" t="e" vm="20">
        <f>_xlfn.XLOOKUP(HistoricalStockProgress[[#This Row],[Company Ticker]],CompanyDetailsList[Company Ticker],CompanyDetailsList[Official Name],,0)</f>
        <v>#VALUE!</v>
      </c>
      <c r="E22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22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8575.3478914575226</v>
      </c>
      <c r="G2230" s="17">
        <f>IFERROR(HistoricalStockProgress[[#This Row],[Cost of Shares]]/HistoricalStockProgress[[#This Row],[No. of Shares]],0)</f>
        <v>108.54870748680408</v>
      </c>
      <c r="H2230" s="16" vm="2671">
        <v>108.5</v>
      </c>
      <c r="I2230" s="16">
        <f>IF(HistoricalStockProgress[[#This Row],[No. of Shares]]&lt;&gt;0,HistoricalStockProgress[[#This Row],[Price of Shares]]*HistoricalStockProgress[[#This Row],[No. of Shares]],0)</f>
        <v>8571.5</v>
      </c>
      <c r="J2230" s="16">
        <f>IF(HistoricalStockProgress[[#This Row],[No. of Shares]]&lt;&gt;0,HistoricalStockProgress[[#This Row],[Price of Shares]]-HistoricalStockProgress[[#This Row],[Cost of Shares]]/HistoricalStockProgress[[#This Row],[No. of Shares]],0)</f>
        <v>-4.8707486804076439E-2</v>
      </c>
      <c r="K2230" s="17">
        <f>IF(HistoricalStockProgress[[#This Row],[Total Price of Shares]]&lt;&gt;0,HistoricalStockProgress[[#This Row],[Total Price of Shares]]-HistoricalStockProgress[[#This Row],[Cost of Shares]],0)</f>
        <v>-3.8478914575225645</v>
      </c>
      <c r="L2230" s="34" t="b" cm="1">
        <f t="array" ref="L2230">IFERROR(IF(HistoricalStockProgress[[#This Row],[Price of Shares]]="",_xlfn.STOCKHISTORY(HistoricalStockProgress[[#This Row],[Full Company Name]],HistoricalStockProgress[[#This Row],[Date]],,2,0,1)),0)</f>
        <v>0</v>
      </c>
      <c r="M2230" s="34">
        <f>YEAR(HistoricalStockProgress[[#This Row],[Date]])</f>
        <v>2026</v>
      </c>
      <c r="N2230" s="34">
        <f>MONTH(HistoricalStockProgress[[#This Row],[Date]])</f>
        <v>4</v>
      </c>
    </row>
    <row r="2231" spans="2:14">
      <c r="B2231" s="15">
        <v>46173</v>
      </c>
      <c r="C2231" s="34" t="s">
        <v>12</v>
      </c>
      <c r="D2231" s="34" t="e" vm="1">
        <f>_xlfn.XLOOKUP(HistoricalStockProgress[[#This Row],[Company Ticker]],CompanyDetailsList[Company Ticker],CompanyDetailsList[Official Name],,0)</f>
        <v>#VALUE!</v>
      </c>
      <c r="E22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22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2231" s="17">
        <f>IFERROR(HistoricalStockProgress[[#This Row],[Cost of Shares]]/HistoricalStockProgress[[#This Row],[No. of Shares]],0)</f>
        <v>64.573985995316889</v>
      </c>
      <c r="H2231" s="16" vm="2672">
        <v>61.28</v>
      </c>
      <c r="I2231" s="16">
        <f>IF(HistoricalStockProgress[[#This Row],[No. of Shares]]&lt;&gt;0,HistoricalStockProgress[[#This Row],[Price of Shares]]*HistoricalStockProgress[[#This Row],[No. of Shares]],0)</f>
        <v>5944.16</v>
      </c>
      <c r="J2231" s="16">
        <f>IF(HistoricalStockProgress[[#This Row],[No. of Shares]]&lt;&gt;0,HistoricalStockProgress[[#This Row],[Price of Shares]]-HistoricalStockProgress[[#This Row],[Cost of Shares]]/HistoricalStockProgress[[#This Row],[No. of Shares]],0)</f>
        <v>-3.2939859953168877</v>
      </c>
      <c r="K2231" s="17">
        <f>IF(HistoricalStockProgress[[#This Row],[Total Price of Shares]]&lt;&gt;0,HistoricalStockProgress[[#This Row],[Total Price of Shares]]-HistoricalStockProgress[[#This Row],[Cost of Shares]],0)</f>
        <v>-319.51664154573791</v>
      </c>
      <c r="L2231" s="34" t="b" cm="1">
        <f t="array" ref="L2231">IFERROR(IF(HistoricalStockProgress[[#This Row],[Price of Shares]]="",_xlfn.STOCKHISTORY(HistoricalStockProgress[[#This Row],[Full Company Name]],HistoricalStockProgress[[#This Row],[Date]],,2,0,1)),0)</f>
        <v>0</v>
      </c>
      <c r="M2231" s="34">
        <f>YEAR(HistoricalStockProgress[[#This Row],[Date]])</f>
        <v>2026</v>
      </c>
      <c r="N2231" s="34">
        <f>MONTH(HistoricalStockProgress[[#This Row],[Date]])</f>
        <v>5</v>
      </c>
    </row>
    <row r="2232" spans="2:14">
      <c r="B2232" s="15">
        <v>46173</v>
      </c>
      <c r="C2232" s="34" t="s">
        <v>14</v>
      </c>
      <c r="D2232" s="34" t="e" vm="2">
        <f>_xlfn.XLOOKUP(HistoricalStockProgress[[#This Row],[Company Ticker]],CompanyDetailsList[Company Ticker],CompanyDetailsList[Official Name],,0)</f>
        <v>#VALUE!</v>
      </c>
      <c r="E22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22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2232" s="17">
        <f>IFERROR(HistoricalStockProgress[[#This Row],[Cost of Shares]]/HistoricalStockProgress[[#This Row],[No. of Shares]],0)</f>
        <v>26.819337355148658</v>
      </c>
      <c r="H2232" s="16" vm="2673">
        <v>41.16</v>
      </c>
      <c r="I2232" s="16">
        <f>IF(HistoricalStockProgress[[#This Row],[No. of Shares]]&lt;&gt;0,HistoricalStockProgress[[#This Row],[Price of Shares]]*HistoricalStockProgress[[#This Row],[No. of Shares]],0)</f>
        <v>2593.08</v>
      </c>
      <c r="J2232" s="16">
        <f>IF(HistoricalStockProgress[[#This Row],[No. of Shares]]&lt;&gt;0,HistoricalStockProgress[[#This Row],[Price of Shares]]-HistoricalStockProgress[[#This Row],[Cost of Shares]]/HistoricalStockProgress[[#This Row],[No. of Shares]],0)</f>
        <v>14.340662644851339</v>
      </c>
      <c r="K2232" s="17">
        <f>IF(HistoricalStockProgress[[#This Row],[Total Price of Shares]]&lt;&gt;0,HistoricalStockProgress[[#This Row],[Total Price of Shares]]-HistoricalStockProgress[[#This Row],[Cost of Shares]],0)</f>
        <v>903.46174662563453</v>
      </c>
      <c r="L2232" s="34" t="b" cm="1">
        <f t="array" ref="L2232">IFERROR(IF(HistoricalStockProgress[[#This Row],[Price of Shares]]="",_xlfn.STOCKHISTORY(HistoricalStockProgress[[#This Row],[Full Company Name]],HistoricalStockProgress[[#This Row],[Date]],,2,0,1)),0)</f>
        <v>0</v>
      </c>
      <c r="M2232" s="34">
        <f>YEAR(HistoricalStockProgress[[#This Row],[Date]])</f>
        <v>2026</v>
      </c>
      <c r="N2232" s="34">
        <f>MONTH(HistoricalStockProgress[[#This Row],[Date]])</f>
        <v>5</v>
      </c>
    </row>
    <row r="2233" spans="2:14">
      <c r="B2233" s="15">
        <v>46173</v>
      </c>
      <c r="C2233" s="34" t="s">
        <v>19</v>
      </c>
      <c r="D2233" s="34" t="e" vm="3">
        <f>_xlfn.XLOOKUP(HistoricalStockProgress[[#This Row],[Company Ticker]],CompanyDetailsList[Company Ticker],CompanyDetailsList[Official Name],,0)</f>
        <v>#VALUE!</v>
      </c>
      <c r="E22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22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2233" s="17">
        <f>IFERROR(HistoricalStockProgress[[#This Row],[Cost of Shares]]/HistoricalStockProgress[[#This Row],[No. of Shares]],0)</f>
        <v>160.12652821044301</v>
      </c>
      <c r="H2233" s="16" vm="2674">
        <v>90.02</v>
      </c>
      <c r="I2233" s="16">
        <f>IF(HistoricalStockProgress[[#This Row],[No. of Shares]]&lt;&gt;0,HistoricalStockProgress[[#This Row],[Price of Shares]]*HistoricalStockProgress[[#This Row],[No. of Shares]],0)</f>
        <v>7741.7199999999993</v>
      </c>
      <c r="J2233" s="16">
        <f>IF(HistoricalStockProgress[[#This Row],[No. of Shares]]&lt;&gt;0,HistoricalStockProgress[[#This Row],[Price of Shares]]-HistoricalStockProgress[[#This Row],[Cost of Shares]]/HistoricalStockProgress[[#This Row],[No. of Shares]],0)</f>
        <v>-70.106528210443017</v>
      </c>
      <c r="K2233" s="17">
        <f>IF(HistoricalStockProgress[[#This Row],[Total Price of Shares]]&lt;&gt;0,HistoricalStockProgress[[#This Row],[Total Price of Shares]]-HistoricalStockProgress[[#This Row],[Cost of Shares]],0)</f>
        <v>-6029.1614260980987</v>
      </c>
      <c r="L2233" s="34" t="b" cm="1">
        <f t="array" ref="L2233">IFERROR(IF(HistoricalStockProgress[[#This Row],[Price of Shares]]="",_xlfn.STOCKHISTORY(HistoricalStockProgress[[#This Row],[Full Company Name]],HistoricalStockProgress[[#This Row],[Date]],,2,0,1)),0)</f>
        <v>0</v>
      </c>
      <c r="M2233" s="34">
        <f>YEAR(HistoricalStockProgress[[#This Row],[Date]])</f>
        <v>2026</v>
      </c>
      <c r="N2233" s="34">
        <f>MONTH(HistoricalStockProgress[[#This Row],[Date]])</f>
        <v>5</v>
      </c>
    </row>
    <row r="2234" spans="2:14">
      <c r="B2234" s="15">
        <v>46173</v>
      </c>
      <c r="C2234" s="34" t="s">
        <v>23</v>
      </c>
      <c r="D2234" s="34" t="e" vm="4">
        <f>_xlfn.XLOOKUP(HistoricalStockProgress[[#This Row],[Company Ticker]],CompanyDetailsList[Company Ticker],CompanyDetailsList[Official Name],,0)</f>
        <v>#VALUE!</v>
      </c>
      <c r="E22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22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5636.7217732526415</v>
      </c>
      <c r="G2234" s="17">
        <f>IFERROR(HistoricalStockProgress[[#This Row],[Cost of Shares]]/HistoricalStockProgress[[#This Row],[No. of Shares]],0)</f>
        <v>50.781277236510284</v>
      </c>
      <c r="H2234" s="16" vm="2675">
        <v>79.010000000000005</v>
      </c>
      <c r="I2234" s="16">
        <f>IF(HistoricalStockProgress[[#This Row],[No. of Shares]]&lt;&gt;0,HistoricalStockProgress[[#This Row],[Price of Shares]]*HistoricalStockProgress[[#This Row],[No. of Shares]],0)</f>
        <v>8770.11</v>
      </c>
      <c r="J2234" s="16">
        <f>IF(HistoricalStockProgress[[#This Row],[No. of Shares]]&lt;&gt;0,HistoricalStockProgress[[#This Row],[Price of Shares]]-HistoricalStockProgress[[#This Row],[Cost of Shares]]/HistoricalStockProgress[[#This Row],[No. of Shares]],0)</f>
        <v>28.228722763489721</v>
      </c>
      <c r="K2234" s="17">
        <f>IF(HistoricalStockProgress[[#This Row],[Total Price of Shares]]&lt;&gt;0,HistoricalStockProgress[[#This Row],[Total Price of Shares]]-HistoricalStockProgress[[#This Row],[Cost of Shares]],0)</f>
        <v>3133.3882267473591</v>
      </c>
      <c r="L2234" s="34" t="b" cm="1">
        <f t="array" ref="L2234">IFERROR(IF(HistoricalStockProgress[[#This Row],[Price of Shares]]="",_xlfn.STOCKHISTORY(HistoricalStockProgress[[#This Row],[Full Company Name]],HistoricalStockProgress[[#This Row],[Date]],,2,0,1)),0)</f>
        <v>0</v>
      </c>
      <c r="M2234" s="34">
        <f>YEAR(HistoricalStockProgress[[#This Row],[Date]])</f>
        <v>2026</v>
      </c>
      <c r="N2234" s="34">
        <f>MONTH(HistoricalStockProgress[[#This Row],[Date]])</f>
        <v>5</v>
      </c>
    </row>
    <row r="2235" spans="2:14">
      <c r="B2235" s="15">
        <v>46173</v>
      </c>
      <c r="C2235" s="34" t="s">
        <v>18</v>
      </c>
      <c r="D2235" s="34" t="e" vm="5">
        <f>_xlfn.XLOOKUP(HistoricalStockProgress[[#This Row],[Company Ticker]],CompanyDetailsList[Company Ticker],CompanyDetailsList[Official Name],,0)</f>
        <v>#VALUE!</v>
      </c>
      <c r="E22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22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2235" s="17">
        <f>IFERROR(HistoricalStockProgress[[#This Row],[Cost of Shares]]/HistoricalStockProgress[[#This Row],[No. of Shares]],0)</f>
        <v>160.8859607546234</v>
      </c>
      <c r="H2235" s="16" vm="2676">
        <v>144.19</v>
      </c>
      <c r="I2235" s="16">
        <f>IF(HistoricalStockProgress[[#This Row],[No. of Shares]]&lt;&gt;0,HistoricalStockProgress[[#This Row],[Price of Shares]]*HistoricalStockProgress[[#This Row],[No. of Shares]],0)</f>
        <v>6200.17</v>
      </c>
      <c r="J2235" s="16">
        <f>IF(HistoricalStockProgress[[#This Row],[No. of Shares]]&lt;&gt;0,HistoricalStockProgress[[#This Row],[Price of Shares]]-HistoricalStockProgress[[#This Row],[Cost of Shares]]/HistoricalStockProgress[[#This Row],[No. of Shares]],0)</f>
        <v>-16.6959607546234</v>
      </c>
      <c r="K2235" s="17">
        <f>IF(HistoricalStockProgress[[#This Row],[Total Price of Shares]]&lt;&gt;0,HistoricalStockProgress[[#This Row],[Total Price of Shares]]-HistoricalStockProgress[[#This Row],[Cost of Shares]],0)</f>
        <v>-717.92631244880613</v>
      </c>
      <c r="L2235" s="34" t="b" cm="1">
        <f t="array" ref="L2235">IFERROR(IF(HistoricalStockProgress[[#This Row],[Price of Shares]]="",_xlfn.STOCKHISTORY(HistoricalStockProgress[[#This Row],[Full Company Name]],HistoricalStockProgress[[#This Row],[Date]],,2,0,1)),0)</f>
        <v>0</v>
      </c>
      <c r="M2235" s="34">
        <f>YEAR(HistoricalStockProgress[[#This Row],[Date]])</f>
        <v>2026</v>
      </c>
      <c r="N2235" s="34">
        <f>MONTH(HistoricalStockProgress[[#This Row],[Date]])</f>
        <v>5</v>
      </c>
    </row>
    <row r="2236" spans="2:14">
      <c r="B2236" s="15">
        <v>46173</v>
      </c>
      <c r="C2236" s="34" t="s">
        <v>21</v>
      </c>
      <c r="D2236" s="34" t="e" vm="6">
        <f>_xlfn.XLOOKUP(HistoricalStockProgress[[#This Row],[Company Ticker]],CompanyDetailsList[Company Ticker],CompanyDetailsList[Official Name],,0)</f>
        <v>#VALUE!</v>
      </c>
      <c r="E22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84</v>
      </c>
      <c r="F22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12738.215402497406</v>
      </c>
      <c r="G2236" s="17">
        <f>IFERROR(HistoricalStockProgress[[#This Row],[Cost of Shares]]/HistoricalStockProgress[[#This Row],[No. of Shares]],0)</f>
        <v>151.64542145830245</v>
      </c>
      <c r="H2236" s="16" vm="2677">
        <v>143.56</v>
      </c>
      <c r="I2236" s="16">
        <f>IF(HistoricalStockProgress[[#This Row],[No. of Shares]]&lt;&gt;0,HistoricalStockProgress[[#This Row],[Price of Shares]]*HistoricalStockProgress[[#This Row],[No. of Shares]],0)</f>
        <v>12059.04</v>
      </c>
      <c r="J2236" s="16">
        <f>IF(HistoricalStockProgress[[#This Row],[No. of Shares]]&lt;&gt;0,HistoricalStockProgress[[#This Row],[Price of Shares]]-HistoricalStockProgress[[#This Row],[Cost of Shares]]/HistoricalStockProgress[[#This Row],[No. of Shares]],0)</f>
        <v>-8.0854214583024486</v>
      </c>
      <c r="K2236" s="17">
        <f>IF(HistoricalStockProgress[[#This Row],[Total Price of Shares]]&lt;&gt;0,HistoricalStockProgress[[#This Row],[Total Price of Shares]]-HistoricalStockProgress[[#This Row],[Cost of Shares]],0)</f>
        <v>-679.17540249740523</v>
      </c>
      <c r="L2236" s="34" t="b" cm="1">
        <f t="array" ref="L2236">IFERROR(IF(HistoricalStockProgress[[#This Row],[Price of Shares]]="",_xlfn.STOCKHISTORY(HistoricalStockProgress[[#This Row],[Full Company Name]],HistoricalStockProgress[[#This Row],[Date]],,2,0,1)),0)</f>
        <v>0</v>
      </c>
      <c r="M2236" s="34">
        <f>YEAR(HistoricalStockProgress[[#This Row],[Date]])</f>
        <v>2026</v>
      </c>
      <c r="N2236" s="34">
        <f>MONTH(HistoricalStockProgress[[#This Row],[Date]])</f>
        <v>5</v>
      </c>
    </row>
    <row r="2237" spans="2:14">
      <c r="B2237" s="15">
        <v>46173</v>
      </c>
      <c r="C2237" s="34" t="s">
        <v>84</v>
      </c>
      <c r="D2237" s="34" t="e" vm="7">
        <f>_xlfn.XLOOKUP(HistoricalStockProgress[[#This Row],[Company Ticker]],CompanyDetailsList[Company Ticker],CompanyDetailsList[Official Name],,0)</f>
        <v>#VALUE!</v>
      </c>
      <c r="E22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46</v>
      </c>
      <c r="F22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4792.320252277399</v>
      </c>
      <c r="G2237" s="17">
        <f>IFERROR(HistoricalStockProgress[[#This Row],[Cost of Shares]]/HistoricalStockProgress[[#This Row],[No. of Shares]],0)</f>
        <v>104.18087504950867</v>
      </c>
      <c r="H2237" s="16" vm="2678">
        <v>225.33</v>
      </c>
      <c r="I2237" s="16">
        <f>IF(HistoricalStockProgress[[#This Row],[No. of Shares]]&lt;&gt;0,HistoricalStockProgress[[#This Row],[Price of Shares]]*HistoricalStockProgress[[#This Row],[No. of Shares]],0)</f>
        <v>10365.18</v>
      </c>
      <c r="J2237" s="16">
        <f>IF(HistoricalStockProgress[[#This Row],[No. of Shares]]&lt;&gt;0,HistoricalStockProgress[[#This Row],[Price of Shares]]-HistoricalStockProgress[[#This Row],[Cost of Shares]]/HistoricalStockProgress[[#This Row],[No. of Shares]],0)</f>
        <v>121.14912495049134</v>
      </c>
      <c r="K2237" s="17">
        <f>IF(HistoricalStockProgress[[#This Row],[Total Price of Shares]]&lt;&gt;0,HistoricalStockProgress[[#This Row],[Total Price of Shares]]-HistoricalStockProgress[[#This Row],[Cost of Shares]],0)</f>
        <v>5572.8597477226012</v>
      </c>
      <c r="L2237" s="34" t="b" cm="1">
        <f t="array" ref="L2237">IFERROR(IF(HistoricalStockProgress[[#This Row],[Price of Shares]]="",_xlfn.STOCKHISTORY(HistoricalStockProgress[[#This Row],[Full Company Name]],HistoricalStockProgress[[#This Row],[Date]],,2,0,1)),0)</f>
        <v>0</v>
      </c>
      <c r="M2237" s="34">
        <f>YEAR(HistoricalStockProgress[[#This Row],[Date]])</f>
        <v>2026</v>
      </c>
      <c r="N2237" s="34">
        <f>MONTH(HistoricalStockProgress[[#This Row],[Date]])</f>
        <v>5</v>
      </c>
    </row>
    <row r="2238" spans="2:14">
      <c r="B2238" s="15">
        <v>46173</v>
      </c>
      <c r="C2238" s="34" t="s">
        <v>86</v>
      </c>
      <c r="D2238" s="34" t="e" vm="8">
        <f>_xlfn.XLOOKUP(HistoricalStockProgress[[#This Row],[Company Ticker]],CompanyDetailsList[Company Ticker],CompanyDetailsList[Official Name],,0)</f>
        <v>#VALUE!</v>
      </c>
      <c r="E22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22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2238" s="17">
        <f>IFERROR(HistoricalStockProgress[[#This Row],[Cost of Shares]]/HistoricalStockProgress[[#This Row],[No. of Shares]],0)</f>
        <v>115.48970647877745</v>
      </c>
      <c r="H2238" s="16" vm="2679">
        <v>217.72</v>
      </c>
      <c r="I2238" s="16">
        <f>IF(HistoricalStockProgress[[#This Row],[No. of Shares]]&lt;&gt;0,HistoricalStockProgress[[#This Row],[Price of Shares]]*HistoricalStockProgress[[#This Row],[No. of Shares]],0)</f>
        <v>33093.440000000002</v>
      </c>
      <c r="J2238" s="16">
        <f>IF(HistoricalStockProgress[[#This Row],[No. of Shares]]&lt;&gt;0,HistoricalStockProgress[[#This Row],[Price of Shares]]-HistoricalStockProgress[[#This Row],[Cost of Shares]]/HistoricalStockProgress[[#This Row],[No. of Shares]],0)</f>
        <v>102.23029352122255</v>
      </c>
      <c r="K2238" s="17">
        <f>IF(HistoricalStockProgress[[#This Row],[Total Price of Shares]]&lt;&gt;0,HistoricalStockProgress[[#This Row],[Total Price of Shares]]-HistoricalStockProgress[[#This Row],[Cost of Shares]],0)</f>
        <v>15539.004615225829</v>
      </c>
      <c r="L2238" s="34" t="b" cm="1">
        <f t="array" ref="L2238">IFERROR(IF(HistoricalStockProgress[[#This Row],[Price of Shares]]="",_xlfn.STOCKHISTORY(HistoricalStockProgress[[#This Row],[Full Company Name]],HistoricalStockProgress[[#This Row],[Date]],,2,0,1)),0)</f>
        <v>0</v>
      </c>
      <c r="M2238" s="34">
        <f>YEAR(HistoricalStockProgress[[#This Row],[Date]])</f>
        <v>2026</v>
      </c>
      <c r="N2238" s="34">
        <f>MONTH(HistoricalStockProgress[[#This Row],[Date]])</f>
        <v>5</v>
      </c>
    </row>
    <row r="2239" spans="2:14">
      <c r="B2239" s="15">
        <v>46173</v>
      </c>
      <c r="C2239" s="34" t="s">
        <v>88</v>
      </c>
      <c r="D2239" s="34" t="e" vm="9">
        <f>_xlfn.XLOOKUP(HistoricalStockProgress[[#This Row],[Company Ticker]],CompanyDetailsList[Company Ticker],CompanyDetailsList[Official Name],,0)</f>
        <v>#VALUE!</v>
      </c>
      <c r="E22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22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2239" s="17">
        <f>IFERROR(HistoricalStockProgress[[#This Row],[Cost of Shares]]/HistoricalStockProgress[[#This Row],[No. of Shares]],0)</f>
        <v>224.7272684493652</v>
      </c>
      <c r="H2239" s="16" vm="2680">
        <v>279.2</v>
      </c>
      <c r="I2239" s="16">
        <f>IF(HistoricalStockProgress[[#This Row],[No. of Shares]]&lt;&gt;0,HistoricalStockProgress[[#This Row],[Price of Shares]]*HistoricalStockProgress[[#This Row],[No. of Shares]],0)</f>
        <v>26524</v>
      </c>
      <c r="J2239" s="16">
        <f>IF(HistoricalStockProgress[[#This Row],[No. of Shares]]&lt;&gt;0,HistoricalStockProgress[[#This Row],[Price of Shares]]-HistoricalStockProgress[[#This Row],[Cost of Shares]]/HistoricalStockProgress[[#This Row],[No. of Shares]],0)</f>
        <v>54.472731550634791</v>
      </c>
      <c r="K2239" s="17">
        <f>IF(HistoricalStockProgress[[#This Row],[Total Price of Shares]]&lt;&gt;0,HistoricalStockProgress[[#This Row],[Total Price of Shares]]-HistoricalStockProgress[[#This Row],[Cost of Shares]],0)</f>
        <v>5174.9094973103056</v>
      </c>
      <c r="L2239" s="34" t="b" cm="1">
        <f t="array" ref="L2239">IFERROR(IF(HistoricalStockProgress[[#This Row],[Price of Shares]]="",_xlfn.STOCKHISTORY(HistoricalStockProgress[[#This Row],[Full Company Name]],HistoricalStockProgress[[#This Row],[Date]],,2,0,1)),0)</f>
        <v>0</v>
      </c>
      <c r="M2239" s="34">
        <f>YEAR(HistoricalStockProgress[[#This Row],[Date]])</f>
        <v>2026</v>
      </c>
      <c r="N2239" s="34">
        <f>MONTH(HistoricalStockProgress[[#This Row],[Date]])</f>
        <v>5</v>
      </c>
    </row>
    <row r="2240" spans="2:14">
      <c r="B2240" s="15">
        <v>46173</v>
      </c>
      <c r="C2240" s="34" t="s">
        <v>22</v>
      </c>
      <c r="D2240" s="34" t="e" vm="10">
        <f>_xlfn.XLOOKUP(HistoricalStockProgress[[#This Row],[Company Ticker]],CompanyDetailsList[Company Ticker],CompanyDetailsList[Official Name],,0)</f>
        <v>#VALUE!</v>
      </c>
      <c r="E22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22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2240" s="17">
        <f>IFERROR(HistoricalStockProgress[[#This Row],[Cost of Shares]]/HistoricalStockProgress[[#This Row],[No. of Shares]],0)</f>
        <v>130.19784136724968</v>
      </c>
      <c r="H2240" s="16" vm="2681">
        <v>875.87</v>
      </c>
      <c r="I2240" s="16">
        <f>IF(HistoricalStockProgress[[#This Row],[No. of Shares]]&lt;&gt;0,HistoricalStockProgress[[#This Row],[Price of Shares]]*HistoricalStockProgress[[#This Row],[No. of Shares]],0)</f>
        <v>104228.53</v>
      </c>
      <c r="J2240" s="16">
        <f>IF(HistoricalStockProgress[[#This Row],[No. of Shares]]&lt;&gt;0,HistoricalStockProgress[[#This Row],[Price of Shares]]-HistoricalStockProgress[[#This Row],[Cost of Shares]]/HistoricalStockProgress[[#This Row],[No. of Shares]],0)</f>
        <v>745.67215863275032</v>
      </c>
      <c r="K2240" s="17">
        <f>IF(HistoricalStockProgress[[#This Row],[Total Price of Shares]]&lt;&gt;0,HistoricalStockProgress[[#This Row],[Total Price of Shares]]-HistoricalStockProgress[[#This Row],[Cost of Shares]],0)</f>
        <v>88734.986877297284</v>
      </c>
      <c r="L2240" s="34" t="b" cm="1">
        <f t="array" ref="L2240">IFERROR(IF(HistoricalStockProgress[[#This Row],[Price of Shares]]="",_xlfn.STOCKHISTORY(HistoricalStockProgress[[#This Row],[Full Company Name]],HistoricalStockProgress[[#This Row],[Date]],,2,0,1)),0)</f>
        <v>0</v>
      </c>
      <c r="M2240" s="34">
        <f>YEAR(HistoricalStockProgress[[#This Row],[Date]])</f>
        <v>2026</v>
      </c>
      <c r="N2240" s="34">
        <f>MONTH(HistoricalStockProgress[[#This Row],[Date]])</f>
        <v>5</v>
      </c>
    </row>
    <row r="2241" spans="2:14">
      <c r="B2241" s="15">
        <v>46173</v>
      </c>
      <c r="C2241" s="34" t="s">
        <v>91</v>
      </c>
      <c r="D2241" s="34" t="e" vm="11">
        <f>_xlfn.XLOOKUP(HistoricalStockProgress[[#This Row],[Company Ticker]],CompanyDetailsList[Company Ticker],CompanyDetailsList[Official Name],,0)</f>
        <v>#VALUE!</v>
      </c>
      <c r="E22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203</v>
      </c>
      <c r="F22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37263.08408940176</v>
      </c>
      <c r="G2241" s="17">
        <f>IFERROR(HistoricalStockProgress[[#This Row],[Cost of Shares]]/HistoricalStockProgress[[#This Row],[No. of Shares]],0)</f>
        <v>183.56199058818601</v>
      </c>
      <c r="H2241" s="16" vm="2682">
        <v>450.24</v>
      </c>
      <c r="I2241" s="16">
        <f>IF(HistoricalStockProgress[[#This Row],[No. of Shares]]&lt;&gt;0,HistoricalStockProgress[[#This Row],[Price of Shares]]*HistoricalStockProgress[[#This Row],[No. of Shares]],0)</f>
        <v>91398.720000000001</v>
      </c>
      <c r="J2241" s="16">
        <f>IF(HistoricalStockProgress[[#This Row],[No. of Shares]]&lt;&gt;0,HistoricalStockProgress[[#This Row],[Price of Shares]]-HistoricalStockProgress[[#This Row],[Cost of Shares]]/HistoricalStockProgress[[#This Row],[No. of Shares]],0)</f>
        <v>266.678009411814</v>
      </c>
      <c r="K2241" s="17">
        <f>IF(HistoricalStockProgress[[#This Row],[Total Price of Shares]]&lt;&gt;0,HistoricalStockProgress[[#This Row],[Total Price of Shares]]-HistoricalStockProgress[[#This Row],[Cost of Shares]],0)</f>
        <v>54135.635910598241</v>
      </c>
      <c r="L2241" s="34" t="b" cm="1">
        <f t="array" ref="L2241">IFERROR(IF(HistoricalStockProgress[[#This Row],[Price of Shares]]="",_xlfn.STOCKHISTORY(HistoricalStockProgress[[#This Row],[Full Company Name]],HistoricalStockProgress[[#This Row],[Date]],,2,0,1)),0)</f>
        <v>0</v>
      </c>
      <c r="M2241" s="34">
        <f>YEAR(HistoricalStockProgress[[#This Row],[Date]])</f>
        <v>2026</v>
      </c>
      <c r="N2241" s="34">
        <f>MONTH(HistoricalStockProgress[[#This Row],[Date]])</f>
        <v>5</v>
      </c>
    </row>
    <row r="2242" spans="2:14">
      <c r="B2242" s="15">
        <v>46173</v>
      </c>
      <c r="C2242" s="34" t="s">
        <v>16</v>
      </c>
      <c r="D2242" s="34" t="e" vm="12">
        <f>_xlfn.XLOOKUP(HistoricalStockProgress[[#This Row],[Company Ticker]],CompanyDetailsList[Company Ticker],CompanyDetailsList[Official Name],,0)</f>
        <v>#VALUE!</v>
      </c>
      <c r="E22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156</v>
      </c>
      <c r="F22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11718.360915660647</v>
      </c>
      <c r="G2242" s="17">
        <f>IFERROR(HistoricalStockProgress[[#This Row],[Cost of Shares]]/HistoricalStockProgress[[#This Row],[No. of Shares]],0)</f>
        <v>75.117698177311837</v>
      </c>
      <c r="H2242" s="16" vm="2683">
        <v>145.26</v>
      </c>
      <c r="I2242" s="16">
        <f>IF(HistoricalStockProgress[[#This Row],[No. of Shares]]&lt;&gt;0,HistoricalStockProgress[[#This Row],[Price of Shares]]*HistoricalStockProgress[[#This Row],[No. of Shares]],0)</f>
        <v>22660.559999999998</v>
      </c>
      <c r="J2242" s="16">
        <f>IF(HistoricalStockProgress[[#This Row],[No. of Shares]]&lt;&gt;0,HistoricalStockProgress[[#This Row],[Price of Shares]]-HistoricalStockProgress[[#This Row],[Cost of Shares]]/HistoricalStockProgress[[#This Row],[No. of Shares]],0)</f>
        <v>70.142301822688154</v>
      </c>
      <c r="K2242" s="17">
        <f>IF(HistoricalStockProgress[[#This Row],[Total Price of Shares]]&lt;&gt;0,HistoricalStockProgress[[#This Row],[Total Price of Shares]]-HistoricalStockProgress[[#This Row],[Cost of Shares]],0)</f>
        <v>10942.199084339351</v>
      </c>
      <c r="L2242" s="34" t="b" cm="1">
        <f t="array" ref="L2242">IFERROR(IF(HistoricalStockProgress[[#This Row],[Price of Shares]]="",_xlfn.STOCKHISTORY(HistoricalStockProgress[[#This Row],[Full Company Name]],HistoricalStockProgress[[#This Row],[Date]],,2,0,1)),0)</f>
        <v>0</v>
      </c>
      <c r="M2242" s="34">
        <f>YEAR(HistoricalStockProgress[[#This Row],[Date]])</f>
        <v>2026</v>
      </c>
      <c r="N2242" s="34">
        <f>MONTH(HistoricalStockProgress[[#This Row],[Date]])</f>
        <v>5</v>
      </c>
    </row>
    <row r="2243" spans="2:14">
      <c r="B2243" s="15">
        <v>46173</v>
      </c>
      <c r="C2243" s="34" t="s">
        <v>95</v>
      </c>
      <c r="D2243" s="34" t="e" vm="13">
        <f>_xlfn.XLOOKUP(HistoricalStockProgress[[#This Row],[Company Ticker]],CompanyDetailsList[Company Ticker],CompanyDetailsList[Official Name],,0)</f>
        <v>#VALUE!</v>
      </c>
      <c r="E22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157</v>
      </c>
      <c r="F22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43247.259149794598</v>
      </c>
      <c r="G2243" s="17">
        <f>IFERROR(HistoricalStockProgress[[#This Row],[Cost of Shares]]/HistoricalStockProgress[[#This Row],[No. of Shares]],0)</f>
        <v>275.46024936174905</v>
      </c>
      <c r="H2243" s="16" vm="2684">
        <v>317.14</v>
      </c>
      <c r="I2243" s="16">
        <f>IF(HistoricalStockProgress[[#This Row],[No. of Shares]]&lt;&gt;0,HistoricalStockProgress[[#This Row],[Price of Shares]]*HistoricalStockProgress[[#This Row],[No. of Shares]],0)</f>
        <v>49790.979999999996</v>
      </c>
      <c r="J2243" s="16">
        <f>IF(HistoricalStockProgress[[#This Row],[No. of Shares]]&lt;&gt;0,HistoricalStockProgress[[#This Row],[Price of Shares]]-HistoricalStockProgress[[#This Row],[Cost of Shares]]/HistoricalStockProgress[[#This Row],[No. of Shares]],0)</f>
        <v>41.679750638250937</v>
      </c>
      <c r="K2243" s="17">
        <f>IF(HistoricalStockProgress[[#This Row],[Total Price of Shares]]&lt;&gt;0,HistoricalStockProgress[[#This Row],[Total Price of Shares]]-HistoricalStockProgress[[#This Row],[Cost of Shares]],0)</f>
        <v>6543.7208502053982</v>
      </c>
      <c r="L2243" s="34" t="b" cm="1">
        <f t="array" ref="L2243">IFERROR(IF(HistoricalStockProgress[[#This Row],[Price of Shares]]="",_xlfn.STOCKHISTORY(HistoricalStockProgress[[#This Row],[Full Company Name]],HistoricalStockProgress[[#This Row],[Date]],,2,0,1)),0)</f>
        <v>0</v>
      </c>
      <c r="M2243" s="34">
        <f>YEAR(HistoricalStockProgress[[#This Row],[Date]])</f>
        <v>2026</v>
      </c>
      <c r="N2243" s="34">
        <f>MONTH(HistoricalStockProgress[[#This Row],[Date]])</f>
        <v>5</v>
      </c>
    </row>
    <row r="2244" spans="2:14">
      <c r="B2244" s="15">
        <v>46173</v>
      </c>
      <c r="C2244" s="34" t="s">
        <v>17</v>
      </c>
      <c r="D2244" s="34" t="e" vm="14">
        <f>_xlfn.XLOOKUP(HistoricalStockProgress[[#This Row],[Company Ticker]],CompanyDetailsList[Company Ticker],CompanyDetailsList[Official Name],,0)</f>
        <v>#VALUE!</v>
      </c>
      <c r="E22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22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2244" s="17">
        <f>IFERROR(HistoricalStockProgress[[#This Row],[Cost of Shares]]/HistoricalStockProgress[[#This Row],[No. of Shares]],0)</f>
        <v>143.37791217450521</v>
      </c>
      <c r="H2244" s="16" vm="2685">
        <v>297.8</v>
      </c>
      <c r="I2244" s="16">
        <f>IF(HistoricalStockProgress[[#This Row],[No. of Shares]]&lt;&gt;0,HistoricalStockProgress[[#This Row],[Price of Shares]]*HistoricalStockProgress[[#This Row],[No. of Shares]],0)</f>
        <v>68791.8</v>
      </c>
      <c r="J2244" s="16">
        <f>IF(HistoricalStockProgress[[#This Row],[No. of Shares]]&lt;&gt;0,HistoricalStockProgress[[#This Row],[Price of Shares]]-HistoricalStockProgress[[#This Row],[Cost of Shares]]/HistoricalStockProgress[[#This Row],[No. of Shares]],0)</f>
        <v>154.4220878254948</v>
      </c>
      <c r="K2244" s="17">
        <f>IF(HistoricalStockProgress[[#This Row],[Total Price of Shares]]&lt;&gt;0,HistoricalStockProgress[[#This Row],[Total Price of Shares]]-HistoricalStockProgress[[#This Row],[Cost of Shares]],0)</f>
        <v>35671.502287689298</v>
      </c>
      <c r="L2244" s="34" t="b" cm="1">
        <f t="array" ref="L2244">IFERROR(IF(HistoricalStockProgress[[#This Row],[Price of Shares]]="",_xlfn.STOCKHISTORY(HistoricalStockProgress[[#This Row],[Full Company Name]],HistoricalStockProgress[[#This Row],[Date]],,2,0,1)),0)</f>
        <v>0</v>
      </c>
      <c r="M2244" s="34">
        <f>YEAR(HistoricalStockProgress[[#This Row],[Date]])</f>
        <v>2026</v>
      </c>
      <c r="N2244" s="34">
        <f>MONTH(HistoricalStockProgress[[#This Row],[Date]])</f>
        <v>5</v>
      </c>
    </row>
    <row r="2245" spans="2:14">
      <c r="B2245" s="15">
        <v>46173</v>
      </c>
      <c r="C2245" s="34" t="s">
        <v>98</v>
      </c>
      <c r="D2245" s="34" t="e" vm="15">
        <f>_xlfn.XLOOKUP(HistoricalStockProgress[[#This Row],[Company Ticker]],CompanyDetailsList[Company Ticker],CompanyDetailsList[Official Name],,0)</f>
        <v>#VALUE!</v>
      </c>
      <c r="E22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193</v>
      </c>
      <c r="F22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11397.772474019517</v>
      </c>
      <c r="G2245" s="17">
        <f>IFERROR(HistoricalStockProgress[[#This Row],[Cost of Shares]]/HistoricalStockProgress[[#This Row],[No. of Shares]],0)</f>
        <v>59.055815927562264</v>
      </c>
      <c r="H2245" s="16" vm="2686">
        <v>87.01</v>
      </c>
      <c r="I2245" s="16">
        <f>IF(HistoricalStockProgress[[#This Row],[No. of Shares]]&lt;&gt;0,HistoricalStockProgress[[#This Row],[Price of Shares]]*HistoricalStockProgress[[#This Row],[No. of Shares]],0)</f>
        <v>16792.93</v>
      </c>
      <c r="J2245" s="16">
        <f>IF(HistoricalStockProgress[[#This Row],[No. of Shares]]&lt;&gt;0,HistoricalStockProgress[[#This Row],[Price of Shares]]-HistoricalStockProgress[[#This Row],[Cost of Shares]]/HistoricalStockProgress[[#This Row],[No. of Shares]],0)</f>
        <v>27.954184072437741</v>
      </c>
      <c r="K2245" s="17">
        <f>IF(HistoricalStockProgress[[#This Row],[Total Price of Shares]]&lt;&gt;0,HistoricalStockProgress[[#This Row],[Total Price of Shares]]-HistoricalStockProgress[[#This Row],[Cost of Shares]],0)</f>
        <v>5395.1575259804831</v>
      </c>
      <c r="L2245" s="34" t="b" cm="1">
        <f t="array" ref="L2245">IFERROR(IF(HistoricalStockProgress[[#This Row],[Price of Shares]]="",_xlfn.STOCKHISTORY(HistoricalStockProgress[[#This Row],[Full Company Name]],HistoricalStockProgress[[#This Row],[Date]],,2,0,1)),0)</f>
        <v>0</v>
      </c>
      <c r="M2245" s="34">
        <f>YEAR(HistoricalStockProgress[[#This Row],[Date]])</f>
        <v>2026</v>
      </c>
      <c r="N2245" s="34">
        <f>MONTH(HistoricalStockProgress[[#This Row],[Date]])</f>
        <v>5</v>
      </c>
    </row>
    <row r="2246" spans="2:14">
      <c r="B2246" s="15">
        <v>46173</v>
      </c>
      <c r="C2246" s="34" t="s">
        <v>100</v>
      </c>
      <c r="D2246" s="34" t="e" vm="16">
        <f>_xlfn.XLOOKUP(HistoricalStockProgress[[#This Row],[Company Ticker]],CompanyDetailsList[Company Ticker],CompanyDetailsList[Official Name],,0)</f>
        <v>#VALUE!</v>
      </c>
      <c r="E22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22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2246" s="17">
        <f>IFERROR(HistoricalStockProgress[[#This Row],[Cost of Shares]]/HistoricalStockProgress[[#This Row],[No. of Shares]],0)</f>
        <v>92.156351168716071</v>
      </c>
      <c r="H2246" s="16" vm="2687">
        <v>122.73</v>
      </c>
      <c r="I2246" s="16">
        <f>IF(HistoricalStockProgress[[#This Row],[No. of Shares]]&lt;&gt;0,HistoricalStockProgress[[#This Row],[Price of Shares]]*HistoricalStockProgress[[#This Row],[No. of Shares]],0)</f>
        <v>30682.5</v>
      </c>
      <c r="J2246" s="16">
        <f>IF(HistoricalStockProgress[[#This Row],[No. of Shares]]&lt;&gt;0,HistoricalStockProgress[[#This Row],[Price of Shares]]-HistoricalStockProgress[[#This Row],[Cost of Shares]]/HistoricalStockProgress[[#This Row],[No. of Shares]],0)</f>
        <v>30.573648831283933</v>
      </c>
      <c r="K2246" s="17">
        <f>IF(HistoricalStockProgress[[#This Row],[Total Price of Shares]]&lt;&gt;0,HistoricalStockProgress[[#This Row],[Total Price of Shares]]-HistoricalStockProgress[[#This Row],[Cost of Shares]],0)</f>
        <v>7643.4122078209839</v>
      </c>
      <c r="L2246" s="34" t="b" cm="1">
        <f t="array" ref="L2246">IFERROR(IF(HistoricalStockProgress[[#This Row],[Price of Shares]]="",_xlfn.STOCKHISTORY(HistoricalStockProgress[[#This Row],[Full Company Name]],HistoricalStockProgress[[#This Row],[Date]],,2,0,1)),0)</f>
        <v>0</v>
      </c>
      <c r="M2246" s="34">
        <f>YEAR(HistoricalStockProgress[[#This Row],[Date]])</f>
        <v>2026</v>
      </c>
      <c r="N2246" s="34">
        <f>MONTH(HistoricalStockProgress[[#This Row],[Date]])</f>
        <v>5</v>
      </c>
    </row>
    <row r="2247" spans="2:14">
      <c r="B2247" s="15">
        <v>46173</v>
      </c>
      <c r="C2247" s="34" t="s">
        <v>15</v>
      </c>
      <c r="D2247" s="34" t="e" vm="17">
        <f>_xlfn.XLOOKUP(HistoricalStockProgress[[#This Row],[Company Ticker]],CompanyDetailsList[Company Ticker],CompanyDetailsList[Official Name],,0)</f>
        <v>#VALUE!</v>
      </c>
      <c r="E22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22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3479.0458726436</v>
      </c>
      <c r="G2247" s="17">
        <f>IFERROR(HistoricalStockProgress[[#This Row],[Cost of Shares]]/HistoricalStockProgress[[#This Row],[No. of Shares]],0)</f>
        <v>24.85032766174</v>
      </c>
      <c r="H2247" s="16" vm="2688">
        <v>24.8</v>
      </c>
      <c r="I2247" s="16">
        <f>IF(HistoricalStockProgress[[#This Row],[No. of Shares]]&lt;&gt;0,HistoricalStockProgress[[#This Row],[Price of Shares]]*HistoricalStockProgress[[#This Row],[No. of Shares]],0)</f>
        <v>3472</v>
      </c>
      <c r="J2247" s="16">
        <f>IF(HistoricalStockProgress[[#This Row],[No. of Shares]]&lt;&gt;0,HistoricalStockProgress[[#This Row],[Price of Shares]]-HistoricalStockProgress[[#This Row],[Cost of Shares]]/HistoricalStockProgress[[#This Row],[No. of Shares]],0)</f>
        <v>-5.032766173999903E-2</v>
      </c>
      <c r="K2247" s="17">
        <f>IF(HistoricalStockProgress[[#This Row],[Total Price of Shares]]&lt;&gt;0,HistoricalStockProgress[[#This Row],[Total Price of Shares]]-HistoricalStockProgress[[#This Row],[Cost of Shares]],0)</f>
        <v>-7.0458726435999779</v>
      </c>
      <c r="L2247" s="34" t="b" cm="1">
        <f t="array" ref="L2247">IFERROR(IF(HistoricalStockProgress[[#This Row],[Price of Shares]]="",_xlfn.STOCKHISTORY(HistoricalStockProgress[[#This Row],[Full Company Name]],HistoricalStockProgress[[#This Row],[Date]],,2,0,1)),0)</f>
        <v>0</v>
      </c>
      <c r="M2247" s="34">
        <f>YEAR(HistoricalStockProgress[[#This Row],[Date]])</f>
        <v>2026</v>
      </c>
      <c r="N2247" s="34">
        <f>MONTH(HistoricalStockProgress[[#This Row],[Date]])</f>
        <v>5</v>
      </c>
    </row>
    <row r="2248" spans="2:14">
      <c r="B2248" s="15">
        <v>46173</v>
      </c>
      <c r="C2248" s="34" t="s">
        <v>13</v>
      </c>
      <c r="D2248" s="34" t="e" vm="18">
        <f>_xlfn.XLOOKUP(HistoricalStockProgress[[#This Row],[Company Ticker]],CompanyDetailsList[Company Ticker],CompanyDetailsList[Official Name],,0)</f>
        <v>#VALUE!</v>
      </c>
      <c r="E22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22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3394.2551594478332</v>
      </c>
      <c r="G2248" s="17">
        <f>IFERROR(HistoricalStockProgress[[#This Row],[Cost of Shares]]/HistoricalStockProgress[[#This Row],[No. of Shares]],0)</f>
        <v>32.021275089130505</v>
      </c>
      <c r="H2248" s="16" vm="2689">
        <v>26.18</v>
      </c>
      <c r="I2248" s="16">
        <f>IF(HistoricalStockProgress[[#This Row],[No. of Shares]]&lt;&gt;0,HistoricalStockProgress[[#This Row],[Price of Shares]]*HistoricalStockProgress[[#This Row],[No. of Shares]],0)</f>
        <v>2775.08</v>
      </c>
      <c r="J2248" s="16">
        <f>IF(HistoricalStockProgress[[#This Row],[No. of Shares]]&lt;&gt;0,HistoricalStockProgress[[#This Row],[Price of Shares]]-HistoricalStockProgress[[#This Row],[Cost of Shares]]/HistoricalStockProgress[[#This Row],[No. of Shares]],0)</f>
        <v>-5.8412750891305052</v>
      </c>
      <c r="K2248" s="17">
        <f>IF(HistoricalStockProgress[[#This Row],[Total Price of Shares]]&lt;&gt;0,HistoricalStockProgress[[#This Row],[Total Price of Shares]]-HistoricalStockProgress[[#This Row],[Cost of Shares]],0)</f>
        <v>-619.17515944783327</v>
      </c>
      <c r="L2248" s="34" t="b" cm="1">
        <f t="array" ref="L2248">IFERROR(IF(HistoricalStockProgress[[#This Row],[Price of Shares]]="",_xlfn.STOCKHISTORY(HistoricalStockProgress[[#This Row],[Full Company Name]],HistoricalStockProgress[[#This Row],[Date]],,2,0,1)),0)</f>
        <v>0</v>
      </c>
      <c r="M2248" s="34">
        <f>YEAR(HistoricalStockProgress[[#This Row],[Date]])</f>
        <v>2026</v>
      </c>
      <c r="N2248" s="34">
        <f>MONTH(HistoricalStockProgress[[#This Row],[Date]])</f>
        <v>5</v>
      </c>
    </row>
    <row r="2249" spans="2:14">
      <c r="B2249" s="15">
        <v>46173</v>
      </c>
      <c r="C2249" s="34" t="s">
        <v>20</v>
      </c>
      <c r="D2249" s="34" t="e" vm="19">
        <f>_xlfn.XLOOKUP(HistoricalStockProgress[[#This Row],[Company Ticker]],CompanyDetailsList[Company Ticker],CompanyDetailsList[Official Name],,0)</f>
        <v>#VALUE!</v>
      </c>
      <c r="E22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22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2249" s="17">
        <f>IFERROR(HistoricalStockProgress[[#This Row],[Cost of Shares]]/HistoricalStockProgress[[#This Row],[No. of Shares]],0)</f>
        <v>108.1760767450256</v>
      </c>
      <c r="H2249" s="16" vm="2690">
        <v>299.31</v>
      </c>
      <c r="I2249" s="16">
        <f>IF(HistoricalStockProgress[[#This Row],[No. of Shares]]&lt;&gt;0,HistoricalStockProgress[[#This Row],[Price of Shares]]*HistoricalStockProgress[[#This Row],[No. of Shares]],0)</f>
        <v>34719.96</v>
      </c>
      <c r="J2249" s="16">
        <f>IF(HistoricalStockProgress[[#This Row],[No. of Shares]]&lt;&gt;0,HistoricalStockProgress[[#This Row],[Price of Shares]]-HistoricalStockProgress[[#This Row],[Cost of Shares]]/HistoricalStockProgress[[#This Row],[No. of Shares]],0)</f>
        <v>191.13392325497441</v>
      </c>
      <c r="K2249" s="17">
        <f>IF(HistoricalStockProgress[[#This Row],[Total Price of Shares]]&lt;&gt;0,HistoricalStockProgress[[#This Row],[Total Price of Shares]]-HistoricalStockProgress[[#This Row],[Cost of Shares]],0)</f>
        <v>22171.535097577031</v>
      </c>
      <c r="L2249" s="34" t="b" cm="1">
        <f t="array" ref="L2249">IFERROR(IF(HistoricalStockProgress[[#This Row],[Price of Shares]]="",_xlfn.STOCKHISTORY(HistoricalStockProgress[[#This Row],[Full Company Name]],HistoricalStockProgress[[#This Row],[Date]],,2,0,1)),0)</f>
        <v>0</v>
      </c>
      <c r="M2249" s="34">
        <f>YEAR(HistoricalStockProgress[[#This Row],[Date]])</f>
        <v>2026</v>
      </c>
      <c r="N2249" s="34">
        <f>MONTH(HistoricalStockProgress[[#This Row],[Date]])</f>
        <v>5</v>
      </c>
    </row>
    <row r="2250" spans="2:14">
      <c r="B2250" s="15">
        <v>46173</v>
      </c>
      <c r="C2250" s="34" t="s">
        <v>106</v>
      </c>
      <c r="D2250" s="34" t="e" vm="20">
        <f>_xlfn.XLOOKUP(HistoricalStockProgress[[#This Row],[Company Ticker]],CompanyDetailsList[Company Ticker],CompanyDetailsList[Official Name],,0)</f>
        <v>#VALUE!</v>
      </c>
      <c r="E22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22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8575.3478914575226</v>
      </c>
      <c r="G2250" s="17">
        <f>IFERROR(HistoricalStockProgress[[#This Row],[Cost of Shares]]/HistoricalStockProgress[[#This Row],[No. of Shares]],0)</f>
        <v>108.54870748680408</v>
      </c>
      <c r="H2250" s="16" vm="2691">
        <v>112.98</v>
      </c>
      <c r="I2250" s="16">
        <f>IF(HistoricalStockProgress[[#This Row],[No. of Shares]]&lt;&gt;0,HistoricalStockProgress[[#This Row],[Price of Shares]]*HistoricalStockProgress[[#This Row],[No. of Shares]],0)</f>
        <v>8925.42</v>
      </c>
      <c r="J2250" s="16">
        <f>IF(HistoricalStockProgress[[#This Row],[No. of Shares]]&lt;&gt;0,HistoricalStockProgress[[#This Row],[Price of Shares]]-HistoricalStockProgress[[#This Row],[Cost of Shares]]/HistoricalStockProgress[[#This Row],[No. of Shares]],0)</f>
        <v>4.4312925131959275</v>
      </c>
      <c r="K2250" s="17">
        <f>IF(HistoricalStockProgress[[#This Row],[Total Price of Shares]]&lt;&gt;0,HistoricalStockProgress[[#This Row],[Total Price of Shares]]-HistoricalStockProgress[[#This Row],[Cost of Shares]],0)</f>
        <v>350.07210854247751</v>
      </c>
      <c r="L2250" s="34" t="b" cm="1">
        <f t="array" ref="L2250">IFERROR(IF(HistoricalStockProgress[[#This Row],[Price of Shares]]="",_xlfn.STOCKHISTORY(HistoricalStockProgress[[#This Row],[Full Company Name]],HistoricalStockProgress[[#This Row],[Date]],,2,0,1)),0)</f>
        <v>0</v>
      </c>
      <c r="M2250" s="34">
        <f>YEAR(HistoricalStockProgress[[#This Row],[Date]])</f>
        <v>2026</v>
      </c>
      <c r="N2250" s="34">
        <f>MONTH(HistoricalStockProgress[[#This Row],[Date]])</f>
        <v>5</v>
      </c>
    </row>
    <row r="2251" spans="2:14">
      <c r="B2251" s="15">
        <v>46203</v>
      </c>
      <c r="C2251" s="34" t="s">
        <v>12</v>
      </c>
      <c r="D2251" s="34" t="e" vm="1">
        <f>_xlfn.XLOOKUP(HistoricalStockProgress[[#This Row],[Company Ticker]],CompanyDetailsList[Company Ticker],CompanyDetailsList[Official Name],,0)</f>
        <v>#VALUE!</v>
      </c>
      <c r="E225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225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2251" s="17">
        <f>IFERROR(HistoricalStockProgress[[#This Row],[Cost of Shares]]/HistoricalStockProgress[[#This Row],[No. of Shares]],0)</f>
        <v>64.573985995316889</v>
      </c>
      <c r="H2251" s="16" vm="2692">
        <v>61.96</v>
      </c>
      <c r="I2251" s="16">
        <f>IF(HistoricalStockProgress[[#This Row],[No. of Shares]]&lt;&gt;0,HistoricalStockProgress[[#This Row],[Price of Shares]]*HistoricalStockProgress[[#This Row],[No. of Shares]],0)</f>
        <v>6010.12</v>
      </c>
      <c r="J2251" s="16">
        <f>IF(HistoricalStockProgress[[#This Row],[No. of Shares]]&lt;&gt;0,HistoricalStockProgress[[#This Row],[Price of Shares]]-HistoricalStockProgress[[#This Row],[Cost of Shares]]/HistoricalStockProgress[[#This Row],[No. of Shares]],0)</f>
        <v>-2.613985995316888</v>
      </c>
      <c r="K2251" s="17">
        <f>IF(HistoricalStockProgress[[#This Row],[Total Price of Shares]]&lt;&gt;0,HistoricalStockProgress[[#This Row],[Total Price of Shares]]-HistoricalStockProgress[[#This Row],[Cost of Shares]],0)</f>
        <v>-253.55664154573788</v>
      </c>
      <c r="L2251" s="34" t="b" cm="1">
        <f t="array" ref="L2251">IFERROR(IF(HistoricalStockProgress[[#This Row],[Price of Shares]]="",_xlfn.STOCKHISTORY(HistoricalStockProgress[[#This Row],[Full Company Name]],HistoricalStockProgress[[#This Row],[Date]],,2,0,1)),0)</f>
        <v>0</v>
      </c>
      <c r="M2251" s="34">
        <f>YEAR(HistoricalStockProgress[[#This Row],[Date]])</f>
        <v>2026</v>
      </c>
      <c r="N2251" s="34">
        <f>MONTH(HistoricalStockProgress[[#This Row],[Date]])</f>
        <v>6</v>
      </c>
    </row>
    <row r="2252" spans="2:14">
      <c r="B2252" s="15">
        <v>46203</v>
      </c>
      <c r="C2252" s="34" t="s">
        <v>14</v>
      </c>
      <c r="D2252" s="34" t="e" vm="2">
        <f>_xlfn.XLOOKUP(HistoricalStockProgress[[#This Row],[Company Ticker]],CompanyDetailsList[Company Ticker],CompanyDetailsList[Official Name],,0)</f>
        <v>#VALUE!</v>
      </c>
      <c r="E225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225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2252" s="17">
        <f>IFERROR(HistoricalStockProgress[[#This Row],[Cost of Shares]]/HistoricalStockProgress[[#This Row],[No. of Shares]],0)</f>
        <v>26.819337355148658</v>
      </c>
      <c r="H2252" s="16" vm="2693">
        <v>34.18</v>
      </c>
      <c r="I2252" s="16">
        <f>IF(HistoricalStockProgress[[#This Row],[No. of Shares]]&lt;&gt;0,HistoricalStockProgress[[#This Row],[Price of Shares]]*HistoricalStockProgress[[#This Row],[No. of Shares]],0)</f>
        <v>2153.34</v>
      </c>
      <c r="J2252" s="16">
        <f>IF(HistoricalStockProgress[[#This Row],[No. of Shares]]&lt;&gt;0,HistoricalStockProgress[[#This Row],[Price of Shares]]-HistoricalStockProgress[[#This Row],[Cost of Shares]]/HistoricalStockProgress[[#This Row],[No. of Shares]],0)</f>
        <v>7.3606626448513417</v>
      </c>
      <c r="K2252" s="17">
        <f>IF(HistoricalStockProgress[[#This Row],[Total Price of Shares]]&lt;&gt;0,HistoricalStockProgress[[#This Row],[Total Price of Shares]]-HistoricalStockProgress[[#This Row],[Cost of Shares]],0)</f>
        <v>463.72174662563475</v>
      </c>
      <c r="L2252" s="34" t="b" cm="1">
        <f t="array" ref="L2252">IFERROR(IF(HistoricalStockProgress[[#This Row],[Price of Shares]]="",_xlfn.STOCKHISTORY(HistoricalStockProgress[[#This Row],[Full Company Name]],HistoricalStockProgress[[#This Row],[Date]],,2,0,1)),0)</f>
        <v>0</v>
      </c>
      <c r="M2252" s="34">
        <f>YEAR(HistoricalStockProgress[[#This Row],[Date]])</f>
        <v>2026</v>
      </c>
      <c r="N2252" s="34">
        <f>MONTH(HistoricalStockProgress[[#This Row],[Date]])</f>
        <v>6</v>
      </c>
    </row>
    <row r="2253" spans="2:14">
      <c r="B2253" s="15">
        <v>46203</v>
      </c>
      <c r="C2253" s="34" t="s">
        <v>19</v>
      </c>
      <c r="D2253" s="34" t="e" vm="3">
        <f>_xlfn.XLOOKUP(HistoricalStockProgress[[#This Row],[Company Ticker]],CompanyDetailsList[Company Ticker],CompanyDetailsList[Official Name],,0)</f>
        <v>#VALUE!</v>
      </c>
      <c r="E225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225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2253" s="17">
        <f>IFERROR(HistoricalStockProgress[[#This Row],[Cost of Shares]]/HistoricalStockProgress[[#This Row],[No. of Shares]],0)</f>
        <v>160.12652821044301</v>
      </c>
      <c r="H2253" s="16" vm="2694">
        <v>95.44</v>
      </c>
      <c r="I2253" s="16">
        <f>IF(HistoricalStockProgress[[#This Row],[No. of Shares]]&lt;&gt;0,HistoricalStockProgress[[#This Row],[Price of Shares]]*HistoricalStockProgress[[#This Row],[No. of Shares]],0)</f>
        <v>8207.84</v>
      </c>
      <c r="J2253" s="16">
        <f>IF(HistoricalStockProgress[[#This Row],[No. of Shares]]&lt;&gt;0,HistoricalStockProgress[[#This Row],[Price of Shares]]-HistoricalStockProgress[[#This Row],[Cost of Shares]]/HistoricalStockProgress[[#This Row],[No. of Shares]],0)</f>
        <v>-64.686528210443015</v>
      </c>
      <c r="K2253" s="17">
        <f>IF(HistoricalStockProgress[[#This Row],[Total Price of Shares]]&lt;&gt;0,HistoricalStockProgress[[#This Row],[Total Price of Shares]]-HistoricalStockProgress[[#This Row],[Cost of Shares]],0)</f>
        <v>-5563.0414260980979</v>
      </c>
      <c r="L2253" s="34" t="b" cm="1">
        <f t="array" ref="L2253">IFERROR(IF(HistoricalStockProgress[[#This Row],[Price of Shares]]="",_xlfn.STOCKHISTORY(HistoricalStockProgress[[#This Row],[Full Company Name]],HistoricalStockProgress[[#This Row],[Date]],,2,0,1)),0)</f>
        <v>0</v>
      </c>
      <c r="M2253" s="34">
        <f>YEAR(HistoricalStockProgress[[#This Row],[Date]])</f>
        <v>2026</v>
      </c>
      <c r="N2253" s="34">
        <f>MONTH(HistoricalStockProgress[[#This Row],[Date]])</f>
        <v>6</v>
      </c>
    </row>
    <row r="2254" spans="2:14">
      <c r="B2254" s="15">
        <v>46203</v>
      </c>
      <c r="C2254" s="34" t="s">
        <v>23</v>
      </c>
      <c r="D2254" s="34" t="e" vm="4">
        <f>_xlfn.XLOOKUP(HistoricalStockProgress[[#This Row],[Company Ticker]],CompanyDetailsList[Company Ticker],CompanyDetailsList[Official Name],,0)</f>
        <v>#VALUE!</v>
      </c>
      <c r="E225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225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5636.7217732526415</v>
      </c>
      <c r="G2254" s="17">
        <f>IFERROR(HistoricalStockProgress[[#This Row],[Cost of Shares]]/HistoricalStockProgress[[#This Row],[No. of Shares]],0)</f>
        <v>50.781277236510284</v>
      </c>
      <c r="H2254" s="16" vm="2695">
        <v>81.27</v>
      </c>
      <c r="I2254" s="16">
        <f>IF(HistoricalStockProgress[[#This Row],[No. of Shares]]&lt;&gt;0,HistoricalStockProgress[[#This Row],[Price of Shares]]*HistoricalStockProgress[[#This Row],[No. of Shares]],0)</f>
        <v>9020.9699999999993</v>
      </c>
      <c r="J2254" s="16">
        <f>IF(HistoricalStockProgress[[#This Row],[No. of Shares]]&lt;&gt;0,HistoricalStockProgress[[#This Row],[Price of Shares]]-HistoricalStockProgress[[#This Row],[Cost of Shares]]/HistoricalStockProgress[[#This Row],[No. of Shares]],0)</f>
        <v>30.488722763489712</v>
      </c>
      <c r="K2254" s="17">
        <f>IF(HistoricalStockProgress[[#This Row],[Total Price of Shares]]&lt;&gt;0,HistoricalStockProgress[[#This Row],[Total Price of Shares]]-HistoricalStockProgress[[#This Row],[Cost of Shares]],0)</f>
        <v>3384.2482267473579</v>
      </c>
      <c r="L2254" s="34" t="b" cm="1">
        <f t="array" ref="L2254">IFERROR(IF(HistoricalStockProgress[[#This Row],[Price of Shares]]="",_xlfn.STOCKHISTORY(HistoricalStockProgress[[#This Row],[Full Company Name]],HistoricalStockProgress[[#This Row],[Date]],,2,0,1)),0)</f>
        <v>0</v>
      </c>
      <c r="M2254" s="34">
        <f>YEAR(HistoricalStockProgress[[#This Row],[Date]])</f>
        <v>2026</v>
      </c>
      <c r="N2254" s="34">
        <f>MONTH(HistoricalStockProgress[[#This Row],[Date]])</f>
        <v>6</v>
      </c>
    </row>
    <row r="2255" spans="2:14">
      <c r="B2255" s="15">
        <v>46203</v>
      </c>
      <c r="C2255" s="34" t="s">
        <v>18</v>
      </c>
      <c r="D2255" s="34" t="e" vm="5">
        <f>_xlfn.XLOOKUP(HistoricalStockProgress[[#This Row],[Company Ticker]],CompanyDetailsList[Company Ticker],CompanyDetailsList[Official Name],,0)</f>
        <v>#VALUE!</v>
      </c>
      <c r="E225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225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2255" s="17">
        <f>IFERROR(HistoricalStockProgress[[#This Row],[Cost of Shares]]/HistoricalStockProgress[[#This Row],[No. of Shares]],0)</f>
        <v>160.8859607546234</v>
      </c>
      <c r="H2255" s="16" vm="1697">
        <v>135.4</v>
      </c>
      <c r="I2255" s="16">
        <f>IF(HistoricalStockProgress[[#This Row],[No. of Shares]]&lt;&gt;0,HistoricalStockProgress[[#This Row],[Price of Shares]]*HistoricalStockProgress[[#This Row],[No. of Shares]],0)</f>
        <v>5822.2</v>
      </c>
      <c r="J2255" s="16">
        <f>IF(HistoricalStockProgress[[#This Row],[No. of Shares]]&lt;&gt;0,HistoricalStockProgress[[#This Row],[Price of Shares]]-HistoricalStockProgress[[#This Row],[Cost of Shares]]/HistoricalStockProgress[[#This Row],[No. of Shares]],0)</f>
        <v>-25.485960754623392</v>
      </c>
      <c r="K2255" s="17">
        <f>IF(HistoricalStockProgress[[#This Row],[Total Price of Shares]]&lt;&gt;0,HistoricalStockProgress[[#This Row],[Total Price of Shares]]-HistoricalStockProgress[[#This Row],[Cost of Shares]],0)</f>
        <v>-1095.8963124488064</v>
      </c>
      <c r="L2255" s="34" t="b" cm="1">
        <f t="array" ref="L2255">IFERROR(IF(HistoricalStockProgress[[#This Row],[Price of Shares]]="",_xlfn.STOCKHISTORY(HistoricalStockProgress[[#This Row],[Full Company Name]],HistoricalStockProgress[[#This Row],[Date]],,2,0,1)),0)</f>
        <v>0</v>
      </c>
      <c r="M2255" s="34">
        <f>YEAR(HistoricalStockProgress[[#This Row],[Date]])</f>
        <v>2026</v>
      </c>
      <c r="N2255" s="34">
        <f>MONTH(HistoricalStockProgress[[#This Row],[Date]])</f>
        <v>6</v>
      </c>
    </row>
    <row r="2256" spans="2:14">
      <c r="B2256" s="15">
        <v>46203</v>
      </c>
      <c r="C2256" s="34" t="s">
        <v>21</v>
      </c>
      <c r="D2256" s="34" t="e" vm="6">
        <f>_xlfn.XLOOKUP(HistoricalStockProgress[[#This Row],[Company Ticker]],CompanyDetailsList[Company Ticker],CompanyDetailsList[Official Name],,0)</f>
        <v>#VALUE!</v>
      </c>
      <c r="E225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84</v>
      </c>
      <c r="F225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12738.215402497406</v>
      </c>
      <c r="G2256" s="17">
        <f>IFERROR(HistoricalStockProgress[[#This Row],[Cost of Shares]]/HistoricalStockProgress[[#This Row],[No. of Shares]],0)</f>
        <v>151.64542145830245</v>
      </c>
      <c r="H2256" s="16" vm="2696">
        <v>146.63999999999999</v>
      </c>
      <c r="I2256" s="16">
        <f>IF(HistoricalStockProgress[[#This Row],[No. of Shares]]&lt;&gt;0,HistoricalStockProgress[[#This Row],[Price of Shares]]*HistoricalStockProgress[[#This Row],[No. of Shares]],0)</f>
        <v>12317.759999999998</v>
      </c>
      <c r="J2256" s="16">
        <f>IF(HistoricalStockProgress[[#This Row],[No. of Shares]]&lt;&gt;0,HistoricalStockProgress[[#This Row],[Price of Shares]]-HistoricalStockProgress[[#This Row],[Cost of Shares]]/HistoricalStockProgress[[#This Row],[No. of Shares]],0)</f>
        <v>-5.0054214583024645</v>
      </c>
      <c r="K2256" s="17">
        <f>IF(HistoricalStockProgress[[#This Row],[Total Price of Shares]]&lt;&gt;0,HistoricalStockProgress[[#This Row],[Total Price of Shares]]-HistoricalStockProgress[[#This Row],[Cost of Shares]],0)</f>
        <v>-420.4554024974077</v>
      </c>
      <c r="L2256" s="34" t="b" cm="1">
        <f t="array" ref="L2256">IFERROR(IF(HistoricalStockProgress[[#This Row],[Price of Shares]]="",_xlfn.STOCKHISTORY(HistoricalStockProgress[[#This Row],[Full Company Name]],HistoricalStockProgress[[#This Row],[Date]],,2,0,1)),0)</f>
        <v>0</v>
      </c>
      <c r="M2256" s="34">
        <f>YEAR(HistoricalStockProgress[[#This Row],[Date]])</f>
        <v>2026</v>
      </c>
      <c r="N2256" s="34">
        <f>MONTH(HistoricalStockProgress[[#This Row],[Date]])</f>
        <v>6</v>
      </c>
    </row>
    <row r="2257" spans="2:14">
      <c r="B2257" s="15">
        <v>46203</v>
      </c>
      <c r="C2257" s="34" t="s">
        <v>84</v>
      </c>
      <c r="D2257" s="34" t="e" vm="7">
        <f>_xlfn.XLOOKUP(HistoricalStockProgress[[#This Row],[Company Ticker]],CompanyDetailsList[Company Ticker],CompanyDetailsList[Official Name],,0)</f>
        <v>#VALUE!</v>
      </c>
      <c r="E225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46</v>
      </c>
      <c r="F225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4792.320252277399</v>
      </c>
      <c r="G2257" s="17">
        <f>IFERROR(HistoricalStockProgress[[#This Row],[Cost of Shares]]/HistoricalStockProgress[[#This Row],[No. of Shares]],0)</f>
        <v>104.18087504950867</v>
      </c>
      <c r="H2257" s="16" vm="2697">
        <v>253.97</v>
      </c>
      <c r="I2257" s="16">
        <f>IF(HistoricalStockProgress[[#This Row],[No. of Shares]]&lt;&gt;0,HistoricalStockProgress[[#This Row],[Price of Shares]]*HistoricalStockProgress[[#This Row],[No. of Shares]],0)</f>
        <v>11682.62</v>
      </c>
      <c r="J2257" s="16">
        <f>IF(HistoricalStockProgress[[#This Row],[No. of Shares]]&lt;&gt;0,HistoricalStockProgress[[#This Row],[Price of Shares]]-HistoricalStockProgress[[#This Row],[Cost of Shares]]/HistoricalStockProgress[[#This Row],[No. of Shares]],0)</f>
        <v>149.78912495049133</v>
      </c>
      <c r="K2257" s="17">
        <f>IF(HistoricalStockProgress[[#This Row],[Total Price of Shares]]&lt;&gt;0,HistoricalStockProgress[[#This Row],[Total Price of Shares]]-HistoricalStockProgress[[#This Row],[Cost of Shares]],0)</f>
        <v>6890.2997477226018</v>
      </c>
      <c r="L2257" s="34" t="b" cm="1">
        <f t="array" ref="L2257">IFERROR(IF(HistoricalStockProgress[[#This Row],[Price of Shares]]="",_xlfn.STOCKHISTORY(HistoricalStockProgress[[#This Row],[Full Company Name]],HistoricalStockProgress[[#This Row],[Date]],,2,0,1)),0)</f>
        <v>0</v>
      </c>
      <c r="M2257" s="34">
        <f>YEAR(HistoricalStockProgress[[#This Row],[Date]])</f>
        <v>2026</v>
      </c>
      <c r="N2257" s="34">
        <f>MONTH(HistoricalStockProgress[[#This Row],[Date]])</f>
        <v>6</v>
      </c>
    </row>
    <row r="2258" spans="2:14">
      <c r="B2258" s="15">
        <v>46203</v>
      </c>
      <c r="C2258" s="34" t="s">
        <v>86</v>
      </c>
      <c r="D2258" s="34" t="e" vm="8">
        <f>_xlfn.XLOOKUP(HistoricalStockProgress[[#This Row],[Company Ticker]],CompanyDetailsList[Company Ticker],CompanyDetailsList[Official Name],,0)</f>
        <v>#VALUE!</v>
      </c>
      <c r="E225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225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2258" s="17">
        <f>IFERROR(HistoricalStockProgress[[#This Row],[Cost of Shares]]/HistoricalStockProgress[[#This Row],[No. of Shares]],0)</f>
        <v>115.48970647877745</v>
      </c>
      <c r="H2258" s="16" vm="2698">
        <v>251.64</v>
      </c>
      <c r="I2258" s="16">
        <f>IF(HistoricalStockProgress[[#This Row],[No. of Shares]]&lt;&gt;0,HistoricalStockProgress[[#This Row],[Price of Shares]]*HistoricalStockProgress[[#This Row],[No. of Shares]],0)</f>
        <v>38249.279999999999</v>
      </c>
      <c r="J2258" s="16">
        <f>IF(HistoricalStockProgress[[#This Row],[No. of Shares]]&lt;&gt;0,HistoricalStockProgress[[#This Row],[Price of Shares]]-HistoricalStockProgress[[#This Row],[Cost of Shares]]/HistoricalStockProgress[[#This Row],[No. of Shares]],0)</f>
        <v>136.15029352122252</v>
      </c>
      <c r="K2258" s="17">
        <f>IF(HistoricalStockProgress[[#This Row],[Total Price of Shares]]&lt;&gt;0,HistoricalStockProgress[[#This Row],[Total Price of Shares]]-HistoricalStockProgress[[#This Row],[Cost of Shares]],0)</f>
        <v>20694.844615225826</v>
      </c>
      <c r="L2258" s="34" t="b" cm="1">
        <f t="array" ref="L2258">IFERROR(IF(HistoricalStockProgress[[#This Row],[Price of Shares]]="",_xlfn.STOCKHISTORY(HistoricalStockProgress[[#This Row],[Full Company Name]],HistoricalStockProgress[[#This Row],[Date]],,2,0,1)),0)</f>
        <v>0</v>
      </c>
      <c r="M2258" s="34">
        <f>YEAR(HistoricalStockProgress[[#This Row],[Date]])</f>
        <v>2026</v>
      </c>
      <c r="N2258" s="34">
        <f>MONTH(HistoricalStockProgress[[#This Row],[Date]])</f>
        <v>6</v>
      </c>
    </row>
    <row r="2259" spans="2:14">
      <c r="B2259" s="15">
        <v>46203</v>
      </c>
      <c r="C2259" s="34" t="s">
        <v>88</v>
      </c>
      <c r="D2259" s="34" t="e" vm="9">
        <f>_xlfn.XLOOKUP(HistoricalStockProgress[[#This Row],[Company Ticker]],CompanyDetailsList[Company Ticker],CompanyDetailsList[Official Name],,0)</f>
        <v>#VALUE!</v>
      </c>
      <c r="E225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225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2259" s="17">
        <f>IFERROR(HistoricalStockProgress[[#This Row],[Cost of Shares]]/HistoricalStockProgress[[#This Row],[No. of Shares]],0)</f>
        <v>224.7272684493652</v>
      </c>
      <c r="H2259" s="16" vm="2699">
        <v>270.31</v>
      </c>
      <c r="I2259" s="16">
        <f>IF(HistoricalStockProgress[[#This Row],[No. of Shares]]&lt;&gt;0,HistoricalStockProgress[[#This Row],[Price of Shares]]*HistoricalStockProgress[[#This Row],[No. of Shares]],0)</f>
        <v>25679.45</v>
      </c>
      <c r="J2259" s="16">
        <f>IF(HistoricalStockProgress[[#This Row],[No. of Shares]]&lt;&gt;0,HistoricalStockProgress[[#This Row],[Price of Shares]]-HistoricalStockProgress[[#This Row],[Cost of Shares]]/HistoricalStockProgress[[#This Row],[No. of Shares]],0)</f>
        <v>45.582731550634804</v>
      </c>
      <c r="K2259" s="17">
        <f>IF(HistoricalStockProgress[[#This Row],[Total Price of Shares]]&lt;&gt;0,HistoricalStockProgress[[#This Row],[Total Price of Shares]]-HistoricalStockProgress[[#This Row],[Cost of Shares]],0)</f>
        <v>4330.3594973103063</v>
      </c>
      <c r="L2259" s="34" t="b" cm="1">
        <f t="array" ref="L2259">IFERROR(IF(HistoricalStockProgress[[#This Row],[Price of Shares]]="",_xlfn.STOCKHISTORY(HistoricalStockProgress[[#This Row],[Full Company Name]],HistoricalStockProgress[[#This Row],[Date]],,2,0,1)),0)</f>
        <v>0</v>
      </c>
      <c r="M2259" s="34">
        <f>YEAR(HistoricalStockProgress[[#This Row],[Date]])</f>
        <v>2026</v>
      </c>
      <c r="N2259" s="34">
        <f>MONTH(HistoricalStockProgress[[#This Row],[Date]])</f>
        <v>6</v>
      </c>
    </row>
    <row r="2260" spans="2:14">
      <c r="B2260" s="15">
        <v>46203</v>
      </c>
      <c r="C2260" s="34" t="s">
        <v>22</v>
      </c>
      <c r="D2260" s="34" t="e" vm="10">
        <f>_xlfn.XLOOKUP(HistoricalStockProgress[[#This Row],[Company Ticker]],CompanyDetailsList[Company Ticker],CompanyDetailsList[Official Name],,0)</f>
        <v>#VALUE!</v>
      </c>
      <c r="E226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226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2260" s="17">
        <f>IFERROR(HistoricalStockProgress[[#This Row],[Cost of Shares]]/HistoricalStockProgress[[#This Row],[No. of Shares]],0)</f>
        <v>130.19784136724968</v>
      </c>
      <c r="H2260" s="16" vm="2700">
        <v>1064.9000000000001</v>
      </c>
      <c r="I2260" s="16">
        <f>IF(HistoricalStockProgress[[#This Row],[No. of Shares]]&lt;&gt;0,HistoricalStockProgress[[#This Row],[Price of Shares]]*HistoricalStockProgress[[#This Row],[No. of Shares]],0)</f>
        <v>126723.1</v>
      </c>
      <c r="J2260" s="16">
        <f>IF(HistoricalStockProgress[[#This Row],[No. of Shares]]&lt;&gt;0,HistoricalStockProgress[[#This Row],[Price of Shares]]-HistoricalStockProgress[[#This Row],[Cost of Shares]]/HistoricalStockProgress[[#This Row],[No. of Shares]],0)</f>
        <v>934.70215863275041</v>
      </c>
      <c r="K2260" s="17">
        <f>IF(HistoricalStockProgress[[#This Row],[Total Price of Shares]]&lt;&gt;0,HistoricalStockProgress[[#This Row],[Total Price of Shares]]-HistoricalStockProgress[[#This Row],[Cost of Shares]],0)</f>
        <v>111229.55687729729</v>
      </c>
      <c r="L2260" s="34" t="b" cm="1">
        <f t="array" ref="L2260">IFERROR(IF(HistoricalStockProgress[[#This Row],[Price of Shares]]="",_xlfn.STOCKHISTORY(HistoricalStockProgress[[#This Row],[Full Company Name]],HistoricalStockProgress[[#This Row],[Date]],,2,0,1)),0)</f>
        <v>0</v>
      </c>
      <c r="M2260" s="34">
        <f>YEAR(HistoricalStockProgress[[#This Row],[Date]])</f>
        <v>2026</v>
      </c>
      <c r="N2260" s="34">
        <f>MONTH(HistoricalStockProgress[[#This Row],[Date]])</f>
        <v>6</v>
      </c>
    </row>
    <row r="2261" spans="2:14">
      <c r="B2261" s="15">
        <v>46203</v>
      </c>
      <c r="C2261" s="34" t="s">
        <v>91</v>
      </c>
      <c r="D2261" s="34" t="e" vm="11">
        <f>_xlfn.XLOOKUP(HistoricalStockProgress[[#This Row],[Company Ticker]],CompanyDetailsList[Company Ticker],CompanyDetailsList[Official Name],,0)</f>
        <v>#VALUE!</v>
      </c>
      <c r="E226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203</v>
      </c>
      <c r="F226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37263.08408940176</v>
      </c>
      <c r="G2261" s="17">
        <f>IFERROR(HistoricalStockProgress[[#This Row],[Cost of Shares]]/HistoricalStockProgress[[#This Row],[No. of Shares]],0)</f>
        <v>183.56199058818601</v>
      </c>
      <c r="H2261" s="16" vm="2701">
        <v>373.02</v>
      </c>
      <c r="I2261" s="16">
        <f>IF(HistoricalStockProgress[[#This Row],[No. of Shares]]&lt;&gt;0,HistoricalStockProgress[[#This Row],[Price of Shares]]*HistoricalStockProgress[[#This Row],[No. of Shares]],0)</f>
        <v>75723.06</v>
      </c>
      <c r="J2261" s="16">
        <f>IF(HistoricalStockProgress[[#This Row],[No. of Shares]]&lt;&gt;0,HistoricalStockProgress[[#This Row],[Price of Shares]]-HistoricalStockProgress[[#This Row],[Cost of Shares]]/HistoricalStockProgress[[#This Row],[No. of Shares]],0)</f>
        <v>189.45800941181398</v>
      </c>
      <c r="K2261" s="17">
        <f>IF(HistoricalStockProgress[[#This Row],[Total Price of Shares]]&lt;&gt;0,HistoricalStockProgress[[#This Row],[Total Price of Shares]]-HistoricalStockProgress[[#This Row],[Cost of Shares]],0)</f>
        <v>38459.975910598238</v>
      </c>
      <c r="L2261" s="34" t="b" cm="1">
        <f t="array" ref="L2261">IFERROR(IF(HistoricalStockProgress[[#This Row],[Price of Shares]]="",_xlfn.STOCKHISTORY(HistoricalStockProgress[[#This Row],[Full Company Name]],HistoricalStockProgress[[#This Row],[Date]],,2,0,1)),0)</f>
        <v>0</v>
      </c>
      <c r="M2261" s="34">
        <f>YEAR(HistoricalStockProgress[[#This Row],[Date]])</f>
        <v>2026</v>
      </c>
      <c r="N2261" s="34">
        <f>MONTH(HistoricalStockProgress[[#This Row],[Date]])</f>
        <v>6</v>
      </c>
    </row>
    <row r="2262" spans="2:14">
      <c r="B2262" s="15">
        <v>46203</v>
      </c>
      <c r="C2262" s="34" t="s">
        <v>16</v>
      </c>
      <c r="D2262" s="34" t="e" vm="12">
        <f>_xlfn.XLOOKUP(HistoricalStockProgress[[#This Row],[Company Ticker]],CompanyDetailsList[Company Ticker],CompanyDetailsList[Official Name],,0)</f>
        <v>#VALUE!</v>
      </c>
      <c r="E226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156</v>
      </c>
      <c r="F226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11718.360915660647</v>
      </c>
      <c r="G2262" s="17">
        <f>IFERROR(HistoricalStockProgress[[#This Row],[Cost of Shares]]/HistoricalStockProgress[[#This Row],[No. of Shares]],0)</f>
        <v>75.117698177311837</v>
      </c>
      <c r="H2262" s="16" vm="2702">
        <v>136.72</v>
      </c>
      <c r="I2262" s="16">
        <f>IF(HistoricalStockProgress[[#This Row],[No. of Shares]]&lt;&gt;0,HistoricalStockProgress[[#This Row],[Price of Shares]]*HistoricalStockProgress[[#This Row],[No. of Shares]],0)</f>
        <v>21328.32</v>
      </c>
      <c r="J2262" s="16">
        <f>IF(HistoricalStockProgress[[#This Row],[No. of Shares]]&lt;&gt;0,HistoricalStockProgress[[#This Row],[Price of Shares]]-HistoricalStockProgress[[#This Row],[Cost of Shares]]/HistoricalStockProgress[[#This Row],[No. of Shares]],0)</f>
        <v>61.602301822688162</v>
      </c>
      <c r="K2262" s="17">
        <f>IF(HistoricalStockProgress[[#This Row],[Total Price of Shares]]&lt;&gt;0,HistoricalStockProgress[[#This Row],[Total Price of Shares]]-HistoricalStockProgress[[#This Row],[Cost of Shares]],0)</f>
        <v>9609.9590843393526</v>
      </c>
      <c r="L2262" s="34" t="b" cm="1">
        <f t="array" ref="L2262">IFERROR(IF(HistoricalStockProgress[[#This Row],[Price of Shares]]="",_xlfn.STOCKHISTORY(HistoricalStockProgress[[#This Row],[Full Company Name]],HistoricalStockProgress[[#This Row],[Date]],,2,0,1)),0)</f>
        <v>0</v>
      </c>
      <c r="M2262" s="34">
        <f>YEAR(HistoricalStockProgress[[#This Row],[Date]])</f>
        <v>2026</v>
      </c>
      <c r="N2262" s="34">
        <f>MONTH(HistoricalStockProgress[[#This Row],[Date]])</f>
        <v>6</v>
      </c>
    </row>
    <row r="2263" spans="2:14">
      <c r="B2263" s="15">
        <v>46203</v>
      </c>
      <c r="C2263" s="34" t="s">
        <v>95</v>
      </c>
      <c r="D2263" s="34" t="e" vm="13">
        <f>_xlfn.XLOOKUP(HistoricalStockProgress[[#This Row],[Company Ticker]],CompanyDetailsList[Company Ticker],CompanyDetailsList[Official Name],,0)</f>
        <v>#VALUE!</v>
      </c>
      <c r="E226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157</v>
      </c>
      <c r="F226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43247.259149794598</v>
      </c>
      <c r="G2263" s="17">
        <f>IFERROR(HistoricalStockProgress[[#This Row],[Cost of Shares]]/HistoricalStockProgress[[#This Row],[No. of Shares]],0)</f>
        <v>275.46024936174905</v>
      </c>
      <c r="H2263" s="16" vm="2703">
        <v>352.68</v>
      </c>
      <c r="I2263" s="16">
        <f>IF(HistoricalStockProgress[[#This Row],[No. of Shares]]&lt;&gt;0,HistoricalStockProgress[[#This Row],[Price of Shares]]*HistoricalStockProgress[[#This Row],[No. of Shares]],0)</f>
        <v>55370.76</v>
      </c>
      <c r="J2263" s="16">
        <f>IF(HistoricalStockProgress[[#This Row],[No. of Shares]]&lt;&gt;0,HistoricalStockProgress[[#This Row],[Price of Shares]]-HistoricalStockProgress[[#This Row],[Cost of Shares]]/HistoricalStockProgress[[#This Row],[No. of Shares]],0)</f>
        <v>77.219750638250957</v>
      </c>
      <c r="K2263" s="17">
        <f>IF(HistoricalStockProgress[[#This Row],[Total Price of Shares]]&lt;&gt;0,HistoricalStockProgress[[#This Row],[Total Price of Shares]]-HistoricalStockProgress[[#This Row],[Cost of Shares]],0)</f>
        <v>12123.500850205404</v>
      </c>
      <c r="L2263" s="34" t="b" cm="1">
        <f t="array" ref="L2263">IFERROR(IF(HistoricalStockProgress[[#This Row],[Price of Shares]]="",_xlfn.STOCKHISTORY(HistoricalStockProgress[[#This Row],[Full Company Name]],HistoricalStockProgress[[#This Row],[Date]],,2,0,1)),0)</f>
        <v>0</v>
      </c>
      <c r="M2263" s="34">
        <f>YEAR(HistoricalStockProgress[[#This Row],[Date]])</f>
        <v>2026</v>
      </c>
      <c r="N2263" s="34">
        <f>MONTH(HistoricalStockProgress[[#This Row],[Date]])</f>
        <v>6</v>
      </c>
    </row>
    <row r="2264" spans="2:14">
      <c r="B2264" s="15">
        <v>46203</v>
      </c>
      <c r="C2264" s="34" t="s">
        <v>17</v>
      </c>
      <c r="D2264" s="34" t="e" vm="14">
        <f>_xlfn.XLOOKUP(HistoricalStockProgress[[#This Row],[Company Ticker]],CompanyDetailsList[Company Ticker],CompanyDetailsList[Official Name],,0)</f>
        <v>#VALUE!</v>
      </c>
      <c r="E226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226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2264" s="17">
        <f>IFERROR(HistoricalStockProgress[[#This Row],[Cost of Shares]]/HistoricalStockProgress[[#This Row],[No. of Shares]],0)</f>
        <v>143.37791217450521</v>
      </c>
      <c r="H2264" s="16" vm="2704">
        <v>281.20999999999998</v>
      </c>
      <c r="I2264" s="16">
        <f>IF(HistoricalStockProgress[[#This Row],[No. of Shares]]&lt;&gt;0,HistoricalStockProgress[[#This Row],[Price of Shares]]*HistoricalStockProgress[[#This Row],[No. of Shares]],0)</f>
        <v>64959.509999999995</v>
      </c>
      <c r="J2264" s="16">
        <f>IF(HistoricalStockProgress[[#This Row],[No. of Shares]]&lt;&gt;0,HistoricalStockProgress[[#This Row],[Price of Shares]]-HistoricalStockProgress[[#This Row],[Cost of Shares]]/HistoricalStockProgress[[#This Row],[No. of Shares]],0)</f>
        <v>137.83208782549477</v>
      </c>
      <c r="K2264" s="17">
        <f>IF(HistoricalStockProgress[[#This Row],[Total Price of Shares]]&lt;&gt;0,HistoricalStockProgress[[#This Row],[Total Price of Shares]]-HistoricalStockProgress[[#This Row],[Cost of Shares]],0)</f>
        <v>31839.21228768929</v>
      </c>
      <c r="L2264" s="34" t="b" cm="1">
        <f t="array" ref="L2264">IFERROR(IF(HistoricalStockProgress[[#This Row],[Price of Shares]]="",_xlfn.STOCKHISTORY(HistoricalStockProgress[[#This Row],[Full Company Name]],HistoricalStockProgress[[#This Row],[Date]],,2,0,1)),0)</f>
        <v>0</v>
      </c>
      <c r="M2264" s="34">
        <f>YEAR(HistoricalStockProgress[[#This Row],[Date]])</f>
        <v>2026</v>
      </c>
      <c r="N2264" s="34">
        <f>MONTH(HistoricalStockProgress[[#This Row],[Date]])</f>
        <v>6</v>
      </c>
    </row>
    <row r="2265" spans="2:14">
      <c r="B2265" s="15">
        <v>46203</v>
      </c>
      <c r="C2265" s="34" t="s">
        <v>98</v>
      </c>
      <c r="D2265" s="34" t="e" vm="15">
        <f>_xlfn.XLOOKUP(HistoricalStockProgress[[#This Row],[Company Ticker]],CompanyDetailsList[Company Ticker],CompanyDetailsList[Official Name],,0)</f>
        <v>#VALUE!</v>
      </c>
      <c r="E226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193</v>
      </c>
      <c r="F226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11397.772474019517</v>
      </c>
      <c r="G2265" s="17">
        <f>IFERROR(HistoricalStockProgress[[#This Row],[Cost of Shares]]/HistoricalStockProgress[[#This Row],[No. of Shares]],0)</f>
        <v>59.055815927562264</v>
      </c>
      <c r="H2265" s="16" vm="2705">
        <v>87.77</v>
      </c>
      <c r="I2265" s="16">
        <f>IF(HistoricalStockProgress[[#This Row],[No. of Shares]]&lt;&gt;0,HistoricalStockProgress[[#This Row],[Price of Shares]]*HistoricalStockProgress[[#This Row],[No. of Shares]],0)</f>
        <v>16939.61</v>
      </c>
      <c r="J2265" s="16">
        <f>IF(HistoricalStockProgress[[#This Row],[No. of Shares]]&lt;&gt;0,HistoricalStockProgress[[#This Row],[Price of Shares]]-HistoricalStockProgress[[#This Row],[Cost of Shares]]/HistoricalStockProgress[[#This Row],[No. of Shares]],0)</f>
        <v>28.714184072437732</v>
      </c>
      <c r="K2265" s="17">
        <f>IF(HistoricalStockProgress[[#This Row],[Total Price of Shares]]&lt;&gt;0,HistoricalStockProgress[[#This Row],[Total Price of Shares]]-HistoricalStockProgress[[#This Row],[Cost of Shares]],0)</f>
        <v>5541.8375259804834</v>
      </c>
      <c r="L2265" s="34" t="b" cm="1">
        <f t="array" ref="L2265">IFERROR(IF(HistoricalStockProgress[[#This Row],[Price of Shares]]="",_xlfn.STOCKHISTORY(HistoricalStockProgress[[#This Row],[Full Company Name]],HistoricalStockProgress[[#This Row],[Date]],,2,0,1)),0)</f>
        <v>0</v>
      </c>
      <c r="M2265" s="34">
        <f>YEAR(HistoricalStockProgress[[#This Row],[Date]])</f>
        <v>2026</v>
      </c>
      <c r="N2265" s="34">
        <f>MONTH(HistoricalStockProgress[[#This Row],[Date]])</f>
        <v>6</v>
      </c>
    </row>
    <row r="2266" spans="2:14">
      <c r="B2266" s="15">
        <v>46203</v>
      </c>
      <c r="C2266" s="34" t="s">
        <v>100</v>
      </c>
      <c r="D2266" s="34" t="e" vm="16">
        <f>_xlfn.XLOOKUP(HistoricalStockProgress[[#This Row],[Company Ticker]],CompanyDetailsList[Company Ticker],CompanyDetailsList[Official Name],,0)</f>
        <v>#VALUE!</v>
      </c>
      <c r="E226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226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2266" s="17">
        <f>IFERROR(HistoricalStockProgress[[#This Row],[Cost of Shares]]/HistoricalStockProgress[[#This Row],[No. of Shares]],0)</f>
        <v>92.156351168716071</v>
      </c>
      <c r="H2266" s="16" vm="2706">
        <v>126.58</v>
      </c>
      <c r="I2266" s="16">
        <f>IF(HistoricalStockProgress[[#This Row],[No. of Shares]]&lt;&gt;0,HistoricalStockProgress[[#This Row],[Price of Shares]]*HistoricalStockProgress[[#This Row],[No. of Shares]],0)</f>
        <v>31645</v>
      </c>
      <c r="J2266" s="16">
        <f>IF(HistoricalStockProgress[[#This Row],[No. of Shares]]&lt;&gt;0,HistoricalStockProgress[[#This Row],[Price of Shares]]-HistoricalStockProgress[[#This Row],[Cost of Shares]]/HistoricalStockProgress[[#This Row],[No. of Shares]],0)</f>
        <v>34.423648831283927</v>
      </c>
      <c r="K2266" s="17">
        <f>IF(HistoricalStockProgress[[#This Row],[Total Price of Shares]]&lt;&gt;0,HistoricalStockProgress[[#This Row],[Total Price of Shares]]-HistoricalStockProgress[[#This Row],[Cost of Shares]],0)</f>
        <v>8605.9122078209839</v>
      </c>
      <c r="L2266" s="34" t="b" cm="1">
        <f t="array" ref="L2266">IFERROR(IF(HistoricalStockProgress[[#This Row],[Price of Shares]]="",_xlfn.STOCKHISTORY(HistoricalStockProgress[[#This Row],[Full Company Name]],HistoricalStockProgress[[#This Row],[Date]],,2,0,1)),0)</f>
        <v>0</v>
      </c>
      <c r="M2266" s="34">
        <f>YEAR(HistoricalStockProgress[[#This Row],[Date]])</f>
        <v>2026</v>
      </c>
      <c r="N2266" s="34">
        <f>MONTH(HistoricalStockProgress[[#This Row],[Date]])</f>
        <v>6</v>
      </c>
    </row>
    <row r="2267" spans="2:14">
      <c r="B2267" s="15">
        <v>46203</v>
      </c>
      <c r="C2267" s="34" t="s">
        <v>15</v>
      </c>
      <c r="D2267" s="34" t="e" vm="17">
        <f>_xlfn.XLOOKUP(HistoricalStockProgress[[#This Row],[Company Ticker]],CompanyDetailsList[Company Ticker],CompanyDetailsList[Official Name],,0)</f>
        <v>#VALUE!</v>
      </c>
      <c r="E226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226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3479.0458726436</v>
      </c>
      <c r="G2267" s="17">
        <f>IFERROR(HistoricalStockProgress[[#This Row],[Cost of Shares]]/HistoricalStockProgress[[#This Row],[No. of Shares]],0)</f>
        <v>24.85032766174</v>
      </c>
      <c r="H2267" s="16" vm="2707">
        <v>20.7</v>
      </c>
      <c r="I2267" s="16">
        <f>IF(HistoricalStockProgress[[#This Row],[No. of Shares]]&lt;&gt;0,HistoricalStockProgress[[#This Row],[Price of Shares]]*HistoricalStockProgress[[#This Row],[No. of Shares]],0)</f>
        <v>2898</v>
      </c>
      <c r="J2267" s="16">
        <f>IF(HistoricalStockProgress[[#This Row],[No. of Shares]]&lt;&gt;0,HistoricalStockProgress[[#This Row],[Price of Shares]]-HistoricalStockProgress[[#This Row],[Cost of Shares]]/HistoricalStockProgress[[#This Row],[No. of Shares]],0)</f>
        <v>-4.1503276617400005</v>
      </c>
      <c r="K2267" s="17">
        <f>IF(HistoricalStockProgress[[#This Row],[Total Price of Shares]]&lt;&gt;0,HistoricalStockProgress[[#This Row],[Total Price of Shares]]-HistoricalStockProgress[[#This Row],[Cost of Shares]],0)</f>
        <v>-581.04587264359998</v>
      </c>
      <c r="L2267" s="34" t="b" cm="1">
        <f t="array" ref="L2267">IFERROR(IF(HistoricalStockProgress[[#This Row],[Price of Shares]]="",_xlfn.STOCKHISTORY(HistoricalStockProgress[[#This Row],[Full Company Name]],HistoricalStockProgress[[#This Row],[Date]],,2,0,1)),0)</f>
        <v>0</v>
      </c>
      <c r="M2267" s="34">
        <f>YEAR(HistoricalStockProgress[[#This Row],[Date]])</f>
        <v>2026</v>
      </c>
      <c r="N2267" s="34">
        <f>MONTH(HistoricalStockProgress[[#This Row],[Date]])</f>
        <v>6</v>
      </c>
    </row>
    <row r="2268" spans="2:14">
      <c r="B2268" s="15">
        <v>46203</v>
      </c>
      <c r="C2268" s="34" t="s">
        <v>13</v>
      </c>
      <c r="D2268" s="34" t="e" vm="18">
        <f>_xlfn.XLOOKUP(HistoricalStockProgress[[#This Row],[Company Ticker]],CompanyDetailsList[Company Ticker],CompanyDetailsList[Official Name],,0)</f>
        <v>#VALUE!</v>
      </c>
      <c r="E226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226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3394.2551594478332</v>
      </c>
      <c r="G2268" s="17">
        <f>IFERROR(HistoricalStockProgress[[#This Row],[Cost of Shares]]/HistoricalStockProgress[[#This Row],[No. of Shares]],0)</f>
        <v>32.021275089130505</v>
      </c>
      <c r="H2268" s="16" vm="2708">
        <v>24.08</v>
      </c>
      <c r="I2268" s="16">
        <f>IF(HistoricalStockProgress[[#This Row],[No. of Shares]]&lt;&gt;0,HistoricalStockProgress[[#This Row],[Price of Shares]]*HistoricalStockProgress[[#This Row],[No. of Shares]],0)</f>
        <v>2552.48</v>
      </c>
      <c r="J2268" s="16">
        <f>IF(HistoricalStockProgress[[#This Row],[No. of Shares]]&lt;&gt;0,HistoricalStockProgress[[#This Row],[Price of Shares]]-HistoricalStockProgress[[#This Row],[Cost of Shares]]/HistoricalStockProgress[[#This Row],[No. of Shares]],0)</f>
        <v>-7.9412750891305066</v>
      </c>
      <c r="K2268" s="17">
        <f>IF(HistoricalStockProgress[[#This Row],[Total Price of Shares]]&lt;&gt;0,HistoricalStockProgress[[#This Row],[Total Price of Shares]]-HistoricalStockProgress[[#This Row],[Cost of Shares]],0)</f>
        <v>-841.77515944783318</v>
      </c>
      <c r="L2268" s="34" t="b" cm="1">
        <f t="array" ref="L2268">IFERROR(IF(HistoricalStockProgress[[#This Row],[Price of Shares]]="",_xlfn.STOCKHISTORY(HistoricalStockProgress[[#This Row],[Full Company Name]],HistoricalStockProgress[[#This Row],[Date]],,2,0,1)),0)</f>
        <v>0</v>
      </c>
      <c r="M2268" s="34">
        <f>YEAR(HistoricalStockProgress[[#This Row],[Date]])</f>
        <v>2026</v>
      </c>
      <c r="N2268" s="34">
        <f>MONTH(HistoricalStockProgress[[#This Row],[Date]])</f>
        <v>6</v>
      </c>
    </row>
    <row r="2269" spans="2:14">
      <c r="B2269" s="15">
        <v>46203</v>
      </c>
      <c r="C2269" s="34" t="s">
        <v>20</v>
      </c>
      <c r="D2269" s="34" t="e" vm="19">
        <f>_xlfn.XLOOKUP(HistoricalStockProgress[[#This Row],[Company Ticker]],CompanyDetailsList[Company Ticker],CompanyDetailsList[Official Name],,0)</f>
        <v>#VALUE!</v>
      </c>
      <c r="E226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226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2269" s="17">
        <f>IFERROR(HistoricalStockProgress[[#This Row],[Cost of Shares]]/HistoricalStockProgress[[#This Row],[No. of Shares]],0)</f>
        <v>108.1760767450256</v>
      </c>
      <c r="H2269" s="16" vm="2709">
        <v>327.33</v>
      </c>
      <c r="I2269" s="16">
        <f>IF(HistoricalStockProgress[[#This Row],[No. of Shares]]&lt;&gt;0,HistoricalStockProgress[[#This Row],[Price of Shares]]*HistoricalStockProgress[[#This Row],[No. of Shares]],0)</f>
        <v>37970.28</v>
      </c>
      <c r="J2269" s="16">
        <f>IF(HistoricalStockProgress[[#This Row],[No. of Shares]]&lt;&gt;0,HistoricalStockProgress[[#This Row],[Price of Shares]]-HistoricalStockProgress[[#This Row],[Cost of Shares]]/HistoricalStockProgress[[#This Row],[No. of Shares]],0)</f>
        <v>219.15392325497439</v>
      </c>
      <c r="K2269" s="17">
        <f>IF(HistoricalStockProgress[[#This Row],[Total Price of Shares]]&lt;&gt;0,HistoricalStockProgress[[#This Row],[Total Price of Shares]]-HistoricalStockProgress[[#This Row],[Cost of Shares]],0)</f>
        <v>25421.85509757703</v>
      </c>
      <c r="L2269" s="34" t="b" cm="1">
        <f t="array" ref="L2269">IFERROR(IF(HistoricalStockProgress[[#This Row],[Price of Shares]]="",_xlfn.STOCKHISTORY(HistoricalStockProgress[[#This Row],[Full Company Name]],HistoricalStockProgress[[#This Row],[Date]],,2,0,1)),0)</f>
        <v>0</v>
      </c>
      <c r="M2269" s="34">
        <f>YEAR(HistoricalStockProgress[[#This Row],[Date]])</f>
        <v>2026</v>
      </c>
      <c r="N2269" s="34">
        <f>MONTH(HistoricalStockProgress[[#This Row],[Date]])</f>
        <v>6</v>
      </c>
    </row>
    <row r="2270" spans="2:14">
      <c r="B2270" s="15">
        <v>46203</v>
      </c>
      <c r="C2270" s="34" t="s">
        <v>106</v>
      </c>
      <c r="D2270" s="34" t="e" vm="20">
        <f>_xlfn.XLOOKUP(HistoricalStockProgress[[#This Row],[Company Ticker]],CompanyDetailsList[Company Ticker],CompanyDetailsList[Official Name],,0)</f>
        <v>#VALUE!</v>
      </c>
      <c r="E227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227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8575.3478914575226</v>
      </c>
      <c r="G2270" s="17">
        <f>IFERROR(HistoricalStockProgress[[#This Row],[Cost of Shares]]/HistoricalStockProgress[[#This Row],[No. of Shares]],0)</f>
        <v>108.54870748680408</v>
      </c>
      <c r="H2270" s="16" vm="2710">
        <v>121.29</v>
      </c>
      <c r="I2270" s="16">
        <f>IF(HistoricalStockProgress[[#This Row],[No. of Shares]]&lt;&gt;0,HistoricalStockProgress[[#This Row],[Price of Shares]]*HistoricalStockProgress[[#This Row],[No. of Shares]],0)</f>
        <v>9581.91</v>
      </c>
      <c r="J2270" s="16">
        <f>IF(HistoricalStockProgress[[#This Row],[No. of Shares]]&lt;&gt;0,HistoricalStockProgress[[#This Row],[Price of Shares]]-HistoricalStockProgress[[#This Row],[Cost of Shares]]/HistoricalStockProgress[[#This Row],[No. of Shares]],0)</f>
        <v>12.74129251319593</v>
      </c>
      <c r="K2270" s="17">
        <f>IF(HistoricalStockProgress[[#This Row],[Total Price of Shares]]&lt;&gt;0,HistoricalStockProgress[[#This Row],[Total Price of Shares]]-HistoricalStockProgress[[#This Row],[Cost of Shares]],0)</f>
        <v>1006.5621085424773</v>
      </c>
      <c r="L2270" s="34" t="b" cm="1">
        <f t="array" ref="L2270">IFERROR(IF(HistoricalStockProgress[[#This Row],[Price of Shares]]="",_xlfn.STOCKHISTORY(HistoricalStockProgress[[#This Row],[Full Company Name]],HistoricalStockProgress[[#This Row],[Date]],,2,0,1)),0)</f>
        <v>0</v>
      </c>
      <c r="M2270" s="34">
        <f>YEAR(HistoricalStockProgress[[#This Row],[Date]])</f>
        <v>2026</v>
      </c>
      <c r="N2270" s="34">
        <f>MONTH(HistoricalStockProgress[[#This Row],[Date]])</f>
        <v>6</v>
      </c>
    </row>
    <row r="2271" spans="2:14">
      <c r="B2271" s="15">
        <v>46234</v>
      </c>
      <c r="C2271" s="34" t="s">
        <v>12</v>
      </c>
      <c r="D2271" s="34" t="e" vm="1">
        <f>_xlfn.XLOOKUP(HistoricalStockProgress[[#This Row],[Company Ticker]],CompanyDetailsList[Company Ticker],CompanyDetailsList[Official Name],,0)</f>
        <v>#VALUE!</v>
      </c>
      <c r="E227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227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2271" s="17">
        <f>IFERROR(HistoricalStockProgress[[#This Row],[Cost of Shares]]/HistoricalStockProgress[[#This Row],[No. of Shares]],0)</f>
        <v>64.573985995316889</v>
      </c>
      <c r="H2271" s="16" vm="2711">
        <v>63.87</v>
      </c>
      <c r="I2271" s="16">
        <f>IF(HistoricalStockProgress[[#This Row],[No. of Shares]]&lt;&gt;0,HistoricalStockProgress[[#This Row],[Price of Shares]]*HistoricalStockProgress[[#This Row],[No. of Shares]],0)</f>
        <v>6195.3899999999994</v>
      </c>
      <c r="J2271" s="16">
        <f>IF(HistoricalStockProgress[[#This Row],[No. of Shares]]&lt;&gt;0,HistoricalStockProgress[[#This Row],[Price of Shares]]-HistoricalStockProgress[[#This Row],[Cost of Shares]]/HistoricalStockProgress[[#This Row],[No. of Shares]],0)</f>
        <v>-0.70398599531689143</v>
      </c>
      <c r="K2271" s="17">
        <f>IF(HistoricalStockProgress[[#This Row],[Total Price of Shares]]&lt;&gt;0,HistoricalStockProgress[[#This Row],[Total Price of Shares]]-HistoricalStockProgress[[#This Row],[Cost of Shares]],0)</f>
        <v>-68.286641545738348</v>
      </c>
      <c r="L2271" s="34" t="b" cm="1">
        <f t="array" ref="L2271">IFERROR(IF(HistoricalStockProgress[[#This Row],[Price of Shares]]="",_xlfn.STOCKHISTORY(HistoricalStockProgress[[#This Row],[Full Company Name]],HistoricalStockProgress[[#This Row],[Date]],,2,0,1)),0)</f>
        <v>0</v>
      </c>
      <c r="M2271" s="34">
        <f>YEAR(HistoricalStockProgress[[#This Row],[Date]])</f>
        <v>2026</v>
      </c>
      <c r="N2271" s="34">
        <f>MONTH(HistoricalStockProgress[[#This Row],[Date]])</f>
        <v>7</v>
      </c>
    </row>
    <row r="2272" spans="2:14">
      <c r="B2272" s="15">
        <v>46234</v>
      </c>
      <c r="C2272" s="34" t="s">
        <v>14</v>
      </c>
      <c r="D2272" s="34" t="e" vm="2">
        <f>_xlfn.XLOOKUP(HistoricalStockProgress[[#This Row],[Company Ticker]],CompanyDetailsList[Company Ticker],CompanyDetailsList[Official Name],,0)</f>
        <v>#VALUE!</v>
      </c>
      <c r="E227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227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2272" s="17">
        <f>IFERROR(HistoricalStockProgress[[#This Row],[Cost of Shares]]/HistoricalStockProgress[[#This Row],[No. of Shares]],0)</f>
        <v>26.819337355148658</v>
      </c>
      <c r="H2272" s="16" vm="2712">
        <v>31.73</v>
      </c>
      <c r="I2272" s="16">
        <f>IF(HistoricalStockProgress[[#This Row],[No. of Shares]]&lt;&gt;0,HistoricalStockProgress[[#This Row],[Price of Shares]]*HistoricalStockProgress[[#This Row],[No. of Shares]],0)</f>
        <v>1998.99</v>
      </c>
      <c r="J2272" s="16">
        <f>IF(HistoricalStockProgress[[#This Row],[No. of Shares]]&lt;&gt;0,HistoricalStockProgress[[#This Row],[Price of Shares]]-HistoricalStockProgress[[#This Row],[Cost of Shares]]/HistoricalStockProgress[[#This Row],[No. of Shares]],0)</f>
        <v>4.9106626448513424</v>
      </c>
      <c r="K2272" s="17">
        <f>IF(HistoricalStockProgress[[#This Row],[Total Price of Shares]]&lt;&gt;0,HistoricalStockProgress[[#This Row],[Total Price of Shares]]-HistoricalStockProgress[[#This Row],[Cost of Shares]],0)</f>
        <v>309.37174662563461</v>
      </c>
      <c r="L2272" s="34" t="b" cm="1">
        <f t="array" ref="L2272">IFERROR(IF(HistoricalStockProgress[[#This Row],[Price of Shares]]="",_xlfn.STOCKHISTORY(HistoricalStockProgress[[#This Row],[Full Company Name]],HistoricalStockProgress[[#This Row],[Date]],,2,0,1)),0)</f>
        <v>0</v>
      </c>
      <c r="M2272" s="34">
        <f>YEAR(HistoricalStockProgress[[#This Row],[Date]])</f>
        <v>2026</v>
      </c>
      <c r="N2272" s="34">
        <f>MONTH(HistoricalStockProgress[[#This Row],[Date]])</f>
        <v>7</v>
      </c>
    </row>
    <row r="2273" spans="2:14">
      <c r="B2273" s="15">
        <v>46234</v>
      </c>
      <c r="C2273" s="34" t="s">
        <v>19</v>
      </c>
      <c r="D2273" s="34" t="e" vm="3">
        <f>_xlfn.XLOOKUP(HistoricalStockProgress[[#This Row],[Company Ticker]],CompanyDetailsList[Company Ticker],CompanyDetailsList[Official Name],,0)</f>
        <v>#VALUE!</v>
      </c>
      <c r="E227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227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2273" s="17">
        <f>IFERROR(HistoricalStockProgress[[#This Row],[Cost of Shares]]/HistoricalStockProgress[[#This Row],[No. of Shares]],0)</f>
        <v>160.12652821044301</v>
      </c>
      <c r="H2273" s="16" vm="2713">
        <v>95.53</v>
      </c>
      <c r="I2273" s="16">
        <f>IF(HistoricalStockProgress[[#This Row],[No. of Shares]]&lt;&gt;0,HistoricalStockProgress[[#This Row],[Price of Shares]]*HistoricalStockProgress[[#This Row],[No. of Shares]],0)</f>
        <v>8215.58</v>
      </c>
      <c r="J2273" s="16">
        <f>IF(HistoricalStockProgress[[#This Row],[No. of Shares]]&lt;&gt;0,HistoricalStockProgress[[#This Row],[Price of Shares]]-HistoricalStockProgress[[#This Row],[Cost of Shares]]/HistoricalStockProgress[[#This Row],[No. of Shares]],0)</f>
        <v>-64.596528210443012</v>
      </c>
      <c r="K2273" s="17">
        <f>IF(HistoricalStockProgress[[#This Row],[Total Price of Shares]]&lt;&gt;0,HistoricalStockProgress[[#This Row],[Total Price of Shares]]-HistoricalStockProgress[[#This Row],[Cost of Shares]],0)</f>
        <v>-5555.3014260980981</v>
      </c>
      <c r="L2273" s="34" t="b" cm="1">
        <f t="array" ref="L2273">IFERROR(IF(HistoricalStockProgress[[#This Row],[Price of Shares]]="",_xlfn.STOCKHISTORY(HistoricalStockProgress[[#This Row],[Full Company Name]],HistoricalStockProgress[[#This Row],[Date]],,2,0,1)),0)</f>
        <v>0</v>
      </c>
      <c r="M2273" s="34">
        <f>YEAR(HistoricalStockProgress[[#This Row],[Date]])</f>
        <v>2026</v>
      </c>
      <c r="N2273" s="34">
        <f>MONTH(HistoricalStockProgress[[#This Row],[Date]])</f>
        <v>7</v>
      </c>
    </row>
    <row r="2274" spans="2:14">
      <c r="B2274" s="15">
        <v>46234</v>
      </c>
      <c r="C2274" s="34" t="s">
        <v>23</v>
      </c>
      <c r="D2274" s="34" t="e" vm="4">
        <f>_xlfn.XLOOKUP(HistoricalStockProgress[[#This Row],[Company Ticker]],CompanyDetailsList[Company Ticker],CompanyDetailsList[Official Name],,0)</f>
        <v>#VALUE!</v>
      </c>
      <c r="E227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227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5636.7217732526415</v>
      </c>
      <c r="G2274" s="17">
        <f>IFERROR(HistoricalStockProgress[[#This Row],[Cost of Shares]]/HistoricalStockProgress[[#This Row],[No. of Shares]],0)</f>
        <v>50.781277236510284</v>
      </c>
      <c r="H2274" s="16" vm="1404">
        <v>87.59</v>
      </c>
      <c r="I2274" s="16">
        <f>IF(HistoricalStockProgress[[#This Row],[No. of Shares]]&lt;&gt;0,HistoricalStockProgress[[#This Row],[Price of Shares]]*HistoricalStockProgress[[#This Row],[No. of Shares]],0)</f>
        <v>9722.49</v>
      </c>
      <c r="J2274" s="16">
        <f>IF(HistoricalStockProgress[[#This Row],[No. of Shares]]&lt;&gt;0,HistoricalStockProgress[[#This Row],[Price of Shares]]-HistoricalStockProgress[[#This Row],[Cost of Shares]]/HistoricalStockProgress[[#This Row],[No. of Shares]],0)</f>
        <v>36.808722763489719</v>
      </c>
      <c r="K2274" s="17">
        <f>IF(HistoricalStockProgress[[#This Row],[Total Price of Shares]]&lt;&gt;0,HistoricalStockProgress[[#This Row],[Total Price of Shares]]-HistoricalStockProgress[[#This Row],[Cost of Shares]],0)</f>
        <v>4085.7682267473583</v>
      </c>
      <c r="L2274" s="34" t="b" cm="1">
        <f t="array" ref="L2274">IFERROR(IF(HistoricalStockProgress[[#This Row],[Price of Shares]]="",_xlfn.STOCKHISTORY(HistoricalStockProgress[[#This Row],[Full Company Name]],HistoricalStockProgress[[#This Row],[Date]],,2,0,1)),0)</f>
        <v>0</v>
      </c>
      <c r="M2274" s="34">
        <f>YEAR(HistoricalStockProgress[[#This Row],[Date]])</f>
        <v>2026</v>
      </c>
      <c r="N2274" s="34">
        <f>MONTH(HistoricalStockProgress[[#This Row],[Date]])</f>
        <v>7</v>
      </c>
    </row>
    <row r="2275" spans="2:14">
      <c r="B2275" s="15">
        <v>46234</v>
      </c>
      <c r="C2275" s="34" t="s">
        <v>18</v>
      </c>
      <c r="D2275" s="34" t="e" vm="5">
        <f>_xlfn.XLOOKUP(HistoricalStockProgress[[#This Row],[Company Ticker]],CompanyDetailsList[Company Ticker],CompanyDetailsList[Official Name],,0)</f>
        <v>#VALUE!</v>
      </c>
      <c r="E227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227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2275" s="17">
        <f>IFERROR(HistoricalStockProgress[[#This Row],[Cost of Shares]]/HistoricalStockProgress[[#This Row],[No. of Shares]],0)</f>
        <v>160.8859607546234</v>
      </c>
      <c r="H2275" s="16" vm="2714">
        <v>139.56</v>
      </c>
      <c r="I2275" s="16">
        <f>IF(HistoricalStockProgress[[#This Row],[No. of Shares]]&lt;&gt;0,HistoricalStockProgress[[#This Row],[Price of Shares]]*HistoricalStockProgress[[#This Row],[No. of Shares]],0)</f>
        <v>6001.08</v>
      </c>
      <c r="J2275" s="16">
        <f>IF(HistoricalStockProgress[[#This Row],[No. of Shares]]&lt;&gt;0,HistoricalStockProgress[[#This Row],[Price of Shares]]-HistoricalStockProgress[[#This Row],[Cost of Shares]]/HistoricalStockProgress[[#This Row],[No. of Shares]],0)</f>
        <v>-21.325960754623395</v>
      </c>
      <c r="K2275" s="17">
        <f>IF(HistoricalStockProgress[[#This Row],[Total Price of Shares]]&lt;&gt;0,HistoricalStockProgress[[#This Row],[Total Price of Shares]]-HistoricalStockProgress[[#This Row],[Cost of Shares]],0)</f>
        <v>-917.01631244880627</v>
      </c>
      <c r="L2275" s="34" t="b" cm="1">
        <f t="array" ref="L2275">IFERROR(IF(HistoricalStockProgress[[#This Row],[Price of Shares]]="",_xlfn.STOCKHISTORY(HistoricalStockProgress[[#This Row],[Full Company Name]],HistoricalStockProgress[[#This Row],[Date]],,2,0,1)),0)</f>
        <v>0</v>
      </c>
      <c r="M2275" s="34">
        <f>YEAR(HistoricalStockProgress[[#This Row],[Date]])</f>
        <v>2026</v>
      </c>
      <c r="N2275" s="34">
        <f>MONTH(HistoricalStockProgress[[#This Row],[Date]])</f>
        <v>7</v>
      </c>
    </row>
    <row r="2276" spans="2:14">
      <c r="B2276" s="15">
        <v>46234</v>
      </c>
      <c r="C2276" s="34" t="s">
        <v>21</v>
      </c>
      <c r="D2276" s="34" t="e" vm="6">
        <f>_xlfn.XLOOKUP(HistoricalStockProgress[[#This Row],[Company Ticker]],CompanyDetailsList[Company Ticker],CompanyDetailsList[Official Name],,0)</f>
        <v>#VALUE!</v>
      </c>
      <c r="E227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84</v>
      </c>
      <c r="F227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12738.215402497406</v>
      </c>
      <c r="G2276" s="17">
        <f>IFERROR(HistoricalStockProgress[[#This Row],[Cost of Shares]]/HistoricalStockProgress[[#This Row],[No. of Shares]],0)</f>
        <v>151.64542145830245</v>
      </c>
      <c r="H2276" s="16" vm="2715">
        <v>144.49</v>
      </c>
      <c r="I2276" s="16">
        <f>IF(HistoricalStockProgress[[#This Row],[No. of Shares]]&lt;&gt;0,HistoricalStockProgress[[#This Row],[Price of Shares]]*HistoricalStockProgress[[#This Row],[No. of Shares]],0)</f>
        <v>12137.16</v>
      </c>
      <c r="J2276" s="16">
        <f>IF(HistoricalStockProgress[[#This Row],[No. of Shares]]&lt;&gt;0,HistoricalStockProgress[[#This Row],[Price of Shares]]-HistoricalStockProgress[[#This Row],[Cost of Shares]]/HistoricalStockProgress[[#This Row],[No. of Shares]],0)</f>
        <v>-7.1554214583024418</v>
      </c>
      <c r="K2276" s="17">
        <f>IF(HistoricalStockProgress[[#This Row],[Total Price of Shares]]&lt;&gt;0,HistoricalStockProgress[[#This Row],[Total Price of Shares]]-HistoricalStockProgress[[#This Row],[Cost of Shares]],0)</f>
        <v>-601.05540249740625</v>
      </c>
      <c r="L2276" s="34" t="b" cm="1">
        <f t="array" ref="L2276">IFERROR(IF(HistoricalStockProgress[[#This Row],[Price of Shares]]="",_xlfn.STOCKHISTORY(HistoricalStockProgress[[#This Row],[Full Company Name]],HistoricalStockProgress[[#This Row],[Date]],,2,0,1)),0)</f>
        <v>0</v>
      </c>
      <c r="M2276" s="34">
        <f>YEAR(HistoricalStockProgress[[#This Row],[Date]])</f>
        <v>2026</v>
      </c>
      <c r="N2276" s="34">
        <f>MONTH(HistoricalStockProgress[[#This Row],[Date]])</f>
        <v>7</v>
      </c>
    </row>
    <row r="2277" spans="2:14">
      <c r="B2277" s="15">
        <v>46234</v>
      </c>
      <c r="C2277" s="34" t="s">
        <v>84</v>
      </c>
      <c r="D2277" s="34" t="e" vm="7">
        <f>_xlfn.XLOOKUP(HistoricalStockProgress[[#This Row],[Company Ticker]],CompanyDetailsList[Company Ticker],CompanyDetailsList[Official Name],,0)</f>
        <v>#VALUE!</v>
      </c>
      <c r="E227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46</v>
      </c>
      <c r="F227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4792.320252277399</v>
      </c>
      <c r="G2277" s="17">
        <f>IFERROR(HistoricalStockProgress[[#This Row],[Cost of Shares]]/HistoricalStockProgress[[#This Row],[No. of Shares]],0)</f>
        <v>104.18087504950867</v>
      </c>
      <c r="H2277" s="16" vm="2716">
        <v>256.35000000000002</v>
      </c>
      <c r="I2277" s="16">
        <f>IF(HistoricalStockProgress[[#This Row],[No. of Shares]]&lt;&gt;0,HistoricalStockProgress[[#This Row],[Price of Shares]]*HistoricalStockProgress[[#This Row],[No. of Shares]],0)</f>
        <v>11792.1</v>
      </c>
      <c r="J2277" s="16">
        <f>IF(HistoricalStockProgress[[#This Row],[No. of Shares]]&lt;&gt;0,HistoricalStockProgress[[#This Row],[Price of Shares]]-HistoricalStockProgress[[#This Row],[Cost of Shares]]/HistoricalStockProgress[[#This Row],[No. of Shares]],0)</f>
        <v>152.16912495049135</v>
      </c>
      <c r="K2277" s="17">
        <f>IF(HistoricalStockProgress[[#This Row],[Total Price of Shares]]&lt;&gt;0,HistoricalStockProgress[[#This Row],[Total Price of Shares]]-HistoricalStockProgress[[#This Row],[Cost of Shares]],0)</f>
        <v>6999.7797477226013</v>
      </c>
      <c r="L2277" s="34" t="b" cm="1">
        <f t="array" ref="L2277">IFERROR(IF(HistoricalStockProgress[[#This Row],[Price of Shares]]="",_xlfn.STOCKHISTORY(HistoricalStockProgress[[#This Row],[Full Company Name]],HistoricalStockProgress[[#This Row],[Date]],,2,0,1)),0)</f>
        <v>0</v>
      </c>
      <c r="M2277" s="34">
        <f>YEAR(HistoricalStockProgress[[#This Row],[Date]])</f>
        <v>2026</v>
      </c>
      <c r="N2277" s="34">
        <f>MONTH(HistoricalStockProgress[[#This Row],[Date]])</f>
        <v>7</v>
      </c>
    </row>
    <row r="2278" spans="2:14">
      <c r="B2278" s="15">
        <v>46234</v>
      </c>
      <c r="C2278" s="34" t="s">
        <v>86</v>
      </c>
      <c r="D2278" s="34" t="e" vm="8">
        <f>_xlfn.XLOOKUP(HistoricalStockProgress[[#This Row],[Company Ticker]],CompanyDetailsList[Company Ticker],CompanyDetailsList[Official Name],,0)</f>
        <v>#VALUE!</v>
      </c>
      <c r="E227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227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2278" s="17">
        <f>IFERROR(HistoricalStockProgress[[#This Row],[Cost of Shares]]/HistoricalStockProgress[[#This Row],[No. of Shares]],0)</f>
        <v>115.48970647877745</v>
      </c>
      <c r="H2278" s="16" vm="2717">
        <v>250.94</v>
      </c>
      <c r="I2278" s="16">
        <f>IF(HistoricalStockProgress[[#This Row],[No. of Shares]]&lt;&gt;0,HistoricalStockProgress[[#This Row],[Price of Shares]]*HistoricalStockProgress[[#This Row],[No. of Shares]],0)</f>
        <v>38142.879999999997</v>
      </c>
      <c r="J2278" s="16">
        <f>IF(HistoricalStockProgress[[#This Row],[No. of Shares]]&lt;&gt;0,HistoricalStockProgress[[#This Row],[Price of Shares]]-HistoricalStockProgress[[#This Row],[Cost of Shares]]/HistoricalStockProgress[[#This Row],[No. of Shares]],0)</f>
        <v>135.45029352122253</v>
      </c>
      <c r="K2278" s="17">
        <f>IF(HistoricalStockProgress[[#This Row],[Total Price of Shares]]&lt;&gt;0,HistoricalStockProgress[[#This Row],[Total Price of Shares]]-HistoricalStockProgress[[#This Row],[Cost of Shares]],0)</f>
        <v>20588.444615225824</v>
      </c>
      <c r="L2278" s="34" t="b" cm="1">
        <f t="array" ref="L2278">IFERROR(IF(HistoricalStockProgress[[#This Row],[Price of Shares]]="",_xlfn.STOCKHISTORY(HistoricalStockProgress[[#This Row],[Full Company Name]],HistoricalStockProgress[[#This Row],[Date]],,2,0,1)),0)</f>
        <v>0</v>
      </c>
      <c r="M2278" s="34">
        <f>YEAR(HistoricalStockProgress[[#This Row],[Date]])</f>
        <v>2026</v>
      </c>
      <c r="N2278" s="34">
        <f>MONTH(HistoricalStockProgress[[#This Row],[Date]])</f>
        <v>7</v>
      </c>
    </row>
    <row r="2279" spans="2:14">
      <c r="B2279" s="15">
        <v>46234</v>
      </c>
      <c r="C2279" s="34" t="s">
        <v>88</v>
      </c>
      <c r="D2279" s="34" t="e" vm="9">
        <f>_xlfn.XLOOKUP(HistoricalStockProgress[[#This Row],[Company Ticker]],CompanyDetailsList[Company Ticker],CompanyDetailsList[Official Name],,0)</f>
        <v>#VALUE!</v>
      </c>
      <c r="E227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227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2279" s="17">
        <f>IFERROR(HistoricalStockProgress[[#This Row],[Cost of Shares]]/HistoricalStockProgress[[#This Row],[No. of Shares]],0)</f>
        <v>224.7272684493652</v>
      </c>
      <c r="H2279" s="16" vm="2718">
        <v>270.64</v>
      </c>
      <c r="I2279" s="16">
        <f>IF(HistoricalStockProgress[[#This Row],[No. of Shares]]&lt;&gt;0,HistoricalStockProgress[[#This Row],[Price of Shares]]*HistoricalStockProgress[[#This Row],[No. of Shares]],0)</f>
        <v>25710.799999999999</v>
      </c>
      <c r="J2279" s="16">
        <f>IF(HistoricalStockProgress[[#This Row],[No. of Shares]]&lt;&gt;0,HistoricalStockProgress[[#This Row],[Price of Shares]]-HistoricalStockProgress[[#This Row],[Cost of Shares]]/HistoricalStockProgress[[#This Row],[No. of Shares]],0)</f>
        <v>45.912731550634788</v>
      </c>
      <c r="K2279" s="17">
        <f>IF(HistoricalStockProgress[[#This Row],[Total Price of Shares]]&lt;&gt;0,HistoricalStockProgress[[#This Row],[Total Price of Shares]]-HistoricalStockProgress[[#This Row],[Cost of Shares]],0)</f>
        <v>4361.7094973103049</v>
      </c>
      <c r="L2279" s="34" t="b" cm="1">
        <f t="array" ref="L2279">IFERROR(IF(HistoricalStockProgress[[#This Row],[Price of Shares]]="",_xlfn.STOCKHISTORY(HistoricalStockProgress[[#This Row],[Full Company Name]],HistoricalStockProgress[[#This Row],[Date]],,2,0,1)),0)</f>
        <v>0</v>
      </c>
      <c r="M2279" s="34">
        <f>YEAR(HistoricalStockProgress[[#This Row],[Date]])</f>
        <v>2026</v>
      </c>
      <c r="N2279" s="34">
        <f>MONTH(HistoricalStockProgress[[#This Row],[Date]])</f>
        <v>7</v>
      </c>
    </row>
    <row r="2280" spans="2:14">
      <c r="B2280" s="15">
        <v>46234</v>
      </c>
      <c r="C2280" s="34" t="s">
        <v>22</v>
      </c>
      <c r="D2280" s="34" t="e" vm="10">
        <f>_xlfn.XLOOKUP(HistoricalStockProgress[[#This Row],[Company Ticker]],CompanyDetailsList[Company Ticker],CompanyDetailsList[Official Name],,0)</f>
        <v>#VALUE!</v>
      </c>
      <c r="E228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228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2280" s="17">
        <f>IFERROR(HistoricalStockProgress[[#This Row],[Cost of Shares]]/HistoricalStockProgress[[#This Row],[No. of Shares]],0)</f>
        <v>130.19784136724968</v>
      </c>
      <c r="H2280" s="16" vm="2719">
        <v>814.81</v>
      </c>
      <c r="I2280" s="16">
        <f>IF(HistoricalStockProgress[[#This Row],[No. of Shares]]&lt;&gt;0,HistoricalStockProgress[[#This Row],[Price of Shares]]*HistoricalStockProgress[[#This Row],[No. of Shares]],0)</f>
        <v>96962.39</v>
      </c>
      <c r="J2280" s="16">
        <f>IF(HistoricalStockProgress[[#This Row],[No. of Shares]]&lt;&gt;0,HistoricalStockProgress[[#This Row],[Price of Shares]]-HistoricalStockProgress[[#This Row],[Cost of Shares]]/HistoricalStockProgress[[#This Row],[No. of Shares]],0)</f>
        <v>684.61215863275027</v>
      </c>
      <c r="K2280" s="17">
        <f>IF(HistoricalStockProgress[[#This Row],[Total Price of Shares]]&lt;&gt;0,HistoricalStockProgress[[#This Row],[Total Price of Shares]]-HistoricalStockProgress[[#This Row],[Cost of Shares]],0)</f>
        <v>81468.846877297285</v>
      </c>
      <c r="L2280" s="34" t="b" cm="1">
        <f t="array" ref="L2280">IFERROR(IF(HistoricalStockProgress[[#This Row],[Price of Shares]]="",_xlfn.STOCKHISTORY(HistoricalStockProgress[[#This Row],[Full Company Name]],HistoricalStockProgress[[#This Row],[Date]],,2,0,1)),0)</f>
        <v>0</v>
      </c>
      <c r="M2280" s="34">
        <f>YEAR(HistoricalStockProgress[[#This Row],[Date]])</f>
        <v>2026</v>
      </c>
      <c r="N2280" s="34">
        <f>MONTH(HistoricalStockProgress[[#This Row],[Date]])</f>
        <v>7</v>
      </c>
    </row>
    <row r="2281" spans="2:14">
      <c r="B2281" s="15">
        <v>46234</v>
      </c>
      <c r="C2281" s="34" t="s">
        <v>91</v>
      </c>
      <c r="D2281" s="34" t="e" vm="11">
        <f>_xlfn.XLOOKUP(HistoricalStockProgress[[#This Row],[Company Ticker]],CompanyDetailsList[Company Ticker],CompanyDetailsList[Official Name],,0)</f>
        <v>#VALUE!</v>
      </c>
      <c r="E228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203</v>
      </c>
      <c r="F228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37263.08408940176</v>
      </c>
      <c r="G2281" s="17">
        <f>IFERROR(HistoricalStockProgress[[#This Row],[Cost of Shares]]/HistoricalStockProgress[[#This Row],[No. of Shares]],0)</f>
        <v>183.56199058818601</v>
      </c>
      <c r="H2281" s="16" vm="2720">
        <v>464.72</v>
      </c>
      <c r="I2281" s="16">
        <f>IF(HistoricalStockProgress[[#This Row],[No. of Shares]]&lt;&gt;0,HistoricalStockProgress[[#This Row],[Price of Shares]]*HistoricalStockProgress[[#This Row],[No. of Shares]],0)</f>
        <v>94338.16</v>
      </c>
      <c r="J2281" s="16">
        <f>IF(HistoricalStockProgress[[#This Row],[No. of Shares]]&lt;&gt;0,HistoricalStockProgress[[#This Row],[Price of Shares]]-HistoricalStockProgress[[#This Row],[Cost of Shares]]/HistoricalStockProgress[[#This Row],[No. of Shares]],0)</f>
        <v>281.15800941181402</v>
      </c>
      <c r="K2281" s="17">
        <f>IF(HistoricalStockProgress[[#This Row],[Total Price of Shares]]&lt;&gt;0,HistoricalStockProgress[[#This Row],[Total Price of Shares]]-HistoricalStockProgress[[#This Row],[Cost of Shares]],0)</f>
        <v>57075.075910598243</v>
      </c>
      <c r="L2281" s="34" t="b" cm="1">
        <f t="array" ref="L2281">IFERROR(IF(HistoricalStockProgress[[#This Row],[Price of Shares]]="",_xlfn.STOCKHISTORY(HistoricalStockProgress[[#This Row],[Full Company Name]],HistoricalStockProgress[[#This Row],[Date]],,2,0,1)),0)</f>
        <v>0</v>
      </c>
      <c r="M2281" s="34">
        <f>YEAR(HistoricalStockProgress[[#This Row],[Date]])</f>
        <v>2026</v>
      </c>
      <c r="N2281" s="34">
        <f>MONTH(HistoricalStockProgress[[#This Row],[Date]])</f>
        <v>7</v>
      </c>
    </row>
    <row r="2282" spans="2:14">
      <c r="B2282" s="15">
        <v>46234</v>
      </c>
      <c r="C2282" s="34" t="s">
        <v>16</v>
      </c>
      <c r="D2282" s="34" t="e" vm="12">
        <f>_xlfn.XLOOKUP(HistoricalStockProgress[[#This Row],[Company Ticker]],CompanyDetailsList[Company Ticker],CompanyDetailsList[Official Name],,0)</f>
        <v>#VALUE!</v>
      </c>
      <c r="E228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156</v>
      </c>
      <c r="F228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11718.360915660647</v>
      </c>
      <c r="G2282" s="17">
        <f>IFERROR(HistoricalStockProgress[[#This Row],[Cost of Shares]]/HistoricalStockProgress[[#This Row],[No. of Shares]],0)</f>
        <v>75.117698177311837</v>
      </c>
      <c r="H2282" s="16" vm="1956">
        <v>155.44</v>
      </c>
      <c r="I2282" s="16">
        <f>IF(HistoricalStockProgress[[#This Row],[No. of Shares]]&lt;&gt;0,HistoricalStockProgress[[#This Row],[Price of Shares]]*HistoricalStockProgress[[#This Row],[No. of Shares]],0)</f>
        <v>24248.639999999999</v>
      </c>
      <c r="J2282" s="16">
        <f>IF(HistoricalStockProgress[[#This Row],[No. of Shares]]&lt;&gt;0,HistoricalStockProgress[[#This Row],[Price of Shares]]-HistoricalStockProgress[[#This Row],[Cost of Shares]]/HistoricalStockProgress[[#This Row],[No. of Shares]],0)</f>
        <v>80.322301822688161</v>
      </c>
      <c r="K2282" s="17">
        <f>IF(HistoricalStockProgress[[#This Row],[Total Price of Shares]]&lt;&gt;0,HistoricalStockProgress[[#This Row],[Total Price of Shares]]-HistoricalStockProgress[[#This Row],[Cost of Shares]],0)</f>
        <v>12530.279084339352</v>
      </c>
      <c r="L2282" s="34" t="b" cm="1">
        <f t="array" ref="L2282">IFERROR(IF(HistoricalStockProgress[[#This Row],[Price of Shares]]="",_xlfn.STOCKHISTORY(HistoricalStockProgress[[#This Row],[Full Company Name]],HistoricalStockProgress[[#This Row],[Date]],,2,0,1)),0)</f>
        <v>0</v>
      </c>
      <c r="M2282" s="34">
        <f>YEAR(HistoricalStockProgress[[#This Row],[Date]])</f>
        <v>2026</v>
      </c>
      <c r="N2282" s="34">
        <f>MONTH(HistoricalStockProgress[[#This Row],[Date]])</f>
        <v>7</v>
      </c>
    </row>
    <row r="2283" spans="2:14">
      <c r="B2283" s="15">
        <v>46234</v>
      </c>
      <c r="C2283" s="34" t="s">
        <v>95</v>
      </c>
      <c r="D2283" s="34" t="e" vm="13">
        <f>_xlfn.XLOOKUP(HistoricalStockProgress[[#This Row],[Company Ticker]],CompanyDetailsList[Company Ticker],CompanyDetailsList[Official Name],,0)</f>
        <v>#VALUE!</v>
      </c>
      <c r="E228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157</v>
      </c>
      <c r="F228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43247.259149794598</v>
      </c>
      <c r="G2283" s="17">
        <f>IFERROR(HistoricalStockProgress[[#This Row],[Cost of Shares]]/HistoricalStockProgress[[#This Row],[No. of Shares]],0)</f>
        <v>275.46024936174905</v>
      </c>
      <c r="H2283" s="16" vm="2721">
        <v>331.96</v>
      </c>
      <c r="I2283" s="16">
        <f>IF(HistoricalStockProgress[[#This Row],[No. of Shares]]&lt;&gt;0,HistoricalStockProgress[[#This Row],[Price of Shares]]*HistoricalStockProgress[[#This Row],[No. of Shares]],0)</f>
        <v>52117.719999999994</v>
      </c>
      <c r="J2283" s="16">
        <f>IF(HistoricalStockProgress[[#This Row],[No. of Shares]]&lt;&gt;0,HistoricalStockProgress[[#This Row],[Price of Shares]]-HistoricalStockProgress[[#This Row],[Cost of Shares]]/HistoricalStockProgress[[#This Row],[No. of Shares]],0)</f>
        <v>56.49975063825093</v>
      </c>
      <c r="K2283" s="17">
        <f>IF(HistoricalStockProgress[[#This Row],[Total Price of Shares]]&lt;&gt;0,HistoricalStockProgress[[#This Row],[Total Price of Shares]]-HistoricalStockProgress[[#This Row],[Cost of Shares]],0)</f>
        <v>8870.4608502053961</v>
      </c>
      <c r="L2283" s="34" t="b" cm="1">
        <f t="array" ref="L2283">IFERROR(IF(HistoricalStockProgress[[#This Row],[Price of Shares]]="",_xlfn.STOCKHISTORY(HistoricalStockProgress[[#This Row],[Full Company Name]],HistoricalStockProgress[[#This Row],[Date]],,2,0,1)),0)</f>
        <v>0</v>
      </c>
      <c r="M2283" s="34">
        <f>YEAR(HistoricalStockProgress[[#This Row],[Date]])</f>
        <v>2026</v>
      </c>
      <c r="N2283" s="34">
        <f>MONTH(HistoricalStockProgress[[#This Row],[Date]])</f>
        <v>7</v>
      </c>
    </row>
    <row r="2284" spans="2:14">
      <c r="B2284" s="15">
        <v>46234</v>
      </c>
      <c r="C2284" s="34" t="s">
        <v>17</v>
      </c>
      <c r="D2284" s="34" t="e" vm="14">
        <f>_xlfn.XLOOKUP(HistoricalStockProgress[[#This Row],[Company Ticker]],CompanyDetailsList[Company Ticker],CompanyDetailsList[Official Name],,0)</f>
        <v>#VALUE!</v>
      </c>
      <c r="E228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228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2284" s="17">
        <f>IFERROR(HistoricalStockProgress[[#This Row],[Cost of Shares]]/HistoricalStockProgress[[#This Row],[No. of Shares]],0)</f>
        <v>143.37791217450521</v>
      </c>
      <c r="H2284" s="16" vm="2722">
        <v>223.65</v>
      </c>
      <c r="I2284" s="16">
        <f>IF(HistoricalStockProgress[[#This Row],[No. of Shares]]&lt;&gt;0,HistoricalStockProgress[[#This Row],[Price of Shares]]*HistoricalStockProgress[[#This Row],[No. of Shares]],0)</f>
        <v>51663.15</v>
      </c>
      <c r="J2284" s="16">
        <f>IF(HistoricalStockProgress[[#This Row],[No. of Shares]]&lt;&gt;0,HistoricalStockProgress[[#This Row],[Price of Shares]]-HistoricalStockProgress[[#This Row],[Cost of Shares]]/HistoricalStockProgress[[#This Row],[No. of Shares]],0)</f>
        <v>80.272087825494793</v>
      </c>
      <c r="K2284" s="17">
        <f>IF(HistoricalStockProgress[[#This Row],[Total Price of Shares]]&lt;&gt;0,HistoricalStockProgress[[#This Row],[Total Price of Shares]]-HistoricalStockProgress[[#This Row],[Cost of Shares]],0)</f>
        <v>18542.852287689297</v>
      </c>
      <c r="L2284" s="34" t="b" cm="1">
        <f t="array" ref="L2284">IFERROR(IF(HistoricalStockProgress[[#This Row],[Price of Shares]]="",_xlfn.STOCKHISTORY(HistoricalStockProgress[[#This Row],[Full Company Name]],HistoricalStockProgress[[#This Row],[Date]],,2,0,1)),0)</f>
        <v>0</v>
      </c>
      <c r="M2284" s="34">
        <f>YEAR(HistoricalStockProgress[[#This Row],[Date]])</f>
        <v>2026</v>
      </c>
      <c r="N2284" s="34">
        <f>MONTH(HistoricalStockProgress[[#This Row],[Date]])</f>
        <v>7</v>
      </c>
    </row>
    <row r="2285" spans="2:14">
      <c r="B2285" s="15">
        <v>46234</v>
      </c>
      <c r="C2285" s="34" t="s">
        <v>98</v>
      </c>
      <c r="D2285" s="34" t="e" vm="15">
        <f>_xlfn.XLOOKUP(HistoricalStockProgress[[#This Row],[Company Ticker]],CompanyDetailsList[Company Ticker],CompanyDetailsList[Official Name],,0)</f>
        <v>#VALUE!</v>
      </c>
      <c r="E228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193</v>
      </c>
      <c r="F228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11397.772474019517</v>
      </c>
      <c r="G2285" s="17">
        <f>IFERROR(HistoricalStockProgress[[#This Row],[Cost of Shares]]/HistoricalStockProgress[[#This Row],[No. of Shares]],0)</f>
        <v>59.055815927562264</v>
      </c>
      <c r="H2285" s="16" vm="2723">
        <v>86.92</v>
      </c>
      <c r="I2285" s="16">
        <f>IF(HistoricalStockProgress[[#This Row],[No. of Shares]]&lt;&gt;0,HistoricalStockProgress[[#This Row],[Price of Shares]]*HistoricalStockProgress[[#This Row],[No. of Shares]],0)</f>
        <v>16775.560000000001</v>
      </c>
      <c r="J2285" s="16">
        <f>IF(HistoricalStockProgress[[#This Row],[No. of Shares]]&lt;&gt;0,HistoricalStockProgress[[#This Row],[Price of Shares]]-HistoricalStockProgress[[#This Row],[Cost of Shares]]/HistoricalStockProgress[[#This Row],[No. of Shares]],0)</f>
        <v>27.864184072437737</v>
      </c>
      <c r="K2285" s="17">
        <f>IF(HistoricalStockProgress[[#This Row],[Total Price of Shares]]&lt;&gt;0,HistoricalStockProgress[[#This Row],[Total Price of Shares]]-HistoricalStockProgress[[#This Row],[Cost of Shares]],0)</f>
        <v>5377.7875259804841</v>
      </c>
      <c r="L2285" s="34" t="b" cm="1">
        <f t="array" ref="L2285">IFERROR(IF(HistoricalStockProgress[[#This Row],[Price of Shares]]="",_xlfn.STOCKHISTORY(HistoricalStockProgress[[#This Row],[Full Company Name]],HistoricalStockProgress[[#This Row],[Date]],,2,0,1)),0)</f>
        <v>0</v>
      </c>
      <c r="M2285" s="34">
        <f>YEAR(HistoricalStockProgress[[#This Row],[Date]])</f>
        <v>2026</v>
      </c>
      <c r="N2285" s="34">
        <f>MONTH(HistoricalStockProgress[[#This Row],[Date]])</f>
        <v>7</v>
      </c>
    </row>
    <row r="2286" spans="2:14">
      <c r="B2286" s="15">
        <v>46234</v>
      </c>
      <c r="C2286" s="34" t="s">
        <v>100</v>
      </c>
      <c r="D2286" s="34" t="e" vm="16">
        <f>_xlfn.XLOOKUP(HistoricalStockProgress[[#This Row],[Company Ticker]],CompanyDetailsList[Company Ticker],CompanyDetailsList[Official Name],,0)</f>
        <v>#VALUE!</v>
      </c>
      <c r="E228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228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2286" s="17">
        <f>IFERROR(HistoricalStockProgress[[#This Row],[Cost of Shares]]/HistoricalStockProgress[[#This Row],[No. of Shares]],0)</f>
        <v>92.156351168716071</v>
      </c>
      <c r="H2286" s="16" vm="2724">
        <v>125.43</v>
      </c>
      <c r="I2286" s="16">
        <f>IF(HistoricalStockProgress[[#This Row],[No. of Shares]]&lt;&gt;0,HistoricalStockProgress[[#This Row],[Price of Shares]]*HistoricalStockProgress[[#This Row],[No. of Shares]],0)</f>
        <v>31357.5</v>
      </c>
      <c r="J2286" s="16">
        <f>IF(HistoricalStockProgress[[#This Row],[No. of Shares]]&lt;&gt;0,HistoricalStockProgress[[#This Row],[Price of Shares]]-HistoricalStockProgress[[#This Row],[Cost of Shares]]/HistoricalStockProgress[[#This Row],[No. of Shares]],0)</f>
        <v>33.273648831283936</v>
      </c>
      <c r="K2286" s="17">
        <f>IF(HistoricalStockProgress[[#This Row],[Total Price of Shares]]&lt;&gt;0,HistoricalStockProgress[[#This Row],[Total Price of Shares]]-HistoricalStockProgress[[#This Row],[Cost of Shares]],0)</f>
        <v>8318.4122078209839</v>
      </c>
      <c r="L2286" s="34" t="b" cm="1">
        <f t="array" ref="L2286">IFERROR(IF(HistoricalStockProgress[[#This Row],[Price of Shares]]="",_xlfn.STOCKHISTORY(HistoricalStockProgress[[#This Row],[Full Company Name]],HistoricalStockProgress[[#This Row],[Date]],,2,0,1)),0)</f>
        <v>0</v>
      </c>
      <c r="M2286" s="34">
        <f>YEAR(HistoricalStockProgress[[#This Row],[Date]])</f>
        <v>2026</v>
      </c>
      <c r="N2286" s="34">
        <f>MONTH(HistoricalStockProgress[[#This Row],[Date]])</f>
        <v>7</v>
      </c>
    </row>
    <row r="2287" spans="2:14">
      <c r="B2287" s="15">
        <v>46234</v>
      </c>
      <c r="C2287" s="34" t="s">
        <v>15</v>
      </c>
      <c r="D2287" s="34" t="e" vm="17">
        <f>_xlfn.XLOOKUP(HistoricalStockProgress[[#This Row],[Company Ticker]],CompanyDetailsList[Company Ticker],CompanyDetailsList[Official Name],,0)</f>
        <v>#VALUE!</v>
      </c>
      <c r="E228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228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3479.0458726436</v>
      </c>
      <c r="G2287" s="17">
        <f>IFERROR(HistoricalStockProgress[[#This Row],[Cost of Shares]]/HistoricalStockProgress[[#This Row],[No. of Shares]],0)</f>
        <v>24.85032766174</v>
      </c>
      <c r="H2287" s="16" vm="2725">
        <v>23.25</v>
      </c>
      <c r="I2287" s="16">
        <f>IF(HistoricalStockProgress[[#This Row],[No. of Shares]]&lt;&gt;0,HistoricalStockProgress[[#This Row],[Price of Shares]]*HistoricalStockProgress[[#This Row],[No. of Shares]],0)</f>
        <v>3255</v>
      </c>
      <c r="J2287" s="16">
        <f>IF(HistoricalStockProgress[[#This Row],[No. of Shares]]&lt;&gt;0,HistoricalStockProgress[[#This Row],[Price of Shares]]-HistoricalStockProgress[[#This Row],[Cost of Shares]]/HistoricalStockProgress[[#This Row],[No. of Shares]],0)</f>
        <v>-1.6003276617399997</v>
      </c>
      <c r="K2287" s="17">
        <f>IF(HistoricalStockProgress[[#This Row],[Total Price of Shares]]&lt;&gt;0,HistoricalStockProgress[[#This Row],[Total Price of Shares]]-HistoricalStockProgress[[#This Row],[Cost of Shares]],0)</f>
        <v>-224.04587264359998</v>
      </c>
      <c r="L2287" s="34" t="b" cm="1">
        <f t="array" ref="L2287">IFERROR(IF(HistoricalStockProgress[[#This Row],[Price of Shares]]="",_xlfn.STOCKHISTORY(HistoricalStockProgress[[#This Row],[Full Company Name]],HistoricalStockProgress[[#This Row],[Date]],,2,0,1)),0)</f>
        <v>0</v>
      </c>
      <c r="M2287" s="34">
        <f>YEAR(HistoricalStockProgress[[#This Row],[Date]])</f>
        <v>2026</v>
      </c>
      <c r="N2287" s="34">
        <f>MONTH(HistoricalStockProgress[[#This Row],[Date]])</f>
        <v>7</v>
      </c>
    </row>
    <row r="2288" spans="2:14">
      <c r="B2288" s="15">
        <v>46234</v>
      </c>
      <c r="C2288" s="34" t="s">
        <v>13</v>
      </c>
      <c r="D2288" s="34" t="e" vm="18">
        <f>_xlfn.XLOOKUP(HistoricalStockProgress[[#This Row],[Company Ticker]],CompanyDetailsList[Company Ticker],CompanyDetailsList[Official Name],,0)</f>
        <v>#VALUE!</v>
      </c>
      <c r="E228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228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3394.2551594478332</v>
      </c>
      <c r="G2288" s="17">
        <f>IFERROR(HistoricalStockProgress[[#This Row],[Cost of Shares]]/HistoricalStockProgress[[#This Row],[No. of Shares]],0)</f>
        <v>32.021275089130505</v>
      </c>
      <c r="H2288" s="16" vm="2726">
        <v>25.01</v>
      </c>
      <c r="I2288" s="16">
        <f>IF(HistoricalStockProgress[[#This Row],[No. of Shares]]&lt;&gt;0,HistoricalStockProgress[[#This Row],[Price of Shares]]*HistoricalStockProgress[[#This Row],[No. of Shares]],0)</f>
        <v>2651.06</v>
      </c>
      <c r="J2288" s="16">
        <f>IF(HistoricalStockProgress[[#This Row],[No. of Shares]]&lt;&gt;0,HistoricalStockProgress[[#This Row],[Price of Shares]]-HistoricalStockProgress[[#This Row],[Cost of Shares]]/HistoricalStockProgress[[#This Row],[No. of Shares]],0)</f>
        <v>-7.0112750891305033</v>
      </c>
      <c r="K2288" s="17">
        <f>IF(HistoricalStockProgress[[#This Row],[Total Price of Shares]]&lt;&gt;0,HistoricalStockProgress[[#This Row],[Total Price of Shares]]-HistoricalStockProgress[[#This Row],[Cost of Shares]],0)</f>
        <v>-743.19515944783325</v>
      </c>
      <c r="L2288" s="34" t="b" cm="1">
        <f t="array" ref="L2288">IFERROR(IF(HistoricalStockProgress[[#This Row],[Price of Shares]]="",_xlfn.STOCKHISTORY(HistoricalStockProgress[[#This Row],[Full Company Name]],HistoricalStockProgress[[#This Row],[Date]],,2,0,1)),0)</f>
        <v>0</v>
      </c>
      <c r="M2288" s="34">
        <f>YEAR(HistoricalStockProgress[[#This Row],[Date]])</f>
        <v>2026</v>
      </c>
      <c r="N2288" s="34">
        <f>MONTH(HistoricalStockProgress[[#This Row],[Date]])</f>
        <v>7</v>
      </c>
    </row>
    <row r="2289" spans="2:14">
      <c r="B2289" s="15">
        <v>46234</v>
      </c>
      <c r="C2289" s="34" t="s">
        <v>20</v>
      </c>
      <c r="D2289" s="34" t="e" vm="19">
        <f>_xlfn.XLOOKUP(HistoricalStockProgress[[#This Row],[Company Ticker]],CompanyDetailsList[Company Ticker],CompanyDetailsList[Official Name],,0)</f>
        <v>#VALUE!</v>
      </c>
      <c r="E228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228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2289" s="17">
        <f>IFERROR(HistoricalStockProgress[[#This Row],[Cost of Shares]]/HistoricalStockProgress[[#This Row],[No. of Shares]],0)</f>
        <v>108.1760767450256</v>
      </c>
      <c r="H2289" s="16" vm="2727">
        <v>351.79</v>
      </c>
      <c r="I2289" s="16">
        <f>IF(HistoricalStockProgress[[#This Row],[No. of Shares]]&lt;&gt;0,HistoricalStockProgress[[#This Row],[Price of Shares]]*HistoricalStockProgress[[#This Row],[No. of Shares]],0)</f>
        <v>40807.64</v>
      </c>
      <c r="J2289" s="16">
        <f>IF(HistoricalStockProgress[[#This Row],[No. of Shares]]&lt;&gt;0,HistoricalStockProgress[[#This Row],[Price of Shares]]-HistoricalStockProgress[[#This Row],[Cost of Shares]]/HistoricalStockProgress[[#This Row],[No. of Shares]],0)</f>
        <v>243.61392325497442</v>
      </c>
      <c r="K2289" s="17">
        <f>IF(HistoricalStockProgress[[#This Row],[Total Price of Shares]]&lt;&gt;0,HistoricalStockProgress[[#This Row],[Total Price of Shares]]-HistoricalStockProgress[[#This Row],[Cost of Shares]],0)</f>
        <v>28259.215097577031</v>
      </c>
      <c r="L2289" s="34" t="b" cm="1">
        <f t="array" ref="L2289">IFERROR(IF(HistoricalStockProgress[[#This Row],[Price of Shares]]="",_xlfn.STOCKHISTORY(HistoricalStockProgress[[#This Row],[Full Company Name]],HistoricalStockProgress[[#This Row],[Date]],,2,0,1)),0)</f>
        <v>0</v>
      </c>
      <c r="M2289" s="34">
        <f>YEAR(HistoricalStockProgress[[#This Row],[Date]])</f>
        <v>2026</v>
      </c>
      <c r="N2289" s="34">
        <f>MONTH(HistoricalStockProgress[[#This Row],[Date]])</f>
        <v>7</v>
      </c>
    </row>
    <row r="2290" spans="2:14">
      <c r="B2290" s="15">
        <v>46234</v>
      </c>
      <c r="C2290" s="34" t="s">
        <v>106</v>
      </c>
      <c r="D2290" s="34" t="e" vm="20">
        <f>_xlfn.XLOOKUP(HistoricalStockProgress[[#This Row],[Company Ticker]],CompanyDetailsList[Company Ticker],CompanyDetailsList[Official Name],,0)</f>
        <v>#VALUE!</v>
      </c>
      <c r="E229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229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8575.3478914575226</v>
      </c>
      <c r="G2290" s="17">
        <f>IFERROR(HistoricalStockProgress[[#This Row],[Cost of Shares]]/HistoricalStockProgress[[#This Row],[No. of Shares]],0)</f>
        <v>108.54870748680408</v>
      </c>
      <c r="H2290" s="16" vm="2728">
        <v>110.52</v>
      </c>
      <c r="I2290" s="16">
        <f>IF(HistoricalStockProgress[[#This Row],[No. of Shares]]&lt;&gt;0,HistoricalStockProgress[[#This Row],[Price of Shares]]*HistoricalStockProgress[[#This Row],[No. of Shares]],0)</f>
        <v>8731.08</v>
      </c>
      <c r="J2290" s="16">
        <f>IF(HistoricalStockProgress[[#This Row],[No. of Shares]]&lt;&gt;0,HistoricalStockProgress[[#This Row],[Price of Shares]]-HistoricalStockProgress[[#This Row],[Cost of Shares]]/HistoricalStockProgress[[#This Row],[No. of Shares]],0)</f>
        <v>1.9712925131959196</v>
      </c>
      <c r="K2290" s="17">
        <f>IF(HistoricalStockProgress[[#This Row],[Total Price of Shares]]&lt;&gt;0,HistoricalStockProgress[[#This Row],[Total Price of Shares]]-HistoricalStockProgress[[#This Row],[Cost of Shares]],0)</f>
        <v>155.73210854247736</v>
      </c>
      <c r="L2290" s="34" t="b" cm="1">
        <f t="array" ref="L2290">IFERROR(IF(HistoricalStockProgress[[#This Row],[Price of Shares]]="",_xlfn.STOCKHISTORY(HistoricalStockProgress[[#This Row],[Full Company Name]],HistoricalStockProgress[[#This Row],[Date]],,2,0,1)),0)</f>
        <v>0</v>
      </c>
      <c r="M2290" s="34">
        <f>YEAR(HistoricalStockProgress[[#This Row],[Date]])</f>
        <v>2026</v>
      </c>
      <c r="N2290" s="34">
        <f>MONTH(HistoricalStockProgress[[#This Row],[Date]])</f>
        <v>7</v>
      </c>
    </row>
    <row r="2291" spans="2:14">
      <c r="B2291" s="15">
        <v>46265</v>
      </c>
      <c r="C2291" s="34" t="s">
        <v>12</v>
      </c>
      <c r="D2291" s="34" t="e" vm="1">
        <f>_xlfn.XLOOKUP(HistoricalStockProgress[[#This Row],[Company Ticker]],CompanyDetailsList[Company Ticker],CompanyDetailsList[Official Name],,0)</f>
        <v>#VALUE!</v>
      </c>
      <c r="E229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229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2291" s="17">
        <f>IFERROR(HistoricalStockProgress[[#This Row],[Cost of Shares]]/HistoricalStockProgress[[#This Row],[No. of Shares]],0)</f>
        <v>64.573985995316889</v>
      </c>
      <c r="H2291" s="16" vm="2672">
        <v>61.28</v>
      </c>
      <c r="I2291" s="16">
        <f>IF(HistoricalStockProgress[[#This Row],[No. of Shares]]&lt;&gt;0,HistoricalStockProgress[[#This Row],[Price of Shares]]*HistoricalStockProgress[[#This Row],[No. of Shares]],0)</f>
        <v>5944.16</v>
      </c>
      <c r="J2291" s="16">
        <f>IF(HistoricalStockProgress[[#This Row],[No. of Shares]]&lt;&gt;0,HistoricalStockProgress[[#This Row],[Price of Shares]]-HistoricalStockProgress[[#This Row],[Cost of Shares]]/HistoricalStockProgress[[#This Row],[No. of Shares]],0)</f>
        <v>-3.2939859953168877</v>
      </c>
      <c r="K2291" s="17">
        <f>IF(HistoricalStockProgress[[#This Row],[Total Price of Shares]]&lt;&gt;0,HistoricalStockProgress[[#This Row],[Total Price of Shares]]-HistoricalStockProgress[[#This Row],[Cost of Shares]],0)</f>
        <v>-319.51664154573791</v>
      </c>
      <c r="L2291" s="34" t="b" cm="1">
        <f t="array" ref="L2291">IFERROR(IF(HistoricalStockProgress[[#This Row],[Price of Shares]]="",_xlfn.STOCKHISTORY(HistoricalStockProgress[[#This Row],[Full Company Name]],HistoricalStockProgress[[#This Row],[Date]],,2,0,1)),0)</f>
        <v>0</v>
      </c>
      <c r="M2291" s="34">
        <f>YEAR(HistoricalStockProgress[[#This Row],[Date]])</f>
        <v>2026</v>
      </c>
      <c r="N2291" s="34">
        <f>MONTH(HistoricalStockProgress[[#This Row],[Date]])</f>
        <v>8</v>
      </c>
    </row>
    <row r="2292" spans="2:14">
      <c r="B2292" s="15">
        <v>46265</v>
      </c>
      <c r="C2292" s="34" t="s">
        <v>14</v>
      </c>
      <c r="D2292" s="34" t="e" vm="2">
        <f>_xlfn.XLOOKUP(HistoricalStockProgress[[#This Row],[Company Ticker]],CompanyDetailsList[Company Ticker],CompanyDetailsList[Official Name],,0)</f>
        <v>#VALUE!</v>
      </c>
      <c r="E229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229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2292" s="17">
        <f>IFERROR(HistoricalStockProgress[[#This Row],[Cost of Shares]]/HistoricalStockProgress[[#This Row],[No. of Shares]],0)</f>
        <v>26.819337355148658</v>
      </c>
      <c r="H2292" s="16" vm="2729">
        <v>31.75</v>
      </c>
      <c r="I2292" s="16">
        <f>IF(HistoricalStockProgress[[#This Row],[No. of Shares]]&lt;&gt;0,HistoricalStockProgress[[#This Row],[Price of Shares]]*HistoricalStockProgress[[#This Row],[No. of Shares]],0)</f>
        <v>2000.25</v>
      </c>
      <c r="J2292" s="16">
        <f>IF(HistoricalStockProgress[[#This Row],[No. of Shares]]&lt;&gt;0,HistoricalStockProgress[[#This Row],[Price of Shares]]-HistoricalStockProgress[[#This Row],[Cost of Shares]]/HistoricalStockProgress[[#This Row],[No. of Shares]],0)</f>
        <v>4.930662644851342</v>
      </c>
      <c r="K2292" s="17">
        <f>IF(HistoricalStockProgress[[#This Row],[Total Price of Shares]]&lt;&gt;0,HistoricalStockProgress[[#This Row],[Total Price of Shares]]-HistoricalStockProgress[[#This Row],[Cost of Shares]],0)</f>
        <v>310.63174662563461</v>
      </c>
      <c r="L2292" s="34" t="b" cm="1">
        <f t="array" ref="L2292">IFERROR(IF(HistoricalStockProgress[[#This Row],[Price of Shares]]="",_xlfn.STOCKHISTORY(HistoricalStockProgress[[#This Row],[Full Company Name]],HistoricalStockProgress[[#This Row],[Date]],,2,0,1)),0)</f>
        <v>0</v>
      </c>
      <c r="M2292" s="34">
        <f>YEAR(HistoricalStockProgress[[#This Row],[Date]])</f>
        <v>2026</v>
      </c>
      <c r="N2292" s="34">
        <f>MONTH(HistoricalStockProgress[[#This Row],[Date]])</f>
        <v>8</v>
      </c>
    </row>
    <row r="2293" spans="2:14">
      <c r="B2293" s="15">
        <v>46265</v>
      </c>
      <c r="C2293" s="34" t="s">
        <v>19</v>
      </c>
      <c r="D2293" s="34" t="e" vm="3">
        <f>_xlfn.XLOOKUP(HistoricalStockProgress[[#This Row],[Company Ticker]],CompanyDetailsList[Company Ticker],CompanyDetailsList[Official Name],,0)</f>
        <v>#VALUE!</v>
      </c>
      <c r="E229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229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2293" s="17">
        <f>IFERROR(HistoricalStockProgress[[#This Row],[Cost of Shares]]/HistoricalStockProgress[[#This Row],[No. of Shares]],0)</f>
        <v>160.12652821044301</v>
      </c>
      <c r="H2293" s="16" vm="2730">
        <v>97.68</v>
      </c>
      <c r="I2293" s="16">
        <f>IF(HistoricalStockProgress[[#This Row],[No. of Shares]]&lt;&gt;0,HistoricalStockProgress[[#This Row],[Price of Shares]]*HistoricalStockProgress[[#This Row],[No. of Shares]],0)</f>
        <v>8400.4800000000014</v>
      </c>
      <c r="J2293" s="16">
        <f>IF(HistoricalStockProgress[[#This Row],[No. of Shares]]&lt;&gt;0,HistoricalStockProgress[[#This Row],[Price of Shares]]-HistoricalStockProgress[[#This Row],[Cost of Shares]]/HistoricalStockProgress[[#This Row],[No. of Shares]],0)</f>
        <v>-62.446528210443006</v>
      </c>
      <c r="K2293" s="17">
        <f>IF(HistoricalStockProgress[[#This Row],[Total Price of Shares]]&lt;&gt;0,HistoricalStockProgress[[#This Row],[Total Price of Shares]]-HistoricalStockProgress[[#This Row],[Cost of Shares]],0)</f>
        <v>-5370.4014260980966</v>
      </c>
      <c r="L2293" s="34" t="b" cm="1">
        <f t="array" ref="L2293">IFERROR(IF(HistoricalStockProgress[[#This Row],[Price of Shares]]="",_xlfn.STOCKHISTORY(HistoricalStockProgress[[#This Row],[Full Company Name]],HistoricalStockProgress[[#This Row],[Date]],,2,0,1)),0)</f>
        <v>0</v>
      </c>
      <c r="M2293" s="34">
        <f>YEAR(HistoricalStockProgress[[#This Row],[Date]])</f>
        <v>2026</v>
      </c>
      <c r="N2293" s="34">
        <f>MONTH(HistoricalStockProgress[[#This Row],[Date]])</f>
        <v>8</v>
      </c>
    </row>
    <row r="2294" spans="2:14">
      <c r="B2294" s="15">
        <v>46265</v>
      </c>
      <c r="C2294" s="34" t="s">
        <v>23</v>
      </c>
      <c r="D2294" s="34" t="e" vm="4">
        <f>_xlfn.XLOOKUP(HistoricalStockProgress[[#This Row],[Company Ticker]],CompanyDetailsList[Company Ticker],CompanyDetailsList[Official Name],,0)</f>
        <v>#VALUE!</v>
      </c>
      <c r="E229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229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5636.7217732526415</v>
      </c>
      <c r="G2294" s="17">
        <f>IFERROR(HistoricalStockProgress[[#This Row],[Cost of Shares]]/HistoricalStockProgress[[#This Row],[No. of Shares]],0)</f>
        <v>50.781277236510284</v>
      </c>
      <c r="H2294" s="16" vm="2731">
        <v>88.67</v>
      </c>
      <c r="I2294" s="16">
        <f>IF(HistoricalStockProgress[[#This Row],[No. of Shares]]&lt;&gt;0,HistoricalStockProgress[[#This Row],[Price of Shares]]*HistoricalStockProgress[[#This Row],[No. of Shares]],0)</f>
        <v>9842.3700000000008</v>
      </c>
      <c r="J2294" s="16">
        <f>IF(HistoricalStockProgress[[#This Row],[No. of Shares]]&lt;&gt;0,HistoricalStockProgress[[#This Row],[Price of Shares]]-HistoricalStockProgress[[#This Row],[Cost of Shares]]/HistoricalStockProgress[[#This Row],[No. of Shares]],0)</f>
        <v>37.888722763489717</v>
      </c>
      <c r="K2294" s="17">
        <f>IF(HistoricalStockProgress[[#This Row],[Total Price of Shares]]&lt;&gt;0,HistoricalStockProgress[[#This Row],[Total Price of Shares]]-HistoricalStockProgress[[#This Row],[Cost of Shares]],0)</f>
        <v>4205.6482267473593</v>
      </c>
      <c r="L2294" s="34" t="b" cm="1">
        <f t="array" ref="L2294">IFERROR(IF(HistoricalStockProgress[[#This Row],[Price of Shares]]="",_xlfn.STOCKHISTORY(HistoricalStockProgress[[#This Row],[Full Company Name]],HistoricalStockProgress[[#This Row],[Date]],,2,0,1)),0)</f>
        <v>0</v>
      </c>
      <c r="M2294" s="34">
        <f>YEAR(HistoricalStockProgress[[#This Row],[Date]])</f>
        <v>2026</v>
      </c>
      <c r="N2294" s="34">
        <f>MONTH(HistoricalStockProgress[[#This Row],[Date]])</f>
        <v>8</v>
      </c>
    </row>
    <row r="2295" spans="2:14">
      <c r="B2295" s="15">
        <v>46265</v>
      </c>
      <c r="C2295" s="34" t="s">
        <v>18</v>
      </c>
      <c r="D2295" s="34" t="e" vm="5">
        <f>_xlfn.XLOOKUP(HistoricalStockProgress[[#This Row],[Company Ticker]],CompanyDetailsList[Company Ticker],CompanyDetailsList[Official Name],,0)</f>
        <v>#VALUE!</v>
      </c>
      <c r="E229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229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2295" s="17">
        <f>IFERROR(HistoricalStockProgress[[#This Row],[Cost of Shares]]/HistoricalStockProgress[[#This Row],[No. of Shares]],0)</f>
        <v>160.8859607546234</v>
      </c>
      <c r="H2295" s="16" vm="1623">
        <v>140.34</v>
      </c>
      <c r="I2295" s="16">
        <f>IF(HistoricalStockProgress[[#This Row],[No. of Shares]]&lt;&gt;0,HistoricalStockProgress[[#This Row],[Price of Shares]]*HistoricalStockProgress[[#This Row],[No. of Shares]],0)</f>
        <v>6034.62</v>
      </c>
      <c r="J2295" s="16">
        <f>IF(HistoricalStockProgress[[#This Row],[No. of Shares]]&lt;&gt;0,HistoricalStockProgress[[#This Row],[Price of Shares]]-HistoricalStockProgress[[#This Row],[Cost of Shares]]/HistoricalStockProgress[[#This Row],[No. of Shares]],0)</f>
        <v>-20.545960754623394</v>
      </c>
      <c r="K2295" s="17">
        <f>IF(HistoricalStockProgress[[#This Row],[Total Price of Shares]]&lt;&gt;0,HistoricalStockProgress[[#This Row],[Total Price of Shares]]-HistoricalStockProgress[[#This Row],[Cost of Shares]],0)</f>
        <v>-883.47631244880631</v>
      </c>
      <c r="L2295" s="34" t="b" cm="1">
        <f t="array" ref="L2295">IFERROR(IF(HistoricalStockProgress[[#This Row],[Price of Shares]]="",_xlfn.STOCKHISTORY(HistoricalStockProgress[[#This Row],[Full Company Name]],HistoricalStockProgress[[#This Row],[Date]],,2,0,1)),0)</f>
        <v>0</v>
      </c>
      <c r="M2295" s="34">
        <f>YEAR(HistoricalStockProgress[[#This Row],[Date]])</f>
        <v>2026</v>
      </c>
      <c r="N2295" s="34">
        <f>MONTH(HistoricalStockProgress[[#This Row],[Date]])</f>
        <v>8</v>
      </c>
    </row>
    <row r="2296" spans="2:14">
      <c r="B2296" s="15">
        <v>46265</v>
      </c>
      <c r="C2296" s="34" t="s">
        <v>21</v>
      </c>
      <c r="D2296" s="34" t="e" vm="6">
        <f>_xlfn.XLOOKUP(HistoricalStockProgress[[#This Row],[Company Ticker]],CompanyDetailsList[Company Ticker],CompanyDetailsList[Official Name],,0)</f>
        <v>#VALUE!</v>
      </c>
      <c r="E229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84</v>
      </c>
      <c r="F229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12738.215402497406</v>
      </c>
      <c r="G2296" s="17">
        <f>IFERROR(HistoricalStockProgress[[#This Row],[Cost of Shares]]/HistoricalStockProgress[[#This Row],[No. of Shares]],0)</f>
        <v>151.64542145830245</v>
      </c>
      <c r="H2296" s="16" vm="2732">
        <v>145.12</v>
      </c>
      <c r="I2296" s="16">
        <f>IF(HistoricalStockProgress[[#This Row],[No. of Shares]]&lt;&gt;0,HistoricalStockProgress[[#This Row],[Price of Shares]]*HistoricalStockProgress[[#This Row],[No. of Shares]],0)</f>
        <v>12190.08</v>
      </c>
      <c r="J2296" s="16">
        <f>IF(HistoricalStockProgress[[#This Row],[No. of Shares]]&lt;&gt;0,HistoricalStockProgress[[#This Row],[Price of Shares]]-HistoricalStockProgress[[#This Row],[Cost of Shares]]/HistoricalStockProgress[[#This Row],[No. of Shares]],0)</f>
        <v>-6.5254214583024464</v>
      </c>
      <c r="K2296" s="17">
        <f>IF(HistoricalStockProgress[[#This Row],[Total Price of Shares]]&lt;&gt;0,HistoricalStockProgress[[#This Row],[Total Price of Shares]]-HistoricalStockProgress[[#This Row],[Cost of Shares]],0)</f>
        <v>-548.13540249740618</v>
      </c>
      <c r="L2296" s="34" t="b" cm="1">
        <f t="array" ref="L2296">IFERROR(IF(HistoricalStockProgress[[#This Row],[Price of Shares]]="",_xlfn.STOCKHISTORY(HistoricalStockProgress[[#This Row],[Full Company Name]],HistoricalStockProgress[[#This Row],[Date]],,2,0,1)),0)</f>
        <v>0</v>
      </c>
      <c r="M2296" s="34">
        <f>YEAR(HistoricalStockProgress[[#This Row],[Date]])</f>
        <v>2026</v>
      </c>
      <c r="N2296" s="34">
        <f>MONTH(HistoricalStockProgress[[#This Row],[Date]])</f>
        <v>8</v>
      </c>
    </row>
    <row r="2297" spans="2:14">
      <c r="B2297" s="15">
        <v>46265</v>
      </c>
      <c r="C2297" s="34" t="s">
        <v>84</v>
      </c>
      <c r="D2297" s="34" t="e" vm="7">
        <f>_xlfn.XLOOKUP(HistoricalStockProgress[[#This Row],[Company Ticker]],CompanyDetailsList[Company Ticker],CompanyDetailsList[Official Name],,0)</f>
        <v>#VALUE!</v>
      </c>
      <c r="E229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46</v>
      </c>
      <c r="F229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4792.320252277399</v>
      </c>
      <c r="G2297" s="17">
        <f>IFERROR(HistoricalStockProgress[[#This Row],[Cost of Shares]]/HistoricalStockProgress[[#This Row],[No. of Shares]],0)</f>
        <v>104.18087504950867</v>
      </c>
      <c r="H2297" s="16" vm="2733">
        <v>265.85000000000002</v>
      </c>
      <c r="I2297" s="16">
        <f>IF(HistoricalStockProgress[[#This Row],[No. of Shares]]&lt;&gt;0,HistoricalStockProgress[[#This Row],[Price of Shares]]*HistoricalStockProgress[[#This Row],[No. of Shares]],0)</f>
        <v>12229.1</v>
      </c>
      <c r="J2297" s="16">
        <f>IF(HistoricalStockProgress[[#This Row],[No. of Shares]]&lt;&gt;0,HistoricalStockProgress[[#This Row],[Price of Shares]]-HistoricalStockProgress[[#This Row],[Cost of Shares]]/HistoricalStockProgress[[#This Row],[No. of Shares]],0)</f>
        <v>161.66912495049135</v>
      </c>
      <c r="K2297" s="17">
        <f>IF(HistoricalStockProgress[[#This Row],[Total Price of Shares]]&lt;&gt;0,HistoricalStockProgress[[#This Row],[Total Price of Shares]]-HistoricalStockProgress[[#This Row],[Cost of Shares]],0)</f>
        <v>7436.7797477226013</v>
      </c>
      <c r="L2297" s="34" t="b" cm="1">
        <f t="array" ref="L2297">IFERROR(IF(HistoricalStockProgress[[#This Row],[Price of Shares]]="",_xlfn.STOCKHISTORY(HistoricalStockProgress[[#This Row],[Full Company Name]],HistoricalStockProgress[[#This Row],[Date]],,2,0,1)),0)</f>
        <v>0</v>
      </c>
      <c r="M2297" s="34">
        <f>YEAR(HistoricalStockProgress[[#This Row],[Date]])</f>
        <v>2026</v>
      </c>
      <c r="N2297" s="34">
        <f>MONTH(HistoricalStockProgress[[#This Row],[Date]])</f>
        <v>8</v>
      </c>
    </row>
    <row r="2298" spans="2:14">
      <c r="B2298" s="15">
        <v>46265</v>
      </c>
      <c r="C2298" s="34" t="s">
        <v>86</v>
      </c>
      <c r="D2298" s="34" t="e" vm="8">
        <f>_xlfn.XLOOKUP(HistoricalStockProgress[[#This Row],[Company Ticker]],CompanyDetailsList[Company Ticker],CompanyDetailsList[Official Name],,0)</f>
        <v>#VALUE!</v>
      </c>
      <c r="E229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229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2298" s="17">
        <f>IFERROR(HistoricalStockProgress[[#This Row],[Cost of Shares]]/HistoricalStockProgress[[#This Row],[No. of Shares]],0)</f>
        <v>115.48970647877745</v>
      </c>
      <c r="H2298" s="16" vm="2734">
        <v>256.42</v>
      </c>
      <c r="I2298" s="16">
        <f>IF(HistoricalStockProgress[[#This Row],[No. of Shares]]&lt;&gt;0,HistoricalStockProgress[[#This Row],[Price of Shares]]*HistoricalStockProgress[[#This Row],[No. of Shares]],0)</f>
        <v>38975.840000000004</v>
      </c>
      <c r="J2298" s="16">
        <f>IF(HistoricalStockProgress[[#This Row],[No. of Shares]]&lt;&gt;0,HistoricalStockProgress[[#This Row],[Price of Shares]]-HistoricalStockProgress[[#This Row],[Cost of Shares]]/HistoricalStockProgress[[#This Row],[No. of Shares]],0)</f>
        <v>140.93029352122255</v>
      </c>
      <c r="K2298" s="17">
        <f>IF(HistoricalStockProgress[[#This Row],[Total Price of Shares]]&lt;&gt;0,HistoricalStockProgress[[#This Row],[Total Price of Shares]]-HistoricalStockProgress[[#This Row],[Cost of Shares]],0)</f>
        <v>21421.404615225831</v>
      </c>
      <c r="L2298" s="34" t="b" cm="1">
        <f t="array" ref="L2298">IFERROR(IF(HistoricalStockProgress[[#This Row],[Price of Shares]]="",_xlfn.STOCKHISTORY(HistoricalStockProgress[[#This Row],[Full Company Name]],HistoricalStockProgress[[#This Row],[Date]],,2,0,1)),0)</f>
        <v>0</v>
      </c>
      <c r="M2298" s="34">
        <f>YEAR(HistoricalStockProgress[[#This Row],[Date]])</f>
        <v>2026</v>
      </c>
      <c r="N2298" s="34">
        <f>MONTH(HistoricalStockProgress[[#This Row],[Date]])</f>
        <v>8</v>
      </c>
    </row>
    <row r="2299" spans="2:14">
      <c r="B2299" s="15">
        <v>46265</v>
      </c>
      <c r="C2299" s="34" t="s">
        <v>88</v>
      </c>
      <c r="D2299" s="34" t="e" vm="9">
        <f>_xlfn.XLOOKUP(HistoricalStockProgress[[#This Row],[Company Ticker]],CompanyDetailsList[Company Ticker],CompanyDetailsList[Official Name],,0)</f>
        <v>#VALUE!</v>
      </c>
      <c r="E229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229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2299" s="17">
        <f>IFERROR(HistoricalStockProgress[[#This Row],[Cost of Shares]]/HistoricalStockProgress[[#This Row],[No. of Shares]],0)</f>
        <v>224.7272684493652</v>
      </c>
      <c r="H2299" s="16" vm="2735">
        <v>263.54000000000002</v>
      </c>
      <c r="I2299" s="16">
        <f>IF(HistoricalStockProgress[[#This Row],[No. of Shares]]&lt;&gt;0,HistoricalStockProgress[[#This Row],[Price of Shares]]*HistoricalStockProgress[[#This Row],[No. of Shares]],0)</f>
        <v>25036.300000000003</v>
      </c>
      <c r="J2299" s="16">
        <f>IF(HistoricalStockProgress[[#This Row],[No. of Shares]]&lt;&gt;0,HistoricalStockProgress[[#This Row],[Price of Shares]]-HistoricalStockProgress[[#This Row],[Cost of Shares]]/HistoricalStockProgress[[#This Row],[No. of Shares]],0)</f>
        <v>38.812731550634822</v>
      </c>
      <c r="K2299" s="17">
        <f>IF(HistoricalStockProgress[[#This Row],[Total Price of Shares]]&lt;&gt;0,HistoricalStockProgress[[#This Row],[Total Price of Shares]]-HistoricalStockProgress[[#This Row],[Cost of Shares]],0)</f>
        <v>3687.2094973103085</v>
      </c>
      <c r="L2299" s="34" t="b" cm="1">
        <f t="array" ref="L2299">IFERROR(IF(HistoricalStockProgress[[#This Row],[Price of Shares]]="",_xlfn.STOCKHISTORY(HistoricalStockProgress[[#This Row],[Full Company Name]],HistoricalStockProgress[[#This Row],[Date]],,2,0,1)),0)</f>
        <v>0</v>
      </c>
      <c r="M2299" s="34">
        <f>YEAR(HistoricalStockProgress[[#This Row],[Date]])</f>
        <v>2026</v>
      </c>
      <c r="N2299" s="34">
        <f>MONTH(HistoricalStockProgress[[#This Row],[Date]])</f>
        <v>8</v>
      </c>
    </row>
    <row r="2300" spans="2:14">
      <c r="B2300" s="15">
        <v>46265</v>
      </c>
      <c r="C2300" s="34" t="s">
        <v>22</v>
      </c>
      <c r="D2300" s="34" t="e" vm="10">
        <f>_xlfn.XLOOKUP(HistoricalStockProgress[[#This Row],[Company Ticker]],CompanyDetailsList[Company Ticker],CompanyDetailsList[Official Name],,0)</f>
        <v>#VALUE!</v>
      </c>
      <c r="E230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230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2300" s="17">
        <f>IFERROR(HistoricalStockProgress[[#This Row],[Cost of Shares]]/HistoricalStockProgress[[#This Row],[No. of Shares]],0)</f>
        <v>130.19784136724968</v>
      </c>
      <c r="H2300" s="16" vm="2736">
        <v>797.47</v>
      </c>
      <c r="I2300" s="16">
        <f>IF(HistoricalStockProgress[[#This Row],[No. of Shares]]&lt;&gt;0,HistoricalStockProgress[[#This Row],[Price of Shares]]*HistoricalStockProgress[[#This Row],[No. of Shares]],0)</f>
        <v>94898.930000000008</v>
      </c>
      <c r="J2300" s="16">
        <f>IF(HistoricalStockProgress[[#This Row],[No. of Shares]]&lt;&gt;0,HistoricalStockProgress[[#This Row],[Price of Shares]]-HistoricalStockProgress[[#This Row],[Cost of Shares]]/HistoricalStockProgress[[#This Row],[No. of Shares]],0)</f>
        <v>667.27215863275035</v>
      </c>
      <c r="K2300" s="17">
        <f>IF(HistoricalStockProgress[[#This Row],[Total Price of Shares]]&lt;&gt;0,HistoricalStockProgress[[#This Row],[Total Price of Shares]]-HistoricalStockProgress[[#This Row],[Cost of Shares]],0)</f>
        <v>79405.386877297293</v>
      </c>
      <c r="L2300" s="34" t="b" cm="1">
        <f t="array" ref="L2300">IFERROR(IF(HistoricalStockProgress[[#This Row],[Price of Shares]]="",_xlfn.STOCKHISTORY(HistoricalStockProgress[[#This Row],[Full Company Name]],HistoricalStockProgress[[#This Row],[Date]],,2,0,1)),0)</f>
        <v>0</v>
      </c>
      <c r="M2300" s="34">
        <f>YEAR(HistoricalStockProgress[[#This Row],[Date]])</f>
        <v>2026</v>
      </c>
      <c r="N2300" s="34">
        <f>MONTH(HistoricalStockProgress[[#This Row],[Date]])</f>
        <v>8</v>
      </c>
    </row>
    <row r="2301" spans="2:14">
      <c r="B2301" s="15">
        <v>46265</v>
      </c>
      <c r="C2301" s="34" t="s">
        <v>91</v>
      </c>
      <c r="D2301" s="34" t="e" vm="11">
        <f>_xlfn.XLOOKUP(HistoricalStockProgress[[#This Row],[Company Ticker]],CompanyDetailsList[Company Ticker],CompanyDetailsList[Official Name],,0)</f>
        <v>#VALUE!</v>
      </c>
      <c r="E230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203</v>
      </c>
      <c r="F230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37263.08408940176</v>
      </c>
      <c r="G2301" s="17">
        <f>IFERROR(HistoricalStockProgress[[#This Row],[Cost of Shares]]/HistoricalStockProgress[[#This Row],[No. of Shares]],0)</f>
        <v>183.56199058818601</v>
      </c>
      <c r="H2301" s="16" vm="2737">
        <v>507.29</v>
      </c>
      <c r="I2301" s="16">
        <f>IF(HistoricalStockProgress[[#This Row],[No. of Shares]]&lt;&gt;0,HistoricalStockProgress[[#This Row],[Price of Shares]]*HistoricalStockProgress[[#This Row],[No. of Shares]],0)</f>
        <v>102979.87000000001</v>
      </c>
      <c r="J2301" s="16">
        <f>IF(HistoricalStockProgress[[#This Row],[No. of Shares]]&lt;&gt;0,HistoricalStockProgress[[#This Row],[Price of Shares]]-HistoricalStockProgress[[#This Row],[Cost of Shares]]/HistoricalStockProgress[[#This Row],[No. of Shares]],0)</f>
        <v>323.72800941181401</v>
      </c>
      <c r="K2301" s="17">
        <f>IF(HistoricalStockProgress[[#This Row],[Total Price of Shares]]&lt;&gt;0,HistoricalStockProgress[[#This Row],[Total Price of Shares]]-HistoricalStockProgress[[#This Row],[Cost of Shares]],0)</f>
        <v>65716.78591059825</v>
      </c>
      <c r="L2301" s="34" t="b" cm="1">
        <f t="array" ref="L2301">IFERROR(IF(HistoricalStockProgress[[#This Row],[Price of Shares]]="",_xlfn.STOCKHISTORY(HistoricalStockProgress[[#This Row],[Full Company Name]],HistoricalStockProgress[[#This Row],[Date]],,2,0,1)),0)</f>
        <v>0</v>
      </c>
      <c r="M2301" s="34">
        <f>YEAR(HistoricalStockProgress[[#This Row],[Date]])</f>
        <v>2026</v>
      </c>
      <c r="N2301" s="34">
        <f>MONTH(HistoricalStockProgress[[#This Row],[Date]])</f>
        <v>8</v>
      </c>
    </row>
    <row r="2302" spans="2:14">
      <c r="B2302" s="15">
        <v>46265</v>
      </c>
      <c r="C2302" s="34" t="s">
        <v>16</v>
      </c>
      <c r="D2302" s="34" t="e" vm="12">
        <f>_xlfn.XLOOKUP(HistoricalStockProgress[[#This Row],[Company Ticker]],CompanyDetailsList[Company Ticker],CompanyDetailsList[Official Name],,0)</f>
        <v>#VALUE!</v>
      </c>
      <c r="E230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156</v>
      </c>
      <c r="F230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11718.360915660647</v>
      </c>
      <c r="G2302" s="17">
        <f>IFERROR(HistoricalStockProgress[[#This Row],[Cost of Shares]]/HistoricalStockProgress[[#This Row],[No. of Shares]],0)</f>
        <v>75.117698177311837</v>
      </c>
      <c r="H2302" s="16" vm="2738">
        <v>160.94999999999999</v>
      </c>
      <c r="I2302" s="16">
        <f>IF(HistoricalStockProgress[[#This Row],[No. of Shares]]&lt;&gt;0,HistoricalStockProgress[[#This Row],[Price of Shares]]*HistoricalStockProgress[[#This Row],[No. of Shares]],0)</f>
        <v>25108.199999999997</v>
      </c>
      <c r="J2302" s="16">
        <f>IF(HistoricalStockProgress[[#This Row],[No. of Shares]]&lt;&gt;0,HistoricalStockProgress[[#This Row],[Price of Shares]]-HistoricalStockProgress[[#This Row],[Cost of Shares]]/HistoricalStockProgress[[#This Row],[No. of Shares]],0)</f>
        <v>85.832301822688152</v>
      </c>
      <c r="K2302" s="17">
        <f>IF(HistoricalStockProgress[[#This Row],[Total Price of Shares]]&lt;&gt;0,HistoricalStockProgress[[#This Row],[Total Price of Shares]]-HistoricalStockProgress[[#This Row],[Cost of Shares]],0)</f>
        <v>13389.83908433935</v>
      </c>
      <c r="L2302" s="34" t="b" cm="1">
        <f t="array" ref="L2302">IFERROR(IF(HistoricalStockProgress[[#This Row],[Price of Shares]]="",_xlfn.STOCKHISTORY(HistoricalStockProgress[[#This Row],[Full Company Name]],HistoricalStockProgress[[#This Row],[Date]],,2,0,1)),0)</f>
        <v>0</v>
      </c>
      <c r="M2302" s="34">
        <f>YEAR(HistoricalStockProgress[[#This Row],[Date]])</f>
        <v>2026</v>
      </c>
      <c r="N2302" s="34">
        <f>MONTH(HistoricalStockProgress[[#This Row],[Date]])</f>
        <v>8</v>
      </c>
    </row>
    <row r="2303" spans="2:14">
      <c r="B2303" s="15">
        <v>46265</v>
      </c>
      <c r="C2303" s="34" t="s">
        <v>95</v>
      </c>
      <c r="D2303" s="34" t="e" vm="13">
        <f>_xlfn.XLOOKUP(HistoricalStockProgress[[#This Row],[Company Ticker]],CompanyDetailsList[Company Ticker],CompanyDetailsList[Official Name],,0)</f>
        <v>#VALUE!</v>
      </c>
      <c r="E230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157</v>
      </c>
      <c r="F230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43247.259149794598</v>
      </c>
      <c r="G2303" s="17">
        <f>IFERROR(HistoricalStockProgress[[#This Row],[Cost of Shares]]/HistoricalStockProgress[[#This Row],[No. of Shares]],0)</f>
        <v>275.46024936174905</v>
      </c>
      <c r="H2303" s="16" vm="2739">
        <v>327.83</v>
      </c>
      <c r="I2303" s="16">
        <f>IF(HistoricalStockProgress[[#This Row],[No. of Shares]]&lt;&gt;0,HistoricalStockProgress[[#This Row],[Price of Shares]]*HistoricalStockProgress[[#This Row],[No. of Shares]],0)</f>
        <v>51469.31</v>
      </c>
      <c r="J2303" s="16">
        <f>IF(HistoricalStockProgress[[#This Row],[No. of Shares]]&lt;&gt;0,HistoricalStockProgress[[#This Row],[Price of Shares]]-HistoricalStockProgress[[#This Row],[Cost of Shares]]/HistoricalStockProgress[[#This Row],[No. of Shares]],0)</f>
        <v>52.369750638250935</v>
      </c>
      <c r="K2303" s="17">
        <f>IF(HistoricalStockProgress[[#This Row],[Total Price of Shares]]&lt;&gt;0,HistoricalStockProgress[[#This Row],[Total Price of Shares]]-HistoricalStockProgress[[#This Row],[Cost of Shares]],0)</f>
        <v>8222.0508502053999</v>
      </c>
      <c r="L2303" s="34" t="b" cm="1">
        <f t="array" ref="L2303">IFERROR(IF(HistoricalStockProgress[[#This Row],[Price of Shares]]="",_xlfn.STOCKHISTORY(HistoricalStockProgress[[#This Row],[Full Company Name]],HistoricalStockProgress[[#This Row],[Date]],,2,0,1)),0)</f>
        <v>0</v>
      </c>
      <c r="M2303" s="34">
        <f>YEAR(HistoricalStockProgress[[#This Row],[Date]])</f>
        <v>2026</v>
      </c>
      <c r="N2303" s="34">
        <f>MONTH(HistoricalStockProgress[[#This Row],[Date]])</f>
        <v>8</v>
      </c>
    </row>
    <row r="2304" spans="2:14">
      <c r="B2304" s="15">
        <v>46265</v>
      </c>
      <c r="C2304" s="34" t="s">
        <v>17</v>
      </c>
      <c r="D2304" s="34" t="e" vm="14">
        <f>_xlfn.XLOOKUP(HistoricalStockProgress[[#This Row],[Company Ticker]],CompanyDetailsList[Company Ticker],CompanyDetailsList[Official Name],,0)</f>
        <v>#VALUE!</v>
      </c>
      <c r="E230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230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2304" s="17">
        <f>IFERROR(HistoricalStockProgress[[#This Row],[Cost of Shares]]/HistoricalStockProgress[[#This Row],[No. of Shares]],0)</f>
        <v>143.37791217450521</v>
      </c>
      <c r="H2304" s="16" vm="2740">
        <v>233.87</v>
      </c>
      <c r="I2304" s="16">
        <f>IF(HistoricalStockProgress[[#This Row],[No. of Shares]]&lt;&gt;0,HistoricalStockProgress[[#This Row],[Price of Shares]]*HistoricalStockProgress[[#This Row],[No. of Shares]],0)</f>
        <v>54023.97</v>
      </c>
      <c r="J2304" s="16">
        <f>IF(HistoricalStockProgress[[#This Row],[No. of Shares]]&lt;&gt;0,HistoricalStockProgress[[#This Row],[Price of Shares]]-HistoricalStockProgress[[#This Row],[Cost of Shares]]/HistoricalStockProgress[[#This Row],[No. of Shares]],0)</f>
        <v>90.492087825494792</v>
      </c>
      <c r="K2304" s="17">
        <f>IF(HistoricalStockProgress[[#This Row],[Total Price of Shares]]&lt;&gt;0,HistoricalStockProgress[[#This Row],[Total Price of Shares]]-HistoricalStockProgress[[#This Row],[Cost of Shares]],0)</f>
        <v>20903.672287689296</v>
      </c>
      <c r="L2304" s="34" t="b" cm="1">
        <f t="array" ref="L2304">IFERROR(IF(HistoricalStockProgress[[#This Row],[Price of Shares]]="",_xlfn.STOCKHISTORY(HistoricalStockProgress[[#This Row],[Full Company Name]],HistoricalStockProgress[[#This Row],[Date]],,2,0,1)),0)</f>
        <v>0</v>
      </c>
      <c r="M2304" s="34">
        <f>YEAR(HistoricalStockProgress[[#This Row],[Date]])</f>
        <v>2026</v>
      </c>
      <c r="N2304" s="34">
        <f>MONTH(HistoricalStockProgress[[#This Row],[Date]])</f>
        <v>8</v>
      </c>
    </row>
    <row r="2305" spans="2:14">
      <c r="B2305" s="15">
        <v>46265</v>
      </c>
      <c r="C2305" s="34" t="s">
        <v>98</v>
      </c>
      <c r="D2305" s="34" t="e" vm="15">
        <f>_xlfn.XLOOKUP(HistoricalStockProgress[[#This Row],[Company Ticker]],CompanyDetailsList[Company Ticker],CompanyDetailsList[Official Name],,0)</f>
        <v>#VALUE!</v>
      </c>
      <c r="E230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193</v>
      </c>
      <c r="F230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11397.772474019517</v>
      </c>
      <c r="G2305" s="17">
        <f>IFERROR(HistoricalStockProgress[[#This Row],[Cost of Shares]]/HistoricalStockProgress[[#This Row],[No. of Shares]],0)</f>
        <v>59.055815927562264</v>
      </c>
      <c r="H2305" s="16" vm="2741">
        <v>82.34</v>
      </c>
      <c r="I2305" s="16">
        <f>IF(HistoricalStockProgress[[#This Row],[No. of Shares]]&lt;&gt;0,HistoricalStockProgress[[#This Row],[Price of Shares]]*HistoricalStockProgress[[#This Row],[No. of Shares]],0)</f>
        <v>15891.62</v>
      </c>
      <c r="J2305" s="16">
        <f>IF(HistoricalStockProgress[[#This Row],[No. of Shares]]&lt;&gt;0,HistoricalStockProgress[[#This Row],[Price of Shares]]-HistoricalStockProgress[[#This Row],[Cost of Shares]]/HistoricalStockProgress[[#This Row],[No. of Shares]],0)</f>
        <v>23.284184072437739</v>
      </c>
      <c r="K2305" s="17">
        <f>IF(HistoricalStockProgress[[#This Row],[Total Price of Shares]]&lt;&gt;0,HistoricalStockProgress[[#This Row],[Total Price of Shares]]-HistoricalStockProgress[[#This Row],[Cost of Shares]],0)</f>
        <v>4493.8475259804836</v>
      </c>
      <c r="L2305" s="34" t="b" cm="1">
        <f t="array" ref="L2305">IFERROR(IF(HistoricalStockProgress[[#This Row],[Price of Shares]]="",_xlfn.STOCKHISTORY(HistoricalStockProgress[[#This Row],[Full Company Name]],HistoricalStockProgress[[#This Row],[Date]],,2,0,1)),0)</f>
        <v>0</v>
      </c>
      <c r="M2305" s="34">
        <f>YEAR(HistoricalStockProgress[[#This Row],[Date]])</f>
        <v>2026</v>
      </c>
      <c r="N2305" s="34">
        <f>MONTH(HistoricalStockProgress[[#This Row],[Date]])</f>
        <v>8</v>
      </c>
    </row>
    <row r="2306" spans="2:14">
      <c r="B2306" s="15">
        <v>46265</v>
      </c>
      <c r="C2306" s="34" t="s">
        <v>100</v>
      </c>
      <c r="D2306" s="34" t="e" vm="16">
        <f>_xlfn.XLOOKUP(HistoricalStockProgress[[#This Row],[Company Ticker]],CompanyDetailsList[Company Ticker],CompanyDetailsList[Official Name],,0)</f>
        <v>#VALUE!</v>
      </c>
      <c r="E230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230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2306" s="17">
        <f>IFERROR(HistoricalStockProgress[[#This Row],[Cost of Shares]]/HistoricalStockProgress[[#This Row],[No. of Shares]],0)</f>
        <v>92.156351168716071</v>
      </c>
      <c r="H2306" s="16" vm="2742">
        <v>119.91</v>
      </c>
      <c r="I2306" s="16">
        <f>IF(HistoricalStockProgress[[#This Row],[No. of Shares]]&lt;&gt;0,HistoricalStockProgress[[#This Row],[Price of Shares]]*HistoricalStockProgress[[#This Row],[No. of Shares]],0)</f>
        <v>29977.5</v>
      </c>
      <c r="J2306" s="16">
        <f>IF(HistoricalStockProgress[[#This Row],[No. of Shares]]&lt;&gt;0,HistoricalStockProgress[[#This Row],[Price of Shares]]-HistoricalStockProgress[[#This Row],[Cost of Shares]]/HistoricalStockProgress[[#This Row],[No. of Shares]],0)</f>
        <v>27.753648831283925</v>
      </c>
      <c r="K2306" s="17">
        <f>IF(HistoricalStockProgress[[#This Row],[Total Price of Shares]]&lt;&gt;0,HistoricalStockProgress[[#This Row],[Total Price of Shares]]-HistoricalStockProgress[[#This Row],[Cost of Shares]],0)</f>
        <v>6938.4122078209839</v>
      </c>
      <c r="L2306" s="34" t="b" cm="1">
        <f t="array" ref="L2306">IFERROR(IF(HistoricalStockProgress[[#This Row],[Price of Shares]]="",_xlfn.STOCKHISTORY(HistoricalStockProgress[[#This Row],[Full Company Name]],HistoricalStockProgress[[#This Row],[Date]],,2,0,1)),0)</f>
        <v>0</v>
      </c>
      <c r="M2306" s="34">
        <f>YEAR(HistoricalStockProgress[[#This Row],[Date]])</f>
        <v>2026</v>
      </c>
      <c r="N2306" s="34">
        <f>MONTH(HistoricalStockProgress[[#This Row],[Date]])</f>
        <v>8</v>
      </c>
    </row>
    <row r="2307" spans="2:14">
      <c r="B2307" s="15">
        <v>46265</v>
      </c>
      <c r="C2307" s="34" t="s">
        <v>15</v>
      </c>
      <c r="D2307" s="34" t="e" vm="17">
        <f>_xlfn.XLOOKUP(HistoricalStockProgress[[#This Row],[Company Ticker]],CompanyDetailsList[Company Ticker],CompanyDetailsList[Official Name],,0)</f>
        <v>#VALUE!</v>
      </c>
      <c r="E230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230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3479.0458726436</v>
      </c>
      <c r="G2307" s="17">
        <f>IFERROR(HistoricalStockProgress[[#This Row],[Cost of Shares]]/HistoricalStockProgress[[#This Row],[No. of Shares]],0)</f>
        <v>24.85032766174</v>
      </c>
      <c r="H2307" s="16" vm="2743">
        <v>25.89</v>
      </c>
      <c r="I2307" s="16">
        <f>IF(HistoricalStockProgress[[#This Row],[No. of Shares]]&lt;&gt;0,HistoricalStockProgress[[#This Row],[Price of Shares]]*HistoricalStockProgress[[#This Row],[No. of Shares]],0)</f>
        <v>3624.6</v>
      </c>
      <c r="J2307" s="16">
        <f>IF(HistoricalStockProgress[[#This Row],[No. of Shares]]&lt;&gt;0,HistoricalStockProgress[[#This Row],[Price of Shares]]-HistoricalStockProgress[[#This Row],[Cost of Shares]]/HistoricalStockProgress[[#This Row],[No. of Shares]],0)</f>
        <v>1.0396723382600008</v>
      </c>
      <c r="K2307" s="17">
        <f>IF(HistoricalStockProgress[[#This Row],[Total Price of Shares]]&lt;&gt;0,HistoricalStockProgress[[#This Row],[Total Price of Shares]]-HistoricalStockProgress[[#This Row],[Cost of Shares]],0)</f>
        <v>145.55412735639993</v>
      </c>
      <c r="L2307" s="34" t="b" cm="1">
        <f t="array" ref="L2307">IFERROR(IF(HistoricalStockProgress[[#This Row],[Price of Shares]]="",_xlfn.STOCKHISTORY(HistoricalStockProgress[[#This Row],[Full Company Name]],HistoricalStockProgress[[#This Row],[Date]],,2,0,1)),0)</f>
        <v>0</v>
      </c>
      <c r="M2307" s="34">
        <f>YEAR(HistoricalStockProgress[[#This Row],[Date]])</f>
        <v>2026</v>
      </c>
      <c r="N2307" s="34">
        <f>MONTH(HistoricalStockProgress[[#This Row],[Date]])</f>
        <v>8</v>
      </c>
    </row>
    <row r="2308" spans="2:14">
      <c r="B2308" s="15">
        <v>46265</v>
      </c>
      <c r="C2308" s="34" t="s">
        <v>13</v>
      </c>
      <c r="D2308" s="34" t="e" vm="18">
        <f>_xlfn.XLOOKUP(HistoricalStockProgress[[#This Row],[Company Ticker]],CompanyDetailsList[Company Ticker],CompanyDetailsList[Official Name],,0)</f>
        <v>#VALUE!</v>
      </c>
      <c r="E230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230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3394.2551594478332</v>
      </c>
      <c r="G2308" s="17">
        <f>IFERROR(HistoricalStockProgress[[#This Row],[Cost of Shares]]/HistoricalStockProgress[[#This Row],[No. of Shares]],0)</f>
        <v>32.021275089130505</v>
      </c>
      <c r="H2308" s="16" vm="2744">
        <v>28.46</v>
      </c>
      <c r="I2308" s="16">
        <f>IF(HistoricalStockProgress[[#This Row],[No. of Shares]]&lt;&gt;0,HistoricalStockProgress[[#This Row],[Price of Shares]]*HistoricalStockProgress[[#This Row],[No. of Shares]],0)</f>
        <v>3016.76</v>
      </c>
      <c r="J2308" s="16">
        <f>IF(HistoricalStockProgress[[#This Row],[No. of Shares]]&lt;&gt;0,HistoricalStockProgress[[#This Row],[Price of Shares]]-HistoricalStockProgress[[#This Row],[Cost of Shares]]/HistoricalStockProgress[[#This Row],[No. of Shares]],0)</f>
        <v>-3.5612750891305041</v>
      </c>
      <c r="K2308" s="17">
        <f>IF(HistoricalStockProgress[[#This Row],[Total Price of Shares]]&lt;&gt;0,HistoricalStockProgress[[#This Row],[Total Price of Shares]]-HistoricalStockProgress[[#This Row],[Cost of Shares]],0)</f>
        <v>-377.49515944783298</v>
      </c>
      <c r="L2308" s="34" t="b" cm="1">
        <f t="array" ref="L2308">IFERROR(IF(HistoricalStockProgress[[#This Row],[Price of Shares]]="",_xlfn.STOCKHISTORY(HistoricalStockProgress[[#This Row],[Full Company Name]],HistoricalStockProgress[[#This Row],[Date]],,2,0,1)),0)</f>
        <v>0</v>
      </c>
      <c r="M2308" s="34">
        <f>YEAR(HistoricalStockProgress[[#This Row],[Date]])</f>
        <v>2026</v>
      </c>
      <c r="N2308" s="34">
        <f>MONTH(HistoricalStockProgress[[#This Row],[Date]])</f>
        <v>8</v>
      </c>
    </row>
    <row r="2309" spans="2:14">
      <c r="B2309" s="15">
        <v>46265</v>
      </c>
      <c r="C2309" s="34" t="s">
        <v>20</v>
      </c>
      <c r="D2309" s="34" t="e" vm="19">
        <f>_xlfn.XLOOKUP(HistoricalStockProgress[[#This Row],[Company Ticker]],CompanyDetailsList[Company Ticker],CompanyDetailsList[Official Name],,0)</f>
        <v>#VALUE!</v>
      </c>
      <c r="E230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230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2309" s="17">
        <f>IFERROR(HistoricalStockProgress[[#This Row],[Cost of Shares]]/HistoricalStockProgress[[#This Row],[No. of Shares]],0)</f>
        <v>108.1760767450256</v>
      </c>
      <c r="H2309" s="16" vm="2745">
        <v>356.02</v>
      </c>
      <c r="I2309" s="16">
        <f>IF(HistoricalStockProgress[[#This Row],[No. of Shares]]&lt;&gt;0,HistoricalStockProgress[[#This Row],[Price of Shares]]*HistoricalStockProgress[[#This Row],[No. of Shares]],0)</f>
        <v>41298.32</v>
      </c>
      <c r="J2309" s="16">
        <f>IF(HistoricalStockProgress[[#This Row],[No. of Shares]]&lt;&gt;0,HistoricalStockProgress[[#This Row],[Price of Shares]]-HistoricalStockProgress[[#This Row],[Cost of Shares]]/HistoricalStockProgress[[#This Row],[No. of Shares]],0)</f>
        <v>247.84392325497438</v>
      </c>
      <c r="K2309" s="17">
        <f>IF(HistoricalStockProgress[[#This Row],[Total Price of Shares]]&lt;&gt;0,HistoricalStockProgress[[#This Row],[Total Price of Shares]]-HistoricalStockProgress[[#This Row],[Cost of Shares]],0)</f>
        <v>28749.895097577031</v>
      </c>
      <c r="L2309" s="34" t="b" cm="1">
        <f t="array" ref="L2309">IFERROR(IF(HistoricalStockProgress[[#This Row],[Price of Shares]]="",_xlfn.STOCKHISTORY(HistoricalStockProgress[[#This Row],[Full Company Name]],HistoricalStockProgress[[#This Row],[Date]],,2,0,1)),0)</f>
        <v>0</v>
      </c>
      <c r="M2309" s="34">
        <f>YEAR(HistoricalStockProgress[[#This Row],[Date]])</f>
        <v>2026</v>
      </c>
      <c r="N2309" s="34">
        <f>MONTH(HistoricalStockProgress[[#This Row],[Date]])</f>
        <v>8</v>
      </c>
    </row>
    <row r="2310" spans="2:14">
      <c r="B2310" s="15">
        <v>46265</v>
      </c>
      <c r="C2310" s="34" t="s">
        <v>106</v>
      </c>
      <c r="D2310" s="34" t="e" vm="20">
        <f>_xlfn.XLOOKUP(HistoricalStockProgress[[#This Row],[Company Ticker]],CompanyDetailsList[Company Ticker],CompanyDetailsList[Official Name],,0)</f>
        <v>#VALUE!</v>
      </c>
      <c r="E231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231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8575.3478914575226</v>
      </c>
      <c r="G2310" s="17">
        <f>IFERROR(HistoricalStockProgress[[#This Row],[Cost of Shares]]/HistoricalStockProgress[[#This Row],[No. of Shares]],0)</f>
        <v>108.54870748680408</v>
      </c>
      <c r="H2310" s="16" vm="2746">
        <v>112.17</v>
      </c>
      <c r="I2310" s="16">
        <f>IF(HistoricalStockProgress[[#This Row],[No. of Shares]]&lt;&gt;0,HistoricalStockProgress[[#This Row],[Price of Shares]]*HistoricalStockProgress[[#This Row],[No. of Shares]],0)</f>
        <v>8861.43</v>
      </c>
      <c r="J2310" s="16">
        <f>IF(HistoricalStockProgress[[#This Row],[No. of Shares]]&lt;&gt;0,HistoricalStockProgress[[#This Row],[Price of Shares]]-HistoricalStockProgress[[#This Row],[Cost of Shares]]/HistoricalStockProgress[[#This Row],[No. of Shares]],0)</f>
        <v>3.6212925131959253</v>
      </c>
      <c r="K2310" s="17">
        <f>IF(HistoricalStockProgress[[#This Row],[Total Price of Shares]]&lt;&gt;0,HistoricalStockProgress[[#This Row],[Total Price of Shares]]-HistoricalStockProgress[[#This Row],[Cost of Shares]],0)</f>
        <v>286.08210854247773</v>
      </c>
      <c r="L2310" s="34" t="b" cm="1">
        <f t="array" ref="L2310">IFERROR(IF(HistoricalStockProgress[[#This Row],[Price of Shares]]="",_xlfn.STOCKHISTORY(HistoricalStockProgress[[#This Row],[Full Company Name]],HistoricalStockProgress[[#This Row],[Date]],,2,0,1)),0)</f>
        <v>0</v>
      </c>
      <c r="M2310" s="34">
        <f>YEAR(HistoricalStockProgress[[#This Row],[Date]])</f>
        <v>2026</v>
      </c>
      <c r="N2310" s="34">
        <f>MONTH(HistoricalStockProgress[[#This Row],[Date]])</f>
        <v>8</v>
      </c>
    </row>
    <row r="2311" spans="2:14">
      <c r="B2311" s="15">
        <v>46295</v>
      </c>
      <c r="C2311" s="34" t="s">
        <v>12</v>
      </c>
      <c r="D2311" s="34" t="e" vm="1">
        <f>_xlfn.XLOOKUP(HistoricalStockProgress[[#This Row],[Company Ticker]],CompanyDetailsList[Company Ticker],CompanyDetailsList[Official Name],,0)</f>
        <v>#VALUE!</v>
      </c>
      <c r="E231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231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2311" s="17">
        <f>IFERROR(HistoricalStockProgress[[#This Row],[Cost of Shares]]/HistoricalStockProgress[[#This Row],[No. of Shares]],0)</f>
        <v>64.573985995316889</v>
      </c>
      <c r="H2311" s="16" vm="2747">
        <v>54.3</v>
      </c>
      <c r="I2311" s="16">
        <f>IF(HistoricalStockProgress[[#This Row],[No. of Shares]]&lt;&gt;0,HistoricalStockProgress[[#This Row],[Price of Shares]]*HistoricalStockProgress[[#This Row],[No. of Shares]],0)</f>
        <v>5267.0999999999995</v>
      </c>
      <c r="J2311" s="16">
        <f>IF(HistoricalStockProgress[[#This Row],[No. of Shares]]&lt;&gt;0,HistoricalStockProgress[[#This Row],[Price of Shares]]-HistoricalStockProgress[[#This Row],[Cost of Shares]]/HistoricalStockProgress[[#This Row],[No. of Shares]],0)</f>
        <v>-10.273985995316892</v>
      </c>
      <c r="K2311" s="17">
        <f>IF(HistoricalStockProgress[[#This Row],[Total Price of Shares]]&lt;&gt;0,HistoricalStockProgress[[#This Row],[Total Price of Shares]]-HistoricalStockProgress[[#This Row],[Cost of Shares]],0)</f>
        <v>-996.57664154573831</v>
      </c>
      <c r="L2311" s="34" t="b" cm="1">
        <f t="array" ref="L2311">IFERROR(IF(HistoricalStockProgress[[#This Row],[Price of Shares]]="",_xlfn.STOCKHISTORY(HistoricalStockProgress[[#This Row],[Full Company Name]],HistoricalStockProgress[[#This Row],[Date]],,2,0,1)),0)</f>
        <v>0</v>
      </c>
      <c r="M2311" s="34">
        <f>YEAR(HistoricalStockProgress[[#This Row],[Date]])</f>
        <v>2026</v>
      </c>
      <c r="N2311" s="34">
        <f>MONTH(HistoricalStockProgress[[#This Row],[Date]])</f>
        <v>9</v>
      </c>
    </row>
    <row r="2312" spans="2:14">
      <c r="B2312" s="15">
        <v>46295</v>
      </c>
      <c r="C2312" s="34" t="s">
        <v>14</v>
      </c>
      <c r="D2312" s="34" t="e" vm="2">
        <f>_xlfn.XLOOKUP(HistoricalStockProgress[[#This Row],[Company Ticker]],CompanyDetailsList[Company Ticker],CompanyDetailsList[Official Name],,0)</f>
        <v>#VALUE!</v>
      </c>
      <c r="E231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231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2312" s="17">
        <f>IFERROR(HistoricalStockProgress[[#This Row],[Cost of Shares]]/HistoricalStockProgress[[#This Row],[No. of Shares]],0)</f>
        <v>26.819337355148658</v>
      </c>
      <c r="H2312" s="16" vm="2748">
        <v>29.27</v>
      </c>
      <c r="I2312" s="16">
        <f>IF(HistoricalStockProgress[[#This Row],[No. of Shares]]&lt;&gt;0,HistoricalStockProgress[[#This Row],[Price of Shares]]*HistoricalStockProgress[[#This Row],[No. of Shares]],0)</f>
        <v>1844.01</v>
      </c>
      <c r="J2312" s="16">
        <f>IF(HistoricalStockProgress[[#This Row],[No. of Shares]]&lt;&gt;0,HistoricalStockProgress[[#This Row],[Price of Shares]]-HistoricalStockProgress[[#This Row],[Cost of Shares]]/HistoricalStockProgress[[#This Row],[No. of Shares]],0)</f>
        <v>2.4506626448513416</v>
      </c>
      <c r="K2312" s="17">
        <f>IF(HistoricalStockProgress[[#This Row],[Total Price of Shares]]&lt;&gt;0,HistoricalStockProgress[[#This Row],[Total Price of Shares]]-HistoricalStockProgress[[#This Row],[Cost of Shares]],0)</f>
        <v>154.3917466256346</v>
      </c>
      <c r="L2312" s="34" t="b" cm="1">
        <f t="array" ref="L2312">IFERROR(IF(HistoricalStockProgress[[#This Row],[Price of Shares]]="",_xlfn.STOCKHISTORY(HistoricalStockProgress[[#This Row],[Full Company Name]],HistoricalStockProgress[[#This Row],[Date]],,2,0,1)),0)</f>
        <v>0</v>
      </c>
      <c r="M2312" s="34">
        <f>YEAR(HistoricalStockProgress[[#This Row],[Date]])</f>
        <v>2026</v>
      </c>
      <c r="N2312" s="34">
        <f>MONTH(HistoricalStockProgress[[#This Row],[Date]])</f>
        <v>9</v>
      </c>
    </row>
    <row r="2313" spans="2:14">
      <c r="B2313" s="15">
        <v>46295</v>
      </c>
      <c r="C2313" s="34" t="s">
        <v>19</v>
      </c>
      <c r="D2313" s="34" t="e" vm="3">
        <f>_xlfn.XLOOKUP(HistoricalStockProgress[[#This Row],[Company Ticker]],CompanyDetailsList[Company Ticker],CompanyDetailsList[Official Name],,0)</f>
        <v>#VALUE!</v>
      </c>
      <c r="E231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231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2313" s="17">
        <f>IFERROR(HistoricalStockProgress[[#This Row],[Cost of Shares]]/HistoricalStockProgress[[#This Row],[No. of Shares]],0)</f>
        <v>160.12652821044301</v>
      </c>
      <c r="H2313" s="16" vm="2749">
        <v>81.010000000000005</v>
      </c>
      <c r="I2313" s="16">
        <f>IF(HistoricalStockProgress[[#This Row],[No. of Shares]]&lt;&gt;0,HistoricalStockProgress[[#This Row],[Price of Shares]]*HistoricalStockProgress[[#This Row],[No. of Shares]],0)</f>
        <v>6966.8600000000006</v>
      </c>
      <c r="J2313" s="16">
        <f>IF(HistoricalStockProgress[[#This Row],[No. of Shares]]&lt;&gt;0,HistoricalStockProgress[[#This Row],[Price of Shares]]-HistoricalStockProgress[[#This Row],[Cost of Shares]]/HistoricalStockProgress[[#This Row],[No. of Shares]],0)</f>
        <v>-79.116528210443008</v>
      </c>
      <c r="K2313" s="17">
        <f>IF(HistoricalStockProgress[[#This Row],[Total Price of Shares]]&lt;&gt;0,HistoricalStockProgress[[#This Row],[Total Price of Shares]]-HistoricalStockProgress[[#This Row],[Cost of Shares]],0)</f>
        <v>-6804.0214260980974</v>
      </c>
      <c r="L2313" s="34" t="b" cm="1">
        <f t="array" ref="L2313">IFERROR(IF(HistoricalStockProgress[[#This Row],[Price of Shares]]="",_xlfn.STOCKHISTORY(HistoricalStockProgress[[#This Row],[Full Company Name]],HistoricalStockProgress[[#This Row],[Date]],,2,0,1)),0)</f>
        <v>0</v>
      </c>
      <c r="M2313" s="34">
        <f>YEAR(HistoricalStockProgress[[#This Row],[Date]])</f>
        <v>2026</v>
      </c>
      <c r="N2313" s="34">
        <f>MONTH(HistoricalStockProgress[[#This Row],[Date]])</f>
        <v>9</v>
      </c>
    </row>
    <row r="2314" spans="2:14">
      <c r="B2314" s="15">
        <v>46295</v>
      </c>
      <c r="C2314" s="34" t="s">
        <v>23</v>
      </c>
      <c r="D2314" s="34" t="e" vm="4">
        <f>_xlfn.XLOOKUP(HistoricalStockProgress[[#This Row],[Company Ticker]],CompanyDetailsList[Company Ticker],CompanyDetailsList[Official Name],,0)</f>
        <v>#VALUE!</v>
      </c>
      <c r="E231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231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5636.7217732526415</v>
      </c>
      <c r="G2314" s="17">
        <f>IFERROR(HistoricalStockProgress[[#This Row],[Cost of Shares]]/HistoricalStockProgress[[#This Row],[No. of Shares]],0)</f>
        <v>50.781277236510284</v>
      </c>
      <c r="H2314" s="16" vm="2750">
        <v>86.08</v>
      </c>
      <c r="I2314" s="16">
        <f>IF(HistoricalStockProgress[[#This Row],[No. of Shares]]&lt;&gt;0,HistoricalStockProgress[[#This Row],[Price of Shares]]*HistoricalStockProgress[[#This Row],[No. of Shares]],0)</f>
        <v>9554.8799999999992</v>
      </c>
      <c r="J2314" s="16">
        <f>IF(HistoricalStockProgress[[#This Row],[No. of Shares]]&lt;&gt;0,HistoricalStockProgress[[#This Row],[Price of Shares]]-HistoricalStockProgress[[#This Row],[Cost of Shares]]/HistoricalStockProgress[[#This Row],[No. of Shares]],0)</f>
        <v>35.298722763489714</v>
      </c>
      <c r="K2314" s="17">
        <f>IF(HistoricalStockProgress[[#This Row],[Total Price of Shares]]&lt;&gt;0,HistoricalStockProgress[[#This Row],[Total Price of Shares]]-HistoricalStockProgress[[#This Row],[Cost of Shares]],0)</f>
        <v>3918.1582267473577</v>
      </c>
      <c r="L2314" s="34" t="b" cm="1">
        <f t="array" ref="L2314">IFERROR(IF(HistoricalStockProgress[[#This Row],[Price of Shares]]="",_xlfn.STOCKHISTORY(HistoricalStockProgress[[#This Row],[Full Company Name]],HistoricalStockProgress[[#This Row],[Date]],,2,0,1)),0)</f>
        <v>0</v>
      </c>
      <c r="M2314" s="34">
        <f>YEAR(HistoricalStockProgress[[#This Row],[Date]])</f>
        <v>2026</v>
      </c>
      <c r="N2314" s="34">
        <f>MONTH(HistoricalStockProgress[[#This Row],[Date]])</f>
        <v>9</v>
      </c>
    </row>
    <row r="2315" spans="2:14">
      <c r="B2315" s="15">
        <v>46295</v>
      </c>
      <c r="C2315" s="34" t="s">
        <v>18</v>
      </c>
      <c r="D2315" s="34" t="e" vm="5">
        <f>_xlfn.XLOOKUP(HistoricalStockProgress[[#This Row],[Company Ticker]],CompanyDetailsList[Company Ticker],CompanyDetailsList[Official Name],,0)</f>
        <v>#VALUE!</v>
      </c>
      <c r="E231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231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2315" s="17">
        <f>IFERROR(HistoricalStockProgress[[#This Row],[Cost of Shares]]/HistoricalStockProgress[[#This Row],[No. of Shares]],0)</f>
        <v>160.8859607546234</v>
      </c>
      <c r="H2315" s="16" vm="2751">
        <v>126.72</v>
      </c>
      <c r="I2315" s="16">
        <f>IF(HistoricalStockProgress[[#This Row],[No. of Shares]]&lt;&gt;0,HistoricalStockProgress[[#This Row],[Price of Shares]]*HistoricalStockProgress[[#This Row],[No. of Shares]],0)</f>
        <v>5448.96</v>
      </c>
      <c r="J2315" s="16">
        <f>IF(HistoricalStockProgress[[#This Row],[No. of Shares]]&lt;&gt;0,HistoricalStockProgress[[#This Row],[Price of Shares]]-HistoricalStockProgress[[#This Row],[Cost of Shares]]/HistoricalStockProgress[[#This Row],[No. of Shares]],0)</f>
        <v>-34.165960754623399</v>
      </c>
      <c r="K2315" s="17">
        <f>IF(HistoricalStockProgress[[#This Row],[Total Price of Shares]]&lt;&gt;0,HistoricalStockProgress[[#This Row],[Total Price of Shares]]-HistoricalStockProgress[[#This Row],[Cost of Shares]],0)</f>
        <v>-1469.1363124488062</v>
      </c>
      <c r="L2315" s="34" t="b" cm="1">
        <f t="array" ref="L2315">IFERROR(IF(HistoricalStockProgress[[#This Row],[Price of Shares]]="",_xlfn.STOCKHISTORY(HistoricalStockProgress[[#This Row],[Full Company Name]],HistoricalStockProgress[[#This Row],[Date]],,2,0,1)),0)</f>
        <v>0</v>
      </c>
      <c r="M2315" s="34">
        <f>YEAR(HistoricalStockProgress[[#This Row],[Date]])</f>
        <v>2026</v>
      </c>
      <c r="N2315" s="34">
        <f>MONTH(HistoricalStockProgress[[#This Row],[Date]])</f>
        <v>9</v>
      </c>
    </row>
    <row r="2316" spans="2:14">
      <c r="B2316" s="15">
        <v>46295</v>
      </c>
      <c r="C2316" s="34" t="s">
        <v>21</v>
      </c>
      <c r="D2316" s="34" t="e" vm="6">
        <f>_xlfn.XLOOKUP(HistoricalStockProgress[[#This Row],[Company Ticker]],CompanyDetailsList[Company Ticker],CompanyDetailsList[Official Name],,0)</f>
        <v>#VALUE!</v>
      </c>
      <c r="E231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84</v>
      </c>
      <c r="F231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12738.215402497406</v>
      </c>
      <c r="G2316" s="17">
        <f>IFERROR(HistoricalStockProgress[[#This Row],[Cost of Shares]]/HistoricalStockProgress[[#This Row],[No. of Shares]],0)</f>
        <v>151.64542145830245</v>
      </c>
      <c r="H2316" s="16" vm="2752">
        <v>145.28</v>
      </c>
      <c r="I2316" s="16">
        <f>IF(HistoricalStockProgress[[#This Row],[No. of Shares]]&lt;&gt;0,HistoricalStockProgress[[#This Row],[Price of Shares]]*HistoricalStockProgress[[#This Row],[No. of Shares]],0)</f>
        <v>12203.52</v>
      </c>
      <c r="J2316" s="16">
        <f>IF(HistoricalStockProgress[[#This Row],[No. of Shares]]&lt;&gt;0,HistoricalStockProgress[[#This Row],[Price of Shares]]-HistoricalStockProgress[[#This Row],[Cost of Shares]]/HistoricalStockProgress[[#This Row],[No. of Shares]],0)</f>
        <v>-6.3654214583024498</v>
      </c>
      <c r="K2316" s="17">
        <f>IF(HistoricalStockProgress[[#This Row],[Total Price of Shares]]&lt;&gt;0,HistoricalStockProgress[[#This Row],[Total Price of Shares]]-HistoricalStockProgress[[#This Row],[Cost of Shares]],0)</f>
        <v>-534.69540249740567</v>
      </c>
      <c r="L2316" s="34" t="b" cm="1">
        <f t="array" ref="L2316">IFERROR(IF(HistoricalStockProgress[[#This Row],[Price of Shares]]="",_xlfn.STOCKHISTORY(HistoricalStockProgress[[#This Row],[Full Company Name]],HistoricalStockProgress[[#This Row],[Date]],,2,0,1)),0)</f>
        <v>0</v>
      </c>
      <c r="M2316" s="34">
        <f>YEAR(HistoricalStockProgress[[#This Row],[Date]])</f>
        <v>2026</v>
      </c>
      <c r="N2316" s="34">
        <f>MONTH(HistoricalStockProgress[[#This Row],[Date]])</f>
        <v>9</v>
      </c>
    </row>
    <row r="2317" spans="2:14">
      <c r="B2317" s="15">
        <v>46295</v>
      </c>
      <c r="C2317" s="34" t="s">
        <v>84</v>
      </c>
      <c r="D2317" s="34" t="e" vm="7">
        <f>_xlfn.XLOOKUP(HistoricalStockProgress[[#This Row],[Company Ticker]],CompanyDetailsList[Company Ticker],CompanyDetailsList[Official Name],,0)</f>
        <v>#VALUE!</v>
      </c>
      <c r="E231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46</v>
      </c>
      <c r="F231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4792.320252277399</v>
      </c>
      <c r="G2317" s="17">
        <f>IFERROR(HistoricalStockProgress[[#This Row],[Cost of Shares]]/HistoricalStockProgress[[#This Row],[No. of Shares]],0)</f>
        <v>104.18087504950867</v>
      </c>
      <c r="H2317" s="16" vm="2753">
        <v>264.74</v>
      </c>
      <c r="I2317" s="16">
        <f>IF(HistoricalStockProgress[[#This Row],[No. of Shares]]&lt;&gt;0,HistoricalStockProgress[[#This Row],[Price of Shares]]*HistoricalStockProgress[[#This Row],[No. of Shares]],0)</f>
        <v>12178.04</v>
      </c>
      <c r="J2317" s="16">
        <f>IF(HistoricalStockProgress[[#This Row],[No. of Shares]]&lt;&gt;0,HistoricalStockProgress[[#This Row],[Price of Shares]]-HistoricalStockProgress[[#This Row],[Cost of Shares]]/HistoricalStockProgress[[#This Row],[No. of Shares]],0)</f>
        <v>160.55912495049134</v>
      </c>
      <c r="K2317" s="17">
        <f>IF(HistoricalStockProgress[[#This Row],[Total Price of Shares]]&lt;&gt;0,HistoricalStockProgress[[#This Row],[Total Price of Shares]]-HistoricalStockProgress[[#This Row],[Cost of Shares]],0)</f>
        <v>7385.7197477226018</v>
      </c>
      <c r="L2317" s="34" t="b" cm="1">
        <f t="array" ref="L2317">IFERROR(IF(HistoricalStockProgress[[#This Row],[Price of Shares]]="",_xlfn.STOCKHISTORY(HistoricalStockProgress[[#This Row],[Full Company Name]],HistoricalStockProgress[[#This Row],[Date]],,2,0,1)),0)</f>
        <v>0</v>
      </c>
      <c r="M2317" s="34">
        <f>YEAR(HistoricalStockProgress[[#This Row],[Date]])</f>
        <v>2026</v>
      </c>
      <c r="N2317" s="34">
        <f>MONTH(HistoricalStockProgress[[#This Row],[Date]])</f>
        <v>9</v>
      </c>
    </row>
    <row r="2318" spans="2:14">
      <c r="B2318" s="15">
        <v>46295</v>
      </c>
      <c r="C2318" s="34" t="s">
        <v>86</v>
      </c>
      <c r="D2318" s="34" t="e" vm="8">
        <f>_xlfn.XLOOKUP(HistoricalStockProgress[[#This Row],[Company Ticker]],CompanyDetailsList[Company Ticker],CompanyDetailsList[Official Name],,0)</f>
        <v>#VALUE!</v>
      </c>
      <c r="E231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231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2318" s="17">
        <f>IFERROR(HistoricalStockProgress[[#This Row],[Cost of Shares]]/HistoricalStockProgress[[#This Row],[No. of Shares]],0)</f>
        <v>115.48970647877745</v>
      </c>
      <c r="H2318" s="16" vm="2754">
        <v>261.58999999999997</v>
      </c>
      <c r="I2318" s="16">
        <f>IF(HistoricalStockProgress[[#This Row],[No. of Shares]]&lt;&gt;0,HistoricalStockProgress[[#This Row],[Price of Shares]]*HistoricalStockProgress[[#This Row],[No. of Shares]],0)</f>
        <v>39761.679999999993</v>
      </c>
      <c r="J2318" s="16">
        <f>IF(HistoricalStockProgress[[#This Row],[No. of Shares]]&lt;&gt;0,HistoricalStockProgress[[#This Row],[Price of Shares]]-HistoricalStockProgress[[#This Row],[Cost of Shares]]/HistoricalStockProgress[[#This Row],[No. of Shares]],0)</f>
        <v>146.10029352122251</v>
      </c>
      <c r="K2318" s="17">
        <f>IF(HistoricalStockProgress[[#This Row],[Total Price of Shares]]&lt;&gt;0,HistoricalStockProgress[[#This Row],[Total Price of Shares]]-HistoricalStockProgress[[#This Row],[Cost of Shares]],0)</f>
        <v>22207.24461522582</v>
      </c>
      <c r="L2318" s="34" t="b" cm="1">
        <f t="array" ref="L2318">IFERROR(IF(HistoricalStockProgress[[#This Row],[Price of Shares]]="",_xlfn.STOCKHISTORY(HistoricalStockProgress[[#This Row],[Full Company Name]],HistoricalStockProgress[[#This Row],[Date]],,2,0,1)),0)</f>
        <v>0</v>
      </c>
      <c r="M2318" s="34">
        <f>YEAR(HistoricalStockProgress[[#This Row],[Date]])</f>
        <v>2026</v>
      </c>
      <c r="N2318" s="34">
        <f>MONTH(HistoricalStockProgress[[#This Row],[Date]])</f>
        <v>9</v>
      </c>
    </row>
    <row r="2319" spans="2:14">
      <c r="B2319" s="15">
        <v>46295</v>
      </c>
      <c r="C2319" s="34" t="s">
        <v>88</v>
      </c>
      <c r="D2319" s="34" t="e" vm="9">
        <f>_xlfn.XLOOKUP(HistoricalStockProgress[[#This Row],[Company Ticker]],CompanyDetailsList[Company Ticker],CompanyDetailsList[Official Name],,0)</f>
        <v>#VALUE!</v>
      </c>
      <c r="E231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231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2319" s="17">
        <f>IFERROR(HistoricalStockProgress[[#This Row],[Cost of Shares]]/HistoricalStockProgress[[#This Row],[No. of Shares]],0)</f>
        <v>224.7272684493652</v>
      </c>
      <c r="H2319" s="16" vm="2755">
        <v>230.94</v>
      </c>
      <c r="I2319" s="16">
        <f>IF(HistoricalStockProgress[[#This Row],[No. of Shares]]&lt;&gt;0,HistoricalStockProgress[[#This Row],[Price of Shares]]*HistoricalStockProgress[[#This Row],[No. of Shares]],0)</f>
        <v>21939.3</v>
      </c>
      <c r="J2319" s="16">
        <f>IF(HistoricalStockProgress[[#This Row],[No. of Shares]]&lt;&gt;0,HistoricalStockProgress[[#This Row],[Price of Shares]]-HistoricalStockProgress[[#This Row],[Cost of Shares]]/HistoricalStockProgress[[#This Row],[No. of Shares]],0)</f>
        <v>6.2127315506347998</v>
      </c>
      <c r="K2319" s="17">
        <f>IF(HistoricalStockProgress[[#This Row],[Total Price of Shares]]&lt;&gt;0,HistoricalStockProgress[[#This Row],[Total Price of Shares]]-HistoricalStockProgress[[#This Row],[Cost of Shares]],0)</f>
        <v>590.20949731030487</v>
      </c>
      <c r="L2319" s="34" t="b" cm="1">
        <f t="array" ref="L2319">IFERROR(IF(HistoricalStockProgress[[#This Row],[Price of Shares]]="",_xlfn.STOCKHISTORY(HistoricalStockProgress[[#This Row],[Full Company Name]],HistoricalStockProgress[[#This Row],[Date]],,2,0,1)),0)</f>
        <v>0</v>
      </c>
      <c r="M2319" s="34">
        <f>YEAR(HistoricalStockProgress[[#This Row],[Date]])</f>
        <v>2026</v>
      </c>
      <c r="N2319" s="34">
        <f>MONTH(HistoricalStockProgress[[#This Row],[Date]])</f>
        <v>9</v>
      </c>
    </row>
    <row r="2320" spans="2:14">
      <c r="B2320" s="15">
        <v>46295</v>
      </c>
      <c r="C2320" s="34" t="s">
        <v>22</v>
      </c>
      <c r="D2320" s="34" t="e" vm="10">
        <f>_xlfn.XLOOKUP(HistoricalStockProgress[[#This Row],[Company Ticker]],CompanyDetailsList[Company Ticker],CompanyDetailsList[Official Name],,0)</f>
        <v>#VALUE!</v>
      </c>
      <c r="E232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232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2320" s="17">
        <f>IFERROR(HistoricalStockProgress[[#This Row],[Cost of Shares]]/HistoricalStockProgress[[#This Row],[No. of Shares]],0)</f>
        <v>130.19784136724968</v>
      </c>
      <c r="H2320" s="16" vm="2756">
        <v>810.79</v>
      </c>
      <c r="I2320" s="16">
        <f>IF(HistoricalStockProgress[[#This Row],[No. of Shares]]&lt;&gt;0,HistoricalStockProgress[[#This Row],[Price of Shares]]*HistoricalStockProgress[[#This Row],[No. of Shares]],0)</f>
        <v>96484.01</v>
      </c>
      <c r="J2320" s="16">
        <f>IF(HistoricalStockProgress[[#This Row],[No. of Shares]]&lt;&gt;0,HistoricalStockProgress[[#This Row],[Price of Shares]]-HistoricalStockProgress[[#This Row],[Cost of Shares]]/HistoricalStockProgress[[#This Row],[No. of Shares]],0)</f>
        <v>680.59215863275028</v>
      </c>
      <c r="K2320" s="17">
        <f>IF(HistoricalStockProgress[[#This Row],[Total Price of Shares]]&lt;&gt;0,HistoricalStockProgress[[#This Row],[Total Price of Shares]]-HistoricalStockProgress[[#This Row],[Cost of Shares]],0)</f>
        <v>80990.46687729728</v>
      </c>
      <c r="L2320" s="34" t="b" cm="1">
        <f t="array" ref="L2320">IFERROR(IF(HistoricalStockProgress[[#This Row],[Price of Shares]]="",_xlfn.STOCKHISTORY(HistoricalStockProgress[[#This Row],[Full Company Name]],HistoricalStockProgress[[#This Row],[Date]],,2,0,1)),0)</f>
        <v>0</v>
      </c>
      <c r="M2320" s="34">
        <f>YEAR(HistoricalStockProgress[[#This Row],[Date]])</f>
        <v>2026</v>
      </c>
      <c r="N2320" s="34">
        <f>MONTH(HistoricalStockProgress[[#This Row],[Date]])</f>
        <v>9</v>
      </c>
    </row>
    <row r="2321" spans="2:14">
      <c r="B2321" s="15">
        <v>46295</v>
      </c>
      <c r="C2321" s="34" t="s">
        <v>91</v>
      </c>
      <c r="D2321" s="34" t="e" vm="11">
        <f>_xlfn.XLOOKUP(HistoricalStockProgress[[#This Row],[Company Ticker]],CompanyDetailsList[Company Ticker],CompanyDetailsList[Official Name],,0)</f>
        <v>#VALUE!</v>
      </c>
      <c r="E232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203</v>
      </c>
      <c r="F232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37263.08408940176</v>
      </c>
      <c r="G2321" s="17">
        <f>IFERROR(HistoricalStockProgress[[#This Row],[Cost of Shares]]/HistoricalStockProgress[[#This Row],[No. of Shares]],0)</f>
        <v>183.56199058818601</v>
      </c>
      <c r="H2321" s="16" vm="2757">
        <v>512.9</v>
      </c>
      <c r="I2321" s="16">
        <f>IF(HistoricalStockProgress[[#This Row],[No. of Shares]]&lt;&gt;0,HistoricalStockProgress[[#This Row],[Price of Shares]]*HistoricalStockProgress[[#This Row],[No. of Shares]],0)</f>
        <v>104118.7</v>
      </c>
      <c r="J2321" s="16">
        <f>IF(HistoricalStockProgress[[#This Row],[No. of Shares]]&lt;&gt;0,HistoricalStockProgress[[#This Row],[Price of Shares]]-HistoricalStockProgress[[#This Row],[Cost of Shares]]/HistoricalStockProgress[[#This Row],[No. of Shares]],0)</f>
        <v>329.33800941181397</v>
      </c>
      <c r="K2321" s="17">
        <f>IF(HistoricalStockProgress[[#This Row],[Total Price of Shares]]&lt;&gt;0,HistoricalStockProgress[[#This Row],[Total Price of Shares]]-HistoricalStockProgress[[#This Row],[Cost of Shares]],0)</f>
        <v>66855.615910598237</v>
      </c>
      <c r="L2321" s="34" t="b" cm="1">
        <f t="array" ref="L2321">IFERROR(IF(HistoricalStockProgress[[#This Row],[Price of Shares]]="",_xlfn.STOCKHISTORY(HistoricalStockProgress[[#This Row],[Full Company Name]],HistoricalStockProgress[[#This Row],[Date]],,2,0,1)),0)</f>
        <v>0</v>
      </c>
      <c r="M2321" s="34">
        <f>YEAR(HistoricalStockProgress[[#This Row],[Date]])</f>
        <v>2026</v>
      </c>
      <c r="N2321" s="34">
        <f>MONTH(HistoricalStockProgress[[#This Row],[Date]])</f>
        <v>9</v>
      </c>
    </row>
    <row r="2322" spans="2:14">
      <c r="B2322" s="15">
        <v>46295</v>
      </c>
      <c r="C2322" s="34" t="s">
        <v>16</v>
      </c>
      <c r="D2322" s="34" t="e" vm="12">
        <f>_xlfn.XLOOKUP(HistoricalStockProgress[[#This Row],[Company Ticker]],CompanyDetailsList[Company Ticker],CompanyDetailsList[Official Name],,0)</f>
        <v>#VALUE!</v>
      </c>
      <c r="E232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156</v>
      </c>
      <c r="F232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11718.360915660647</v>
      </c>
      <c r="G2322" s="17">
        <f>IFERROR(HistoricalStockProgress[[#This Row],[Cost of Shares]]/HistoricalStockProgress[[#This Row],[No. of Shares]],0)</f>
        <v>75.117698177311837</v>
      </c>
      <c r="H2322" s="16" vm="2758">
        <v>162.75</v>
      </c>
      <c r="I2322" s="16">
        <f>IF(HistoricalStockProgress[[#This Row],[No. of Shares]]&lt;&gt;0,HistoricalStockProgress[[#This Row],[Price of Shares]]*HistoricalStockProgress[[#This Row],[No. of Shares]],0)</f>
        <v>25389</v>
      </c>
      <c r="J2322" s="16">
        <f>IF(HistoricalStockProgress[[#This Row],[No. of Shares]]&lt;&gt;0,HistoricalStockProgress[[#This Row],[Price of Shares]]-HistoricalStockProgress[[#This Row],[Cost of Shares]]/HistoricalStockProgress[[#This Row],[No. of Shares]],0)</f>
        <v>87.632301822688163</v>
      </c>
      <c r="K2322" s="17">
        <f>IF(HistoricalStockProgress[[#This Row],[Total Price of Shares]]&lt;&gt;0,HistoricalStockProgress[[#This Row],[Total Price of Shares]]-HistoricalStockProgress[[#This Row],[Cost of Shares]],0)</f>
        <v>13670.639084339353</v>
      </c>
      <c r="L2322" s="34" t="b" cm="1">
        <f t="array" ref="L2322">IFERROR(IF(HistoricalStockProgress[[#This Row],[Price of Shares]]="",_xlfn.STOCKHISTORY(HistoricalStockProgress[[#This Row],[Full Company Name]],HistoricalStockProgress[[#This Row],[Date]],,2,0,1)),0)</f>
        <v>0</v>
      </c>
      <c r="M2322" s="34">
        <f>YEAR(HistoricalStockProgress[[#This Row],[Date]])</f>
        <v>2026</v>
      </c>
      <c r="N2322" s="34">
        <f>MONTH(HistoricalStockProgress[[#This Row],[Date]])</f>
        <v>9</v>
      </c>
    </row>
    <row r="2323" spans="2:14">
      <c r="B2323" s="15">
        <v>46295</v>
      </c>
      <c r="C2323" s="34" t="s">
        <v>95</v>
      </c>
      <c r="D2323" s="34" t="e" vm="13">
        <f>_xlfn.XLOOKUP(HistoricalStockProgress[[#This Row],[Company Ticker]],CompanyDetailsList[Company Ticker],CompanyDetailsList[Official Name],,0)</f>
        <v>#VALUE!</v>
      </c>
      <c r="E232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157</v>
      </c>
      <c r="F232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43247.259149794598</v>
      </c>
      <c r="G2323" s="17">
        <f>IFERROR(HistoricalStockProgress[[#This Row],[Cost of Shares]]/HistoricalStockProgress[[#This Row],[No. of Shares]],0)</f>
        <v>275.46024936174905</v>
      </c>
      <c r="H2323" s="16" vm="2759">
        <v>284.49</v>
      </c>
      <c r="I2323" s="16">
        <f>IF(HistoricalStockProgress[[#This Row],[No. of Shares]]&lt;&gt;0,HistoricalStockProgress[[#This Row],[Price of Shares]]*HistoricalStockProgress[[#This Row],[No. of Shares]],0)</f>
        <v>44664.93</v>
      </c>
      <c r="J2323" s="16">
        <f>IF(HistoricalStockProgress[[#This Row],[No. of Shares]]&lt;&gt;0,HistoricalStockProgress[[#This Row],[Price of Shares]]-HistoricalStockProgress[[#This Row],[Cost of Shares]]/HistoricalStockProgress[[#This Row],[No. of Shares]],0)</f>
        <v>9.0297506382509596</v>
      </c>
      <c r="K2323" s="17">
        <f>IF(HistoricalStockProgress[[#This Row],[Total Price of Shares]]&lt;&gt;0,HistoricalStockProgress[[#This Row],[Total Price of Shares]]-HistoricalStockProgress[[#This Row],[Cost of Shares]],0)</f>
        <v>1417.6708502054025</v>
      </c>
      <c r="L2323" s="34" t="b" cm="1">
        <f t="array" ref="L2323">IFERROR(IF(HistoricalStockProgress[[#This Row],[Price of Shares]]="",_xlfn.STOCKHISTORY(HistoricalStockProgress[[#This Row],[Full Company Name]],HistoricalStockProgress[[#This Row],[Date]],,2,0,1)),0)</f>
        <v>0</v>
      </c>
      <c r="M2323" s="34">
        <f>YEAR(HistoricalStockProgress[[#This Row],[Date]])</f>
        <v>2026</v>
      </c>
      <c r="N2323" s="34">
        <f>MONTH(HistoricalStockProgress[[#This Row],[Date]])</f>
        <v>9</v>
      </c>
    </row>
    <row r="2324" spans="2:14">
      <c r="B2324" s="15">
        <v>46295</v>
      </c>
      <c r="C2324" s="34" t="s">
        <v>17</v>
      </c>
      <c r="D2324" s="34" t="e" vm="14">
        <f>_xlfn.XLOOKUP(HistoricalStockProgress[[#This Row],[Company Ticker]],CompanyDetailsList[Company Ticker],CompanyDetailsList[Official Name],,0)</f>
        <v>#VALUE!</v>
      </c>
      <c r="E232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232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2324" s="17">
        <f>IFERROR(HistoricalStockProgress[[#This Row],[Cost of Shares]]/HistoricalStockProgress[[#This Row],[No. of Shares]],0)</f>
        <v>143.37791217450521</v>
      </c>
      <c r="H2324" s="16" vm="2760">
        <v>219.93</v>
      </c>
      <c r="I2324" s="16">
        <f>IF(HistoricalStockProgress[[#This Row],[No. of Shares]]&lt;&gt;0,HistoricalStockProgress[[#This Row],[Price of Shares]]*HistoricalStockProgress[[#This Row],[No. of Shares]],0)</f>
        <v>50803.83</v>
      </c>
      <c r="J2324" s="16">
        <f>IF(HistoricalStockProgress[[#This Row],[No. of Shares]]&lt;&gt;0,HistoricalStockProgress[[#This Row],[Price of Shares]]-HistoricalStockProgress[[#This Row],[Cost of Shares]]/HistoricalStockProgress[[#This Row],[No. of Shares]],0)</f>
        <v>76.552087825494795</v>
      </c>
      <c r="K2324" s="17">
        <f>IF(HistoricalStockProgress[[#This Row],[Total Price of Shares]]&lt;&gt;0,HistoricalStockProgress[[#This Row],[Total Price of Shares]]-HistoricalStockProgress[[#This Row],[Cost of Shares]],0)</f>
        <v>17683.532287689297</v>
      </c>
      <c r="L2324" s="34" t="b" cm="1">
        <f t="array" ref="L2324">IFERROR(IF(HistoricalStockProgress[[#This Row],[Price of Shares]]="",_xlfn.STOCKHISTORY(HistoricalStockProgress[[#This Row],[Full Company Name]],HistoricalStockProgress[[#This Row],[Date]],,2,0,1)),0)</f>
        <v>0</v>
      </c>
      <c r="M2324" s="34">
        <f>YEAR(HistoricalStockProgress[[#This Row],[Date]])</f>
        <v>2026</v>
      </c>
      <c r="N2324" s="34">
        <f>MONTH(HistoricalStockProgress[[#This Row],[Date]])</f>
        <v>9</v>
      </c>
    </row>
    <row r="2325" spans="2:14">
      <c r="B2325" s="15">
        <v>46295</v>
      </c>
      <c r="C2325" s="34" t="s">
        <v>98</v>
      </c>
      <c r="D2325" s="34" t="e" vm="15">
        <f>_xlfn.XLOOKUP(HistoricalStockProgress[[#This Row],[Company Ticker]],CompanyDetailsList[Company Ticker],CompanyDetailsList[Official Name],,0)</f>
        <v>#VALUE!</v>
      </c>
      <c r="E232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193</v>
      </c>
      <c r="F232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11397.772474019517</v>
      </c>
      <c r="G2325" s="17">
        <f>IFERROR(HistoricalStockProgress[[#This Row],[Cost of Shares]]/HistoricalStockProgress[[#This Row],[No. of Shares]],0)</f>
        <v>59.055815927562264</v>
      </c>
      <c r="H2325" s="16" vm="914">
        <v>75.739999999999995</v>
      </c>
      <c r="I2325" s="16">
        <f>IF(HistoricalStockProgress[[#This Row],[No. of Shares]]&lt;&gt;0,HistoricalStockProgress[[#This Row],[Price of Shares]]*HistoricalStockProgress[[#This Row],[No. of Shares]],0)</f>
        <v>14617.82</v>
      </c>
      <c r="J2325" s="16">
        <f>IF(HistoricalStockProgress[[#This Row],[No. of Shares]]&lt;&gt;0,HistoricalStockProgress[[#This Row],[Price of Shares]]-HistoricalStockProgress[[#This Row],[Cost of Shares]]/HistoricalStockProgress[[#This Row],[No. of Shares]],0)</f>
        <v>16.684184072437731</v>
      </c>
      <c r="K2325" s="17">
        <f>IF(HistoricalStockProgress[[#This Row],[Total Price of Shares]]&lt;&gt;0,HistoricalStockProgress[[#This Row],[Total Price of Shares]]-HistoricalStockProgress[[#This Row],[Cost of Shares]],0)</f>
        <v>3220.0475259804825</v>
      </c>
      <c r="L2325" s="34" t="b" cm="1">
        <f t="array" ref="L2325">IFERROR(IF(HistoricalStockProgress[[#This Row],[Price of Shares]]="",_xlfn.STOCKHISTORY(HistoricalStockProgress[[#This Row],[Full Company Name]],HistoricalStockProgress[[#This Row],[Date]],,2,0,1)),0)</f>
        <v>0</v>
      </c>
      <c r="M2325" s="34">
        <f>YEAR(HistoricalStockProgress[[#This Row],[Date]])</f>
        <v>2026</v>
      </c>
      <c r="N2325" s="34">
        <f>MONTH(HistoricalStockProgress[[#This Row],[Date]])</f>
        <v>9</v>
      </c>
    </row>
    <row r="2326" spans="2:14">
      <c r="B2326" s="15">
        <v>46295</v>
      </c>
      <c r="C2326" s="34" t="s">
        <v>100</v>
      </c>
      <c r="D2326" s="34" t="e" vm="16">
        <f>_xlfn.XLOOKUP(HistoricalStockProgress[[#This Row],[Company Ticker]],CompanyDetailsList[Company Ticker],CompanyDetailsList[Official Name],,0)</f>
        <v>#VALUE!</v>
      </c>
      <c r="E232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232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2326" s="17">
        <f>IFERROR(HistoricalStockProgress[[#This Row],[Cost of Shares]]/HistoricalStockProgress[[#This Row],[No. of Shares]],0)</f>
        <v>92.156351168716071</v>
      </c>
      <c r="H2326" s="16" vm="2761">
        <v>114.01</v>
      </c>
      <c r="I2326" s="16">
        <f>IF(HistoricalStockProgress[[#This Row],[No. of Shares]]&lt;&gt;0,HistoricalStockProgress[[#This Row],[Price of Shares]]*HistoricalStockProgress[[#This Row],[No. of Shares]],0)</f>
        <v>28502.5</v>
      </c>
      <c r="J2326" s="16">
        <f>IF(HistoricalStockProgress[[#This Row],[No. of Shares]]&lt;&gt;0,HistoricalStockProgress[[#This Row],[Price of Shares]]-HistoricalStockProgress[[#This Row],[Cost of Shares]]/HistoricalStockProgress[[#This Row],[No. of Shares]],0)</f>
        <v>21.853648831283934</v>
      </c>
      <c r="K2326" s="17">
        <f>IF(HistoricalStockProgress[[#This Row],[Total Price of Shares]]&lt;&gt;0,HistoricalStockProgress[[#This Row],[Total Price of Shares]]-HistoricalStockProgress[[#This Row],[Cost of Shares]],0)</f>
        <v>5463.4122078209839</v>
      </c>
      <c r="L2326" s="34" t="b" cm="1">
        <f t="array" ref="L2326">IFERROR(IF(HistoricalStockProgress[[#This Row],[Price of Shares]]="",_xlfn.STOCKHISTORY(HistoricalStockProgress[[#This Row],[Full Company Name]],HistoricalStockProgress[[#This Row],[Date]],,2,0,1)),0)</f>
        <v>0</v>
      </c>
      <c r="M2326" s="34">
        <f>YEAR(HistoricalStockProgress[[#This Row],[Date]])</f>
        <v>2026</v>
      </c>
      <c r="N2326" s="34">
        <f>MONTH(HistoricalStockProgress[[#This Row],[Date]])</f>
        <v>9</v>
      </c>
    </row>
    <row r="2327" spans="2:14">
      <c r="B2327" s="15">
        <v>46295</v>
      </c>
      <c r="C2327" s="34" t="s">
        <v>15</v>
      </c>
      <c r="D2327" s="34" t="e" vm="17">
        <f>_xlfn.XLOOKUP(HistoricalStockProgress[[#This Row],[Company Ticker]],CompanyDetailsList[Company Ticker],CompanyDetailsList[Official Name],,0)</f>
        <v>#VALUE!</v>
      </c>
      <c r="E232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232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3479.0458726436</v>
      </c>
      <c r="G2327" s="17">
        <f>IFERROR(HistoricalStockProgress[[#This Row],[Cost of Shares]]/HistoricalStockProgress[[#This Row],[No. of Shares]],0)</f>
        <v>24.85032766174</v>
      </c>
      <c r="H2327" s="16" vm="2762">
        <v>24.4</v>
      </c>
      <c r="I2327" s="16">
        <f>IF(HistoricalStockProgress[[#This Row],[No. of Shares]]&lt;&gt;0,HistoricalStockProgress[[#This Row],[Price of Shares]]*HistoricalStockProgress[[#This Row],[No. of Shares]],0)</f>
        <v>3416</v>
      </c>
      <c r="J2327" s="16">
        <f>IF(HistoricalStockProgress[[#This Row],[No. of Shares]]&lt;&gt;0,HistoricalStockProgress[[#This Row],[Price of Shares]]-HistoricalStockProgress[[#This Row],[Cost of Shares]]/HistoricalStockProgress[[#This Row],[No. of Shares]],0)</f>
        <v>-0.45032766174000116</v>
      </c>
      <c r="K2327" s="17">
        <f>IF(HistoricalStockProgress[[#This Row],[Total Price of Shares]]&lt;&gt;0,HistoricalStockProgress[[#This Row],[Total Price of Shares]]-HistoricalStockProgress[[#This Row],[Cost of Shares]],0)</f>
        <v>-63.045872643599978</v>
      </c>
      <c r="L2327" s="34" t="b" cm="1">
        <f t="array" ref="L2327">IFERROR(IF(HistoricalStockProgress[[#This Row],[Price of Shares]]="",_xlfn.STOCKHISTORY(HistoricalStockProgress[[#This Row],[Full Company Name]],HistoricalStockProgress[[#This Row],[Date]],,2,0,1)),0)</f>
        <v>0</v>
      </c>
      <c r="M2327" s="34">
        <f>YEAR(HistoricalStockProgress[[#This Row],[Date]])</f>
        <v>2026</v>
      </c>
      <c r="N2327" s="34">
        <f>MONTH(HistoricalStockProgress[[#This Row],[Date]])</f>
        <v>9</v>
      </c>
    </row>
    <row r="2328" spans="2:14">
      <c r="B2328" s="15">
        <v>46295</v>
      </c>
      <c r="C2328" s="34" t="s">
        <v>13</v>
      </c>
      <c r="D2328" s="34" t="e" vm="18">
        <f>_xlfn.XLOOKUP(HistoricalStockProgress[[#This Row],[Company Ticker]],CompanyDetailsList[Company Ticker],CompanyDetailsList[Official Name],,0)</f>
        <v>#VALUE!</v>
      </c>
      <c r="E232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232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3394.2551594478332</v>
      </c>
      <c r="G2328" s="17">
        <f>IFERROR(HistoricalStockProgress[[#This Row],[Cost of Shares]]/HistoricalStockProgress[[#This Row],[No. of Shares]],0)</f>
        <v>32.021275089130505</v>
      </c>
      <c r="H2328" s="16" vm="2763">
        <v>28.52</v>
      </c>
      <c r="I2328" s="16">
        <f>IF(HistoricalStockProgress[[#This Row],[No. of Shares]]&lt;&gt;0,HistoricalStockProgress[[#This Row],[Price of Shares]]*HistoricalStockProgress[[#This Row],[No. of Shares]],0)</f>
        <v>3023.12</v>
      </c>
      <c r="J2328" s="16">
        <f>IF(HistoricalStockProgress[[#This Row],[No. of Shares]]&lt;&gt;0,HistoricalStockProgress[[#This Row],[Price of Shares]]-HistoricalStockProgress[[#This Row],[Cost of Shares]]/HistoricalStockProgress[[#This Row],[No. of Shares]],0)</f>
        <v>-3.5012750891305053</v>
      </c>
      <c r="K2328" s="17">
        <f>IF(HistoricalStockProgress[[#This Row],[Total Price of Shares]]&lt;&gt;0,HistoricalStockProgress[[#This Row],[Total Price of Shares]]-HistoricalStockProgress[[#This Row],[Cost of Shares]],0)</f>
        <v>-371.1351594478333</v>
      </c>
      <c r="L2328" s="34" t="b" cm="1">
        <f t="array" ref="L2328">IFERROR(IF(HistoricalStockProgress[[#This Row],[Price of Shares]]="",_xlfn.STOCKHISTORY(HistoricalStockProgress[[#This Row],[Full Company Name]],HistoricalStockProgress[[#This Row],[Date]],,2,0,1)),0)</f>
        <v>0</v>
      </c>
      <c r="M2328" s="34">
        <f>YEAR(HistoricalStockProgress[[#This Row],[Date]])</f>
        <v>2026</v>
      </c>
      <c r="N2328" s="34">
        <f>MONTH(HistoricalStockProgress[[#This Row],[Date]])</f>
        <v>9</v>
      </c>
    </row>
    <row r="2329" spans="2:14">
      <c r="B2329" s="15">
        <v>46295</v>
      </c>
      <c r="C2329" s="34" t="s">
        <v>20</v>
      </c>
      <c r="D2329" s="34" t="e" vm="19">
        <f>_xlfn.XLOOKUP(HistoricalStockProgress[[#This Row],[Company Ticker]],CompanyDetailsList[Company Ticker],CompanyDetailsList[Official Name],,0)</f>
        <v>#VALUE!</v>
      </c>
      <c r="E232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232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2329" s="17">
        <f>IFERROR(HistoricalStockProgress[[#This Row],[Cost of Shares]]/HistoricalStockProgress[[#This Row],[No. of Shares]],0)</f>
        <v>108.1760767450256</v>
      </c>
      <c r="H2329" s="16" vm="2764">
        <v>330.83</v>
      </c>
      <c r="I2329" s="16">
        <f>IF(HistoricalStockProgress[[#This Row],[No. of Shares]]&lt;&gt;0,HistoricalStockProgress[[#This Row],[Price of Shares]]*HistoricalStockProgress[[#This Row],[No. of Shares]],0)</f>
        <v>38376.28</v>
      </c>
      <c r="J2329" s="16">
        <f>IF(HistoricalStockProgress[[#This Row],[No. of Shares]]&lt;&gt;0,HistoricalStockProgress[[#This Row],[Price of Shares]]-HistoricalStockProgress[[#This Row],[Cost of Shares]]/HistoricalStockProgress[[#This Row],[No. of Shares]],0)</f>
        <v>222.65392325497439</v>
      </c>
      <c r="K2329" s="17">
        <f>IF(HistoricalStockProgress[[#This Row],[Total Price of Shares]]&lt;&gt;0,HistoricalStockProgress[[#This Row],[Total Price of Shares]]-HistoricalStockProgress[[#This Row],[Cost of Shares]],0)</f>
        <v>25827.85509757703</v>
      </c>
      <c r="L2329" s="34" t="b" cm="1">
        <f t="array" ref="L2329">IFERROR(IF(HistoricalStockProgress[[#This Row],[Price of Shares]]="",_xlfn.STOCKHISTORY(HistoricalStockProgress[[#This Row],[Full Company Name]],HistoricalStockProgress[[#This Row],[Date]],,2,0,1)),0)</f>
        <v>0</v>
      </c>
      <c r="M2329" s="34">
        <f>YEAR(HistoricalStockProgress[[#This Row],[Date]])</f>
        <v>2026</v>
      </c>
      <c r="N2329" s="34">
        <f>MONTH(HistoricalStockProgress[[#This Row],[Date]])</f>
        <v>9</v>
      </c>
    </row>
    <row r="2330" spans="2:14">
      <c r="B2330" s="15">
        <v>46295</v>
      </c>
      <c r="C2330" s="34" t="s">
        <v>106</v>
      </c>
      <c r="D2330" s="34" t="e" vm="20">
        <f>_xlfn.XLOOKUP(HistoricalStockProgress[[#This Row],[Company Ticker]],CompanyDetailsList[Company Ticker],CompanyDetailsList[Official Name],,0)</f>
        <v>#VALUE!</v>
      </c>
      <c r="E233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233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8575.3478914575226</v>
      </c>
      <c r="G2330" s="17">
        <f>IFERROR(HistoricalStockProgress[[#This Row],[Cost of Shares]]/HistoricalStockProgress[[#This Row],[No. of Shares]],0)</f>
        <v>108.54870748680408</v>
      </c>
      <c r="H2330" s="16" vm="2765">
        <v>104.33</v>
      </c>
      <c r="I2330" s="16">
        <f>IF(HistoricalStockProgress[[#This Row],[No. of Shares]]&lt;&gt;0,HistoricalStockProgress[[#This Row],[Price of Shares]]*HistoricalStockProgress[[#This Row],[No. of Shares]],0)</f>
        <v>8242.07</v>
      </c>
      <c r="J2330" s="16">
        <f>IF(HistoricalStockProgress[[#This Row],[No. of Shares]]&lt;&gt;0,HistoricalStockProgress[[#This Row],[Price of Shares]]-HistoricalStockProgress[[#This Row],[Cost of Shares]]/HistoricalStockProgress[[#This Row],[No. of Shares]],0)</f>
        <v>-4.2187074868040781</v>
      </c>
      <c r="K2330" s="17">
        <f>IF(HistoricalStockProgress[[#This Row],[Total Price of Shares]]&lt;&gt;0,HistoricalStockProgress[[#This Row],[Total Price of Shares]]-HistoricalStockProgress[[#This Row],[Cost of Shares]],0)</f>
        <v>-333.27789145752286</v>
      </c>
      <c r="L2330" s="34" t="b" cm="1">
        <f t="array" ref="L2330">IFERROR(IF(HistoricalStockProgress[[#This Row],[Price of Shares]]="",_xlfn.STOCKHISTORY(HistoricalStockProgress[[#This Row],[Full Company Name]],HistoricalStockProgress[[#This Row],[Date]],,2,0,1)),0)</f>
        <v>0</v>
      </c>
      <c r="M2330" s="34">
        <f>YEAR(HistoricalStockProgress[[#This Row],[Date]])</f>
        <v>2026</v>
      </c>
      <c r="N2330" s="34">
        <f>MONTH(HistoricalStockProgress[[#This Row],[Date]])</f>
        <v>9</v>
      </c>
    </row>
    <row r="2331" spans="2:14">
      <c r="B2331" s="15">
        <v>46308</v>
      </c>
      <c r="C2331" s="34" t="s">
        <v>12</v>
      </c>
      <c r="D2331" s="34" t="e" vm="1">
        <f>_xlfn.XLOOKUP(HistoricalStockProgress[[#This Row],[Company Ticker]],CompanyDetailsList[Company Ticker],CompanyDetailsList[Official Name],,0)</f>
        <v>#VALUE!</v>
      </c>
      <c r="E233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97</v>
      </c>
      <c r="F233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6263.6766415457378</v>
      </c>
      <c r="G2331" s="17">
        <f>IFERROR(HistoricalStockProgress[[#This Row],[Cost of Shares]]/HistoricalStockProgress[[#This Row],[No. of Shares]],0)</f>
        <v>64.573985995316889</v>
      </c>
      <c r="H2331" s="16" vm="2766">
        <v>54.7</v>
      </c>
      <c r="I2331" s="16">
        <f>IF(HistoricalStockProgress[[#This Row],[No. of Shares]]&lt;&gt;0,HistoricalStockProgress[[#This Row],[Price of Shares]]*HistoricalStockProgress[[#This Row],[No. of Shares]],0)</f>
        <v>5305.9000000000005</v>
      </c>
      <c r="J2331" s="16">
        <f>IF(HistoricalStockProgress[[#This Row],[No. of Shares]]&lt;&gt;0,HistoricalStockProgress[[#This Row],[Price of Shares]]-HistoricalStockProgress[[#This Row],[Cost of Shares]]/HistoricalStockProgress[[#This Row],[No. of Shares]],0)</f>
        <v>-9.873985995316886</v>
      </c>
      <c r="K2331" s="17">
        <f>IF(HistoricalStockProgress[[#This Row],[Total Price of Shares]]&lt;&gt;0,HistoricalStockProgress[[#This Row],[Total Price of Shares]]-HistoricalStockProgress[[#This Row],[Cost of Shares]],0)</f>
        <v>-957.77664154573722</v>
      </c>
      <c r="L2331" s="34" t="b" cm="1">
        <f t="array" ref="L2331">IFERROR(IF(HistoricalStockProgress[[#This Row],[Price of Shares]]="",_xlfn.STOCKHISTORY(HistoricalStockProgress[[#This Row],[Full Company Name]],HistoricalStockProgress[[#This Row],[Date]],,2,0,1)),0)</f>
        <v>0</v>
      </c>
      <c r="M2331" s="34">
        <f>YEAR(HistoricalStockProgress[[#This Row],[Date]])</f>
        <v>2026</v>
      </c>
      <c r="N2331" s="34">
        <f>MONTH(HistoricalStockProgress[[#This Row],[Date]])</f>
        <v>10</v>
      </c>
    </row>
    <row r="2332" spans="2:14">
      <c r="B2332" s="15">
        <v>46308</v>
      </c>
      <c r="C2332" s="34" t="s">
        <v>14</v>
      </c>
      <c r="D2332" s="34" t="e" vm="2">
        <f>_xlfn.XLOOKUP(HistoricalStockProgress[[#This Row],[Company Ticker]],CompanyDetailsList[Company Ticker],CompanyDetailsList[Official Name],,0)</f>
        <v>#VALUE!</v>
      </c>
      <c r="E233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63</v>
      </c>
      <c r="F233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1689.6182533743654</v>
      </c>
      <c r="G2332" s="17">
        <f>IFERROR(HistoricalStockProgress[[#This Row],[Cost of Shares]]/HistoricalStockProgress[[#This Row],[No. of Shares]],0)</f>
        <v>26.819337355148658</v>
      </c>
      <c r="H2332" s="16" vm="2767">
        <v>30.44</v>
      </c>
      <c r="I2332" s="16">
        <f>IF(HistoricalStockProgress[[#This Row],[No. of Shares]]&lt;&gt;0,HistoricalStockProgress[[#This Row],[Price of Shares]]*HistoricalStockProgress[[#This Row],[No. of Shares]],0)</f>
        <v>1917.72</v>
      </c>
      <c r="J2332" s="16">
        <f>IF(HistoricalStockProgress[[#This Row],[No. of Shares]]&lt;&gt;0,HistoricalStockProgress[[#This Row],[Price of Shares]]-HistoricalStockProgress[[#This Row],[Cost of Shares]]/HistoricalStockProgress[[#This Row],[No. of Shares]],0)</f>
        <v>3.6206626448513433</v>
      </c>
      <c r="K2332" s="17">
        <f>IF(HistoricalStockProgress[[#This Row],[Total Price of Shares]]&lt;&gt;0,HistoricalStockProgress[[#This Row],[Total Price of Shares]]-HistoricalStockProgress[[#This Row],[Cost of Shares]],0)</f>
        <v>228.10174662563463</v>
      </c>
      <c r="L2332" s="34" t="b" cm="1">
        <f t="array" ref="L2332">IFERROR(IF(HistoricalStockProgress[[#This Row],[Price of Shares]]="",_xlfn.STOCKHISTORY(HistoricalStockProgress[[#This Row],[Full Company Name]],HistoricalStockProgress[[#This Row],[Date]],,2,0,1)),0)</f>
        <v>0</v>
      </c>
      <c r="M2332" s="34">
        <f>YEAR(HistoricalStockProgress[[#This Row],[Date]])</f>
        <v>2026</v>
      </c>
      <c r="N2332" s="34">
        <f>MONTH(HistoricalStockProgress[[#This Row],[Date]])</f>
        <v>10</v>
      </c>
    </row>
    <row r="2333" spans="2:14">
      <c r="B2333" s="15">
        <v>46308</v>
      </c>
      <c r="C2333" s="34" t="s">
        <v>19</v>
      </c>
      <c r="D2333" s="34" t="e" vm="3">
        <f>_xlfn.XLOOKUP(HistoricalStockProgress[[#This Row],[Company Ticker]],CompanyDetailsList[Company Ticker],CompanyDetailsList[Official Name],,0)</f>
        <v>#VALUE!</v>
      </c>
      <c r="E233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86</v>
      </c>
      <c r="F233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13770.881426098098</v>
      </c>
      <c r="G2333" s="17">
        <f>IFERROR(HistoricalStockProgress[[#This Row],[Cost of Shares]]/HistoricalStockProgress[[#This Row],[No. of Shares]],0)</f>
        <v>160.12652821044301</v>
      </c>
      <c r="H2333" s="16" vm="2768">
        <v>84.35</v>
      </c>
      <c r="I2333" s="16">
        <f>IF(HistoricalStockProgress[[#This Row],[No. of Shares]]&lt;&gt;0,HistoricalStockProgress[[#This Row],[Price of Shares]]*HistoricalStockProgress[[#This Row],[No. of Shares]],0)</f>
        <v>7254.0999999999995</v>
      </c>
      <c r="J2333" s="16">
        <f>IF(HistoricalStockProgress[[#This Row],[No. of Shares]]&lt;&gt;0,HistoricalStockProgress[[#This Row],[Price of Shares]]-HistoricalStockProgress[[#This Row],[Cost of Shares]]/HistoricalStockProgress[[#This Row],[No. of Shares]],0)</f>
        <v>-75.776528210443018</v>
      </c>
      <c r="K2333" s="17">
        <f>IF(HistoricalStockProgress[[#This Row],[Total Price of Shares]]&lt;&gt;0,HistoricalStockProgress[[#This Row],[Total Price of Shares]]-HistoricalStockProgress[[#This Row],[Cost of Shares]],0)</f>
        <v>-6516.7814260980986</v>
      </c>
      <c r="L2333" s="34" t="b" cm="1">
        <f t="array" ref="L2333">IFERROR(IF(HistoricalStockProgress[[#This Row],[Price of Shares]]="",_xlfn.STOCKHISTORY(HistoricalStockProgress[[#This Row],[Full Company Name]],HistoricalStockProgress[[#This Row],[Date]],,2,0,1)),0)</f>
        <v>0</v>
      </c>
      <c r="M2333" s="34">
        <f>YEAR(HistoricalStockProgress[[#This Row],[Date]])</f>
        <v>2026</v>
      </c>
      <c r="N2333" s="34">
        <f>MONTH(HistoricalStockProgress[[#This Row],[Date]])</f>
        <v>10</v>
      </c>
    </row>
    <row r="2334" spans="2:14">
      <c r="B2334" s="15">
        <v>46308</v>
      </c>
      <c r="C2334" s="34" t="s">
        <v>23</v>
      </c>
      <c r="D2334" s="34" t="e" vm="4">
        <f>_xlfn.XLOOKUP(HistoricalStockProgress[[#This Row],[Company Ticker]],CompanyDetailsList[Company Ticker],CompanyDetailsList[Official Name],,0)</f>
        <v>#VALUE!</v>
      </c>
      <c r="E233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111</v>
      </c>
      <c r="F233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5636.7217732526415</v>
      </c>
      <c r="G2334" s="17">
        <f>IFERROR(HistoricalStockProgress[[#This Row],[Cost of Shares]]/HistoricalStockProgress[[#This Row],[No. of Shares]],0)</f>
        <v>50.781277236510284</v>
      </c>
      <c r="H2334" s="16" vm="2769">
        <v>89.79</v>
      </c>
      <c r="I2334" s="16">
        <f>IF(HistoricalStockProgress[[#This Row],[No. of Shares]]&lt;&gt;0,HistoricalStockProgress[[#This Row],[Price of Shares]]*HistoricalStockProgress[[#This Row],[No. of Shares]],0)</f>
        <v>9966.69</v>
      </c>
      <c r="J2334" s="16">
        <f>IF(HistoricalStockProgress[[#This Row],[No. of Shares]]&lt;&gt;0,HistoricalStockProgress[[#This Row],[Price of Shares]]-HistoricalStockProgress[[#This Row],[Cost of Shares]]/HistoricalStockProgress[[#This Row],[No. of Shares]],0)</f>
        <v>39.008722763489722</v>
      </c>
      <c r="K2334" s="17">
        <f>IF(HistoricalStockProgress[[#This Row],[Total Price of Shares]]&lt;&gt;0,HistoricalStockProgress[[#This Row],[Total Price of Shares]]-HistoricalStockProgress[[#This Row],[Cost of Shares]],0)</f>
        <v>4329.968226747359</v>
      </c>
      <c r="L2334" s="34" t="b" cm="1">
        <f t="array" ref="L2334">IFERROR(IF(HistoricalStockProgress[[#This Row],[Price of Shares]]="",_xlfn.STOCKHISTORY(HistoricalStockProgress[[#This Row],[Full Company Name]],HistoricalStockProgress[[#This Row],[Date]],,2,0,1)),0)</f>
        <v>0</v>
      </c>
      <c r="M2334" s="34">
        <f>YEAR(HistoricalStockProgress[[#This Row],[Date]])</f>
        <v>2026</v>
      </c>
      <c r="N2334" s="34">
        <f>MONTH(HistoricalStockProgress[[#This Row],[Date]])</f>
        <v>10</v>
      </c>
    </row>
    <row r="2335" spans="2:14">
      <c r="B2335" s="15">
        <v>46308</v>
      </c>
      <c r="C2335" s="34" t="s">
        <v>18</v>
      </c>
      <c r="D2335" s="34" t="e" vm="5">
        <f>_xlfn.XLOOKUP(HistoricalStockProgress[[#This Row],[Company Ticker]],CompanyDetailsList[Company Ticker],CompanyDetailsList[Official Name],,0)</f>
        <v>#VALUE!</v>
      </c>
      <c r="E233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43</v>
      </c>
      <c r="F233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6918.0963124488062</v>
      </c>
      <c r="G2335" s="17">
        <f>IFERROR(HistoricalStockProgress[[#This Row],[Cost of Shares]]/HistoricalStockProgress[[#This Row],[No. of Shares]],0)</f>
        <v>160.8859607546234</v>
      </c>
      <c r="H2335" s="16" vm="2770">
        <v>126.68</v>
      </c>
      <c r="I2335" s="16">
        <f>IF(HistoricalStockProgress[[#This Row],[No. of Shares]]&lt;&gt;0,HistoricalStockProgress[[#This Row],[Price of Shares]]*HistoricalStockProgress[[#This Row],[No. of Shares]],0)</f>
        <v>5447.2400000000007</v>
      </c>
      <c r="J2335" s="16">
        <f>IF(HistoricalStockProgress[[#This Row],[No. of Shares]]&lt;&gt;0,HistoricalStockProgress[[#This Row],[Price of Shares]]-HistoricalStockProgress[[#This Row],[Cost of Shares]]/HistoricalStockProgress[[#This Row],[No. of Shares]],0)</f>
        <v>-34.205960754623391</v>
      </c>
      <c r="K2335" s="17">
        <f>IF(HistoricalStockProgress[[#This Row],[Total Price of Shares]]&lt;&gt;0,HistoricalStockProgress[[#This Row],[Total Price of Shares]]-HistoricalStockProgress[[#This Row],[Cost of Shares]],0)</f>
        <v>-1470.8563124488055</v>
      </c>
      <c r="L2335" s="34" t="b" cm="1">
        <f t="array" ref="L2335">IFERROR(IF(HistoricalStockProgress[[#This Row],[Price of Shares]]="",_xlfn.STOCKHISTORY(HistoricalStockProgress[[#This Row],[Full Company Name]],HistoricalStockProgress[[#This Row],[Date]],,2,0,1)),0)</f>
        <v>0</v>
      </c>
      <c r="M2335" s="34">
        <f>YEAR(HistoricalStockProgress[[#This Row],[Date]])</f>
        <v>2026</v>
      </c>
      <c r="N2335" s="34">
        <f>MONTH(HistoricalStockProgress[[#This Row],[Date]])</f>
        <v>10</v>
      </c>
    </row>
    <row r="2336" spans="2:14">
      <c r="B2336" s="15">
        <v>46308</v>
      </c>
      <c r="C2336" s="34" t="s">
        <v>21</v>
      </c>
      <c r="D2336" s="34" t="e" vm="6">
        <f>_xlfn.XLOOKUP(HistoricalStockProgress[[#This Row],[Company Ticker]],CompanyDetailsList[Company Ticker],CompanyDetailsList[Official Name],,0)</f>
        <v>#VALUE!</v>
      </c>
      <c r="E233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84</v>
      </c>
      <c r="F233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12738.215402497406</v>
      </c>
      <c r="G2336" s="17">
        <f>IFERROR(HistoricalStockProgress[[#This Row],[Cost of Shares]]/HistoricalStockProgress[[#This Row],[No. of Shares]],0)</f>
        <v>151.64542145830245</v>
      </c>
      <c r="H2336" s="16" vm="2771">
        <v>153.19999999999999</v>
      </c>
      <c r="I2336" s="16">
        <f>IF(HistoricalStockProgress[[#This Row],[No. of Shares]]&lt;&gt;0,HistoricalStockProgress[[#This Row],[Price of Shares]]*HistoricalStockProgress[[#This Row],[No. of Shares]],0)</f>
        <v>12868.8</v>
      </c>
      <c r="J2336" s="16">
        <f>IF(HistoricalStockProgress[[#This Row],[No. of Shares]]&lt;&gt;0,HistoricalStockProgress[[#This Row],[Price of Shares]]-HistoricalStockProgress[[#This Row],[Cost of Shares]]/HistoricalStockProgress[[#This Row],[No. of Shares]],0)</f>
        <v>1.5545785416975377</v>
      </c>
      <c r="K2336" s="17">
        <f>IF(HistoricalStockProgress[[#This Row],[Total Price of Shares]]&lt;&gt;0,HistoricalStockProgress[[#This Row],[Total Price of Shares]]-HistoricalStockProgress[[#This Row],[Cost of Shares]],0)</f>
        <v>130.58459750259317</v>
      </c>
      <c r="L2336" s="34" t="b" cm="1">
        <f t="array" ref="L2336">IFERROR(IF(HistoricalStockProgress[[#This Row],[Price of Shares]]="",_xlfn.STOCKHISTORY(HistoricalStockProgress[[#This Row],[Full Company Name]],HistoricalStockProgress[[#This Row],[Date]],,2,0,1)),0)</f>
        <v>0</v>
      </c>
      <c r="M2336" s="34">
        <f>YEAR(HistoricalStockProgress[[#This Row],[Date]])</f>
        <v>2026</v>
      </c>
      <c r="N2336" s="34">
        <f>MONTH(HistoricalStockProgress[[#This Row],[Date]])</f>
        <v>10</v>
      </c>
    </row>
    <row r="2337" spans="2:14">
      <c r="B2337" s="15">
        <v>46308</v>
      </c>
      <c r="C2337" s="34" t="s">
        <v>84</v>
      </c>
      <c r="D2337" s="34" t="e" vm="7">
        <f>_xlfn.XLOOKUP(HistoricalStockProgress[[#This Row],[Company Ticker]],CompanyDetailsList[Company Ticker],CompanyDetailsList[Official Name],,0)</f>
        <v>#VALUE!</v>
      </c>
      <c r="E233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46</v>
      </c>
      <c r="F233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4792.320252277399</v>
      </c>
      <c r="G2337" s="17">
        <f>IFERROR(HistoricalStockProgress[[#This Row],[Cost of Shares]]/HistoricalStockProgress[[#This Row],[No. of Shares]],0)</f>
        <v>104.18087504950867</v>
      </c>
      <c r="H2337" s="16" vm="2772">
        <v>263.73</v>
      </c>
      <c r="I2337" s="16">
        <f>IF(HistoricalStockProgress[[#This Row],[No. of Shares]]&lt;&gt;0,HistoricalStockProgress[[#This Row],[Price of Shares]]*HistoricalStockProgress[[#This Row],[No. of Shares]],0)</f>
        <v>12131.580000000002</v>
      </c>
      <c r="J2337" s="16">
        <f>IF(HistoricalStockProgress[[#This Row],[No. of Shares]]&lt;&gt;0,HistoricalStockProgress[[#This Row],[Price of Shares]]-HistoricalStockProgress[[#This Row],[Cost of Shares]]/HistoricalStockProgress[[#This Row],[No. of Shares]],0)</f>
        <v>159.54912495049135</v>
      </c>
      <c r="K2337" s="17">
        <f>IF(HistoricalStockProgress[[#This Row],[Total Price of Shares]]&lt;&gt;0,HistoricalStockProgress[[#This Row],[Total Price of Shares]]-HistoricalStockProgress[[#This Row],[Cost of Shares]],0)</f>
        <v>7339.2597477226027</v>
      </c>
      <c r="L2337" s="34" t="b" cm="1">
        <f t="array" ref="L2337">IFERROR(IF(HistoricalStockProgress[[#This Row],[Price of Shares]]="",_xlfn.STOCKHISTORY(HistoricalStockProgress[[#This Row],[Full Company Name]],HistoricalStockProgress[[#This Row],[Date]],,2,0,1)),0)</f>
        <v>0</v>
      </c>
      <c r="M2337" s="34">
        <f>YEAR(HistoricalStockProgress[[#This Row],[Date]])</f>
        <v>2026</v>
      </c>
      <c r="N2337" s="34">
        <f>MONTH(HistoricalStockProgress[[#This Row],[Date]])</f>
        <v>10</v>
      </c>
    </row>
    <row r="2338" spans="2:14">
      <c r="B2338" s="15">
        <v>46308</v>
      </c>
      <c r="C2338" s="34" t="s">
        <v>86</v>
      </c>
      <c r="D2338" s="34" t="e" vm="8">
        <f>_xlfn.XLOOKUP(HistoricalStockProgress[[#This Row],[Company Ticker]],CompanyDetailsList[Company Ticker],CompanyDetailsList[Official Name],,0)</f>
        <v>#VALUE!</v>
      </c>
      <c r="E233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152</v>
      </c>
      <c r="F233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17554.435384774173</v>
      </c>
      <c r="G2338" s="17">
        <f>IFERROR(HistoricalStockProgress[[#This Row],[Cost of Shares]]/HistoricalStockProgress[[#This Row],[No. of Shares]],0)</f>
        <v>115.48970647877745</v>
      </c>
      <c r="H2338" s="16" vm="2773">
        <v>281.12</v>
      </c>
      <c r="I2338" s="16">
        <f>IF(HistoricalStockProgress[[#This Row],[No. of Shares]]&lt;&gt;0,HistoricalStockProgress[[#This Row],[Price of Shares]]*HistoricalStockProgress[[#This Row],[No. of Shares]],0)</f>
        <v>42730.239999999998</v>
      </c>
      <c r="J2338" s="16">
        <f>IF(HistoricalStockProgress[[#This Row],[No. of Shares]]&lt;&gt;0,HistoricalStockProgress[[#This Row],[Price of Shares]]-HistoricalStockProgress[[#This Row],[Cost of Shares]]/HistoricalStockProgress[[#This Row],[No. of Shares]],0)</f>
        <v>165.63029352122254</v>
      </c>
      <c r="K2338" s="17">
        <f>IF(HistoricalStockProgress[[#This Row],[Total Price of Shares]]&lt;&gt;0,HistoricalStockProgress[[#This Row],[Total Price of Shares]]-HistoricalStockProgress[[#This Row],[Cost of Shares]],0)</f>
        <v>25175.804615225825</v>
      </c>
      <c r="L2338" s="34" t="b" cm="1">
        <f t="array" ref="L2338">IFERROR(IF(HistoricalStockProgress[[#This Row],[Price of Shares]]="",_xlfn.STOCKHISTORY(HistoricalStockProgress[[#This Row],[Full Company Name]],HistoricalStockProgress[[#This Row],[Date]],,2,0,1)),0)</f>
        <v>0</v>
      </c>
      <c r="M2338" s="34">
        <f>YEAR(HistoricalStockProgress[[#This Row],[Date]])</f>
        <v>2026</v>
      </c>
      <c r="N2338" s="34">
        <f>MONTH(HistoricalStockProgress[[#This Row],[Date]])</f>
        <v>10</v>
      </c>
    </row>
    <row r="2339" spans="2:14">
      <c r="B2339" s="15">
        <v>46308</v>
      </c>
      <c r="C2339" s="34" t="s">
        <v>88</v>
      </c>
      <c r="D2339" s="34" t="e" vm="9">
        <f>_xlfn.XLOOKUP(HistoricalStockProgress[[#This Row],[Company Ticker]],CompanyDetailsList[Company Ticker],CompanyDetailsList[Official Name],,0)</f>
        <v>#VALUE!</v>
      </c>
      <c r="E233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95</v>
      </c>
      <c r="F233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21349.090502689694</v>
      </c>
      <c r="G2339" s="17">
        <f>IFERROR(HistoricalStockProgress[[#This Row],[Cost of Shares]]/HistoricalStockProgress[[#This Row],[No. of Shares]],0)</f>
        <v>224.7272684493652</v>
      </c>
      <c r="H2339" s="16" vm="2774">
        <v>235.65</v>
      </c>
      <c r="I2339" s="16">
        <f>IF(HistoricalStockProgress[[#This Row],[No. of Shares]]&lt;&gt;0,HistoricalStockProgress[[#This Row],[Price of Shares]]*HistoricalStockProgress[[#This Row],[No. of Shares]],0)</f>
        <v>22386.75</v>
      </c>
      <c r="J2339" s="16">
        <f>IF(HistoricalStockProgress[[#This Row],[No. of Shares]]&lt;&gt;0,HistoricalStockProgress[[#This Row],[Price of Shares]]-HistoricalStockProgress[[#This Row],[Cost of Shares]]/HistoricalStockProgress[[#This Row],[No. of Shares]],0)</f>
        <v>10.922731550634808</v>
      </c>
      <c r="K2339" s="17">
        <f>IF(HistoricalStockProgress[[#This Row],[Total Price of Shares]]&lt;&gt;0,HistoricalStockProgress[[#This Row],[Total Price of Shares]]-HistoricalStockProgress[[#This Row],[Cost of Shares]],0)</f>
        <v>1037.6594973103056</v>
      </c>
      <c r="L2339" s="34" t="b" cm="1">
        <f t="array" ref="L2339">IFERROR(IF(HistoricalStockProgress[[#This Row],[Price of Shares]]="",_xlfn.STOCKHISTORY(HistoricalStockProgress[[#This Row],[Full Company Name]],HistoricalStockProgress[[#This Row],[Date]],,2,0,1)),0)</f>
        <v>0</v>
      </c>
      <c r="M2339" s="34">
        <f>YEAR(HistoricalStockProgress[[#This Row],[Date]])</f>
        <v>2026</v>
      </c>
      <c r="N2339" s="34">
        <f>MONTH(HistoricalStockProgress[[#This Row],[Date]])</f>
        <v>10</v>
      </c>
    </row>
    <row r="2340" spans="2:14">
      <c r="B2340" s="15">
        <v>46308</v>
      </c>
      <c r="C2340" s="34" t="s">
        <v>22</v>
      </c>
      <c r="D2340" s="34" t="e" vm="10">
        <f>_xlfn.XLOOKUP(HistoricalStockProgress[[#This Row],[Company Ticker]],CompanyDetailsList[Company Ticker],CompanyDetailsList[Official Name],,0)</f>
        <v>#VALUE!</v>
      </c>
      <c r="E234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119</v>
      </c>
      <c r="F234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15493.543122702713</v>
      </c>
      <c r="G2340" s="17">
        <f>IFERROR(HistoricalStockProgress[[#This Row],[Cost of Shares]]/HistoricalStockProgress[[#This Row],[No. of Shares]],0)</f>
        <v>130.19784136724968</v>
      </c>
      <c r="H2340" s="16" vm="2775">
        <v>799.37</v>
      </c>
      <c r="I2340" s="16">
        <f>IF(HistoricalStockProgress[[#This Row],[No. of Shares]]&lt;&gt;0,HistoricalStockProgress[[#This Row],[Price of Shares]]*HistoricalStockProgress[[#This Row],[No. of Shares]],0)</f>
        <v>95125.03</v>
      </c>
      <c r="J2340" s="16">
        <f>IF(HistoricalStockProgress[[#This Row],[No. of Shares]]&lt;&gt;0,HistoricalStockProgress[[#This Row],[Price of Shares]]-HistoricalStockProgress[[#This Row],[Cost of Shares]]/HistoricalStockProgress[[#This Row],[No. of Shares]],0)</f>
        <v>669.17215863275032</v>
      </c>
      <c r="K2340" s="17">
        <f>IF(HistoricalStockProgress[[#This Row],[Total Price of Shares]]&lt;&gt;0,HistoricalStockProgress[[#This Row],[Total Price of Shares]]-HistoricalStockProgress[[#This Row],[Cost of Shares]],0)</f>
        <v>79631.486877297284</v>
      </c>
      <c r="L2340" s="34" t="b" cm="1">
        <f t="array" ref="L2340">IFERROR(IF(HistoricalStockProgress[[#This Row],[Price of Shares]]="",_xlfn.STOCKHISTORY(HistoricalStockProgress[[#This Row],[Full Company Name]],HistoricalStockProgress[[#This Row],[Date]],,2,0,1)),0)</f>
        <v>0</v>
      </c>
      <c r="M2340" s="34">
        <f>YEAR(HistoricalStockProgress[[#This Row],[Date]])</f>
        <v>2026</v>
      </c>
      <c r="N2340" s="34">
        <f>MONTH(HistoricalStockProgress[[#This Row],[Date]])</f>
        <v>10</v>
      </c>
    </row>
    <row r="2341" spans="2:14">
      <c r="B2341" s="15">
        <v>46308</v>
      </c>
      <c r="C2341" s="34" t="s">
        <v>91</v>
      </c>
      <c r="D2341" s="34" t="e" vm="11">
        <f>_xlfn.XLOOKUP(HistoricalStockProgress[[#This Row],[Company Ticker]],CompanyDetailsList[Company Ticker],CompanyDetailsList[Official Name],,0)</f>
        <v>#VALUE!</v>
      </c>
      <c r="E2341"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203</v>
      </c>
      <c r="F2341"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37263.08408940176</v>
      </c>
      <c r="G2341" s="17">
        <f>IFERROR(HistoricalStockProgress[[#This Row],[Cost of Shares]]/HistoricalStockProgress[[#This Row],[No. of Shares]],0)</f>
        <v>183.56199058818601</v>
      </c>
      <c r="H2341" s="16" vm="2776">
        <v>541.15</v>
      </c>
      <c r="I2341" s="16">
        <f>IF(HistoricalStockProgress[[#This Row],[No. of Shares]]&lt;&gt;0,HistoricalStockProgress[[#This Row],[Price of Shares]]*HistoricalStockProgress[[#This Row],[No. of Shares]],0)</f>
        <v>109853.45</v>
      </c>
      <c r="J2341" s="16">
        <f>IF(HistoricalStockProgress[[#This Row],[No. of Shares]]&lt;&gt;0,HistoricalStockProgress[[#This Row],[Price of Shares]]-HistoricalStockProgress[[#This Row],[Cost of Shares]]/HistoricalStockProgress[[#This Row],[No. of Shares]],0)</f>
        <v>357.58800941181397</v>
      </c>
      <c r="K2341" s="17">
        <f>IF(HistoricalStockProgress[[#This Row],[Total Price of Shares]]&lt;&gt;0,HistoricalStockProgress[[#This Row],[Total Price of Shares]]-HistoricalStockProgress[[#This Row],[Cost of Shares]],0)</f>
        <v>72590.365910598237</v>
      </c>
      <c r="L2341" s="34" t="b" cm="1">
        <f t="array" ref="L2341">IFERROR(IF(HistoricalStockProgress[[#This Row],[Price of Shares]]="",_xlfn.STOCKHISTORY(HistoricalStockProgress[[#This Row],[Full Company Name]],HistoricalStockProgress[[#This Row],[Date]],,2,0,1)),0)</f>
        <v>0</v>
      </c>
      <c r="M2341" s="34">
        <f>YEAR(HistoricalStockProgress[[#This Row],[Date]])</f>
        <v>2026</v>
      </c>
      <c r="N2341" s="34">
        <f>MONTH(HistoricalStockProgress[[#This Row],[Date]])</f>
        <v>10</v>
      </c>
    </row>
    <row r="2342" spans="2:14">
      <c r="B2342" s="15">
        <v>46308</v>
      </c>
      <c r="C2342" s="34" t="s">
        <v>16</v>
      </c>
      <c r="D2342" s="34" t="e" vm="12">
        <f>_xlfn.XLOOKUP(HistoricalStockProgress[[#This Row],[Company Ticker]],CompanyDetailsList[Company Ticker],CompanyDetailsList[Official Name],,0)</f>
        <v>#VALUE!</v>
      </c>
      <c r="E2342"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156</v>
      </c>
      <c r="F2342"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11718.360915660647</v>
      </c>
      <c r="G2342" s="17">
        <f>IFERROR(HistoricalStockProgress[[#This Row],[Cost of Shares]]/HistoricalStockProgress[[#This Row],[No. of Shares]],0)</f>
        <v>75.117698177311837</v>
      </c>
      <c r="H2342" s="16" vm="2777">
        <v>172.15</v>
      </c>
      <c r="I2342" s="16">
        <f>IF(HistoricalStockProgress[[#This Row],[No. of Shares]]&lt;&gt;0,HistoricalStockProgress[[#This Row],[Price of Shares]]*HistoricalStockProgress[[#This Row],[No. of Shares]],0)</f>
        <v>26855.4</v>
      </c>
      <c r="J2342" s="16">
        <f>IF(HistoricalStockProgress[[#This Row],[No. of Shares]]&lt;&gt;0,HistoricalStockProgress[[#This Row],[Price of Shares]]-HistoricalStockProgress[[#This Row],[Cost of Shares]]/HistoricalStockProgress[[#This Row],[No. of Shares]],0)</f>
        <v>97.032301822688169</v>
      </c>
      <c r="K2342" s="17">
        <f>IF(HistoricalStockProgress[[#This Row],[Total Price of Shares]]&lt;&gt;0,HistoricalStockProgress[[#This Row],[Total Price of Shares]]-HistoricalStockProgress[[#This Row],[Cost of Shares]],0)</f>
        <v>15137.039084339354</v>
      </c>
      <c r="L2342" s="34" t="b" cm="1">
        <f t="array" ref="L2342">IFERROR(IF(HistoricalStockProgress[[#This Row],[Price of Shares]]="",_xlfn.STOCKHISTORY(HistoricalStockProgress[[#This Row],[Full Company Name]],HistoricalStockProgress[[#This Row],[Date]],,2,0,1)),0)</f>
        <v>0</v>
      </c>
      <c r="M2342" s="34">
        <f>YEAR(HistoricalStockProgress[[#This Row],[Date]])</f>
        <v>2026</v>
      </c>
      <c r="N2342" s="34">
        <f>MONTH(HistoricalStockProgress[[#This Row],[Date]])</f>
        <v>10</v>
      </c>
    </row>
    <row r="2343" spans="2:14">
      <c r="B2343" s="15">
        <v>46308</v>
      </c>
      <c r="C2343" s="34" t="s">
        <v>95</v>
      </c>
      <c r="D2343" s="34" t="e" vm="13">
        <f>_xlfn.XLOOKUP(HistoricalStockProgress[[#This Row],[Company Ticker]],CompanyDetailsList[Company Ticker],CompanyDetailsList[Official Name],,0)</f>
        <v>#VALUE!</v>
      </c>
      <c r="E2343"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157</v>
      </c>
      <c r="F2343"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43247.259149794598</v>
      </c>
      <c r="G2343" s="17">
        <f>IFERROR(HistoricalStockProgress[[#This Row],[Cost of Shares]]/HistoricalStockProgress[[#This Row],[No. of Shares]],0)</f>
        <v>275.46024936174905</v>
      </c>
      <c r="H2343" s="16" vm="2778">
        <v>290.62</v>
      </c>
      <c r="I2343" s="16">
        <f>IF(HistoricalStockProgress[[#This Row],[No. of Shares]]&lt;&gt;0,HistoricalStockProgress[[#This Row],[Price of Shares]]*HistoricalStockProgress[[#This Row],[No. of Shares]],0)</f>
        <v>45627.340000000004</v>
      </c>
      <c r="J2343" s="16">
        <f>IF(HistoricalStockProgress[[#This Row],[No. of Shares]]&lt;&gt;0,HistoricalStockProgress[[#This Row],[Price of Shares]]-HistoricalStockProgress[[#This Row],[Cost of Shares]]/HistoricalStockProgress[[#This Row],[No. of Shares]],0)</f>
        <v>15.159750638250955</v>
      </c>
      <c r="K2343" s="17">
        <f>IF(HistoricalStockProgress[[#This Row],[Total Price of Shares]]&lt;&gt;0,HistoricalStockProgress[[#This Row],[Total Price of Shares]]-HistoricalStockProgress[[#This Row],[Cost of Shares]],0)</f>
        <v>2380.080850205406</v>
      </c>
      <c r="L2343" s="34" t="b" cm="1">
        <f t="array" ref="L2343">IFERROR(IF(HistoricalStockProgress[[#This Row],[Price of Shares]]="",_xlfn.STOCKHISTORY(HistoricalStockProgress[[#This Row],[Full Company Name]],HistoricalStockProgress[[#This Row],[Date]],,2,0,1)),0)</f>
        <v>0</v>
      </c>
      <c r="M2343" s="34">
        <f>YEAR(HistoricalStockProgress[[#This Row],[Date]])</f>
        <v>2026</v>
      </c>
      <c r="N2343" s="34">
        <f>MONTH(HistoricalStockProgress[[#This Row],[Date]])</f>
        <v>10</v>
      </c>
    </row>
    <row r="2344" spans="2:14">
      <c r="B2344" s="15">
        <v>46308</v>
      </c>
      <c r="C2344" s="34" t="s">
        <v>17</v>
      </c>
      <c r="D2344" s="34" t="e" vm="14">
        <f>_xlfn.XLOOKUP(HistoricalStockProgress[[#This Row],[Company Ticker]],CompanyDetailsList[Company Ticker],CompanyDetailsList[Official Name],,0)</f>
        <v>#VALUE!</v>
      </c>
      <c r="E2344"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231</v>
      </c>
      <c r="F2344"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33120.297712310705</v>
      </c>
      <c r="G2344" s="17">
        <f>IFERROR(HistoricalStockProgress[[#This Row],[Cost of Shares]]/HistoricalStockProgress[[#This Row],[No. of Shares]],0)</f>
        <v>143.37791217450521</v>
      </c>
      <c r="H2344" s="16" vm="2779">
        <v>227.02</v>
      </c>
      <c r="I2344" s="16">
        <f>IF(HistoricalStockProgress[[#This Row],[No. of Shares]]&lt;&gt;0,HistoricalStockProgress[[#This Row],[Price of Shares]]*HistoricalStockProgress[[#This Row],[No. of Shares]],0)</f>
        <v>52441.62</v>
      </c>
      <c r="J2344" s="16">
        <f>IF(HistoricalStockProgress[[#This Row],[No. of Shares]]&lt;&gt;0,HistoricalStockProgress[[#This Row],[Price of Shares]]-HistoricalStockProgress[[#This Row],[Cost of Shares]]/HistoricalStockProgress[[#This Row],[No. of Shares]],0)</f>
        <v>83.642087825494798</v>
      </c>
      <c r="K2344" s="17">
        <f>IF(HistoricalStockProgress[[#This Row],[Total Price of Shares]]&lt;&gt;0,HistoricalStockProgress[[#This Row],[Total Price of Shares]]-HistoricalStockProgress[[#This Row],[Cost of Shares]],0)</f>
        <v>19321.322287689298</v>
      </c>
      <c r="L2344" s="34" t="b" cm="1">
        <f t="array" ref="L2344">IFERROR(IF(HistoricalStockProgress[[#This Row],[Price of Shares]]="",_xlfn.STOCKHISTORY(HistoricalStockProgress[[#This Row],[Full Company Name]],HistoricalStockProgress[[#This Row],[Date]],,2,0,1)),0)</f>
        <v>0</v>
      </c>
      <c r="M2344" s="34">
        <f>YEAR(HistoricalStockProgress[[#This Row],[Date]])</f>
        <v>2026</v>
      </c>
      <c r="N2344" s="34">
        <f>MONTH(HistoricalStockProgress[[#This Row],[Date]])</f>
        <v>10</v>
      </c>
    </row>
    <row r="2345" spans="2:14">
      <c r="B2345" s="15">
        <v>46308</v>
      </c>
      <c r="C2345" s="34" t="s">
        <v>98</v>
      </c>
      <c r="D2345" s="34" t="e" vm="15">
        <f>_xlfn.XLOOKUP(HistoricalStockProgress[[#This Row],[Company Ticker]],CompanyDetailsList[Company Ticker],CompanyDetailsList[Official Name],,0)</f>
        <v>#VALUE!</v>
      </c>
      <c r="E2345"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193</v>
      </c>
      <c r="F2345"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11397.772474019517</v>
      </c>
      <c r="G2345" s="17">
        <f>IFERROR(HistoricalStockProgress[[#This Row],[Cost of Shares]]/HistoricalStockProgress[[#This Row],[No. of Shares]],0)</f>
        <v>59.055815927562264</v>
      </c>
      <c r="H2345" s="16" vm="2780">
        <v>78.510000000000005</v>
      </c>
      <c r="I2345" s="16">
        <f>IF(HistoricalStockProgress[[#This Row],[No. of Shares]]&lt;&gt;0,HistoricalStockProgress[[#This Row],[Price of Shares]]*HistoricalStockProgress[[#This Row],[No. of Shares]],0)</f>
        <v>15152.43</v>
      </c>
      <c r="J2345" s="16">
        <f>IF(HistoricalStockProgress[[#This Row],[No. of Shares]]&lt;&gt;0,HistoricalStockProgress[[#This Row],[Price of Shares]]-HistoricalStockProgress[[#This Row],[Cost of Shares]]/HistoricalStockProgress[[#This Row],[No. of Shares]],0)</f>
        <v>19.454184072437741</v>
      </c>
      <c r="K2345" s="17">
        <f>IF(HistoricalStockProgress[[#This Row],[Total Price of Shares]]&lt;&gt;0,HistoricalStockProgress[[#This Row],[Total Price of Shares]]-HistoricalStockProgress[[#This Row],[Cost of Shares]],0)</f>
        <v>3754.6575259804831</v>
      </c>
      <c r="L2345" s="34" t="b" cm="1">
        <f t="array" ref="L2345">IFERROR(IF(HistoricalStockProgress[[#This Row],[Price of Shares]]="",_xlfn.STOCKHISTORY(HistoricalStockProgress[[#This Row],[Full Company Name]],HistoricalStockProgress[[#This Row],[Date]],,2,0,1)),0)</f>
        <v>0</v>
      </c>
      <c r="M2345" s="34">
        <f>YEAR(HistoricalStockProgress[[#This Row],[Date]])</f>
        <v>2026</v>
      </c>
      <c r="N2345" s="34">
        <f>MONTH(HistoricalStockProgress[[#This Row],[Date]])</f>
        <v>10</v>
      </c>
    </row>
    <row r="2346" spans="2:14">
      <c r="B2346" s="15">
        <v>46308</v>
      </c>
      <c r="C2346" s="34" t="s">
        <v>100</v>
      </c>
      <c r="D2346" s="34" t="e" vm="16">
        <f>_xlfn.XLOOKUP(HistoricalStockProgress[[#This Row],[Company Ticker]],CompanyDetailsList[Company Ticker],CompanyDetailsList[Official Name],,0)</f>
        <v>#VALUE!</v>
      </c>
      <c r="E2346"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250</v>
      </c>
      <c r="F2346"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23039.087792179016</v>
      </c>
      <c r="G2346" s="17">
        <f>IFERROR(HistoricalStockProgress[[#This Row],[Cost of Shares]]/HistoricalStockProgress[[#This Row],[No. of Shares]],0)</f>
        <v>92.156351168716071</v>
      </c>
      <c r="H2346" s="16" vm="1201">
        <v>117.69</v>
      </c>
      <c r="I2346" s="16">
        <f>IF(HistoricalStockProgress[[#This Row],[No. of Shares]]&lt;&gt;0,HistoricalStockProgress[[#This Row],[Price of Shares]]*HistoricalStockProgress[[#This Row],[No. of Shares]],0)</f>
        <v>29422.5</v>
      </c>
      <c r="J2346" s="16">
        <f>IF(HistoricalStockProgress[[#This Row],[No. of Shares]]&lt;&gt;0,HistoricalStockProgress[[#This Row],[Price of Shares]]-HistoricalStockProgress[[#This Row],[Cost of Shares]]/HistoricalStockProgress[[#This Row],[No. of Shares]],0)</f>
        <v>25.533648831283926</v>
      </c>
      <c r="K2346" s="17">
        <f>IF(HistoricalStockProgress[[#This Row],[Total Price of Shares]]&lt;&gt;0,HistoricalStockProgress[[#This Row],[Total Price of Shares]]-HistoricalStockProgress[[#This Row],[Cost of Shares]],0)</f>
        <v>6383.4122078209839</v>
      </c>
      <c r="L2346" s="34" t="b" cm="1">
        <f t="array" ref="L2346">IFERROR(IF(HistoricalStockProgress[[#This Row],[Price of Shares]]="",_xlfn.STOCKHISTORY(HistoricalStockProgress[[#This Row],[Full Company Name]],HistoricalStockProgress[[#This Row],[Date]],,2,0,1)),0)</f>
        <v>0</v>
      </c>
      <c r="M2346" s="34">
        <f>YEAR(HistoricalStockProgress[[#This Row],[Date]])</f>
        <v>2026</v>
      </c>
      <c r="N2346" s="34">
        <f>MONTH(HistoricalStockProgress[[#This Row],[Date]])</f>
        <v>10</v>
      </c>
    </row>
    <row r="2347" spans="2:14">
      <c r="B2347" s="15">
        <v>46308</v>
      </c>
      <c r="C2347" s="34" t="s">
        <v>15</v>
      </c>
      <c r="D2347" s="34" t="e" vm="17">
        <f>_xlfn.XLOOKUP(HistoricalStockProgress[[#This Row],[Company Ticker]],CompanyDetailsList[Company Ticker],CompanyDetailsList[Official Name],,0)</f>
        <v>#VALUE!</v>
      </c>
      <c r="E2347"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140</v>
      </c>
      <c r="F2347"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3479.0458726436</v>
      </c>
      <c r="G2347" s="17">
        <f>IFERROR(HistoricalStockProgress[[#This Row],[Cost of Shares]]/HistoricalStockProgress[[#This Row],[No. of Shares]],0)</f>
        <v>24.85032766174</v>
      </c>
      <c r="H2347" s="16" vm="2781">
        <v>22.49</v>
      </c>
      <c r="I2347" s="16">
        <f>IF(HistoricalStockProgress[[#This Row],[No. of Shares]]&lt;&gt;0,HistoricalStockProgress[[#This Row],[Price of Shares]]*HistoricalStockProgress[[#This Row],[No. of Shares]],0)</f>
        <v>3148.6</v>
      </c>
      <c r="J2347" s="16">
        <f>IF(HistoricalStockProgress[[#This Row],[No. of Shares]]&lt;&gt;0,HistoricalStockProgress[[#This Row],[Price of Shares]]-HistoricalStockProgress[[#This Row],[Cost of Shares]]/HistoricalStockProgress[[#This Row],[No. of Shares]],0)</f>
        <v>-2.3603276617400013</v>
      </c>
      <c r="K2347" s="17">
        <f>IF(HistoricalStockProgress[[#This Row],[Total Price of Shares]]&lt;&gt;0,HistoricalStockProgress[[#This Row],[Total Price of Shares]]-HistoricalStockProgress[[#This Row],[Cost of Shares]],0)</f>
        <v>-330.44587264360007</v>
      </c>
      <c r="L2347" s="34" t="b" cm="1">
        <f t="array" ref="L2347">IFERROR(IF(HistoricalStockProgress[[#This Row],[Price of Shares]]="",_xlfn.STOCKHISTORY(HistoricalStockProgress[[#This Row],[Full Company Name]],HistoricalStockProgress[[#This Row],[Date]],,2,0,1)),0)</f>
        <v>0</v>
      </c>
      <c r="M2347" s="34">
        <f>YEAR(HistoricalStockProgress[[#This Row],[Date]])</f>
        <v>2026</v>
      </c>
      <c r="N2347" s="34">
        <f>MONTH(HistoricalStockProgress[[#This Row],[Date]])</f>
        <v>10</v>
      </c>
    </row>
    <row r="2348" spans="2:14">
      <c r="B2348" s="15">
        <v>46308</v>
      </c>
      <c r="C2348" s="34" t="s">
        <v>13</v>
      </c>
      <c r="D2348" s="34" t="e" vm="18">
        <f>_xlfn.XLOOKUP(HistoricalStockProgress[[#This Row],[Company Ticker]],CompanyDetailsList[Company Ticker],CompanyDetailsList[Official Name],,0)</f>
        <v>#VALUE!</v>
      </c>
      <c r="E2348"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106</v>
      </c>
      <c r="F2348"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3394.2551594478332</v>
      </c>
      <c r="G2348" s="17">
        <f>IFERROR(HistoricalStockProgress[[#This Row],[Cost of Shares]]/HistoricalStockProgress[[#This Row],[No. of Shares]],0)</f>
        <v>32.021275089130505</v>
      </c>
      <c r="H2348" s="16" vm="2782">
        <v>28.4</v>
      </c>
      <c r="I2348" s="16">
        <f>IF(HistoricalStockProgress[[#This Row],[No. of Shares]]&lt;&gt;0,HistoricalStockProgress[[#This Row],[Price of Shares]]*HistoricalStockProgress[[#This Row],[No. of Shares]],0)</f>
        <v>3010.3999999999996</v>
      </c>
      <c r="J2348" s="16">
        <f>IF(HistoricalStockProgress[[#This Row],[No. of Shares]]&lt;&gt;0,HistoricalStockProgress[[#This Row],[Price of Shares]]-HistoricalStockProgress[[#This Row],[Cost of Shares]]/HistoricalStockProgress[[#This Row],[No. of Shares]],0)</f>
        <v>-3.6212750891305063</v>
      </c>
      <c r="K2348" s="17">
        <f>IF(HistoricalStockProgress[[#This Row],[Total Price of Shares]]&lt;&gt;0,HistoricalStockProgress[[#This Row],[Total Price of Shares]]-HistoricalStockProgress[[#This Row],[Cost of Shares]],0)</f>
        <v>-383.85515944783356</v>
      </c>
      <c r="L2348" s="34" t="b" cm="1">
        <f t="array" ref="L2348">IFERROR(IF(HistoricalStockProgress[[#This Row],[Price of Shares]]="",_xlfn.STOCKHISTORY(HistoricalStockProgress[[#This Row],[Full Company Name]],HistoricalStockProgress[[#This Row],[Date]],,2,0,1)),0)</f>
        <v>0</v>
      </c>
      <c r="M2348" s="34">
        <f>YEAR(HistoricalStockProgress[[#This Row],[Date]])</f>
        <v>2026</v>
      </c>
      <c r="N2348" s="34">
        <f>MONTH(HistoricalStockProgress[[#This Row],[Date]])</f>
        <v>10</v>
      </c>
    </row>
    <row r="2349" spans="2:14">
      <c r="B2349" s="15">
        <v>46308</v>
      </c>
      <c r="C2349" s="34" t="s">
        <v>20</v>
      </c>
      <c r="D2349" s="34" t="e" vm="19">
        <f>_xlfn.XLOOKUP(HistoricalStockProgress[[#This Row],[Company Ticker]],CompanyDetailsList[Company Ticker],CompanyDetailsList[Official Name],,0)</f>
        <v>#VALUE!</v>
      </c>
      <c r="E2349"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116</v>
      </c>
      <c r="F2349"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12548.424902422968</v>
      </c>
      <c r="G2349" s="17">
        <f>IFERROR(HistoricalStockProgress[[#This Row],[Cost of Shares]]/HistoricalStockProgress[[#This Row],[No. of Shares]],0)</f>
        <v>108.1760767450256</v>
      </c>
      <c r="H2349" s="16" vm="2783">
        <v>334.3</v>
      </c>
      <c r="I2349" s="16">
        <f>IF(HistoricalStockProgress[[#This Row],[No. of Shares]]&lt;&gt;0,HistoricalStockProgress[[#This Row],[Price of Shares]]*HistoricalStockProgress[[#This Row],[No. of Shares]],0)</f>
        <v>38778.800000000003</v>
      </c>
      <c r="J2349" s="16">
        <f>IF(HistoricalStockProgress[[#This Row],[No. of Shares]]&lt;&gt;0,HistoricalStockProgress[[#This Row],[Price of Shares]]-HistoricalStockProgress[[#This Row],[Cost of Shares]]/HistoricalStockProgress[[#This Row],[No. of Shares]],0)</f>
        <v>226.12392325497441</v>
      </c>
      <c r="K2349" s="17">
        <f>IF(HistoricalStockProgress[[#This Row],[Total Price of Shares]]&lt;&gt;0,HistoricalStockProgress[[#This Row],[Total Price of Shares]]-HistoricalStockProgress[[#This Row],[Cost of Shares]],0)</f>
        <v>26230.375097577034</v>
      </c>
      <c r="L2349" s="34" t="b" cm="1">
        <f t="array" ref="L2349">IFERROR(IF(HistoricalStockProgress[[#This Row],[Price of Shares]]="",_xlfn.STOCKHISTORY(HistoricalStockProgress[[#This Row],[Full Company Name]],HistoricalStockProgress[[#This Row],[Date]],,2,0,1)),0)</f>
        <v>0</v>
      </c>
      <c r="M2349" s="34">
        <f>YEAR(HistoricalStockProgress[[#This Row],[Date]])</f>
        <v>2026</v>
      </c>
      <c r="N2349" s="34">
        <f>MONTH(HistoricalStockProgress[[#This Row],[Date]])</f>
        <v>10</v>
      </c>
    </row>
    <row r="2350" spans="2:14">
      <c r="B2350" s="15">
        <v>46308</v>
      </c>
      <c r="C2350" s="34" t="s">
        <v>106</v>
      </c>
      <c r="D2350" s="34" t="e" vm="20">
        <f>_xlfn.XLOOKUP(HistoricalStockProgress[[#This Row],[Company Ticker]],CompanyDetailsList[Company Ticker],CompanyDetailsList[Official Name],,0)</f>
        <v>#VALUE!</v>
      </c>
      <c r="E2350" s="17">
        <f>SUMIFS(
StockTransactionsTable[Shares No.],
StockTransactionsTable[Transaction Type],"Buy",
StockTransactionsTable[Ticker],HistoricalStockProgress[[#This Row],[Company Ticker]],
StockTransactionsTable[Date],"&lt;="&amp;HistoricalStockProgress[[#This Row],[Date]])
-
SUMIFS(StockTransactionsTable[Shares No.],StockTransactionsTable[Transaction Type],"Sell",StockTransactionsTable[Ticker],HistoricalStockProgress[[#This Row],[Company Ticker]],StockTransactionsTable[Date],"&lt;="&amp;HistoricalStockProgress[[#This Row],[Date]])</f>
        <v>79</v>
      </c>
      <c r="F2350" s="17">
        <f>_xlfn.LET(
    _xlpm.t, HistoricalStockProgress[[#This Row],[Company Ticker]],
    _xlpm.d, HistoricalStockProgress[[#This Row],[Date]],
    _xlpm.BuyQty, SUMIFS(StockTransactionsTable[Shares No.],
        StockTransactionsTable[Ticker], _xlpm.t,
        StockTransactionsTable[Transaction Type], "Buy",
        StockTransactionsTable[Date], "&lt;=" &amp; _xlpm.d),
    _xlpm.SellQty, SUMIFS(StockTransactionsTable[Shares No.],
        StockTransactionsTable[Ticker], _xlpm.t,
        StockTransactionsTable[Transaction Type], "Sell",
        StockTransactionsTable[Date], "&lt;=" &amp; _xlpm.d),
    _xlpm.BuyCost, SUMIFS(StockTransactionsTable[Total Amount with Fee],
        StockTransactionsTable[Ticker], _xlpm.t,
        StockTransactionsTable[Transaction Type], "Buy",
        StockTransactionsTable[Date], "&lt;=" &amp; _xlpm.d),
    IF(OR(_xlpm.BuyQty = 0, _xlpm.BuyQty - _xlpm.SellQty &lt;= 0), 0,
        _xlpm.BuyCost * (_xlpm.BuyQty - _xlpm.SellQty) / _xlpm.BuyQty)
)</f>
        <v>8575.3478914575226</v>
      </c>
      <c r="G2350" s="17">
        <f>IFERROR(HistoricalStockProgress[[#This Row],[Cost of Shares]]/HistoricalStockProgress[[#This Row],[No. of Shares]],0)</f>
        <v>108.54870748680408</v>
      </c>
      <c r="H2350" s="16" vm="2784">
        <v>103.71</v>
      </c>
      <c r="I2350" s="16">
        <f>IF(HistoricalStockProgress[[#This Row],[No. of Shares]]&lt;&gt;0,HistoricalStockProgress[[#This Row],[Price of Shares]]*HistoricalStockProgress[[#This Row],[No. of Shares]],0)</f>
        <v>8193.09</v>
      </c>
      <c r="J2350" s="16">
        <f>IF(HistoricalStockProgress[[#This Row],[No. of Shares]]&lt;&gt;0,HistoricalStockProgress[[#This Row],[Price of Shares]]-HistoricalStockProgress[[#This Row],[Cost of Shares]]/HistoricalStockProgress[[#This Row],[No. of Shares]],0)</f>
        <v>-4.8387074868040827</v>
      </c>
      <c r="K2350" s="17">
        <f>IF(HistoricalStockProgress[[#This Row],[Total Price of Shares]]&lt;&gt;0,HistoricalStockProgress[[#This Row],[Total Price of Shares]]-HistoricalStockProgress[[#This Row],[Cost of Shares]],0)</f>
        <v>-382.25789145752242</v>
      </c>
      <c r="L2350" s="34" t="b" cm="1">
        <f t="array" ref="L2350">IFERROR(IF(HistoricalStockProgress[[#This Row],[Price of Shares]]="",_xlfn.STOCKHISTORY(HistoricalStockProgress[[#This Row],[Full Company Name]],HistoricalStockProgress[[#This Row],[Date]],,2,0,1)),0)</f>
        <v>0</v>
      </c>
      <c r="M2350" s="34">
        <f>YEAR(HistoricalStockProgress[[#This Row],[Date]])</f>
        <v>2026</v>
      </c>
      <c r="N2350" s="34">
        <f>MONTH(HistoricalStockProgress[[#This Row],[Date]])</f>
        <v>10</v>
      </c>
    </row>
  </sheetData>
  <conditionalFormatting sqref="B5:L2350">
    <cfRule type="containsBlanks" dxfId="0" priority="1">
      <formula>LEN(TRIM(B5))=0</formula>
    </cfRule>
  </conditionalFormatting>
  <hyperlinks>
    <hyperlink ref="A2" location="Menu!A1" display="☰ Menu" xr:uid="{6D553CA9-FA72-4880-96CD-643AA7DFAD97}"/>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A58A19-A26B-4D61-8409-95A08299CB1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Menu</vt:lpstr>
      <vt:lpstr>Stock Details</vt:lpstr>
      <vt:lpstr>Exchange Tracker</vt:lpstr>
      <vt:lpstr>Stock Transactions</vt:lpstr>
      <vt:lpstr>Historical Portfolio Value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Magor</dc:creator>
  <cp:lastModifiedBy>Magor Szekely</cp:lastModifiedBy>
  <dcterms:created xsi:type="dcterms:W3CDTF">2015-06-05T18:17:20Z</dcterms:created>
  <dcterms:modified xsi:type="dcterms:W3CDTF">2026-10-13T09:56:50Z</dcterms:modified>
</cp:coreProperties>
</file>